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verview" sheetId="1" state="visible" r:id="rId3"/>
    <sheet name="Drivers" sheetId="2" state="visible" r:id="rId4"/>
    <sheet name="Rolling Model" sheetId="3" state="visible" r:id="rId5"/>
    <sheet name="Budget vs Forecast vs Actual" sheetId="4" state="visible" r:id="rId6"/>
    <sheet name="Summary" sheetId="5" state="visible" r:id="rId7"/>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B23" authorId="0">
      <text>
        <r>
          <rPr>
            <sz val="10"/>
            <rFont val="Arial"/>
            <family val="2"/>
          </rPr>
          <t xml:space="preserve">Real figures: FY2026 budgeted price and cost per collection, averaged from Budget_Model.xlsx, Inputs tab, Price per SKU block (101 SKUs). Escalation percentages are illustrative placeholders for this mockup.</t>
        </r>
      </text>
    </comment>
    <comment ref="B36" authorId="0">
      <text>
        <r>
          <rPr>
            <sz val="10"/>
            <rFont val="Arial"/>
            <family val="2"/>
          </rPr>
          <t xml:space="preserve">The five countries are real, confirmed FY2026 openings (Budget_Model.xlsx, Inputs tab, Planned New Stores 2026). The specific month assigned to each is an illustrative placeholder for this mockup; the source data only confirms the year.</t>
        </r>
      </text>
    </comment>
    <comment ref="B43" authorId="0">
      <text>
        <r>
          <rPr>
            <sz val="10"/>
            <rFont val="Arial"/>
            <family val="2"/>
          </rPr>
          <t xml:space="preserve">Blank rows for FY2027 openings, to be filled in as the rolling window moves past December 2026 and new planning decisions are made. This is the structural point of a rolling file: it keeps picking up new future periods instead of stopping at a fiscal year end.</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B10" authorId="0">
      <text>
        <r>
          <rPr>
            <sz val="10"/>
            <rFont val="Arial"/>
            <family val="2"/>
          </rPr>
          <t xml:space="preserve">Illustrative placeholder rows for mockup shape only, not the full ~560-row grain of the Master Budget Model. Jan-Jun 2026 actuals are a flat monthly split of each row's real FY2026 Budget annual units (Budget_Model.xlsx, Model tab), for shape only, not a real phasing curve. Jul 2026 onward is a live formula: prior month times one plus the channel's monthly growth driver from the Drivers tab, illustrating a driver-based rolling projection.</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9" authorId="0">
      <text>
        <r>
          <rPr>
            <sz val="10"/>
            <rFont val="Arial"/>
            <family val="2"/>
          </rPr>
          <t xml:space="preserve">Real: Budget_Model.xlsx, Income Statement tab, monthly Total Net Revenue, 2026 Budget row.</t>
        </r>
      </text>
    </comment>
    <comment ref="D9" authorId="0">
      <text>
        <r>
          <rPr>
            <sz val="10"/>
            <rFont val="Arial"/>
            <family val="2"/>
          </rPr>
          <t xml:space="preserve">Illustrative placeholder: the rolling forecast issued the month before this month closed. Not sourced from real data.</t>
        </r>
      </text>
    </comment>
    <comment ref="E9" authorId="0">
      <text>
        <r>
          <rPr>
            <sz val="10"/>
            <rFont val="Arial"/>
            <family val="2"/>
          </rPr>
          <t xml:space="preserve">Illustrative placeholder: FY2026 actuals do not exist in the underlying database yet. Simulated here to show a plausible Boutique-led beat, consistent with the Budget Model's own narrative, for mockup shape only.</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C8" authorId="0">
      <text>
        <r>
          <rPr>
            <sz val="10"/>
            <rFont val="Arial"/>
            <family val="2"/>
          </rPr>
          <t xml:space="preserve">Real: Budget_Model.xlsx, Income Statement tab, Q3 2026 Budget + Q4 2026 Budget (257,119,638 + 284,326,123).</t>
        </r>
      </text>
    </comment>
    <comment ref="C10" authorId="0">
      <text>
        <r>
          <rPr>
            <sz val="10"/>
            <rFont val="Arial"/>
            <family val="2"/>
          </rPr>
          <t xml:space="preserve">Illustrative placeholder. A full build would sum forecasted revenue across all Type x Collection x Country rows (roughly 560, matching the Master Budget Model's Model tab) for the full 12-month window, not just the four sample rows shown on the Rolling Model tab.</t>
        </r>
      </text>
    </comment>
  </commentList>
</comments>
</file>

<file path=xl/sharedStrings.xml><?xml version="1.0" encoding="utf-8"?>
<sst xmlns="http://schemas.openxmlformats.org/spreadsheetml/2006/main" count="207" uniqueCount="139">
  <si>
    <t xml:space="preserve">ROLLING FORECAST MODEL</t>
  </si>
  <si>
    <t xml:space="preserve">This workbook reforecasts the next 12 months on a rolling basis, refreshed every month as the latest actual closes, rather than planning a single fixed fiscal year the way the Master Budget Model does. The window always looks 12 months ahead of whatever month has just closed, so it keeps moving forward and is never anchored to a calendar year end.</t>
  </si>
  <si>
    <t xml:space="preserve">Data</t>
  </si>
  <si>
    <t xml:space="preserve">Closed months are pulled the same way as the Master Budget Model, via Power Query from meridian.db / SQL Server, merged and grouped to Month x Channel x Collection x Country. This file does not re-enter price, cost, or store-opening assumptions. It reads them from the Master Budget Model's Inputs tab and adds only the handful of forward-looking drivers a rolling forecast actually needs on top.</t>
  </si>
  <si>
    <t xml:space="preserve">Refresh cadence</t>
  </si>
  <si>
    <t xml:space="preserve">Current Anchor Month: June 2026 (last closed actual). Forecast Window: July 2026 through June 2027. Each month, once the latest actual closes, the anchor moves forward one month and the window rolls with it. Next month, for example, the anchor becomes July 2026 and the window becomes August 2026 through July 2027. See the Drivers tab to update the anchor, and the Rolling Model tab to see the window shift illustrated.</t>
  </si>
  <si>
    <t xml:space="preserve">Workbook structure:</t>
  </si>
  <si>
    <t xml:space="preserve">Drivers</t>
  </si>
  <si>
    <t xml:space="preserve">The handful of forward-looking assumptions this forecast rolls on: channel growth trends, collection-level price and cost escalation, and boutique opening pace. Blue is input, black is formula, green is cross-sheet link, gray italic is reference, not editable.</t>
  </si>
  <si>
    <t xml:space="preserve">Rolling Model</t>
  </si>
  <si>
    <t xml:space="preserve">The engine. Shows the current 12-month rolling window against the full timeline, and how the window shifts once the next month's actual closes.</t>
  </si>
  <si>
    <t xml:space="preserve">Budget vs Forecast vs Actual</t>
  </si>
  <si>
    <t xml:space="preserve">For each closed month, the original Budget, the latest Forecast issued before that month closed, and the final Actual, side by side with the variance between each pair. The core deliverable of this file.</t>
  </si>
  <si>
    <t xml:space="preserve">Summary</t>
  </si>
  <si>
    <t xml:space="preserve">Rolling window total, trailing forecast accuracy, and refresh status at a glance.</t>
  </si>
  <si>
    <t xml:space="preserve">DRIVERS</t>
  </si>
  <si>
    <t xml:space="preserve">The small set of forward-looking assumptions this forecast rolls on. Everything else (price, cost, and store-opening detail for FY2026) lives in the Master Budget Model's Inputs tab and is referenced from there rather than re-entered here.</t>
  </si>
  <si>
    <t xml:space="preserve">Color Convention</t>
  </si>
  <si>
    <t xml:space="preserve">Blue</t>
  </si>
  <si>
    <t xml:space="preserve">Manual planning input. Safe and expected to edit.</t>
  </si>
  <si>
    <t xml:space="preserve">Black</t>
  </si>
  <si>
    <t xml:space="preserve">Calculated cell. Don't type over these.</t>
  </si>
  <si>
    <t xml:space="preserve">Green</t>
  </si>
  <si>
    <t xml:space="preserve">Formula that pulls from another tab.</t>
  </si>
  <si>
    <t xml:space="preserve">Gray Italic</t>
  </si>
  <si>
    <t xml:space="preserve">Reference only, not editable, including figures sourced from the Master Budget Model workbook.</t>
  </si>
  <si>
    <t xml:space="preserve">Current Anchor Month</t>
  </si>
  <si>
    <t xml:space="preserve">Anchor Month (last closed actual)</t>
  </si>
  <si>
    <t xml:space="preserve">June 2026</t>
  </si>
  <si>
    <t xml:space="preserve">Update once each month's actual closes. Rolling Model and Summary reference this cell to reposition the 12-month window.</t>
  </si>
  <si>
    <t xml:space="preserve">Sell-In / Sell-Out Monthly Growth Assumption by Channel</t>
  </si>
  <si>
    <t xml:space="preserve">Channel</t>
  </si>
  <si>
    <t xml:space="preserve">Monthly Revenue Growth %</t>
  </si>
  <si>
    <t xml:space="preserve">Note</t>
  </si>
  <si>
    <t xml:space="preserve">Boutique</t>
  </si>
  <si>
    <t xml:space="preserve">Monthly-compounding equivalent of the FY2026 Budget's 18.7% annual Boutique growth (Master Budget Model, Income Statement). Adjust as new actuals close.</t>
  </si>
  <si>
    <t xml:space="preserve">Wholesale</t>
  </si>
  <si>
    <t xml:space="preserve">Monthly-compounding equivalent of the FY2026 Budget's 6.8% annual Wholesale growth (Master Budget Model, Income Statement). Adjust as new actuals close.</t>
  </si>
  <si>
    <t xml:space="preserve">Price and Cost Escalation by Collection (FY2027)</t>
  </si>
  <si>
    <t xml:space="preserve">Collection</t>
  </si>
  <si>
    <t xml:space="preserve">FY2026 Avg Budgeted Price</t>
  </si>
  <si>
    <t xml:space="preserve">FY2026 Avg Budgeted Cost</t>
  </si>
  <si>
    <t xml:space="preserve">FY2027 Price Escalation %</t>
  </si>
  <si>
    <t xml:space="preserve">FY2027 Cost Escalation %</t>
  </si>
  <si>
    <t xml:space="preserve">Atelier</t>
  </si>
  <si>
    <t xml:space="preserve">Aventus</t>
  </si>
  <si>
    <t xml:space="preserve">Celeste</t>
  </si>
  <si>
    <t xml:space="preserve">Grand Complication</t>
  </si>
  <si>
    <t xml:space="preserve">Heritage</t>
  </si>
  <si>
    <t xml:space="preserve">Lumina</t>
  </si>
  <si>
    <t xml:space="preserve">Meridian Classic</t>
  </si>
  <si>
    <t xml:space="preserve">Nautique</t>
  </si>
  <si>
    <t xml:space="preserve">Sportivo</t>
  </si>
  <si>
    <t xml:space="preserve">Terra</t>
  </si>
  <si>
    <t xml:space="preserve">Boutique Store Openings (Rolling)</t>
  </si>
  <si>
    <t xml:space="preserve">Month</t>
  </si>
  <si>
    <t xml:space="preserve">Country</t>
  </si>
  <si>
    <t xml:space="preserve">Status</t>
  </si>
  <si>
    <t xml:space="preserve">Mar 2026</t>
  </si>
  <si>
    <t xml:space="preserve">Thailand</t>
  </si>
  <si>
    <t xml:space="preserve">Confirmed, FY2026 Budget</t>
  </si>
  <si>
    <t xml:space="preserve">Apr 2026</t>
  </si>
  <si>
    <t xml:space="preserve">Colombia</t>
  </si>
  <si>
    <t xml:space="preserve">Jun 2026</t>
  </si>
  <si>
    <t xml:space="preserve">Vietnam</t>
  </si>
  <si>
    <t xml:space="preserve">Aug 2026</t>
  </si>
  <si>
    <t xml:space="preserve">Brazil</t>
  </si>
  <si>
    <t xml:space="preserve">Oct 2026</t>
  </si>
  <si>
    <t xml:space="preserve">China</t>
  </si>
  <si>
    <t xml:space="preserve">TBD, not yet planned</t>
  </si>
  <si>
    <t xml:space="preserve">ROLLING MODEL: 12-MONTH FORWARD WINDOW</t>
  </si>
  <si>
    <t xml:space="preserve">Every row below spans a fixed 24-month timeline (Jan 2026 to Dec 2027) so the current rolling window can be seen against what came before and what comes after it. Jan through Jun 2026 are closed actuals. Jul 2026 through Jun 2027 is this month's 12-month forecast window. Jul through Dec 2027 is not yet in scope, it enters the window in later refreshes.</t>
  </si>
  <si>
    <t xml:space="preserve">Current Anchor Month (from Drivers tab)</t>
  </si>
  <si>
    <t xml:space="preserve">Type / Collection / Country</t>
  </si>
  <si>
    <t xml:space="preserve">Jan-26</t>
  </si>
  <si>
    <t xml:space="preserve">Feb-26</t>
  </si>
  <si>
    <t xml:space="preserve">Mar-26</t>
  </si>
  <si>
    <t xml:space="preserve">Apr-26</t>
  </si>
  <si>
    <t xml:space="preserve">May-26</t>
  </si>
  <si>
    <t xml:space="preserve">Jun-26</t>
  </si>
  <si>
    <t xml:space="preserve">Jul-26</t>
  </si>
  <si>
    <t xml:space="preserve">Aug-26</t>
  </si>
  <si>
    <t xml:space="preserve">Sep-26</t>
  </si>
  <si>
    <t xml:space="preserve">Oct-26</t>
  </si>
  <si>
    <t xml:space="preserve">Nov-26</t>
  </si>
  <si>
    <t xml:space="preserve">Dec-26</t>
  </si>
  <si>
    <t xml:space="preserve">Jan-27</t>
  </si>
  <si>
    <t xml:space="preserve">Feb-27</t>
  </si>
  <si>
    <t xml:space="preserve">Mar-27</t>
  </si>
  <si>
    <t xml:space="preserve">Apr-27</t>
  </si>
  <si>
    <t xml:space="preserve">May-27</t>
  </si>
  <si>
    <t xml:space="preserve">Jun-27</t>
  </si>
  <si>
    <t xml:space="preserve">Jul-27</t>
  </si>
  <si>
    <t xml:space="preserve">Aug-27</t>
  </si>
  <si>
    <t xml:space="preserve">Sep-27</t>
  </si>
  <si>
    <t xml:space="preserve">Oct-27</t>
  </si>
  <si>
    <t xml:space="preserve">Nov-27</t>
  </si>
  <si>
    <t xml:space="preserve">Dec-27</t>
  </si>
  <si>
    <t xml:space="preserve">Actual</t>
  </si>
  <si>
    <t xml:space="preserve">In Window</t>
  </si>
  <si>
    <t xml:space="preserve">Not Yet</t>
  </si>
  <si>
    <t xml:space="preserve">Boutique / Atelier / Argentina</t>
  </si>
  <si>
    <t xml:space="preserve">-</t>
  </si>
  <si>
    <t xml:space="preserve">Boutique / Aventus / Australia</t>
  </si>
  <si>
    <t xml:space="preserve">Wholesale / Atelier / United Kingdom</t>
  </si>
  <si>
    <t xml:space="preserve">Wholesale / Terra / Germany</t>
  </si>
  <si>
    <t xml:space="preserve">How the Window Rolls Forward</t>
  </si>
  <si>
    <t xml:space="preserve">This refresh: anchor = Jun 2026</t>
  </si>
  <si>
    <t xml:space="preserve">Next refresh: anchor = Jul 2026</t>
  </si>
  <si>
    <t xml:space="preserve">Refresh after that: anchor = Aug 2026</t>
  </si>
  <si>
    <t xml:space="preserve">BUDGET VS FORECAST VS ACTUAL</t>
  </si>
  <si>
    <t xml:space="preserve">The core deliverable of this file. For each closed month, the original FY2026 Budget, the latest Forecast issued the month before it closed, and the final Actual, side by side. Budget figures are gray italic, real, from the Master Budget Model. Forecast and Actual figures are gray italic, illustrative placeholders for this mockup. Variances are black formulas.</t>
  </si>
  <si>
    <t xml:space="preserve">Monthly Bridge: Total Revenue</t>
  </si>
  <si>
    <t xml:space="preserve">Budget</t>
  </si>
  <si>
    <t xml:space="preserve">Forecast</t>
  </si>
  <si>
    <t xml:space="preserve">Budget vs Actual</t>
  </si>
  <si>
    <t xml:space="preserve">Budget vs Actual %</t>
  </si>
  <si>
    <t xml:space="preserve">Forecast vs Actual</t>
  </si>
  <si>
    <t xml:space="preserve">Forecast vs Actual %</t>
  </si>
  <si>
    <t xml:space="preserve">H1 2026 Total</t>
  </si>
  <si>
    <t xml:space="preserve">June 2026 Detail by Channel (Current Anchor Month)</t>
  </si>
  <si>
    <t xml:space="preserve">Total</t>
  </si>
  <si>
    <t xml:space="preserve">SUMMARY</t>
  </si>
  <si>
    <t xml:space="preserve">Rolling window total, trailing forecast accuracy, and refresh status at a glance. A full build would recut this the way the Budget Model's own Summary tab does, interactively by Country, Collection, and Channel.</t>
  </si>
  <si>
    <t xml:space="preserve">Rolling Window Total (Jul 2026 to Jun 2027)</t>
  </si>
  <si>
    <t xml:space="preserve">FY2026 Budget, Jul-Dec (H2 only)</t>
  </si>
  <si>
    <t xml:space="preserve">Jan-Jun 2027</t>
  </si>
  <si>
    <t xml:space="preserve">No FY2027 Budget yet</t>
  </si>
  <si>
    <t xml:space="preserve">This is a real structural gap, not an oversight: a rolling window that reaches past the current fiscal year has no approved budget to compare against for the months beyond it, until that year's budget is set.</t>
  </si>
  <si>
    <t xml:space="preserve">Illustrative 12-Month Rolling Forecast Total</t>
  </si>
  <si>
    <t xml:space="preserve">Trailing Forecast Accuracy (H1 2026, 6 Closed Months)</t>
  </si>
  <si>
    <t xml:space="preserve">Budget vs Actual (average bias)</t>
  </si>
  <si>
    <t xml:space="preserve">The rolling forecast tracks actual results more closely than the original budget once channel mix shifts are captured monthly instead of once a year. That gap is the reason this capability exists alongside the Budget Model, not instead of it.</t>
  </si>
  <si>
    <t xml:space="preserve">Forecast vs Actual (average bias)</t>
  </si>
  <si>
    <t xml:space="preserve">Refresh Status</t>
  </si>
  <si>
    <t xml:space="preserve">Last Refreshed</t>
  </si>
  <si>
    <t xml:space="preserve">2026-07-20</t>
  </si>
  <si>
    <t xml:space="preserve">Next Refresh Due</t>
  </si>
  <si>
    <t xml:space="preserve">Once July 2026 actuals close</t>
  </si>
</sst>
</file>

<file path=xl/styles.xml><?xml version="1.0" encoding="utf-8"?>
<styleSheet xmlns="http://schemas.openxmlformats.org/spreadsheetml/2006/main">
  <numFmts count="4">
    <numFmt numFmtId="164" formatCode="General"/>
    <numFmt numFmtId="165" formatCode="0.0%;\(0.0%\);\-"/>
    <numFmt numFmtId="166" formatCode="_ * #,##0_ ;_ * \-#,##0_ ;_ * \-??_ ;_ @_ "/>
    <numFmt numFmtId="167" formatCode="_ * #,##0.0_ ;_ * \-#,##0.0_ ;_ * \-??_ ;_ @_ "/>
  </numFmts>
  <fonts count="26">
    <font>
      <sz val="11"/>
      <color theme="1"/>
      <name val="Calibri"/>
      <family val="2"/>
      <charset val="1"/>
    </font>
    <font>
      <sz val="10"/>
      <name val="Arial"/>
      <family val="0"/>
    </font>
    <font>
      <sz val="10"/>
      <name val="Arial"/>
      <family val="0"/>
    </font>
    <font>
      <sz val="10"/>
      <name val="Arial"/>
      <family val="0"/>
    </font>
    <font>
      <b val="true"/>
      <sz val="16"/>
      <color rgb="FF1F4E96"/>
      <name val="Calibri"/>
      <family val="0"/>
      <charset val="1"/>
    </font>
    <font>
      <i val="true"/>
      <sz val="9"/>
      <color rgb="FF6B6B6B"/>
      <name val="Calibri"/>
      <family val="0"/>
      <charset val="1"/>
    </font>
    <font>
      <b val="true"/>
      <i val="true"/>
      <sz val="9"/>
      <color rgb="FF6B6B6B"/>
      <name val="Calibri"/>
      <family val="0"/>
      <charset val="1"/>
    </font>
    <font>
      <i val="true"/>
      <sz val="10"/>
      <color rgb="FF1E7B34"/>
      <name val="Calibri"/>
      <family val="0"/>
      <charset val="1"/>
    </font>
    <font>
      <b val="true"/>
      <sz val="10"/>
      <color rgb="FF1F1F1F"/>
      <name val="Calibri"/>
      <family val="0"/>
      <charset val="1"/>
    </font>
    <font>
      <sz val="10"/>
      <color rgb="FF1F4E96"/>
      <name val="Calibri"/>
      <family val="0"/>
      <charset val="1"/>
    </font>
    <font>
      <i val="true"/>
      <sz val="9"/>
      <color rgb="FF1F4E96"/>
      <name val="Calibri"/>
      <family val="0"/>
      <charset val="1"/>
    </font>
    <font>
      <sz val="10"/>
      <color rgb="FF000000"/>
      <name val="Calibri"/>
      <family val="0"/>
      <charset val="1"/>
    </font>
    <font>
      <i val="true"/>
      <sz val="9"/>
      <color rgb="FF000000"/>
      <name val="Calibri"/>
      <family val="0"/>
      <charset val="1"/>
    </font>
    <font>
      <sz val="10"/>
      <color rgb="FF1E7B34"/>
      <name val="Calibri"/>
      <family val="0"/>
      <charset val="1"/>
    </font>
    <font>
      <i val="true"/>
      <sz val="9"/>
      <color rgb="FF1E7B34"/>
      <name val="Calibri"/>
      <family val="0"/>
      <charset val="1"/>
    </font>
    <font>
      <i val="true"/>
      <sz val="10"/>
      <color rgb="FF6B6B6B"/>
      <name val="Calibri"/>
      <family val="0"/>
      <charset val="1"/>
    </font>
    <font>
      <b val="true"/>
      <sz val="10"/>
      <color rgb="FF1F4E96"/>
      <name val="Calibri"/>
      <family val="0"/>
      <charset val="1"/>
    </font>
    <font>
      <b val="true"/>
      <sz val="9"/>
      <color rgb="FFFFFFFF"/>
      <name val="Calibri"/>
      <family val="0"/>
      <charset val="1"/>
    </font>
    <font>
      <sz val="10"/>
      <name val="Arial"/>
      <family val="2"/>
    </font>
    <font>
      <i val="true"/>
      <sz val="10"/>
      <color rgb="FF000000"/>
      <name val="Calibri"/>
      <family val="0"/>
      <charset val="1"/>
    </font>
    <font>
      <b val="true"/>
      <sz val="10"/>
      <color rgb="FF1E7B34"/>
      <name val="Calibri"/>
      <family val="0"/>
      <charset val="1"/>
    </font>
    <font>
      <i val="true"/>
      <sz val="8"/>
      <color rgb="FF6B6B6B"/>
      <name val="Calibri"/>
      <family val="0"/>
      <charset val="1"/>
    </font>
    <font>
      <b val="true"/>
      <i val="true"/>
      <sz val="8"/>
      <color rgb="FF1E7B34"/>
      <name val="Calibri"/>
      <family val="0"/>
      <charset val="1"/>
    </font>
    <font>
      <sz val="9"/>
      <color rgb="FF000000"/>
      <name val="Calibri"/>
      <family val="0"/>
      <charset val="1"/>
    </font>
    <font>
      <b val="true"/>
      <sz val="10"/>
      <color rgb="FF000000"/>
      <name val="Calibri"/>
      <family val="0"/>
      <charset val="1"/>
    </font>
    <font>
      <b val="true"/>
      <i val="true"/>
      <sz val="10"/>
      <color rgb="FF6B6B6B"/>
      <name val="Calibri"/>
      <family val="0"/>
      <charset val="1"/>
    </font>
  </fonts>
  <fills count="8">
    <fill>
      <patternFill patternType="none"/>
    </fill>
    <fill>
      <patternFill patternType="gray125"/>
    </fill>
    <fill>
      <patternFill patternType="solid">
        <fgColor rgb="FFD9E2F3"/>
        <bgColor rgb="FFD9D9D9"/>
      </patternFill>
    </fill>
    <fill>
      <patternFill patternType="solid">
        <fgColor rgb="FFD9D9D9"/>
        <bgColor rgb="FFD9E2F3"/>
      </patternFill>
    </fill>
    <fill>
      <patternFill patternType="solid">
        <fgColor rgb="FF404040"/>
        <bgColor rgb="FF1F1F1F"/>
      </patternFill>
    </fill>
    <fill>
      <patternFill patternType="solid">
        <fgColor rgb="FFF2F2F2"/>
        <bgColor rgb="FFEFF3EA"/>
      </patternFill>
    </fill>
    <fill>
      <patternFill patternType="solid">
        <fgColor rgb="FFEFF3EA"/>
        <bgColor rgb="FFF2F2F2"/>
      </patternFill>
    </fill>
    <fill>
      <patternFill patternType="solid">
        <fgColor rgb="FFFCFCF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left" vertical="top" textRotation="0" wrapText="true" indent="1" shrinkToFit="false"/>
      <protection locked="true" hidden="false"/>
    </xf>
    <xf numFmtId="164" fontId="6" fillId="0" borderId="0" xfId="0" applyFont="true" applyBorder="false" applyAlignment="true" applyProtection="false">
      <alignment horizontal="left" vertical="top" textRotation="0" wrapText="true" indent="1" shrinkToFit="false"/>
      <protection locked="true" hidden="false"/>
    </xf>
    <xf numFmtId="164" fontId="7" fillId="0" borderId="0" xfId="0" applyFont="true" applyBorder="true" applyAlignment="true" applyProtection="false">
      <alignment horizontal="left" vertical="center" textRotation="0" wrapText="true" indent="1"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8" fillId="3" borderId="0" xfId="0" applyFont="true" applyBorder="false" applyAlignment="true" applyProtection="false">
      <alignment horizontal="left" vertical="center" textRotation="0" wrapText="false" indent="1"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true" applyAlignment="true" applyProtection="false">
      <alignment horizontal="general"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11" fillId="0" borderId="0" xfId="0" applyFont="true" applyBorder="false" applyAlignment="true" applyProtection="false">
      <alignment horizontal="general" vertical="center" textRotation="0" wrapText="false" indent="1"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7" fillId="4" borderId="0" xfId="0" applyFont="true" applyBorder="false" applyAlignment="true" applyProtection="false">
      <alignment horizontal="center" vertical="center" textRotation="0" wrapText="true" indent="0" shrinkToFit="false"/>
      <protection locked="true" hidden="false"/>
    </xf>
    <xf numFmtId="164" fontId="17" fillId="4" borderId="0" xfId="0" applyFont="true" applyBorder="true" applyAlignment="true" applyProtection="false">
      <alignment horizontal="center" vertical="center" textRotation="0" wrapText="true" indent="0" shrinkToFit="false"/>
      <protection locked="true" hidden="false"/>
    </xf>
    <xf numFmtId="165" fontId="9" fillId="0" borderId="0" xfId="0" applyFont="true" applyBorder="false" applyAlignment="true" applyProtection="false">
      <alignment horizontal="right" vertical="center" textRotation="0" wrapText="false" indent="0" shrinkToFit="false"/>
      <protection locked="true" hidden="false"/>
    </xf>
    <xf numFmtId="166" fontId="15" fillId="0" borderId="0" xfId="0" applyFont="true" applyBorder="false" applyAlignment="true" applyProtection="false">
      <alignment horizontal="right"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1"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64" fontId="17" fillId="4" borderId="0" xfId="0" applyFont="true" applyBorder="false" applyAlignment="true" applyProtection="false">
      <alignment horizontal="left" vertical="center" textRotation="0" wrapText="false" indent="1" shrinkToFit="false"/>
      <protection locked="true" hidden="false"/>
    </xf>
    <xf numFmtId="164" fontId="17" fillId="4" borderId="0" xfId="0" applyFont="true" applyBorder="false" applyAlignment="true" applyProtection="false">
      <alignment horizontal="center" vertical="center" textRotation="0" wrapText="false" indent="0" shrinkToFit="false"/>
      <protection locked="true" hidden="false"/>
    </xf>
    <xf numFmtId="164" fontId="21" fillId="0" borderId="0" xfId="0" applyFont="true" applyBorder="false" applyAlignment="true" applyProtection="false">
      <alignment horizontal="left" vertical="bottom" textRotation="0" wrapText="false" indent="1" shrinkToFit="false"/>
      <protection locked="true" hidden="false"/>
    </xf>
    <xf numFmtId="164" fontId="21" fillId="5" borderId="0" xfId="0" applyFont="true" applyBorder="false" applyAlignment="true" applyProtection="false">
      <alignment horizontal="center" vertical="center" textRotation="0" wrapText="false" indent="0" shrinkToFit="false"/>
      <protection locked="true" hidden="false"/>
    </xf>
    <xf numFmtId="164" fontId="22" fillId="6" borderId="0" xfId="0" applyFont="true" applyBorder="false" applyAlignment="true" applyProtection="false">
      <alignment horizontal="center" vertical="center" textRotation="0" wrapText="false" indent="0" shrinkToFit="false"/>
      <protection locked="true" hidden="false"/>
    </xf>
    <xf numFmtId="164" fontId="21" fillId="7" borderId="0" xfId="0" applyFont="true" applyBorder="false" applyAlignment="true" applyProtection="false">
      <alignment horizontal="center" vertical="center" textRotation="0" wrapText="false" indent="0" shrinkToFit="false"/>
      <protection locked="true" hidden="false"/>
    </xf>
    <xf numFmtId="164" fontId="23" fillId="0" borderId="0" xfId="0" applyFont="true" applyBorder="false" applyAlignment="true" applyProtection="false">
      <alignment horizontal="left" vertical="bottom" textRotation="0" wrapText="false" indent="1" shrinkToFit="false"/>
      <protection locked="true" hidden="false"/>
    </xf>
    <xf numFmtId="167" fontId="15" fillId="0" borderId="0" xfId="0" applyFont="true" applyBorder="false" applyAlignment="true" applyProtection="false">
      <alignment horizontal="right" vertical="center" textRotation="0" wrapText="false" indent="0" shrinkToFit="false"/>
      <protection locked="true" hidden="false"/>
    </xf>
    <xf numFmtId="167" fontId="11" fillId="0" borderId="0" xfId="0" applyFont="true" applyBorder="false" applyAlignment="true" applyProtection="false">
      <alignment horizontal="right" vertical="center" textRotation="0" wrapText="false" indent="0" shrinkToFit="false"/>
      <protection locked="true" hidden="false"/>
    </xf>
    <xf numFmtId="167" fontId="15"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1"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1" shrinkToFit="false"/>
      <protection locked="true" hidden="false"/>
    </xf>
    <xf numFmtId="166" fontId="11" fillId="0" borderId="0" xfId="0" applyFont="true" applyBorder="false" applyAlignment="true" applyProtection="false">
      <alignment horizontal="right" vertical="center" textRotation="0" wrapText="false" indent="0" shrinkToFit="false"/>
      <protection locked="true" hidden="false"/>
    </xf>
    <xf numFmtId="165" fontId="11" fillId="0" borderId="0" xfId="0" applyFont="true" applyBorder="false" applyAlignment="true" applyProtection="false">
      <alignment horizontal="right" vertical="center" textRotation="0" wrapText="false" indent="0" shrinkToFit="false"/>
      <protection locked="true" hidden="false"/>
    </xf>
    <xf numFmtId="164" fontId="24" fillId="3" borderId="0" xfId="0" applyFont="true" applyBorder="false" applyAlignment="true" applyProtection="false">
      <alignment horizontal="left" vertical="bottom" textRotation="0" wrapText="false" indent="1" shrinkToFit="false"/>
      <protection locked="true" hidden="false"/>
    </xf>
    <xf numFmtId="166" fontId="24" fillId="3" borderId="0" xfId="0" applyFont="true" applyBorder="false" applyAlignment="true" applyProtection="false">
      <alignment horizontal="right" vertical="center" textRotation="0" wrapText="false" indent="0" shrinkToFit="false"/>
      <protection locked="true" hidden="false"/>
    </xf>
    <xf numFmtId="165" fontId="24" fillId="3" borderId="0" xfId="0" applyFont="true" applyBorder="false" applyAlignment="true" applyProtection="false">
      <alignment horizontal="right" vertical="center" textRotation="0" wrapText="false" indent="0" shrinkToFit="false"/>
      <protection locked="true" hidden="false"/>
    </xf>
    <xf numFmtId="164" fontId="11" fillId="0" borderId="0" xfId="0" applyFont="true" applyBorder="false" applyAlignment="true" applyProtection="false">
      <alignment horizontal="general" vertical="bottom" textRotation="0" wrapText="false" indent="1"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true" applyProtection="false">
      <alignment horizontal="general" vertical="center" textRotation="0" wrapText="true" indent="0" shrinkToFit="false"/>
      <protection locked="true" hidden="false"/>
    </xf>
    <xf numFmtId="164" fontId="24" fillId="0" borderId="0" xfId="0" applyFont="true" applyBorder="false" applyAlignment="true" applyProtection="false">
      <alignment horizontal="general" vertical="bottom" textRotation="0" wrapText="false" indent="1" shrinkToFit="false"/>
      <protection locked="true" hidden="false"/>
    </xf>
    <xf numFmtId="166" fontId="25" fillId="0" borderId="0" xfId="0" applyFont="true" applyBorder="false" applyAlignment="true" applyProtection="false">
      <alignment horizontal="right" vertical="center" textRotation="0" wrapText="false" indent="0" shrinkToFit="false"/>
      <protection locked="true" hidden="false"/>
    </xf>
    <xf numFmtId="165" fontId="13" fillId="0" borderId="0" xfId="0" applyFont="true" applyBorder="false" applyAlignment="true" applyProtection="false">
      <alignment horizontal="right" vertical="center" textRotation="0" wrapText="false" indent="0" shrinkToFit="false"/>
      <protection locked="true" hidden="false"/>
    </xf>
    <xf numFmtId="164" fontId="21" fillId="0" borderId="0" xfId="0" applyFont="true" applyBorder="true" applyAlignment="true" applyProtection="false">
      <alignment horizontal="general"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E7B34"/>
      <rgbColor rgb="FF000080"/>
      <rgbColor rgb="FF808000"/>
      <rgbColor rgb="FF800080"/>
      <rgbColor rgb="FF008080"/>
      <rgbColor rgb="FFC0C0C0"/>
      <rgbColor rgb="FF808080"/>
      <rgbColor rgb="FF9999FF"/>
      <rgbColor rgb="FF993366"/>
      <rgbColor rgb="FFFCFCFC"/>
      <rgbColor rgb="FFEFF3E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D9E2F3"/>
      <rgbColor rgb="FFFFFF99"/>
      <rgbColor rgb="FF99CCFF"/>
      <rgbColor rgb="FFFF99CC"/>
      <rgbColor rgb="FFCC99FF"/>
      <rgbColor rgb="FFFFCC99"/>
      <rgbColor rgb="FF3366FF"/>
      <rgbColor rgb="FF33CCCC"/>
      <rgbColor rgb="FF99CC00"/>
      <rgbColor rgb="FFFFCC00"/>
      <rgbColor rgb="FFFF9900"/>
      <rgbColor rgb="FFFF6600"/>
      <rgbColor rgb="FF6B6B6B"/>
      <rgbColor rgb="FF969696"/>
      <rgbColor rgb="FF002060"/>
      <rgbColor rgb="FF339966"/>
      <rgbColor rgb="FF003300"/>
      <rgbColor rgb="FF1F1F1F"/>
      <rgbColor rgb="FF993300"/>
      <rgbColor rgb="FF993366"/>
      <rgbColor rgb="FF1F4E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M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14"/>
    <col collapsed="false" customWidth="true" hidden="false" outlineLevel="0" max="2" min="2" style="0" width="22"/>
    <col collapsed="false" customWidth="true" hidden="false" outlineLevel="0" max="13" min="3" style="0" width="9"/>
  </cols>
  <sheetData>
    <row r="2" customFormat="false" ht="21" hidden="false" customHeight="true" outlineLevel="0" collapsed="false">
      <c r="B2" s="1" t="s">
        <v>0</v>
      </c>
      <c r="C2" s="2"/>
      <c r="D2" s="2"/>
      <c r="E2" s="2"/>
      <c r="F2" s="2"/>
      <c r="G2" s="2"/>
      <c r="H2" s="2"/>
      <c r="I2" s="2"/>
      <c r="J2" s="2"/>
      <c r="K2" s="2"/>
      <c r="L2" s="2"/>
      <c r="M2" s="2"/>
    </row>
    <row r="4" customFormat="false" ht="60" hidden="false" customHeight="true" outlineLevel="0" collapsed="false">
      <c r="B4" s="3" t="s">
        <v>1</v>
      </c>
      <c r="C4" s="3"/>
      <c r="D4" s="3"/>
      <c r="E4" s="3"/>
      <c r="F4" s="3"/>
      <c r="G4" s="3"/>
      <c r="H4" s="3"/>
      <c r="I4" s="3"/>
      <c r="J4" s="3"/>
      <c r="K4" s="3"/>
      <c r="L4" s="3"/>
      <c r="M4" s="3"/>
    </row>
    <row r="5" customFormat="false" ht="15" hidden="false" customHeight="false" outlineLevel="0" collapsed="false">
      <c r="B5" s="3"/>
      <c r="C5" s="3"/>
      <c r="D5" s="3"/>
      <c r="E5" s="3"/>
      <c r="F5" s="3"/>
      <c r="G5" s="3"/>
      <c r="H5" s="3"/>
      <c r="I5" s="3"/>
      <c r="J5" s="3"/>
      <c r="K5" s="3"/>
      <c r="L5" s="3"/>
      <c r="M5" s="3"/>
    </row>
    <row r="6" customFormat="false" ht="15" hidden="false" customHeight="false" outlineLevel="0" collapsed="false">
      <c r="B6" s="4" t="s">
        <v>2</v>
      </c>
    </row>
    <row r="7" customFormat="false" ht="54.75" hidden="false" customHeight="true" outlineLevel="0" collapsed="false">
      <c r="B7" s="3" t="s">
        <v>3</v>
      </c>
      <c r="C7" s="3"/>
      <c r="D7" s="3"/>
      <c r="E7" s="3"/>
      <c r="F7" s="3"/>
      <c r="G7" s="3"/>
      <c r="H7" s="3"/>
      <c r="I7" s="3"/>
      <c r="J7" s="3"/>
      <c r="K7" s="3"/>
      <c r="L7" s="3"/>
      <c r="M7" s="3"/>
    </row>
    <row r="8" customFormat="false" ht="15" hidden="false" customHeight="false" outlineLevel="0" collapsed="false">
      <c r="B8" s="3"/>
      <c r="C8" s="3"/>
      <c r="D8" s="3"/>
      <c r="E8" s="3"/>
      <c r="F8" s="3"/>
      <c r="G8" s="3"/>
      <c r="H8" s="3"/>
      <c r="I8" s="3"/>
      <c r="J8" s="3"/>
      <c r="K8" s="3"/>
      <c r="L8" s="3"/>
      <c r="M8" s="3"/>
    </row>
    <row r="9" customFormat="false" ht="15" hidden="false" customHeight="false" outlineLevel="0" collapsed="false">
      <c r="B9" s="3"/>
      <c r="C9" s="3"/>
      <c r="D9" s="3"/>
      <c r="E9" s="3"/>
      <c r="F9" s="3"/>
      <c r="G9" s="3"/>
      <c r="H9" s="3"/>
      <c r="I9" s="3"/>
      <c r="J9" s="3"/>
      <c r="K9" s="3"/>
      <c r="L9" s="3"/>
      <c r="M9" s="3"/>
    </row>
    <row r="11" customFormat="false" ht="15" hidden="false" customHeight="false" outlineLevel="0" collapsed="false">
      <c r="B11" s="4" t="s">
        <v>4</v>
      </c>
    </row>
    <row r="12" customFormat="false" ht="54.75" hidden="false" customHeight="true" outlineLevel="0" collapsed="false">
      <c r="B12" s="3" t="s">
        <v>5</v>
      </c>
      <c r="C12" s="3"/>
      <c r="D12" s="3"/>
      <c r="E12" s="3"/>
      <c r="F12" s="3"/>
      <c r="G12" s="3"/>
      <c r="H12" s="3"/>
      <c r="I12" s="3"/>
      <c r="J12" s="3"/>
      <c r="K12" s="3"/>
      <c r="L12" s="3"/>
      <c r="M12" s="3"/>
    </row>
    <row r="13" customFormat="false" ht="15" hidden="false" customHeight="false" outlineLevel="0" collapsed="false">
      <c r="B13" s="3"/>
      <c r="C13" s="3"/>
      <c r="D13" s="3"/>
      <c r="E13" s="3"/>
      <c r="F13" s="3"/>
      <c r="G13" s="3"/>
      <c r="H13" s="3"/>
      <c r="I13" s="3"/>
      <c r="J13" s="3"/>
      <c r="K13" s="3"/>
      <c r="L13" s="3"/>
      <c r="M13" s="3"/>
    </row>
    <row r="14" customFormat="false" ht="15" hidden="false" customHeight="false" outlineLevel="0" collapsed="false">
      <c r="B14" s="3"/>
      <c r="C14" s="3"/>
      <c r="D14" s="3"/>
      <c r="E14" s="3"/>
      <c r="F14" s="3"/>
      <c r="G14" s="3"/>
      <c r="H14" s="3"/>
      <c r="I14" s="3"/>
      <c r="J14" s="3"/>
      <c r="K14" s="3"/>
      <c r="L14" s="3"/>
      <c r="M14" s="3"/>
    </row>
    <row r="16" customFormat="false" ht="15" hidden="false" customHeight="false" outlineLevel="0" collapsed="false">
      <c r="B16" s="4" t="s">
        <v>6</v>
      </c>
    </row>
    <row r="17" customFormat="false" ht="15" hidden="false" customHeight="true" outlineLevel="0" collapsed="false">
      <c r="B17" s="5" t="s">
        <v>7</v>
      </c>
      <c r="C17" s="6" t="s">
        <v>8</v>
      </c>
      <c r="D17" s="6"/>
      <c r="E17" s="6"/>
      <c r="F17" s="6"/>
      <c r="G17" s="6"/>
      <c r="H17" s="6"/>
      <c r="I17" s="6"/>
      <c r="J17" s="6"/>
      <c r="K17" s="6"/>
      <c r="L17" s="6"/>
      <c r="M17" s="6"/>
    </row>
    <row r="18" customFormat="false" ht="15" hidden="false" customHeight="false" outlineLevel="0" collapsed="false">
      <c r="B18" s="5"/>
      <c r="C18" s="5"/>
      <c r="D18" s="6"/>
      <c r="E18" s="6"/>
      <c r="F18" s="6"/>
      <c r="G18" s="6"/>
      <c r="H18" s="6"/>
      <c r="I18" s="6"/>
      <c r="J18" s="6"/>
      <c r="K18" s="6"/>
      <c r="L18" s="6"/>
      <c r="M18" s="6"/>
    </row>
    <row r="19" customFormat="false" ht="15" hidden="false" customHeight="false" outlineLevel="0" collapsed="false">
      <c r="B19" s="5"/>
      <c r="C19" s="5"/>
      <c r="D19" s="6"/>
      <c r="E19" s="6"/>
      <c r="F19" s="6"/>
      <c r="G19" s="6"/>
      <c r="H19" s="6"/>
      <c r="I19" s="6"/>
      <c r="J19" s="6"/>
      <c r="K19" s="6"/>
      <c r="L19" s="6"/>
      <c r="M19" s="6"/>
    </row>
    <row r="20" customFormat="false" ht="15" hidden="false" customHeight="true" outlineLevel="0" collapsed="false">
      <c r="B20" s="5" t="s">
        <v>9</v>
      </c>
      <c r="C20" s="6" t="s">
        <v>10</v>
      </c>
      <c r="D20" s="6"/>
      <c r="E20" s="6"/>
      <c r="F20" s="6"/>
      <c r="G20" s="6"/>
      <c r="H20" s="6"/>
      <c r="I20" s="6"/>
      <c r="J20" s="6"/>
      <c r="K20" s="6"/>
      <c r="L20" s="6"/>
      <c r="M20" s="6"/>
    </row>
    <row r="21" customFormat="false" ht="15" hidden="false" customHeight="false" outlineLevel="0" collapsed="false">
      <c r="B21" s="5"/>
      <c r="C21" s="5"/>
      <c r="D21" s="6"/>
      <c r="E21" s="6"/>
      <c r="F21" s="6"/>
      <c r="G21" s="6"/>
      <c r="H21" s="6"/>
      <c r="I21" s="6"/>
      <c r="J21" s="6"/>
      <c r="K21" s="6"/>
      <c r="L21" s="6"/>
      <c r="M21" s="6"/>
    </row>
    <row r="22" customFormat="false" ht="15" hidden="false" customHeight="false" outlineLevel="0" collapsed="false">
      <c r="B22" s="5"/>
      <c r="C22" s="5"/>
      <c r="D22" s="6"/>
      <c r="E22" s="6"/>
      <c r="F22" s="6"/>
      <c r="G22" s="6"/>
      <c r="H22" s="6"/>
      <c r="I22" s="6"/>
      <c r="J22" s="6"/>
      <c r="K22" s="6"/>
      <c r="L22" s="6"/>
      <c r="M22" s="6"/>
    </row>
    <row r="23" customFormat="false" ht="15" hidden="false" customHeight="true" outlineLevel="0" collapsed="false">
      <c r="B23" s="5" t="s">
        <v>11</v>
      </c>
      <c r="C23" s="6" t="s">
        <v>12</v>
      </c>
      <c r="D23" s="6"/>
      <c r="E23" s="6"/>
      <c r="F23" s="6"/>
      <c r="G23" s="6"/>
      <c r="H23" s="6"/>
      <c r="I23" s="6"/>
      <c r="J23" s="6"/>
      <c r="K23" s="6"/>
      <c r="L23" s="6"/>
      <c r="M23" s="6"/>
    </row>
    <row r="24" customFormat="false" ht="15" hidden="false" customHeight="false" outlineLevel="0" collapsed="false">
      <c r="B24" s="5"/>
      <c r="C24" s="5"/>
      <c r="D24" s="6"/>
      <c r="E24" s="6"/>
      <c r="F24" s="6"/>
      <c r="G24" s="6"/>
      <c r="H24" s="6"/>
      <c r="I24" s="6"/>
      <c r="J24" s="6"/>
      <c r="K24" s="6"/>
      <c r="L24" s="6"/>
      <c r="M24" s="6"/>
    </row>
    <row r="25" customFormat="false" ht="15" hidden="false" customHeight="false" outlineLevel="0" collapsed="false">
      <c r="B25" s="5"/>
      <c r="C25" s="5"/>
      <c r="D25" s="6"/>
      <c r="E25" s="6"/>
      <c r="F25" s="6"/>
      <c r="G25" s="6"/>
      <c r="H25" s="6"/>
      <c r="I25" s="6"/>
      <c r="J25" s="6"/>
      <c r="K25" s="6"/>
      <c r="L25" s="6"/>
      <c r="M25" s="6"/>
    </row>
    <row r="26" customFormat="false" ht="15" hidden="false" customHeight="true" outlineLevel="0" collapsed="false">
      <c r="B26" s="5" t="s">
        <v>13</v>
      </c>
      <c r="C26" s="6" t="s">
        <v>14</v>
      </c>
      <c r="D26" s="6"/>
      <c r="E26" s="6"/>
      <c r="F26" s="6"/>
      <c r="G26" s="6"/>
      <c r="H26" s="6"/>
      <c r="I26" s="6"/>
      <c r="J26" s="6"/>
      <c r="K26" s="6"/>
      <c r="L26" s="6"/>
      <c r="M26" s="6"/>
    </row>
    <row r="27" customFormat="false" ht="15" hidden="false" customHeight="false" outlineLevel="0" collapsed="false">
      <c r="B27" s="5"/>
      <c r="C27" s="5"/>
      <c r="D27" s="6"/>
      <c r="E27" s="6"/>
      <c r="F27" s="6"/>
      <c r="G27" s="6"/>
      <c r="H27" s="6"/>
      <c r="I27" s="6"/>
      <c r="J27" s="6"/>
      <c r="K27" s="6"/>
      <c r="L27" s="6"/>
      <c r="M27" s="6"/>
    </row>
    <row r="28" customFormat="false" ht="15" hidden="false" customHeight="false" outlineLevel="0" collapsed="false">
      <c r="B28" s="5"/>
      <c r="C28" s="5"/>
      <c r="D28" s="6"/>
      <c r="E28" s="6"/>
      <c r="F28" s="6"/>
      <c r="G28" s="6"/>
      <c r="H28" s="6"/>
      <c r="I28" s="6"/>
      <c r="J28" s="6"/>
      <c r="K28" s="6"/>
      <c r="L28" s="6"/>
      <c r="M28" s="6"/>
    </row>
  </sheetData>
  <mergeCells count="11">
    <mergeCell ref="B4:M5"/>
    <mergeCell ref="B7:M9"/>
    <mergeCell ref="B12:M14"/>
    <mergeCell ref="B17:B19"/>
    <mergeCell ref="C17:M19"/>
    <mergeCell ref="B20:B22"/>
    <mergeCell ref="C20:M22"/>
    <mergeCell ref="B23:B25"/>
    <mergeCell ref="C23:M25"/>
    <mergeCell ref="B26:B28"/>
    <mergeCell ref="C26:M2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7B34"/>
    <pageSetUpPr fitToPage="true"/>
  </sheetPr>
  <dimension ref="B2:G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14"/>
    <col collapsed="false" customWidth="true" hidden="false" outlineLevel="0" max="2" min="2" style="0" width="24"/>
    <col collapsed="false" customWidth="true" hidden="false" outlineLevel="0" max="4" min="3" style="0" width="16"/>
    <col collapsed="false" customWidth="true" hidden="false" outlineLevel="0" max="6" min="5" style="0" width="18"/>
    <col collapsed="false" customWidth="true" hidden="false" outlineLevel="0" max="7" min="7" style="0" width="34"/>
  </cols>
  <sheetData>
    <row r="2" customFormat="false" ht="21" hidden="false" customHeight="true" outlineLevel="0" collapsed="false">
      <c r="B2" s="1" t="s">
        <v>15</v>
      </c>
      <c r="C2" s="2"/>
      <c r="D2" s="2"/>
      <c r="E2" s="2"/>
      <c r="F2" s="2"/>
      <c r="G2" s="2"/>
    </row>
    <row r="4" customFormat="false" ht="39.75" hidden="false" customHeight="true" outlineLevel="0" collapsed="false">
      <c r="B4" s="3" t="s">
        <v>16</v>
      </c>
      <c r="C4" s="3"/>
      <c r="D4" s="3"/>
      <c r="E4" s="3"/>
      <c r="F4" s="3"/>
      <c r="G4" s="3"/>
    </row>
    <row r="5" customFormat="false" ht="15" hidden="false" customHeight="false" outlineLevel="0" collapsed="false">
      <c r="B5" s="3"/>
      <c r="C5" s="3"/>
      <c r="D5" s="3"/>
      <c r="E5" s="3"/>
      <c r="F5" s="3"/>
      <c r="G5" s="3"/>
    </row>
    <row r="7" customFormat="false" ht="15" hidden="false" customHeight="false" outlineLevel="0" collapsed="false">
      <c r="B7" s="7" t="s">
        <v>17</v>
      </c>
      <c r="C7" s="8"/>
      <c r="D7" s="8"/>
      <c r="E7" s="8"/>
      <c r="F7" s="8"/>
      <c r="G7" s="8"/>
    </row>
    <row r="8" customFormat="false" ht="15" hidden="false" customHeight="true" outlineLevel="0" collapsed="false">
      <c r="B8" s="9" t="s">
        <v>18</v>
      </c>
      <c r="C8" s="10" t="s">
        <v>19</v>
      </c>
      <c r="D8" s="10"/>
      <c r="E8" s="10"/>
      <c r="F8" s="10"/>
      <c r="G8" s="10"/>
    </row>
    <row r="9" customFormat="false" ht="15" hidden="false" customHeight="true" outlineLevel="0" collapsed="false">
      <c r="B9" s="11" t="s">
        <v>20</v>
      </c>
      <c r="C9" s="12" t="s">
        <v>21</v>
      </c>
      <c r="D9" s="12"/>
      <c r="E9" s="12"/>
      <c r="F9" s="12"/>
      <c r="G9" s="12"/>
    </row>
    <row r="10" customFormat="false" ht="15" hidden="false" customHeight="true" outlineLevel="0" collapsed="false">
      <c r="B10" s="13" t="s">
        <v>22</v>
      </c>
      <c r="C10" s="14" t="s">
        <v>23</v>
      </c>
      <c r="D10" s="14"/>
      <c r="E10" s="14"/>
      <c r="F10" s="14"/>
      <c r="G10" s="14"/>
    </row>
    <row r="11" customFormat="false" ht="15" hidden="false" customHeight="true" outlineLevel="0" collapsed="false">
      <c r="B11" s="15" t="s">
        <v>24</v>
      </c>
      <c r="C11" s="16" t="s">
        <v>25</v>
      </c>
      <c r="D11" s="16"/>
      <c r="E11" s="16"/>
      <c r="F11" s="16"/>
      <c r="G11" s="16"/>
    </row>
    <row r="13" customFormat="false" ht="15" hidden="false" customHeight="false" outlineLevel="0" collapsed="false">
      <c r="B13" s="7" t="s">
        <v>26</v>
      </c>
      <c r="C13" s="8"/>
      <c r="D13" s="8"/>
      <c r="E13" s="8"/>
      <c r="F13" s="8"/>
      <c r="G13" s="8"/>
    </row>
    <row r="14" customFormat="false" ht="27.75" hidden="false" customHeight="true" outlineLevel="0" collapsed="false">
      <c r="B14" s="17" t="s">
        <v>27</v>
      </c>
      <c r="C14" s="18" t="s">
        <v>28</v>
      </c>
      <c r="D14" s="16" t="s">
        <v>29</v>
      </c>
      <c r="E14" s="16"/>
      <c r="F14" s="16"/>
      <c r="G14" s="16"/>
    </row>
    <row r="16" customFormat="false" ht="15" hidden="false" customHeight="false" outlineLevel="0" collapsed="false">
      <c r="B16" s="7" t="s">
        <v>30</v>
      </c>
      <c r="C16" s="8"/>
      <c r="D16" s="8"/>
      <c r="E16" s="8"/>
      <c r="F16" s="8"/>
      <c r="G16" s="8"/>
    </row>
    <row r="17" customFormat="false" ht="25.5" hidden="false" customHeight="true" outlineLevel="0" collapsed="false">
      <c r="B17" s="19" t="s">
        <v>31</v>
      </c>
      <c r="C17" s="19" t="s">
        <v>32</v>
      </c>
      <c r="D17" s="20" t="s">
        <v>33</v>
      </c>
      <c r="E17" s="20"/>
      <c r="F17" s="20"/>
      <c r="G17" s="20"/>
    </row>
    <row r="18" customFormat="false" ht="27.75" hidden="false" customHeight="true" outlineLevel="0" collapsed="false">
      <c r="B18" s="17" t="s">
        <v>34</v>
      </c>
      <c r="C18" s="21" t="n">
        <v>0.014</v>
      </c>
      <c r="D18" s="16" t="s">
        <v>35</v>
      </c>
      <c r="E18" s="16"/>
      <c r="F18" s="16"/>
      <c r="G18" s="16"/>
    </row>
    <row r="19" customFormat="false" ht="27.75" hidden="false" customHeight="true" outlineLevel="0" collapsed="false">
      <c r="B19" s="17" t="s">
        <v>36</v>
      </c>
      <c r="C19" s="21" t="n">
        <v>0.005</v>
      </c>
      <c r="D19" s="16" t="s">
        <v>37</v>
      </c>
      <c r="E19" s="16"/>
      <c r="F19" s="16"/>
      <c r="G19" s="16"/>
    </row>
    <row r="21" customFormat="false" ht="15" hidden="false" customHeight="false" outlineLevel="0" collapsed="false">
      <c r="B21" s="7" t="s">
        <v>38</v>
      </c>
      <c r="C21" s="8"/>
      <c r="D21" s="8"/>
      <c r="E21" s="8"/>
      <c r="F21" s="8"/>
      <c r="G21" s="8"/>
    </row>
    <row r="22" customFormat="false" ht="25.5" hidden="false" customHeight="true" outlineLevel="0" collapsed="false">
      <c r="B22" s="19" t="s">
        <v>39</v>
      </c>
      <c r="C22" s="19" t="s">
        <v>40</v>
      </c>
      <c r="D22" s="19" t="s">
        <v>41</v>
      </c>
      <c r="E22" s="19" t="s">
        <v>42</v>
      </c>
      <c r="F22" s="19" t="s">
        <v>43</v>
      </c>
    </row>
    <row r="23" customFormat="false" ht="15" hidden="false" customHeight="false" outlineLevel="0" collapsed="false">
      <c r="B23" s="17" t="s">
        <v>44</v>
      </c>
      <c r="C23" s="22" t="n">
        <v>29050</v>
      </c>
      <c r="D23" s="22" t="n">
        <v>6625</v>
      </c>
      <c r="E23" s="21" t="n">
        <v>0.02</v>
      </c>
      <c r="F23" s="21" t="n">
        <v>0.015</v>
      </c>
    </row>
    <row r="24" customFormat="false" ht="15" hidden="false" customHeight="false" outlineLevel="0" collapsed="false">
      <c r="B24" s="17" t="s">
        <v>45</v>
      </c>
      <c r="C24" s="22" t="n">
        <v>9500</v>
      </c>
      <c r="D24" s="22" t="n">
        <v>2688</v>
      </c>
      <c r="E24" s="21" t="n">
        <v>0.02</v>
      </c>
      <c r="F24" s="21" t="n">
        <v>0.015</v>
      </c>
    </row>
    <row r="25" customFormat="false" ht="15" hidden="false" customHeight="false" outlineLevel="0" collapsed="false">
      <c r="B25" s="17" t="s">
        <v>46</v>
      </c>
      <c r="C25" s="22" t="n">
        <v>23500</v>
      </c>
      <c r="D25" s="22" t="n">
        <v>5433</v>
      </c>
      <c r="E25" s="21" t="n">
        <v>0.02</v>
      </c>
      <c r="F25" s="21" t="n">
        <v>0.015</v>
      </c>
    </row>
    <row r="26" customFormat="false" ht="15" hidden="false" customHeight="false" outlineLevel="0" collapsed="false">
      <c r="B26" s="17" t="s">
        <v>47</v>
      </c>
      <c r="C26" s="22" t="n">
        <v>27409</v>
      </c>
      <c r="D26" s="22" t="n">
        <v>6009</v>
      </c>
      <c r="E26" s="21" t="n">
        <v>0.02</v>
      </c>
      <c r="F26" s="21" t="n">
        <v>0.015</v>
      </c>
    </row>
    <row r="27" customFormat="false" ht="15" hidden="false" customHeight="false" outlineLevel="0" collapsed="false">
      <c r="B27" s="17" t="s">
        <v>48</v>
      </c>
      <c r="C27" s="22" t="n">
        <v>24422</v>
      </c>
      <c r="D27" s="22" t="n">
        <v>5256</v>
      </c>
      <c r="E27" s="21" t="n">
        <v>0.02</v>
      </c>
      <c r="F27" s="21" t="n">
        <v>0.015</v>
      </c>
    </row>
    <row r="28" customFormat="false" ht="15" hidden="false" customHeight="false" outlineLevel="0" collapsed="false">
      <c r="B28" s="17" t="s">
        <v>49</v>
      </c>
      <c r="C28" s="22" t="n">
        <v>22925</v>
      </c>
      <c r="D28" s="22" t="n">
        <v>5588</v>
      </c>
      <c r="E28" s="21" t="n">
        <v>0.02</v>
      </c>
      <c r="F28" s="21" t="n">
        <v>0.015</v>
      </c>
    </row>
    <row r="29" customFormat="false" ht="15" hidden="false" customHeight="false" outlineLevel="0" collapsed="false">
      <c r="B29" s="17" t="s">
        <v>50</v>
      </c>
      <c r="C29" s="22" t="n">
        <v>9350</v>
      </c>
      <c r="D29" s="22" t="n">
        <v>2650</v>
      </c>
      <c r="E29" s="21" t="n">
        <v>0.02</v>
      </c>
      <c r="F29" s="21" t="n">
        <v>0.015</v>
      </c>
    </row>
    <row r="30" customFormat="false" ht="15" hidden="false" customHeight="false" outlineLevel="0" collapsed="false">
      <c r="B30" s="17" t="s">
        <v>51</v>
      </c>
      <c r="C30" s="22" t="n">
        <v>18508</v>
      </c>
      <c r="D30" s="22" t="n">
        <v>4742</v>
      </c>
      <c r="E30" s="21" t="n">
        <v>0.02</v>
      </c>
      <c r="F30" s="21" t="n">
        <v>0.015</v>
      </c>
    </row>
    <row r="31" customFormat="false" ht="15" hidden="false" customHeight="false" outlineLevel="0" collapsed="false">
      <c r="B31" s="17" t="s">
        <v>52</v>
      </c>
      <c r="C31" s="22" t="n">
        <v>12091</v>
      </c>
      <c r="D31" s="22" t="n">
        <v>3373</v>
      </c>
      <c r="E31" s="21" t="n">
        <v>0.02</v>
      </c>
      <c r="F31" s="21" t="n">
        <v>0.015</v>
      </c>
    </row>
    <row r="32" customFormat="false" ht="15" hidden="false" customHeight="false" outlineLevel="0" collapsed="false">
      <c r="B32" s="17" t="s">
        <v>53</v>
      </c>
      <c r="C32" s="22" t="n">
        <v>9350</v>
      </c>
      <c r="D32" s="22" t="n">
        <v>2690</v>
      </c>
      <c r="E32" s="21" t="n">
        <v>0.02</v>
      </c>
      <c r="F32" s="21" t="n">
        <v>0.015</v>
      </c>
    </row>
    <row r="34" customFormat="false" ht="15" hidden="false" customHeight="false" outlineLevel="0" collapsed="false">
      <c r="B34" s="7" t="s">
        <v>54</v>
      </c>
      <c r="C34" s="8"/>
      <c r="D34" s="8"/>
      <c r="E34" s="8"/>
      <c r="F34" s="8"/>
      <c r="G34" s="8"/>
    </row>
    <row r="35" customFormat="false" ht="25.5" hidden="false" customHeight="true" outlineLevel="0" collapsed="false">
      <c r="B35" s="19" t="s">
        <v>55</v>
      </c>
      <c r="C35" s="19" t="s">
        <v>56</v>
      </c>
      <c r="D35" s="20" t="s">
        <v>57</v>
      </c>
      <c r="E35" s="20"/>
      <c r="F35" s="20"/>
      <c r="G35" s="20"/>
    </row>
    <row r="36" customFormat="false" ht="15" hidden="false" customHeight="false" outlineLevel="0" collapsed="false">
      <c r="B36" s="23" t="s">
        <v>58</v>
      </c>
      <c r="C36" s="23" t="s">
        <v>59</v>
      </c>
      <c r="D36" s="24" t="s">
        <v>60</v>
      </c>
      <c r="E36" s="24"/>
      <c r="F36" s="24"/>
      <c r="G36" s="24"/>
    </row>
    <row r="37" customFormat="false" ht="15" hidden="false" customHeight="false" outlineLevel="0" collapsed="false">
      <c r="B37" s="23" t="s">
        <v>61</v>
      </c>
      <c r="C37" s="23" t="s">
        <v>62</v>
      </c>
      <c r="D37" s="24" t="s">
        <v>60</v>
      </c>
      <c r="E37" s="24"/>
      <c r="F37" s="24"/>
      <c r="G37" s="24"/>
    </row>
    <row r="38" customFormat="false" ht="15" hidden="false" customHeight="false" outlineLevel="0" collapsed="false">
      <c r="B38" s="23" t="s">
        <v>63</v>
      </c>
      <c r="C38" s="23" t="s">
        <v>64</v>
      </c>
      <c r="D38" s="24" t="s">
        <v>60</v>
      </c>
      <c r="E38" s="24"/>
      <c r="F38" s="24"/>
      <c r="G38" s="24"/>
    </row>
    <row r="39" customFormat="false" ht="15" hidden="false" customHeight="false" outlineLevel="0" collapsed="false">
      <c r="B39" s="23" t="s">
        <v>65</v>
      </c>
      <c r="C39" s="23" t="s">
        <v>66</v>
      </c>
      <c r="D39" s="24" t="s">
        <v>60</v>
      </c>
      <c r="E39" s="24"/>
      <c r="F39" s="24"/>
      <c r="G39" s="24"/>
    </row>
    <row r="40" customFormat="false" ht="15" hidden="false" customHeight="false" outlineLevel="0" collapsed="false">
      <c r="B40" s="23" t="s">
        <v>67</v>
      </c>
      <c r="C40" s="23" t="s">
        <v>68</v>
      </c>
      <c r="D40" s="24" t="s">
        <v>60</v>
      </c>
      <c r="E40" s="24"/>
      <c r="F40" s="24"/>
      <c r="G40" s="24"/>
    </row>
    <row r="41" customFormat="false" ht="15" hidden="false" customHeight="false" outlineLevel="0" collapsed="false">
      <c r="B41" s="25"/>
      <c r="C41" s="25"/>
      <c r="D41" s="26" t="s">
        <v>69</v>
      </c>
      <c r="E41" s="26"/>
      <c r="F41" s="26"/>
      <c r="G41" s="26"/>
    </row>
    <row r="42" customFormat="false" ht="15" hidden="false" customHeight="false" outlineLevel="0" collapsed="false">
      <c r="B42" s="25"/>
      <c r="C42" s="25"/>
      <c r="D42" s="26" t="s">
        <v>69</v>
      </c>
      <c r="E42" s="26"/>
      <c r="F42" s="26"/>
      <c r="G42" s="26"/>
    </row>
    <row r="43" customFormat="false" ht="15" hidden="false" customHeight="false" outlineLevel="0" collapsed="false">
      <c r="B43" s="25"/>
      <c r="C43" s="25"/>
      <c r="D43" s="26" t="s">
        <v>69</v>
      </c>
      <c r="E43" s="26"/>
      <c r="F43" s="26"/>
      <c r="G43" s="26"/>
    </row>
  </sheetData>
  <mergeCells count="18">
    <mergeCell ref="B4:G5"/>
    <mergeCell ref="C8:G8"/>
    <mergeCell ref="C9:G9"/>
    <mergeCell ref="C10:G10"/>
    <mergeCell ref="C11:G11"/>
    <mergeCell ref="D14:G14"/>
    <mergeCell ref="D17:G17"/>
    <mergeCell ref="D18:G18"/>
    <mergeCell ref="D19:G19"/>
    <mergeCell ref="D35:G35"/>
    <mergeCell ref="D36:G36"/>
    <mergeCell ref="D37:G37"/>
    <mergeCell ref="D38:G38"/>
    <mergeCell ref="D39:G39"/>
    <mergeCell ref="D40:G40"/>
    <mergeCell ref="D41:G41"/>
    <mergeCell ref="D42:G42"/>
    <mergeCell ref="D43:G4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E7B34"/>
    <pageSetUpPr fitToPage="true"/>
  </sheetPr>
  <dimension ref="B2:Z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9" topLeftCell="C10" activePane="bottomRight" state="frozen"/>
      <selection pane="topLeft" activeCell="A1" activeCellId="0" sqref="A1"/>
      <selection pane="topRight" activeCell="C1" activeCellId="0" sqref="C1"/>
      <selection pane="bottomLeft" activeCell="A10" activeCellId="0" sqref="A10"/>
      <selection pane="bottomRight" activeCell="A1" activeCellId="0" sqref="A1"/>
    </sheetView>
  </sheetViews>
  <sheetFormatPr defaultColWidth="8.5390625" defaultRowHeight="15" zeroHeight="false" outlineLevelRow="0" outlineLevelCol="0"/>
  <cols>
    <col collapsed="false" customWidth="true" hidden="false" outlineLevel="0" max="1" min="1" style="0" width="3.14"/>
    <col collapsed="false" customWidth="true" hidden="false" outlineLevel="0" max="2" min="2" style="0" width="30"/>
    <col collapsed="false" customWidth="true" hidden="false" outlineLevel="0" max="26" min="3" style="0" width="9"/>
  </cols>
  <sheetData>
    <row r="2" customFormat="false" ht="21" hidden="false" customHeight="true" outlineLevel="0" collapsed="false">
      <c r="B2" s="1" t="s">
        <v>70</v>
      </c>
      <c r="C2" s="2"/>
      <c r="D2" s="2"/>
      <c r="E2" s="2"/>
      <c r="F2" s="2"/>
      <c r="G2" s="2"/>
      <c r="H2" s="2"/>
      <c r="I2" s="2"/>
      <c r="J2" s="2"/>
      <c r="K2" s="2"/>
      <c r="L2" s="2"/>
      <c r="M2" s="2"/>
      <c r="N2" s="2"/>
      <c r="O2" s="2"/>
      <c r="P2" s="2"/>
      <c r="Q2" s="2"/>
      <c r="R2" s="2"/>
      <c r="S2" s="2"/>
      <c r="T2" s="2"/>
      <c r="U2" s="2"/>
      <c r="V2" s="2"/>
      <c r="W2" s="2"/>
      <c r="X2" s="2"/>
      <c r="Y2" s="2"/>
      <c r="Z2" s="2"/>
    </row>
    <row r="4" customFormat="false" ht="48" hidden="false" customHeight="true" outlineLevel="0" collapsed="false">
      <c r="B4" s="3" t="s">
        <v>71</v>
      </c>
      <c r="C4" s="3"/>
      <c r="D4" s="3"/>
      <c r="E4" s="3"/>
      <c r="F4" s="3"/>
      <c r="G4" s="3"/>
      <c r="H4" s="3"/>
      <c r="I4" s="3"/>
      <c r="J4" s="3"/>
      <c r="K4" s="3"/>
      <c r="L4" s="3"/>
      <c r="M4" s="3"/>
      <c r="N4" s="3"/>
      <c r="O4" s="3"/>
      <c r="P4" s="3"/>
      <c r="Q4" s="3"/>
      <c r="R4" s="3"/>
      <c r="S4" s="3"/>
      <c r="T4" s="3"/>
      <c r="U4" s="3"/>
      <c r="V4" s="3"/>
      <c r="W4" s="3"/>
      <c r="X4" s="3"/>
      <c r="Y4" s="3"/>
      <c r="Z4" s="3"/>
    </row>
    <row r="5" customFormat="false" ht="15" hidden="false" customHeight="false" outlineLevel="0" collapsed="false">
      <c r="B5" s="3"/>
      <c r="C5" s="3"/>
      <c r="D5" s="3"/>
      <c r="E5" s="3"/>
      <c r="F5" s="3"/>
      <c r="G5" s="3"/>
      <c r="H5" s="3"/>
      <c r="I5" s="3"/>
      <c r="J5" s="3"/>
      <c r="K5" s="3"/>
      <c r="L5" s="3"/>
      <c r="M5" s="3"/>
      <c r="N5" s="3"/>
      <c r="O5" s="3"/>
      <c r="P5" s="3"/>
      <c r="Q5" s="3"/>
      <c r="R5" s="3"/>
      <c r="S5" s="3"/>
      <c r="T5" s="3"/>
      <c r="U5" s="3"/>
      <c r="V5" s="3"/>
      <c r="W5" s="3"/>
      <c r="X5" s="3"/>
      <c r="Y5" s="3"/>
      <c r="Z5" s="3"/>
    </row>
    <row r="6" customFormat="false" ht="15" hidden="false" customHeight="false" outlineLevel="0" collapsed="false">
      <c r="B6" s="27" t="s">
        <v>72</v>
      </c>
      <c r="C6" s="28" t="str">
        <f aca="false">Drivers!$C$14</f>
        <v>June 2026</v>
      </c>
    </row>
    <row r="8" customFormat="false" ht="18" hidden="false" customHeight="true" outlineLevel="0" collapsed="false">
      <c r="B8" s="29" t="s">
        <v>73</v>
      </c>
      <c r="C8" s="30" t="s">
        <v>74</v>
      </c>
      <c r="D8" s="30" t="s">
        <v>75</v>
      </c>
      <c r="E8" s="30" t="s">
        <v>76</v>
      </c>
      <c r="F8" s="30" t="s">
        <v>77</v>
      </c>
      <c r="G8" s="30" t="s">
        <v>78</v>
      </c>
      <c r="H8" s="30" t="s">
        <v>79</v>
      </c>
      <c r="I8" s="30" t="s">
        <v>80</v>
      </c>
      <c r="J8" s="30" t="s">
        <v>81</v>
      </c>
      <c r="K8" s="30" t="s">
        <v>82</v>
      </c>
      <c r="L8" s="30" t="s">
        <v>83</v>
      </c>
      <c r="M8" s="30" t="s">
        <v>84</v>
      </c>
      <c r="N8" s="30" t="s">
        <v>85</v>
      </c>
      <c r="O8" s="30" t="s">
        <v>86</v>
      </c>
      <c r="P8" s="30" t="s">
        <v>87</v>
      </c>
      <c r="Q8" s="30" t="s">
        <v>88</v>
      </c>
      <c r="R8" s="30" t="s">
        <v>89</v>
      </c>
      <c r="S8" s="30" t="s">
        <v>90</v>
      </c>
      <c r="T8" s="30" t="s">
        <v>91</v>
      </c>
      <c r="U8" s="30" t="s">
        <v>92</v>
      </c>
      <c r="V8" s="30" t="s">
        <v>93</v>
      </c>
      <c r="W8" s="30" t="s">
        <v>94</v>
      </c>
      <c r="X8" s="30" t="s">
        <v>95</v>
      </c>
      <c r="Y8" s="30" t="s">
        <v>96</v>
      </c>
      <c r="Z8" s="30" t="s">
        <v>97</v>
      </c>
    </row>
    <row r="9" customFormat="false" ht="13.5" hidden="false" customHeight="true" outlineLevel="0" collapsed="false">
      <c r="B9" s="31" t="s">
        <v>57</v>
      </c>
      <c r="C9" s="32" t="s">
        <v>98</v>
      </c>
      <c r="D9" s="32" t="s">
        <v>98</v>
      </c>
      <c r="E9" s="32" t="s">
        <v>98</v>
      </c>
      <c r="F9" s="32" t="s">
        <v>98</v>
      </c>
      <c r="G9" s="32" t="s">
        <v>98</v>
      </c>
      <c r="H9" s="32" t="s">
        <v>98</v>
      </c>
      <c r="I9" s="33" t="s">
        <v>99</v>
      </c>
      <c r="J9" s="33" t="s">
        <v>99</v>
      </c>
      <c r="K9" s="33" t="s">
        <v>99</v>
      </c>
      <c r="L9" s="33" t="s">
        <v>99</v>
      </c>
      <c r="M9" s="33" t="s">
        <v>99</v>
      </c>
      <c r="N9" s="33" t="s">
        <v>99</v>
      </c>
      <c r="O9" s="33" t="s">
        <v>99</v>
      </c>
      <c r="P9" s="33" t="s">
        <v>99</v>
      </c>
      <c r="Q9" s="33" t="s">
        <v>99</v>
      </c>
      <c r="R9" s="33" t="s">
        <v>99</v>
      </c>
      <c r="S9" s="33" t="s">
        <v>99</v>
      </c>
      <c r="T9" s="33" t="s">
        <v>99</v>
      </c>
      <c r="U9" s="34" t="s">
        <v>100</v>
      </c>
      <c r="V9" s="34" t="s">
        <v>100</v>
      </c>
      <c r="W9" s="34" t="s">
        <v>100</v>
      </c>
      <c r="X9" s="34" t="s">
        <v>100</v>
      </c>
      <c r="Y9" s="34" t="s">
        <v>100</v>
      </c>
      <c r="Z9" s="34" t="s">
        <v>100</v>
      </c>
    </row>
    <row r="10" customFormat="false" ht="15" hidden="false" customHeight="true" outlineLevel="0" collapsed="false">
      <c r="B10" s="35" t="s">
        <v>101</v>
      </c>
      <c r="C10" s="36" t="n">
        <v>2.4</v>
      </c>
      <c r="D10" s="36" t="n">
        <v>2.4</v>
      </c>
      <c r="E10" s="36" t="n">
        <v>2.4</v>
      </c>
      <c r="F10" s="36" t="n">
        <v>2.4</v>
      </c>
      <c r="G10" s="36" t="n">
        <v>2.4</v>
      </c>
      <c r="H10" s="36" t="n">
        <v>2.4</v>
      </c>
      <c r="I10" s="37" t="n">
        <f aca="false">H10*(1+Drivers!$C$18)</f>
        <v>2.4336</v>
      </c>
      <c r="J10" s="37" t="n">
        <f aca="false">I10*(1+Drivers!$C$18)</f>
        <v>2.4676704</v>
      </c>
      <c r="K10" s="37" t="n">
        <f aca="false">J10*(1+Drivers!$C$18)</f>
        <v>2.5022177856</v>
      </c>
      <c r="L10" s="37" t="n">
        <f aca="false">K10*(1+Drivers!$C$18)</f>
        <v>2.5372488345984</v>
      </c>
      <c r="M10" s="37" t="n">
        <f aca="false">L10*(1+Drivers!$C$18)</f>
        <v>2.57277031828278</v>
      </c>
      <c r="N10" s="37" t="n">
        <f aca="false">M10*(1+Drivers!$C$18)</f>
        <v>2.60878910273874</v>
      </c>
      <c r="O10" s="37" t="n">
        <f aca="false">N10*(1+Drivers!$C$18)</f>
        <v>2.64531215017708</v>
      </c>
      <c r="P10" s="37" t="n">
        <f aca="false">O10*(1+Drivers!$C$18)</f>
        <v>2.68234652027956</v>
      </c>
      <c r="Q10" s="37" t="n">
        <f aca="false">P10*(1+Drivers!$C$18)</f>
        <v>2.71989937156347</v>
      </c>
      <c r="R10" s="37" t="n">
        <f aca="false">Q10*(1+Drivers!$C$18)</f>
        <v>2.75797796276536</v>
      </c>
      <c r="S10" s="37" t="n">
        <f aca="false">R10*(1+Drivers!$C$18)</f>
        <v>2.79658965424408</v>
      </c>
      <c r="T10" s="37" t="n">
        <f aca="false">S10*(1+Drivers!$C$18)</f>
        <v>2.83574190940349</v>
      </c>
      <c r="U10" s="38" t="s">
        <v>102</v>
      </c>
      <c r="V10" s="38" t="s">
        <v>102</v>
      </c>
      <c r="W10" s="38" t="s">
        <v>102</v>
      </c>
      <c r="X10" s="38" t="s">
        <v>102</v>
      </c>
      <c r="Y10" s="38" t="s">
        <v>102</v>
      </c>
      <c r="Z10" s="38" t="s">
        <v>102</v>
      </c>
    </row>
    <row r="11" customFormat="false" ht="15" hidden="false" customHeight="true" outlineLevel="0" collapsed="false">
      <c r="B11" s="35" t="s">
        <v>103</v>
      </c>
      <c r="C11" s="36" t="n">
        <v>2.9</v>
      </c>
      <c r="D11" s="36" t="n">
        <v>2.9</v>
      </c>
      <c r="E11" s="36" t="n">
        <v>2.9</v>
      </c>
      <c r="F11" s="36" t="n">
        <v>2.9</v>
      </c>
      <c r="G11" s="36" t="n">
        <v>2.9</v>
      </c>
      <c r="H11" s="36" t="n">
        <v>2.9</v>
      </c>
      <c r="I11" s="37" t="n">
        <f aca="false">H11*(1+Drivers!$C$18)</f>
        <v>2.9406</v>
      </c>
      <c r="J11" s="37" t="n">
        <f aca="false">I11*(1+Drivers!$C$18)</f>
        <v>2.9817684</v>
      </c>
      <c r="K11" s="37" t="n">
        <f aca="false">J11*(1+Drivers!$C$18)</f>
        <v>3.0235131576</v>
      </c>
      <c r="L11" s="37" t="n">
        <f aca="false">K11*(1+Drivers!$C$18)</f>
        <v>3.0658423418064</v>
      </c>
      <c r="M11" s="37" t="n">
        <f aca="false">L11*(1+Drivers!$C$18)</f>
        <v>3.10876413459169</v>
      </c>
      <c r="N11" s="37" t="n">
        <f aca="false">M11*(1+Drivers!$C$18)</f>
        <v>3.15228683247597</v>
      </c>
      <c r="O11" s="37" t="n">
        <f aca="false">N11*(1+Drivers!$C$18)</f>
        <v>3.19641884813064</v>
      </c>
      <c r="P11" s="37" t="n">
        <f aca="false">O11*(1+Drivers!$C$18)</f>
        <v>3.24116871200447</v>
      </c>
      <c r="Q11" s="37" t="n">
        <f aca="false">P11*(1+Drivers!$C$18)</f>
        <v>3.28654507397253</v>
      </c>
      <c r="R11" s="37" t="n">
        <f aca="false">Q11*(1+Drivers!$C$18)</f>
        <v>3.33255670500814</v>
      </c>
      <c r="S11" s="37" t="n">
        <f aca="false">R11*(1+Drivers!$C$18)</f>
        <v>3.37921249887826</v>
      </c>
      <c r="T11" s="37" t="n">
        <f aca="false">S11*(1+Drivers!$C$18)</f>
        <v>3.42652147386255</v>
      </c>
      <c r="U11" s="38" t="s">
        <v>102</v>
      </c>
      <c r="V11" s="38" t="s">
        <v>102</v>
      </c>
      <c r="W11" s="38" t="s">
        <v>102</v>
      </c>
      <c r="X11" s="38" t="s">
        <v>102</v>
      </c>
      <c r="Y11" s="38" t="s">
        <v>102</v>
      </c>
      <c r="Z11" s="38" t="s">
        <v>102</v>
      </c>
    </row>
    <row r="12" customFormat="false" ht="15" hidden="false" customHeight="true" outlineLevel="0" collapsed="false">
      <c r="B12" s="35" t="s">
        <v>104</v>
      </c>
      <c r="C12" s="36" t="n">
        <v>33.9</v>
      </c>
      <c r="D12" s="36" t="n">
        <v>33.9</v>
      </c>
      <c r="E12" s="36" t="n">
        <v>33.9</v>
      </c>
      <c r="F12" s="36" t="n">
        <v>33.9</v>
      </c>
      <c r="G12" s="36" t="n">
        <v>33.9</v>
      </c>
      <c r="H12" s="36" t="n">
        <v>33.9</v>
      </c>
      <c r="I12" s="37" t="n">
        <f aca="false">H12*(1+Drivers!$C$19)</f>
        <v>34.0695</v>
      </c>
      <c r="J12" s="37" t="n">
        <f aca="false">I12*(1+Drivers!$C$19)</f>
        <v>34.2398475</v>
      </c>
      <c r="K12" s="37" t="n">
        <f aca="false">J12*(1+Drivers!$C$19)</f>
        <v>34.4110467375</v>
      </c>
      <c r="L12" s="37" t="n">
        <f aca="false">K12*(1+Drivers!$C$19)</f>
        <v>34.5831019711875</v>
      </c>
      <c r="M12" s="37" t="n">
        <f aca="false">L12*(1+Drivers!$C$19)</f>
        <v>34.7560174810434</v>
      </c>
      <c r="N12" s="37" t="n">
        <f aca="false">M12*(1+Drivers!$C$19)</f>
        <v>34.9297975684486</v>
      </c>
      <c r="O12" s="37" t="n">
        <f aca="false">N12*(1+Drivers!$C$19)</f>
        <v>35.1044465562909</v>
      </c>
      <c r="P12" s="37" t="n">
        <f aca="false">O12*(1+Drivers!$C$19)</f>
        <v>35.2799687890723</v>
      </c>
      <c r="Q12" s="37" t="n">
        <f aca="false">P12*(1+Drivers!$C$19)</f>
        <v>35.4563686330177</v>
      </c>
      <c r="R12" s="37" t="n">
        <f aca="false">Q12*(1+Drivers!$C$19)</f>
        <v>35.6336504761828</v>
      </c>
      <c r="S12" s="37" t="n">
        <f aca="false">R12*(1+Drivers!$C$19)</f>
        <v>35.8118187285637</v>
      </c>
      <c r="T12" s="37" t="n">
        <f aca="false">S12*(1+Drivers!$C$19)</f>
        <v>35.9908778222065</v>
      </c>
      <c r="U12" s="38" t="s">
        <v>102</v>
      </c>
      <c r="V12" s="38" t="s">
        <v>102</v>
      </c>
      <c r="W12" s="38" t="s">
        <v>102</v>
      </c>
      <c r="X12" s="38" t="s">
        <v>102</v>
      </c>
      <c r="Y12" s="38" t="s">
        <v>102</v>
      </c>
      <c r="Z12" s="38" t="s">
        <v>102</v>
      </c>
    </row>
    <row r="13" customFormat="false" ht="15" hidden="false" customHeight="true" outlineLevel="0" collapsed="false">
      <c r="B13" s="35" t="s">
        <v>105</v>
      </c>
      <c r="C13" s="36" t="n">
        <v>38.4</v>
      </c>
      <c r="D13" s="36" t="n">
        <v>38.4</v>
      </c>
      <c r="E13" s="36" t="n">
        <v>38.4</v>
      </c>
      <c r="F13" s="36" t="n">
        <v>38.4</v>
      </c>
      <c r="G13" s="36" t="n">
        <v>38.4</v>
      </c>
      <c r="H13" s="36" t="n">
        <v>38.4</v>
      </c>
      <c r="I13" s="37" t="n">
        <f aca="false">H13*(1+Drivers!$C$19)</f>
        <v>38.592</v>
      </c>
      <c r="J13" s="37" t="n">
        <f aca="false">I13*(1+Drivers!$C$19)</f>
        <v>38.78496</v>
      </c>
      <c r="K13" s="37" t="n">
        <f aca="false">J13*(1+Drivers!$C$19)</f>
        <v>38.9788848</v>
      </c>
      <c r="L13" s="37" t="n">
        <f aca="false">K13*(1+Drivers!$C$19)</f>
        <v>39.173779224</v>
      </c>
      <c r="M13" s="37" t="n">
        <f aca="false">L13*(1+Drivers!$C$19)</f>
        <v>39.36964812012</v>
      </c>
      <c r="N13" s="37" t="n">
        <f aca="false">M13*(1+Drivers!$C$19)</f>
        <v>39.5664963607206</v>
      </c>
      <c r="O13" s="37" t="n">
        <f aca="false">N13*(1+Drivers!$C$19)</f>
        <v>39.7643288425242</v>
      </c>
      <c r="P13" s="37" t="n">
        <f aca="false">O13*(1+Drivers!$C$19)</f>
        <v>39.9631504867368</v>
      </c>
      <c r="Q13" s="37" t="n">
        <f aca="false">P13*(1+Drivers!$C$19)</f>
        <v>40.1629662391705</v>
      </c>
      <c r="R13" s="37" t="n">
        <f aca="false">Q13*(1+Drivers!$C$19)</f>
        <v>40.3637810703663</v>
      </c>
      <c r="S13" s="37" t="n">
        <f aca="false">R13*(1+Drivers!$C$19)</f>
        <v>40.5655999757182</v>
      </c>
      <c r="T13" s="37" t="n">
        <f aca="false">S13*(1+Drivers!$C$19)</f>
        <v>40.7684279755967</v>
      </c>
      <c r="U13" s="38" t="s">
        <v>102</v>
      </c>
      <c r="V13" s="38" t="s">
        <v>102</v>
      </c>
      <c r="W13" s="38" t="s">
        <v>102</v>
      </c>
      <c r="X13" s="38" t="s">
        <v>102</v>
      </c>
      <c r="Y13" s="38" t="s">
        <v>102</v>
      </c>
      <c r="Z13" s="38" t="s">
        <v>102</v>
      </c>
    </row>
    <row r="15" customFormat="false" ht="15" hidden="false" customHeight="false" outlineLevel="0" collapsed="false">
      <c r="B15" s="7" t="s">
        <v>106</v>
      </c>
      <c r="C15" s="8"/>
      <c r="D15" s="8"/>
      <c r="E15" s="8"/>
      <c r="F15" s="8"/>
      <c r="G15" s="8"/>
      <c r="H15" s="8"/>
      <c r="I15" s="8"/>
      <c r="J15" s="8"/>
      <c r="K15" s="8"/>
      <c r="L15" s="8"/>
      <c r="M15" s="8"/>
      <c r="N15" s="8"/>
      <c r="O15" s="8"/>
      <c r="P15" s="8"/>
      <c r="Q15" s="8"/>
      <c r="R15" s="8"/>
      <c r="S15" s="8"/>
      <c r="T15" s="8"/>
      <c r="U15" s="8"/>
      <c r="V15" s="8"/>
      <c r="W15" s="8"/>
      <c r="X15" s="8"/>
      <c r="Y15" s="8"/>
      <c r="Z15" s="8"/>
    </row>
    <row r="16" customFormat="false" ht="13.5" hidden="false" customHeight="true" outlineLevel="0" collapsed="false">
      <c r="B16" s="39" t="s">
        <v>107</v>
      </c>
      <c r="I16" s="40"/>
      <c r="J16" s="40"/>
      <c r="K16" s="40"/>
      <c r="L16" s="40"/>
      <c r="M16" s="40"/>
      <c r="N16" s="40"/>
      <c r="O16" s="40"/>
      <c r="P16" s="40"/>
      <c r="Q16" s="40"/>
      <c r="R16" s="40"/>
      <c r="S16" s="40"/>
      <c r="T16" s="40"/>
    </row>
    <row r="17" customFormat="false" ht="13.5" hidden="false" customHeight="true" outlineLevel="0" collapsed="false">
      <c r="B17" s="39" t="s">
        <v>108</v>
      </c>
      <c r="J17" s="40"/>
      <c r="K17" s="40"/>
      <c r="L17" s="40"/>
      <c r="M17" s="40"/>
      <c r="N17" s="40"/>
      <c r="O17" s="40"/>
      <c r="P17" s="40"/>
      <c r="Q17" s="40"/>
      <c r="R17" s="40"/>
      <c r="S17" s="40"/>
      <c r="T17" s="40"/>
      <c r="U17" s="40"/>
    </row>
    <row r="18" customFormat="false" ht="13.5" hidden="false" customHeight="true" outlineLevel="0" collapsed="false">
      <c r="B18" s="39" t="s">
        <v>109</v>
      </c>
      <c r="K18" s="40"/>
      <c r="L18" s="40"/>
      <c r="M18" s="40"/>
      <c r="N18" s="40"/>
      <c r="O18" s="40"/>
      <c r="P18" s="40"/>
      <c r="Q18" s="40"/>
      <c r="R18" s="40"/>
      <c r="S18" s="40"/>
      <c r="T18" s="40"/>
      <c r="U18" s="40"/>
      <c r="V18" s="40"/>
    </row>
  </sheetData>
  <mergeCells count="1">
    <mergeCell ref="B4:Z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true"/>
  </sheetPr>
  <dimension ref="B2:I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14"/>
    <col collapsed="false" customWidth="true" hidden="false" outlineLevel="0" max="2" min="2" style="0" width="16"/>
    <col collapsed="false" customWidth="true" hidden="false" outlineLevel="0" max="6" min="3" style="0" width="15"/>
    <col collapsed="false" customWidth="true" hidden="false" outlineLevel="0" max="7" min="7" style="0" width="12"/>
    <col collapsed="false" customWidth="true" hidden="false" outlineLevel="0" max="8" min="8" style="0" width="15"/>
    <col collapsed="false" customWidth="true" hidden="false" outlineLevel="0" max="9" min="9" style="0" width="12"/>
  </cols>
  <sheetData>
    <row r="2" customFormat="false" ht="21" hidden="false" customHeight="true" outlineLevel="0" collapsed="false">
      <c r="B2" s="1" t="s">
        <v>110</v>
      </c>
      <c r="C2" s="2"/>
      <c r="D2" s="2"/>
      <c r="E2" s="2"/>
      <c r="F2" s="2"/>
      <c r="G2" s="2"/>
      <c r="H2" s="2"/>
      <c r="I2" s="2"/>
    </row>
    <row r="4" customFormat="false" ht="39.75" hidden="false" customHeight="true" outlineLevel="0" collapsed="false">
      <c r="B4" s="3" t="s">
        <v>111</v>
      </c>
      <c r="C4" s="3"/>
      <c r="D4" s="3"/>
      <c r="E4" s="3"/>
      <c r="F4" s="3"/>
      <c r="G4" s="3"/>
      <c r="H4" s="3"/>
      <c r="I4" s="3"/>
    </row>
    <row r="5" customFormat="false" ht="15" hidden="false" customHeight="false" outlineLevel="0" collapsed="false">
      <c r="B5" s="3"/>
      <c r="C5" s="3"/>
      <c r="D5" s="3"/>
      <c r="E5" s="3"/>
      <c r="F5" s="3"/>
      <c r="G5" s="3"/>
      <c r="H5" s="3"/>
      <c r="I5" s="3"/>
    </row>
    <row r="7" customFormat="false" ht="15" hidden="false" customHeight="false" outlineLevel="0" collapsed="false">
      <c r="B7" s="7" t="s">
        <v>112</v>
      </c>
      <c r="C7" s="8"/>
      <c r="D7" s="8"/>
      <c r="E7" s="8"/>
      <c r="F7" s="8"/>
      <c r="G7" s="8"/>
      <c r="H7" s="8"/>
      <c r="I7" s="8"/>
    </row>
    <row r="8" customFormat="false" ht="25.5" hidden="false" customHeight="true" outlineLevel="0" collapsed="false">
      <c r="B8" s="19" t="s">
        <v>55</v>
      </c>
      <c r="C8" s="19" t="s">
        <v>113</v>
      </c>
      <c r="D8" s="19" t="s">
        <v>114</v>
      </c>
      <c r="E8" s="19" t="s">
        <v>98</v>
      </c>
      <c r="F8" s="19" t="s">
        <v>115</v>
      </c>
      <c r="G8" s="19" t="s">
        <v>116</v>
      </c>
      <c r="H8" s="19" t="s">
        <v>117</v>
      </c>
      <c r="I8" s="19" t="s">
        <v>118</v>
      </c>
    </row>
    <row r="9" customFormat="false" ht="15" hidden="false" customHeight="false" outlineLevel="0" collapsed="false">
      <c r="B9" s="41" t="s">
        <v>74</v>
      </c>
      <c r="C9" s="22" t="n">
        <v>82382445</v>
      </c>
      <c r="D9" s="22" t="n">
        <v>82678003</v>
      </c>
      <c r="E9" s="22" t="n">
        <v>82804670</v>
      </c>
      <c r="F9" s="42" t="n">
        <f aca="false">E9-C9</f>
        <v>422225</v>
      </c>
      <c r="G9" s="43" t="n">
        <f aca="false">E9/C9-1</f>
        <v>0.00512518170588416</v>
      </c>
      <c r="H9" s="42" t="n">
        <f aca="false">E9-D9</f>
        <v>126667</v>
      </c>
      <c r="I9" s="43" t="n">
        <f aca="false">E9/D9-1</f>
        <v>0.0015320520017883</v>
      </c>
    </row>
    <row r="10" customFormat="false" ht="15" hidden="false" customHeight="false" outlineLevel="0" collapsed="false">
      <c r="B10" s="41" t="s">
        <v>75</v>
      </c>
      <c r="C10" s="22" t="n">
        <v>81554152</v>
      </c>
      <c r="D10" s="22" t="n">
        <v>82010901</v>
      </c>
      <c r="E10" s="22" t="n">
        <v>82206651</v>
      </c>
      <c r="F10" s="42" t="n">
        <f aca="false">E10-C10</f>
        <v>652499</v>
      </c>
      <c r="G10" s="43" t="n">
        <f aca="false">E10/C10-1</f>
        <v>0.00800080662968572</v>
      </c>
      <c r="H10" s="42" t="n">
        <f aca="false">E10-D10</f>
        <v>195750</v>
      </c>
      <c r="I10" s="43" t="n">
        <f aca="false">E10/D10-1</f>
        <v>0.00238687781274338</v>
      </c>
    </row>
    <row r="11" customFormat="false" ht="15" hidden="false" customHeight="false" outlineLevel="0" collapsed="false">
      <c r="B11" s="41" t="s">
        <v>76</v>
      </c>
      <c r="C11" s="22" t="n">
        <v>83697668</v>
      </c>
      <c r="D11" s="22" t="n">
        <v>84296143</v>
      </c>
      <c r="E11" s="22" t="n">
        <v>84552631</v>
      </c>
      <c r="F11" s="42" t="n">
        <f aca="false">E11-C11</f>
        <v>854963</v>
      </c>
      <c r="G11" s="43" t="n">
        <f aca="false">E11/C11-1</f>
        <v>0.0102148963098947</v>
      </c>
      <c r="H11" s="42" t="n">
        <f aca="false">E11-D11</f>
        <v>256488</v>
      </c>
      <c r="I11" s="43" t="n">
        <f aca="false">E11/D11-1</f>
        <v>0.00304270149109898</v>
      </c>
    </row>
    <row r="12" customFormat="false" ht="15" hidden="false" customHeight="false" outlineLevel="0" collapsed="false">
      <c r="B12" s="41" t="s">
        <v>77</v>
      </c>
      <c r="C12" s="22" t="n">
        <v>83185402</v>
      </c>
      <c r="D12" s="22" t="n">
        <v>83928680</v>
      </c>
      <c r="E12" s="22" t="n">
        <v>84247228</v>
      </c>
      <c r="F12" s="42" t="n">
        <f aca="false">E12-C12</f>
        <v>1061826</v>
      </c>
      <c r="G12" s="43" t="n">
        <f aca="false">E12/C12-1</f>
        <v>0.0127645713607298</v>
      </c>
      <c r="H12" s="42" t="n">
        <f aca="false">E12-D12</f>
        <v>318548</v>
      </c>
      <c r="I12" s="43" t="n">
        <f aca="false">E12/D12-1</f>
        <v>0.0037954606220425</v>
      </c>
    </row>
    <row r="13" customFormat="false" ht="15" hidden="false" customHeight="false" outlineLevel="0" collapsed="false">
      <c r="B13" s="41" t="s">
        <v>78</v>
      </c>
      <c r="C13" s="22" t="n">
        <v>86045416</v>
      </c>
      <c r="D13" s="22" t="n">
        <v>86922192</v>
      </c>
      <c r="E13" s="22" t="n">
        <v>87297953</v>
      </c>
      <c r="F13" s="42" t="n">
        <f aca="false">E13-C13</f>
        <v>1252537</v>
      </c>
      <c r="G13" s="43" t="n">
        <f aca="false">E13/C13-1</f>
        <v>0.0145566964311032</v>
      </c>
      <c r="H13" s="42" t="n">
        <f aca="false">E13-D13</f>
        <v>375761</v>
      </c>
      <c r="I13" s="43" t="n">
        <f aca="false">E13/D13-1</f>
        <v>0.00432295816930162</v>
      </c>
    </row>
    <row r="14" customFormat="false" ht="15" hidden="false" customHeight="false" outlineLevel="0" collapsed="false">
      <c r="B14" s="41" t="s">
        <v>79</v>
      </c>
      <c r="C14" s="22" t="n">
        <v>86001317</v>
      </c>
      <c r="D14" s="22" t="n">
        <v>86977177</v>
      </c>
      <c r="E14" s="22" t="n">
        <v>87395403</v>
      </c>
      <c r="F14" s="42" t="n">
        <f aca="false">E14-C14</f>
        <v>1394086</v>
      </c>
      <c r="G14" s="43" t="n">
        <f aca="false">E14/C14-1</f>
        <v>0.0162100540855672</v>
      </c>
      <c r="H14" s="42" t="n">
        <f aca="false">E14-D14</f>
        <v>418226</v>
      </c>
      <c r="I14" s="43" t="n">
        <f aca="false">E14/D14-1</f>
        <v>0.00480845682080489</v>
      </c>
    </row>
    <row r="15" customFormat="false" ht="15" hidden="false" customHeight="false" outlineLevel="0" collapsed="false">
      <c r="B15" s="44" t="s">
        <v>119</v>
      </c>
      <c r="C15" s="45" t="n">
        <f aca="false">SUM(C9:C14)</f>
        <v>502866400</v>
      </c>
      <c r="D15" s="45" t="n">
        <f aca="false">SUM(D9:D14)</f>
        <v>506813096</v>
      </c>
      <c r="E15" s="45" t="n">
        <f aca="false">SUM(E9:E14)</f>
        <v>508504536</v>
      </c>
      <c r="F15" s="45" t="n">
        <f aca="false">E15-C15</f>
        <v>5638136</v>
      </c>
      <c r="G15" s="46" t="n">
        <f aca="false">E15/C15-1</f>
        <v>0.011211995870076</v>
      </c>
      <c r="H15" s="45" t="n">
        <f aca="false">E15-D15</f>
        <v>1691440</v>
      </c>
      <c r="I15" s="46" t="n">
        <f aca="false">E15/D15-1</f>
        <v>0.00333740389376214</v>
      </c>
    </row>
    <row r="17" customFormat="false" ht="15" hidden="false" customHeight="false" outlineLevel="0" collapsed="false">
      <c r="B17" s="7" t="s">
        <v>120</v>
      </c>
      <c r="C17" s="8"/>
      <c r="D17" s="8"/>
      <c r="E17" s="8"/>
      <c r="F17" s="8"/>
      <c r="G17" s="8"/>
      <c r="H17" s="8"/>
      <c r="I17" s="8"/>
    </row>
    <row r="18" customFormat="false" ht="25.5" hidden="false" customHeight="true" outlineLevel="0" collapsed="false">
      <c r="B18" s="19" t="s">
        <v>31</v>
      </c>
      <c r="C18" s="19" t="s">
        <v>113</v>
      </c>
      <c r="D18" s="19" t="s">
        <v>114</v>
      </c>
      <c r="E18" s="19" t="s">
        <v>98</v>
      </c>
      <c r="F18" s="19" t="s">
        <v>116</v>
      </c>
      <c r="G18" s="19" t="s">
        <v>118</v>
      </c>
    </row>
    <row r="19" customFormat="false" ht="15" hidden="false" customHeight="false" outlineLevel="0" collapsed="false">
      <c r="B19" s="41" t="s">
        <v>36</v>
      </c>
      <c r="C19" s="22" t="n">
        <v>63936474</v>
      </c>
      <c r="D19" s="22" t="n">
        <v>64294518</v>
      </c>
      <c r="E19" s="22" t="n">
        <v>64447966</v>
      </c>
      <c r="F19" s="43" t="n">
        <f aca="false">E19/C19-1</f>
        <v>0.00800000325322903</v>
      </c>
      <c r="G19" s="43" t="n">
        <f aca="false">E19/D19-1</f>
        <v>0.00238664204621619</v>
      </c>
    </row>
    <row r="20" customFormat="false" ht="15" hidden="false" customHeight="false" outlineLevel="0" collapsed="false">
      <c r="B20" s="41" t="s">
        <v>34</v>
      </c>
      <c r="C20" s="22" t="n">
        <v>22064843</v>
      </c>
      <c r="D20" s="22" t="n">
        <v>22682659</v>
      </c>
      <c r="E20" s="22" t="n">
        <v>22947437</v>
      </c>
      <c r="F20" s="43" t="n">
        <f aca="false">E20/C20-1</f>
        <v>0.0400000126898705</v>
      </c>
      <c r="G20" s="43" t="n">
        <f aca="false">E20/D20-1</f>
        <v>0.0116731464331408</v>
      </c>
    </row>
    <row r="21" customFormat="false" ht="15" hidden="false" customHeight="false" outlineLevel="0" collapsed="false">
      <c r="B21" s="44" t="s">
        <v>121</v>
      </c>
      <c r="C21" s="45" t="n">
        <f aca="false">SUM(C19:C20)</f>
        <v>86001317</v>
      </c>
      <c r="D21" s="45" t="n">
        <f aca="false">SUM(D19:D20)</f>
        <v>86977177</v>
      </c>
      <c r="E21" s="45" t="n">
        <f aca="false">SUM(E19:E20)</f>
        <v>87395403</v>
      </c>
      <c r="F21" s="46" t="n">
        <f aca="false">E21/C21-1</f>
        <v>0.0162100540855672</v>
      </c>
      <c r="G21" s="46" t="n">
        <f aca="false">E21/D21-1</f>
        <v>0.00480845682080489</v>
      </c>
    </row>
  </sheetData>
  <mergeCells count="1">
    <mergeCell ref="B4:I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true"/>
  </sheetPr>
  <dimension ref="B2:D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14"/>
    <col collapsed="false" customWidth="true" hidden="false" outlineLevel="0" max="2" min="2" style="0" width="42"/>
    <col collapsed="false" customWidth="true" hidden="false" outlineLevel="0" max="3" min="3" style="0" width="20"/>
    <col collapsed="false" customWidth="true" hidden="false" outlineLevel="0" max="4" min="4" style="0" width="46"/>
  </cols>
  <sheetData>
    <row r="2" customFormat="false" ht="21" hidden="false" customHeight="true" outlineLevel="0" collapsed="false">
      <c r="B2" s="1" t="s">
        <v>122</v>
      </c>
      <c r="C2" s="2"/>
      <c r="D2" s="2"/>
    </row>
    <row r="4" customFormat="false" ht="30" hidden="false" customHeight="true" outlineLevel="0" collapsed="false">
      <c r="B4" s="3" t="s">
        <v>123</v>
      </c>
      <c r="C4" s="3"/>
      <c r="D4" s="3"/>
    </row>
    <row r="5" customFormat="false" ht="15" hidden="false" customHeight="false" outlineLevel="0" collapsed="false">
      <c r="B5" s="3"/>
      <c r="C5" s="3"/>
      <c r="D5" s="3"/>
    </row>
    <row r="7" customFormat="false" ht="15" hidden="false" customHeight="false" outlineLevel="0" collapsed="false">
      <c r="B7" s="7" t="s">
        <v>124</v>
      </c>
      <c r="C7" s="8"/>
      <c r="D7" s="8"/>
    </row>
    <row r="8" customFormat="false" ht="15" hidden="false" customHeight="false" outlineLevel="0" collapsed="false">
      <c r="B8" s="47" t="s">
        <v>125</v>
      </c>
      <c r="C8" s="22" t="n">
        <v>541445761</v>
      </c>
    </row>
    <row r="9" customFormat="false" ht="39.75" hidden="false" customHeight="true" outlineLevel="0" collapsed="false">
      <c r="B9" s="47" t="s">
        <v>126</v>
      </c>
      <c r="C9" s="48" t="s">
        <v>127</v>
      </c>
      <c r="D9" s="49" t="s">
        <v>128</v>
      </c>
    </row>
    <row r="10" customFormat="false" ht="15" hidden="false" customHeight="false" outlineLevel="0" collapsed="false">
      <c r="B10" s="50" t="s">
        <v>129</v>
      </c>
      <c r="C10" s="51" t="n">
        <v>1110000000</v>
      </c>
    </row>
    <row r="12" customFormat="false" ht="15" hidden="false" customHeight="false" outlineLevel="0" collapsed="false">
      <c r="B12" s="7" t="s">
        <v>130</v>
      </c>
      <c r="C12" s="8"/>
      <c r="D12" s="8"/>
    </row>
    <row r="13" customFormat="false" ht="15" hidden="false" customHeight="true" outlineLevel="0" collapsed="false">
      <c r="B13" s="47" t="s">
        <v>131</v>
      </c>
      <c r="C13" s="52" t="n">
        <f aca="false">'Budget vs Forecast vs Actual'!G15</f>
        <v>0.011211995870076</v>
      </c>
      <c r="D13" s="53" t="s">
        <v>132</v>
      </c>
    </row>
    <row r="14" customFormat="false" ht="15" hidden="false" customHeight="false" outlineLevel="0" collapsed="false">
      <c r="B14" s="47" t="s">
        <v>133</v>
      </c>
      <c r="C14" s="52" t="n">
        <f aca="false">'Budget vs Forecast vs Actual'!I15</f>
        <v>0.00333740389376214</v>
      </c>
      <c r="D14" s="53"/>
    </row>
    <row r="16" customFormat="false" ht="15" hidden="false" customHeight="false" outlineLevel="0" collapsed="false">
      <c r="B16" s="7" t="s">
        <v>134</v>
      </c>
      <c r="C16" s="8"/>
      <c r="D16" s="8"/>
    </row>
    <row r="17" customFormat="false" ht="15" hidden="false" customHeight="false" outlineLevel="0" collapsed="false">
      <c r="B17" s="47" t="s">
        <v>26</v>
      </c>
      <c r="C17" s="54" t="str">
        <f aca="false">Drivers!$C$14</f>
        <v>June 2026</v>
      </c>
    </row>
    <row r="18" customFormat="false" ht="15" hidden="false" customHeight="false" outlineLevel="0" collapsed="false">
      <c r="B18" s="47" t="s">
        <v>135</v>
      </c>
      <c r="C18" s="55" t="s">
        <v>136</v>
      </c>
    </row>
    <row r="19" customFormat="false" ht="15" hidden="false" customHeight="false" outlineLevel="0" collapsed="false">
      <c r="B19" s="47" t="s">
        <v>137</v>
      </c>
      <c r="C19" s="55" t="s">
        <v>138</v>
      </c>
    </row>
  </sheetData>
  <mergeCells count="2">
    <mergeCell ref="B4:D5"/>
    <mergeCell ref="D13:D1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2026-07-20T11:09:36Z</dcterms:created>
  <dc:creator>openpyxl</dc:creator>
  <dc:description/>
  <dc:language>en-US</dc:language>
  <cp:lastModifiedBy/>
  <dcterms:modified xsi:type="dcterms:W3CDTF">2026-07-20T11:09:37Z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