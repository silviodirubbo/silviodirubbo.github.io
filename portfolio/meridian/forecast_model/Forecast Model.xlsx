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ilvi\OneDrive\Documenti\Portfolio\Projects\Meridian\rolling_forecast_model\"/>
    </mc:Choice>
  </mc:AlternateContent>
  <xr:revisionPtr revIDLastSave="0" documentId="13_ncr:1_{BE968875-F87F-4EE3-839A-E874037F4C73}" xr6:coauthVersionLast="47" xr6:coauthVersionMax="47" xr10:uidLastSave="{00000000-0000-0000-0000-000000000000}"/>
  <bookViews>
    <workbookView xWindow="-120" yWindow="-120" windowWidth="29040" windowHeight="15720" xr2:uid="{2B16C39D-AEB7-4AC7-B9B6-AE3E79531EFD}"/>
  </bookViews>
  <sheets>
    <sheet name="Overview" sheetId="6" r:id="rId1"/>
    <sheet name="Summary" sheetId="7" r:id="rId2"/>
    <sheet name="Income Statement" sheetId="8" r:id="rId3"/>
    <sheet name="Detailed Forecast" sheetId="2" r:id="rId4"/>
    <sheet name="Model" sheetId="1" r:id="rId5"/>
  </sheets>
  <definedNames>
    <definedName name="Slicer_month">#N/A</definedName>
  </definedNames>
  <calcPr calcId="191029" iterateDelta="1E-4"/>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7" i="8" l="1"/>
  <c r="I17" i="8"/>
  <c r="J17" i="8"/>
  <c r="K17" i="8"/>
  <c r="L17" i="8"/>
  <c r="M17" i="8"/>
  <c r="N17" i="8"/>
  <c r="O17" i="8"/>
  <c r="P17" i="8"/>
  <c r="Q17" i="8"/>
  <c r="R17" i="8"/>
  <c r="S17" i="8"/>
  <c r="I16" i="8"/>
  <c r="J16" i="8"/>
  <c r="K16" i="8"/>
  <c r="L16" i="8"/>
  <c r="M16" i="8"/>
  <c r="N16" i="8"/>
  <c r="O16" i="8"/>
  <c r="P16" i="8"/>
  <c r="Q16" i="8"/>
  <c r="R16" i="8"/>
  <c r="S16" i="8"/>
  <c r="H16" i="8"/>
  <c r="D36" i="8"/>
  <c r="D35" i="8"/>
  <c r="C35" i="8"/>
  <c r="D26" i="8"/>
  <c r="D27" i="8"/>
  <c r="D28" i="8"/>
  <c r="D25" i="8"/>
  <c r="D31" i="8" s="1"/>
  <c r="C28" i="8"/>
  <c r="C27" i="8"/>
  <c r="C26" i="8"/>
  <c r="C25" i="8"/>
  <c r="D21" i="8"/>
  <c r="D18" i="8"/>
  <c r="D13" i="8"/>
  <c r="Y7" i="1"/>
  <c r="Z7" i="1"/>
  <c r="AA7" i="1"/>
  <c r="I11" i="8"/>
  <c r="J11" i="8"/>
  <c r="K11" i="8"/>
  <c r="L11" i="8"/>
  <c r="M11" i="8"/>
  <c r="N11" i="8"/>
  <c r="O11" i="8"/>
  <c r="P11" i="8"/>
  <c r="Q11" i="8"/>
  <c r="R11" i="8"/>
  <c r="S11" i="8"/>
  <c r="I12" i="8"/>
  <c r="J12" i="8"/>
  <c r="K12" i="8"/>
  <c r="L12" i="8"/>
  <c r="M12" i="8"/>
  <c r="N12" i="8"/>
  <c r="O12" i="8"/>
  <c r="P12" i="8"/>
  <c r="Q12" i="8"/>
  <c r="R12" i="8"/>
  <c r="S12" i="8"/>
  <c r="H12" i="8"/>
  <c r="H11" i="8"/>
  <c r="D87" i="1"/>
  <c r="D86" i="1"/>
  <c r="D85" i="1"/>
  <c r="D84" i="1"/>
  <c r="D83" i="1"/>
  <c r="D82" i="1"/>
  <c r="D81" i="1"/>
  <c r="D80" i="1"/>
  <c r="D79" i="1"/>
  <c r="D78" i="1"/>
  <c r="D77" i="1"/>
  <c r="D76" i="1"/>
  <c r="D75" i="1"/>
  <c r="D74" i="1"/>
  <c r="D73" i="1"/>
  <c r="D72" i="1"/>
  <c r="D71" i="1"/>
  <c r="D70" i="1"/>
  <c r="D69" i="1"/>
  <c r="D68" i="1"/>
  <c r="D67" i="1"/>
  <c r="D66" i="1"/>
  <c r="D65" i="1"/>
  <c r="D64" i="1"/>
  <c r="D32" i="1"/>
  <c r="D33" i="1"/>
  <c r="D34" i="1"/>
  <c r="D35" i="1"/>
  <c r="D36" i="1"/>
  <c r="D37" i="1"/>
  <c r="D38" i="1"/>
  <c r="D39" i="1"/>
  <c r="D40" i="1"/>
  <c r="D41" i="1"/>
  <c r="D42" i="1"/>
  <c r="D43" i="1"/>
  <c r="D44" i="1"/>
  <c r="D45" i="1"/>
  <c r="D46" i="1"/>
  <c r="D47" i="1"/>
  <c r="D48" i="1"/>
  <c r="D49" i="1"/>
  <c r="D50" i="1"/>
  <c r="D51" i="1"/>
  <c r="D52" i="1"/>
  <c r="D53" i="1"/>
  <c r="D54" i="1"/>
  <c r="D31" i="1"/>
  <c r="B39" i="8" l="1"/>
  <c r="L13" i="8"/>
  <c r="U17" i="8" l="1"/>
  <c r="X17" i="8"/>
  <c r="V12" i="8"/>
  <c r="O18" i="8"/>
  <c r="U11" i="8"/>
  <c r="V11" i="8"/>
  <c r="V17" i="8"/>
  <c r="V16" i="8"/>
  <c r="Q13" i="8"/>
  <c r="Q25" i="8" s="1"/>
  <c r="P18" i="8"/>
  <c r="U12" i="8"/>
  <c r="W17" i="8"/>
  <c r="W16" i="8"/>
  <c r="W12" i="8"/>
  <c r="M13" i="8"/>
  <c r="M25" i="8" s="1"/>
  <c r="R18" i="8"/>
  <c r="W11" i="8"/>
  <c r="X12" i="8"/>
  <c r="S18" i="8"/>
  <c r="R13" i="8"/>
  <c r="R25" i="8" s="1"/>
  <c r="I18" i="8"/>
  <c r="J18" i="8"/>
  <c r="L18" i="8"/>
  <c r="L21" i="8" s="1"/>
  <c r="H18" i="8"/>
  <c r="K18" i="8"/>
  <c r="I13" i="8"/>
  <c r="I28" i="8" s="1"/>
  <c r="M18" i="8"/>
  <c r="O13" i="8"/>
  <c r="O28" i="8" s="1"/>
  <c r="S13" i="8"/>
  <c r="S28" i="8" s="1"/>
  <c r="J13" i="8"/>
  <c r="J28" i="8" s="1"/>
  <c r="P13" i="8"/>
  <c r="P25" i="8" s="1"/>
  <c r="Q18" i="8"/>
  <c r="L27" i="8"/>
  <c r="L26" i="8"/>
  <c r="L25" i="8"/>
  <c r="L28" i="8"/>
  <c r="U16" i="8"/>
  <c r="N18" i="8"/>
  <c r="H13" i="8"/>
  <c r="X16" i="8"/>
  <c r="K13" i="8"/>
  <c r="Q28" i="8"/>
  <c r="N13" i="8"/>
  <c r="X11" i="8"/>
  <c r="D17" i="8" l="1"/>
  <c r="W18" i="8"/>
  <c r="I26" i="8"/>
  <c r="S21" i="8"/>
  <c r="S25" i="8"/>
  <c r="D11" i="8"/>
  <c r="M26" i="8"/>
  <c r="D12" i="8"/>
  <c r="R26" i="8"/>
  <c r="M27" i="8"/>
  <c r="V18" i="8"/>
  <c r="U18" i="8"/>
  <c r="I25" i="8"/>
  <c r="J21" i="8"/>
  <c r="J22" i="8" s="1"/>
  <c r="I27" i="8"/>
  <c r="Q27" i="8"/>
  <c r="Q26" i="8"/>
  <c r="X26" i="8" s="1"/>
  <c r="O21" i="8"/>
  <c r="O22" i="8" s="1"/>
  <c r="O25" i="8"/>
  <c r="O26" i="8"/>
  <c r="Q21" i="8"/>
  <c r="Q22" i="8" s="1"/>
  <c r="X25" i="8"/>
  <c r="X13" i="8"/>
  <c r="P26" i="8"/>
  <c r="M28" i="8"/>
  <c r="S26" i="8"/>
  <c r="M21" i="8"/>
  <c r="M22" i="8" s="1"/>
  <c r="S27" i="8"/>
  <c r="S31" i="8" s="1"/>
  <c r="I21" i="8"/>
  <c r="X18" i="8"/>
  <c r="P27" i="8"/>
  <c r="J25" i="8"/>
  <c r="R27" i="8"/>
  <c r="X27" i="8" s="1"/>
  <c r="P28" i="8"/>
  <c r="J26" i="8"/>
  <c r="R28" i="8"/>
  <c r="X28" i="8" s="1"/>
  <c r="P21" i="8"/>
  <c r="P22" i="8" s="1"/>
  <c r="J27" i="8"/>
  <c r="R21" i="8"/>
  <c r="O27" i="8"/>
  <c r="D16" i="8"/>
  <c r="S22" i="8"/>
  <c r="N26" i="8"/>
  <c r="N25" i="8"/>
  <c r="N21" i="8"/>
  <c r="N22" i="8" s="1"/>
  <c r="N28" i="8"/>
  <c r="N27" i="8"/>
  <c r="W13" i="8"/>
  <c r="L31" i="8"/>
  <c r="L22" i="8"/>
  <c r="K27" i="8"/>
  <c r="K26" i="8"/>
  <c r="K25" i="8"/>
  <c r="V25" i="8" s="1"/>
  <c r="V13" i="8"/>
  <c r="K21" i="8"/>
  <c r="K28" i="8"/>
  <c r="H21" i="8"/>
  <c r="H22" i="8" s="1"/>
  <c r="U13" i="8"/>
  <c r="H28" i="8"/>
  <c r="H27" i="8"/>
  <c r="H26" i="8"/>
  <c r="H25" i="8"/>
  <c r="V28" i="8" l="1"/>
  <c r="V26" i="8"/>
  <c r="M31" i="8"/>
  <c r="M32" i="8" s="1"/>
  <c r="V27" i="8"/>
  <c r="W26" i="8"/>
  <c r="O31" i="8"/>
  <c r="W25" i="8"/>
  <c r="I31" i="8"/>
  <c r="I32" i="8" s="1"/>
  <c r="Q31" i="8"/>
  <c r="Q35" i="8" s="1"/>
  <c r="Q36" i="8" s="1"/>
  <c r="Q39" i="8" s="1"/>
  <c r="Q40" i="8" s="1"/>
  <c r="X21" i="8"/>
  <c r="X22" i="8" s="1"/>
  <c r="I22" i="8"/>
  <c r="W28" i="8"/>
  <c r="R31" i="8"/>
  <c r="X31" i="8" s="1"/>
  <c r="R22" i="8"/>
  <c r="W27" i="8"/>
  <c r="P31" i="8"/>
  <c r="P35" i="8" s="1"/>
  <c r="J31" i="8"/>
  <c r="J35" i="8" s="1"/>
  <c r="J36" i="8" s="1"/>
  <c r="U21" i="8"/>
  <c r="U22" i="8" s="1"/>
  <c r="H31" i="8"/>
  <c r="V21" i="8"/>
  <c r="V22" i="8" s="1"/>
  <c r="K31" i="8"/>
  <c r="K22" i="8"/>
  <c r="L35" i="8"/>
  <c r="L36" i="8" s="1"/>
  <c r="L39" i="8" s="1"/>
  <c r="L40" i="8" s="1"/>
  <c r="L32" i="8"/>
  <c r="S35" i="8"/>
  <c r="S32" i="8"/>
  <c r="W21" i="8"/>
  <c r="W22" i="8" s="1"/>
  <c r="N31" i="8"/>
  <c r="U25" i="8"/>
  <c r="U26" i="8"/>
  <c r="U27" i="8"/>
  <c r="U28" i="8"/>
  <c r="I35" i="8" l="1"/>
  <c r="I36" i="8" s="1"/>
  <c r="I39" i="8" s="1"/>
  <c r="I40" i="8" s="1"/>
  <c r="M35" i="8"/>
  <c r="M36" i="8" s="1"/>
  <c r="M39" i="8" s="1"/>
  <c r="M40" i="8" s="1"/>
  <c r="J32" i="8"/>
  <c r="R35" i="8"/>
  <c r="R36" i="8" s="1"/>
  <c r="R39" i="8" s="1"/>
  <c r="R40" i="8" s="1"/>
  <c r="Q32" i="8"/>
  <c r="R32" i="8"/>
  <c r="O35" i="8"/>
  <c r="O36" i="8" s="1"/>
  <c r="O39" i="8" s="1"/>
  <c r="O40" i="8" s="1"/>
  <c r="O32" i="8"/>
  <c r="P32" i="8"/>
  <c r="P36" i="8"/>
  <c r="P39" i="8" s="1"/>
  <c r="P40" i="8" s="1"/>
  <c r="J39" i="8"/>
  <c r="J40" i="8" s="1"/>
  <c r="W31" i="8"/>
  <c r="N35" i="8"/>
  <c r="N36" i="8" s="1"/>
  <c r="N39" i="8" s="1"/>
  <c r="N40" i="8" s="1"/>
  <c r="N32" i="8"/>
  <c r="S36" i="8"/>
  <c r="S39" i="8" s="1"/>
  <c r="S40" i="8" s="1"/>
  <c r="X35" i="8"/>
  <c r="X32" i="8"/>
  <c r="D22" i="8"/>
  <c r="V31" i="8"/>
  <c r="K35" i="8"/>
  <c r="K36" i="8" s="1"/>
  <c r="K39" i="8" s="1"/>
  <c r="K40" i="8" s="1"/>
  <c r="K32" i="8"/>
  <c r="U31" i="8"/>
  <c r="H35" i="8"/>
  <c r="H32" i="8"/>
  <c r="X36" i="8" l="1"/>
  <c r="X39" i="8" s="1"/>
  <c r="X40" i="8" s="1"/>
  <c r="H36" i="8"/>
  <c r="H39" i="8" s="1"/>
  <c r="H40" i="8" s="1"/>
  <c r="U35" i="8"/>
  <c r="U32" i="8"/>
  <c r="W35" i="8"/>
  <c r="W36" i="8" s="1"/>
  <c r="W39" i="8" s="1"/>
  <c r="W40" i="8" s="1"/>
  <c r="W32" i="8"/>
  <c r="V35" i="8"/>
  <c r="V32" i="8"/>
  <c r="D32" i="8"/>
  <c r="U36" i="8" l="1"/>
  <c r="U39" i="8" s="1"/>
  <c r="U40" i="8" s="1"/>
  <c r="V36" i="8"/>
  <c r="V39" i="8" s="1"/>
  <c r="V40" i="8" s="1"/>
  <c r="D39" i="8" l="1"/>
  <c r="D40" i="8" l="1"/>
  <c r="Q8" i="7"/>
  <c r="S8" i="7" s="1"/>
  <c r="AF42" i="2" l="1"/>
  <c r="AE42" i="2"/>
  <c r="AD42" i="2"/>
  <c r="V42" i="2"/>
  <c r="U42" i="2"/>
  <c r="T42" i="2"/>
  <c r="L42" i="2"/>
  <c r="K42" i="2"/>
  <c r="J42" i="2"/>
  <c r="G56" i="1"/>
  <c r="W13" i="1"/>
  <c r="W301" i="1" s="1"/>
  <c r="AA13" i="1"/>
  <c r="W14" i="1"/>
  <c r="Y14" i="1" s="1"/>
  <c r="W15" i="1"/>
  <c r="W369" i="1" s="1"/>
  <c r="W16" i="1"/>
  <c r="Y16" i="1" s="1"/>
  <c r="W17" i="1"/>
  <c r="W299" i="1" s="1"/>
  <c r="Y299" i="1" s="1"/>
  <c r="W18" i="1"/>
  <c r="Z18" i="1" s="1"/>
  <c r="W19" i="1"/>
  <c r="W127" i="1" s="1"/>
  <c r="W20" i="1"/>
  <c r="W152" i="1" s="1"/>
  <c r="W21" i="1"/>
  <c r="W141" i="1" s="1"/>
  <c r="W22" i="1"/>
  <c r="W73" i="1" s="1"/>
  <c r="W23" i="1"/>
  <c r="W107" i="1" s="1"/>
  <c r="W24" i="1"/>
  <c r="W129" i="1"/>
  <c r="W150" i="1"/>
  <c r="Y150" i="1" s="1"/>
  <c r="W151" i="1"/>
  <c r="D14" i="1"/>
  <c r="D15" i="1"/>
  <c r="D16" i="1"/>
  <c r="D17" i="1"/>
  <c r="D18" i="1"/>
  <c r="D13" i="1"/>
  <c r="D20" i="1"/>
  <c r="D21" i="1"/>
  <c r="D22" i="1"/>
  <c r="D23" i="1"/>
  <c r="D24" i="1"/>
  <c r="D19"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683" i="1"/>
  <c r="D682" i="1"/>
  <c r="D681" i="1"/>
  <c r="D680" i="1"/>
  <c r="D288" i="1"/>
  <c r="D287" i="1"/>
  <c r="D286" i="1"/>
  <c r="D285" i="1"/>
  <c r="D220" i="1"/>
  <c r="D221" i="1"/>
  <c r="D222" i="1"/>
  <c r="D223" i="1"/>
  <c r="D224" i="1"/>
  <c r="D225" i="1"/>
  <c r="D226" i="1"/>
  <c r="D227" i="1"/>
  <c r="D219" i="1"/>
  <c r="D218" i="1"/>
  <c r="D90" i="1"/>
  <c r="D89" i="1"/>
  <c r="D57" i="1"/>
  <c r="D56" i="1"/>
  <c r="G681" i="1"/>
  <c r="H681" i="1"/>
  <c r="I681" i="1"/>
  <c r="J681" i="1"/>
  <c r="K681" i="1"/>
  <c r="L681" i="1"/>
  <c r="M681" i="1"/>
  <c r="N681" i="1"/>
  <c r="O681" i="1"/>
  <c r="G682" i="1"/>
  <c r="H682" i="1"/>
  <c r="I682" i="1"/>
  <c r="J682" i="1"/>
  <c r="K682" i="1"/>
  <c r="L682" i="1"/>
  <c r="M682" i="1"/>
  <c r="N682" i="1"/>
  <c r="O682" i="1"/>
  <c r="G683" i="1"/>
  <c r="H683" i="1"/>
  <c r="I683" i="1"/>
  <c r="J683" i="1"/>
  <c r="K683" i="1"/>
  <c r="L683" i="1"/>
  <c r="M683" i="1"/>
  <c r="N683" i="1"/>
  <c r="O683" i="1"/>
  <c r="G684" i="1"/>
  <c r="H684" i="1"/>
  <c r="I684" i="1"/>
  <c r="J684" i="1"/>
  <c r="K684" i="1"/>
  <c r="L684" i="1"/>
  <c r="M684" i="1"/>
  <c r="N684" i="1"/>
  <c r="O684" i="1"/>
  <c r="G685" i="1"/>
  <c r="H685" i="1"/>
  <c r="I685" i="1"/>
  <c r="J685" i="1"/>
  <c r="K685" i="1"/>
  <c r="L685" i="1"/>
  <c r="M685" i="1"/>
  <c r="N685" i="1"/>
  <c r="O685" i="1"/>
  <c r="G686" i="1"/>
  <c r="H686" i="1"/>
  <c r="I686" i="1"/>
  <c r="J686" i="1"/>
  <c r="K686" i="1"/>
  <c r="L686" i="1"/>
  <c r="M686" i="1"/>
  <c r="N686" i="1"/>
  <c r="O686" i="1"/>
  <c r="G687" i="1"/>
  <c r="H687" i="1"/>
  <c r="I687" i="1"/>
  <c r="J687" i="1"/>
  <c r="K687" i="1"/>
  <c r="L687" i="1"/>
  <c r="M687" i="1"/>
  <c r="N687" i="1"/>
  <c r="O687" i="1"/>
  <c r="G688" i="1"/>
  <c r="H688" i="1"/>
  <c r="I688" i="1"/>
  <c r="J688" i="1"/>
  <c r="K688" i="1"/>
  <c r="L688" i="1"/>
  <c r="M688" i="1"/>
  <c r="N688" i="1"/>
  <c r="O688" i="1"/>
  <c r="G689" i="1"/>
  <c r="H689" i="1"/>
  <c r="I689" i="1"/>
  <c r="J689" i="1"/>
  <c r="K689" i="1"/>
  <c r="L689" i="1"/>
  <c r="M689" i="1"/>
  <c r="N689" i="1"/>
  <c r="O689" i="1"/>
  <c r="G690" i="1"/>
  <c r="H690" i="1"/>
  <c r="I690" i="1"/>
  <c r="J690" i="1"/>
  <c r="K690" i="1"/>
  <c r="L690" i="1"/>
  <c r="M690" i="1"/>
  <c r="N690" i="1"/>
  <c r="O690" i="1"/>
  <c r="G691" i="1"/>
  <c r="H691" i="1"/>
  <c r="I691" i="1"/>
  <c r="J691" i="1"/>
  <c r="K691" i="1"/>
  <c r="L691" i="1"/>
  <c r="M691" i="1"/>
  <c r="N691" i="1"/>
  <c r="O691" i="1"/>
  <c r="G692" i="1"/>
  <c r="H692" i="1"/>
  <c r="I692" i="1"/>
  <c r="J692" i="1"/>
  <c r="K692" i="1"/>
  <c r="L692" i="1"/>
  <c r="M692" i="1"/>
  <c r="N692" i="1"/>
  <c r="O692" i="1"/>
  <c r="G693" i="1"/>
  <c r="H693" i="1"/>
  <c r="I693" i="1"/>
  <c r="J693" i="1"/>
  <c r="K693" i="1"/>
  <c r="L693" i="1"/>
  <c r="M693" i="1"/>
  <c r="N693" i="1"/>
  <c r="O693" i="1"/>
  <c r="G694" i="1"/>
  <c r="H694" i="1"/>
  <c r="I694" i="1"/>
  <c r="J694" i="1"/>
  <c r="K694" i="1"/>
  <c r="L694" i="1"/>
  <c r="M694" i="1"/>
  <c r="N694" i="1"/>
  <c r="O694" i="1"/>
  <c r="G695" i="1"/>
  <c r="H695" i="1"/>
  <c r="I695" i="1"/>
  <c r="J695" i="1"/>
  <c r="K695" i="1"/>
  <c r="L695" i="1"/>
  <c r="M695" i="1"/>
  <c r="N695" i="1"/>
  <c r="O695" i="1"/>
  <c r="G696" i="1"/>
  <c r="H696" i="1"/>
  <c r="I696" i="1"/>
  <c r="J696" i="1"/>
  <c r="K696" i="1"/>
  <c r="L696" i="1"/>
  <c r="M696" i="1"/>
  <c r="N696" i="1"/>
  <c r="O696" i="1"/>
  <c r="G697" i="1"/>
  <c r="H697" i="1"/>
  <c r="I697" i="1"/>
  <c r="J697" i="1"/>
  <c r="K697" i="1"/>
  <c r="L697" i="1"/>
  <c r="M697" i="1"/>
  <c r="N697" i="1"/>
  <c r="O697" i="1"/>
  <c r="G698" i="1"/>
  <c r="H698" i="1"/>
  <c r="I698" i="1"/>
  <c r="J698" i="1"/>
  <c r="K698" i="1"/>
  <c r="L698" i="1"/>
  <c r="M698" i="1"/>
  <c r="N698" i="1"/>
  <c r="O698" i="1"/>
  <c r="G699" i="1"/>
  <c r="H699" i="1"/>
  <c r="I699" i="1"/>
  <c r="J699" i="1"/>
  <c r="K699" i="1"/>
  <c r="L699" i="1"/>
  <c r="M699" i="1"/>
  <c r="N699" i="1"/>
  <c r="O699" i="1"/>
  <c r="G700" i="1"/>
  <c r="H700" i="1"/>
  <c r="I700" i="1"/>
  <c r="J700" i="1"/>
  <c r="K700" i="1"/>
  <c r="L700" i="1"/>
  <c r="M700" i="1"/>
  <c r="N700" i="1"/>
  <c r="O700" i="1"/>
  <c r="G701" i="1"/>
  <c r="H701" i="1"/>
  <c r="I701" i="1"/>
  <c r="J701" i="1"/>
  <c r="K701" i="1"/>
  <c r="L701" i="1"/>
  <c r="M701" i="1"/>
  <c r="N701" i="1"/>
  <c r="O701" i="1"/>
  <c r="G702" i="1"/>
  <c r="H702" i="1"/>
  <c r="I702" i="1"/>
  <c r="J702" i="1"/>
  <c r="K702" i="1"/>
  <c r="L702" i="1"/>
  <c r="M702" i="1"/>
  <c r="N702" i="1"/>
  <c r="O702" i="1"/>
  <c r="G703" i="1"/>
  <c r="H703" i="1"/>
  <c r="I703" i="1"/>
  <c r="J703" i="1"/>
  <c r="K703" i="1"/>
  <c r="L703" i="1"/>
  <c r="M703" i="1"/>
  <c r="N703" i="1"/>
  <c r="O703" i="1"/>
  <c r="G704" i="1"/>
  <c r="H704" i="1"/>
  <c r="I704" i="1"/>
  <c r="J704" i="1"/>
  <c r="K704" i="1"/>
  <c r="L704" i="1"/>
  <c r="M704" i="1"/>
  <c r="N704" i="1"/>
  <c r="O704" i="1"/>
  <c r="G705" i="1"/>
  <c r="H705" i="1"/>
  <c r="I705" i="1"/>
  <c r="J705" i="1"/>
  <c r="K705" i="1"/>
  <c r="L705" i="1"/>
  <c r="M705" i="1"/>
  <c r="N705" i="1"/>
  <c r="O705" i="1"/>
  <c r="G706" i="1"/>
  <c r="H706" i="1"/>
  <c r="I706" i="1"/>
  <c r="J706" i="1"/>
  <c r="K706" i="1"/>
  <c r="L706" i="1"/>
  <c r="M706" i="1"/>
  <c r="N706" i="1"/>
  <c r="O706" i="1"/>
  <c r="G707" i="1"/>
  <c r="H707" i="1"/>
  <c r="I707" i="1"/>
  <c r="J707" i="1"/>
  <c r="K707" i="1"/>
  <c r="L707" i="1"/>
  <c r="M707" i="1"/>
  <c r="N707" i="1"/>
  <c r="O707" i="1"/>
  <c r="G708" i="1"/>
  <c r="H708" i="1"/>
  <c r="I708" i="1"/>
  <c r="J708" i="1"/>
  <c r="K708" i="1"/>
  <c r="L708" i="1"/>
  <c r="M708" i="1"/>
  <c r="N708" i="1"/>
  <c r="O708" i="1"/>
  <c r="G709" i="1"/>
  <c r="H709" i="1"/>
  <c r="I709" i="1"/>
  <c r="J709" i="1"/>
  <c r="K709" i="1"/>
  <c r="L709" i="1"/>
  <c r="M709" i="1"/>
  <c r="N709" i="1"/>
  <c r="O709" i="1"/>
  <c r="G710" i="1"/>
  <c r="H710" i="1"/>
  <c r="I710" i="1"/>
  <c r="J710" i="1"/>
  <c r="K710" i="1"/>
  <c r="L710" i="1"/>
  <c r="M710" i="1"/>
  <c r="N710" i="1"/>
  <c r="O710" i="1"/>
  <c r="G711" i="1"/>
  <c r="H711" i="1"/>
  <c r="I711" i="1"/>
  <c r="J711" i="1"/>
  <c r="K711" i="1"/>
  <c r="L711" i="1"/>
  <c r="M711" i="1"/>
  <c r="N711" i="1"/>
  <c r="O711" i="1"/>
  <c r="H680" i="1"/>
  <c r="I680" i="1"/>
  <c r="J680" i="1"/>
  <c r="K680" i="1"/>
  <c r="L680" i="1"/>
  <c r="M680" i="1"/>
  <c r="N680" i="1"/>
  <c r="O680" i="1"/>
  <c r="G680" i="1"/>
  <c r="H285" i="1"/>
  <c r="I285" i="1"/>
  <c r="J285" i="1"/>
  <c r="K285" i="1"/>
  <c r="L285" i="1"/>
  <c r="M285" i="1"/>
  <c r="N285" i="1"/>
  <c r="O285" i="1"/>
  <c r="H286" i="1"/>
  <c r="I286" i="1"/>
  <c r="J286" i="1"/>
  <c r="K286" i="1"/>
  <c r="L286" i="1"/>
  <c r="M286" i="1"/>
  <c r="N286" i="1"/>
  <c r="O286" i="1"/>
  <c r="H287" i="1"/>
  <c r="I287" i="1"/>
  <c r="J287" i="1"/>
  <c r="K287" i="1"/>
  <c r="L287" i="1"/>
  <c r="M287" i="1"/>
  <c r="N287" i="1"/>
  <c r="O287" i="1"/>
  <c r="H288" i="1"/>
  <c r="I288" i="1"/>
  <c r="J288" i="1"/>
  <c r="K288" i="1"/>
  <c r="L288" i="1"/>
  <c r="M288" i="1"/>
  <c r="N288" i="1"/>
  <c r="O288" i="1"/>
  <c r="G286" i="1"/>
  <c r="G287" i="1"/>
  <c r="G288" i="1"/>
  <c r="G285" i="1"/>
  <c r="G219" i="1"/>
  <c r="H219" i="1"/>
  <c r="I219" i="1"/>
  <c r="J219" i="1"/>
  <c r="K219" i="1"/>
  <c r="L219" i="1"/>
  <c r="M219" i="1"/>
  <c r="N219" i="1"/>
  <c r="O219" i="1"/>
  <c r="G220" i="1"/>
  <c r="H220" i="1"/>
  <c r="I220" i="1"/>
  <c r="J220" i="1"/>
  <c r="K220" i="1"/>
  <c r="L220" i="1"/>
  <c r="M220" i="1"/>
  <c r="N220" i="1"/>
  <c r="O220" i="1"/>
  <c r="G221" i="1"/>
  <c r="H221" i="1"/>
  <c r="I221" i="1"/>
  <c r="J221" i="1"/>
  <c r="K221" i="1"/>
  <c r="L221" i="1"/>
  <c r="M221" i="1"/>
  <c r="N221" i="1"/>
  <c r="O221" i="1"/>
  <c r="G222" i="1"/>
  <c r="H222" i="1"/>
  <c r="I222" i="1"/>
  <c r="J222" i="1"/>
  <c r="K222" i="1"/>
  <c r="L222" i="1"/>
  <c r="M222" i="1"/>
  <c r="N222" i="1"/>
  <c r="O222" i="1"/>
  <c r="G223" i="1"/>
  <c r="H223" i="1"/>
  <c r="I223" i="1"/>
  <c r="J223" i="1"/>
  <c r="K223" i="1"/>
  <c r="L223" i="1"/>
  <c r="M223" i="1"/>
  <c r="N223" i="1"/>
  <c r="O223" i="1"/>
  <c r="G224" i="1"/>
  <c r="H224" i="1"/>
  <c r="I224" i="1"/>
  <c r="J224" i="1"/>
  <c r="K224" i="1"/>
  <c r="L224" i="1"/>
  <c r="M224" i="1"/>
  <c r="N224" i="1"/>
  <c r="O224" i="1"/>
  <c r="G225" i="1"/>
  <c r="H225" i="1"/>
  <c r="I225" i="1"/>
  <c r="J225" i="1"/>
  <c r="K225" i="1"/>
  <c r="L225" i="1"/>
  <c r="M225" i="1"/>
  <c r="N225" i="1"/>
  <c r="O225" i="1"/>
  <c r="G226" i="1"/>
  <c r="H226" i="1"/>
  <c r="I226" i="1"/>
  <c r="J226" i="1"/>
  <c r="K226" i="1"/>
  <c r="L226" i="1"/>
  <c r="M226" i="1"/>
  <c r="N226" i="1"/>
  <c r="O226" i="1"/>
  <c r="G227" i="1"/>
  <c r="H227" i="1"/>
  <c r="I227" i="1"/>
  <c r="J227" i="1"/>
  <c r="K227" i="1"/>
  <c r="L227" i="1"/>
  <c r="M227" i="1"/>
  <c r="N227" i="1"/>
  <c r="O227" i="1"/>
  <c r="H218" i="1"/>
  <c r="I218" i="1"/>
  <c r="J218" i="1"/>
  <c r="K218" i="1"/>
  <c r="L218" i="1"/>
  <c r="M218" i="1"/>
  <c r="N218" i="1"/>
  <c r="O218" i="1"/>
  <c r="G218" i="1"/>
  <c r="H89" i="1"/>
  <c r="I89" i="1"/>
  <c r="J89" i="1"/>
  <c r="K89" i="1"/>
  <c r="L89" i="1"/>
  <c r="M89" i="1"/>
  <c r="N89" i="1"/>
  <c r="O89" i="1"/>
  <c r="H90" i="1"/>
  <c r="I90" i="1"/>
  <c r="J90" i="1"/>
  <c r="K90" i="1"/>
  <c r="L90" i="1"/>
  <c r="M90" i="1"/>
  <c r="N90" i="1"/>
  <c r="O90" i="1"/>
  <c r="G90" i="1"/>
  <c r="G89" i="1"/>
  <c r="H56" i="1"/>
  <c r="I56" i="1"/>
  <c r="J56" i="1"/>
  <c r="K56" i="1"/>
  <c r="L56" i="1"/>
  <c r="M56" i="1"/>
  <c r="N56" i="1"/>
  <c r="O56" i="1"/>
  <c r="H57" i="1"/>
  <c r="I57" i="1"/>
  <c r="J57" i="1"/>
  <c r="K57" i="1"/>
  <c r="L57" i="1"/>
  <c r="M57" i="1"/>
  <c r="N57" i="1"/>
  <c r="O57" i="1"/>
  <c r="G57" i="1"/>
  <c r="W149" i="1" l="1"/>
  <c r="W135" i="1"/>
  <c r="Y135" i="1" s="1"/>
  <c r="W302" i="1"/>
  <c r="W105" i="1"/>
  <c r="W99" i="1"/>
  <c r="AA99" i="1" s="1"/>
  <c r="W147" i="1"/>
  <c r="Y147" i="1" s="1"/>
  <c r="W78" i="1"/>
  <c r="W186" i="1"/>
  <c r="W67" i="1"/>
  <c r="Y67" i="1" s="1"/>
  <c r="W125" i="1"/>
  <c r="Y125" i="1" s="1"/>
  <c r="W35" i="1"/>
  <c r="Y35" i="1" s="1"/>
  <c r="W33" i="1"/>
  <c r="Y33" i="1" s="1"/>
  <c r="W339" i="1"/>
  <c r="W124" i="1"/>
  <c r="W335" i="1"/>
  <c r="AA335" i="1" s="1"/>
  <c r="W111" i="1"/>
  <c r="Y111" i="1" s="1"/>
  <c r="W333" i="1"/>
  <c r="Y333" i="1" s="1"/>
  <c r="W250" i="1"/>
  <c r="Y250" i="1" s="1"/>
  <c r="W159" i="1"/>
  <c r="Z150" i="1"/>
  <c r="W100" i="1"/>
  <c r="Y100" i="1" s="1"/>
  <c r="W190" i="1"/>
  <c r="AA18" i="1"/>
  <c r="W257" i="1"/>
  <c r="W117" i="1"/>
  <c r="W116" i="1"/>
  <c r="W256" i="1"/>
  <c r="W140" i="1"/>
  <c r="W112" i="1"/>
  <c r="Z112" i="1" s="1"/>
  <c r="W72" i="1"/>
  <c r="Z17" i="1"/>
  <c r="S28" i="2" s="1"/>
  <c r="W136" i="1"/>
  <c r="Y136" i="1" s="1"/>
  <c r="W71" i="1"/>
  <c r="Y17" i="1"/>
  <c r="G7" i="1"/>
  <c r="W134" i="1"/>
  <c r="Y134" i="1" s="1"/>
  <c r="W36" i="1"/>
  <c r="Z36" i="1" s="1"/>
  <c r="W161" i="1"/>
  <c r="W80" i="1"/>
  <c r="W52" i="1"/>
  <c r="W188" i="1"/>
  <c r="W280" i="1"/>
  <c r="W162" i="1"/>
  <c r="W81" i="1"/>
  <c r="W53" i="1"/>
  <c r="W189" i="1"/>
  <c r="W283" i="1"/>
  <c r="W160" i="1"/>
  <c r="W128" i="1"/>
  <c r="W119" i="1"/>
  <c r="W108" i="1"/>
  <c r="W101" i="1"/>
  <c r="W79" i="1"/>
  <c r="W51" i="1"/>
  <c r="T14" i="1"/>
  <c r="W187" i="1"/>
  <c r="W279" i="1"/>
  <c r="W269" i="1"/>
  <c r="W47" i="1"/>
  <c r="W200" i="1"/>
  <c r="W180" i="1"/>
  <c r="W330" i="1"/>
  <c r="W273" i="1"/>
  <c r="W157" i="1"/>
  <c r="W77" i="1"/>
  <c r="W70" i="1"/>
  <c r="W50" i="1"/>
  <c r="W272" i="1"/>
  <c r="W76" i="1"/>
  <c r="W49" i="1"/>
  <c r="W69" i="1"/>
  <c r="W48" i="1"/>
  <c r="W201" i="1"/>
  <c r="W181" i="1"/>
  <c r="W132" i="1"/>
  <c r="W46" i="1"/>
  <c r="W32" i="1"/>
  <c r="W155" i="1"/>
  <c r="W75" i="1"/>
  <c r="U17" i="1"/>
  <c r="W198" i="1"/>
  <c r="W177" i="1"/>
  <c r="W168" i="1"/>
  <c r="W146" i="1"/>
  <c r="W138" i="1"/>
  <c r="W114" i="1"/>
  <c r="W104" i="1"/>
  <c r="W98" i="1"/>
  <c r="W66" i="1"/>
  <c r="AA66" i="1" s="1"/>
  <c r="W44" i="1"/>
  <c r="AA16" i="1"/>
  <c r="AC27" i="2" s="1"/>
  <c r="W197" i="1"/>
  <c r="W175" i="1"/>
  <c r="W236" i="1"/>
  <c r="Z236" i="1" s="1"/>
  <c r="W185" i="1"/>
  <c r="W202" i="1"/>
  <c r="W139" i="1"/>
  <c r="W179" i="1"/>
  <c r="W45" i="1"/>
  <c r="W167" i="1"/>
  <c r="W144" i="1"/>
  <c r="W123" i="1"/>
  <c r="W87" i="1"/>
  <c r="W74" i="1"/>
  <c r="W43" i="1"/>
  <c r="S17" i="1"/>
  <c r="Z16" i="1"/>
  <c r="S27" i="2" s="1"/>
  <c r="W196" i="1"/>
  <c r="W174" i="1"/>
  <c r="W312" i="1"/>
  <c r="W551" i="1"/>
  <c r="W156" i="1"/>
  <c r="W169" i="1"/>
  <c r="W166" i="1"/>
  <c r="W153" i="1"/>
  <c r="W137" i="1"/>
  <c r="W131" i="1"/>
  <c r="W86" i="1"/>
  <c r="U22" i="1"/>
  <c r="AA22" i="1" s="1"/>
  <c r="AC33" i="2" s="1"/>
  <c r="W194" i="1"/>
  <c r="W173" i="1"/>
  <c r="W307" i="1"/>
  <c r="Z307" i="1" s="1"/>
  <c r="W538" i="1"/>
  <c r="W182" i="1"/>
  <c r="W325" i="1"/>
  <c r="W165" i="1"/>
  <c r="W122" i="1"/>
  <c r="Y122" i="1" s="1"/>
  <c r="W85" i="1"/>
  <c r="T22" i="1"/>
  <c r="Z22" i="1" s="1"/>
  <c r="S33" i="2" s="1"/>
  <c r="Z15" i="1"/>
  <c r="W192" i="1"/>
  <c r="W171" i="1"/>
  <c r="W305" i="1"/>
  <c r="W527" i="1"/>
  <c r="W199" i="1"/>
  <c r="W143" i="1"/>
  <c r="W113" i="1"/>
  <c r="W102" i="1"/>
  <c r="W83" i="1"/>
  <c r="W41" i="1"/>
  <c r="W191" i="1"/>
  <c r="W170" i="1"/>
  <c r="W525" i="1"/>
  <c r="W164" i="1"/>
  <c r="W65" i="1"/>
  <c r="W163" i="1"/>
  <c r="W120" i="1"/>
  <c r="W82" i="1"/>
  <c r="W54" i="1"/>
  <c r="W38" i="1"/>
  <c r="W598" i="1"/>
  <c r="Z14" i="1"/>
  <c r="S25" i="2" s="1"/>
  <c r="W363" i="1"/>
  <c r="Z369" i="1"/>
  <c r="AA369" i="1"/>
  <c r="Y369" i="1"/>
  <c r="U14" i="1"/>
  <c r="U13" i="1"/>
  <c r="Y149" i="1"/>
  <c r="Z149" i="1"/>
  <c r="AA149" i="1"/>
  <c r="S22" i="1"/>
  <c r="Y22" i="1" s="1"/>
  <c r="I33" i="2" s="1"/>
  <c r="W103" i="1"/>
  <c r="W31" i="1"/>
  <c r="S23" i="1"/>
  <c r="Y23" i="1" s="1"/>
  <c r="U20" i="1"/>
  <c r="AA20" i="1" s="1"/>
  <c r="AC31" i="2" s="1"/>
  <c r="W364" i="1"/>
  <c r="W331" i="1"/>
  <c r="T20" i="1"/>
  <c r="Z20" i="1" s="1"/>
  <c r="W360" i="1"/>
  <c r="W351" i="1"/>
  <c r="W241" i="1"/>
  <c r="W154" i="1"/>
  <c r="W115" i="1"/>
  <c r="S20" i="1"/>
  <c r="Y20" i="1" s="1"/>
  <c r="I31" i="2" s="1"/>
  <c r="W425" i="1"/>
  <c r="W413" i="1"/>
  <c r="W443" i="1"/>
  <c r="W479" i="1"/>
  <c r="W371" i="1"/>
  <c r="W467" i="1"/>
  <c r="W407" i="1"/>
  <c r="W485" i="1"/>
  <c r="W389" i="1"/>
  <c r="W437" i="1"/>
  <c r="W455" i="1"/>
  <c r="W461" i="1"/>
  <c r="W473" i="1"/>
  <c r="W419" i="1"/>
  <c r="W431" i="1"/>
  <c r="W240" i="1"/>
  <c r="W246" i="1"/>
  <c r="W252" i="1"/>
  <c r="W311" i="1"/>
  <c r="W377" i="1"/>
  <c r="W383" i="1"/>
  <c r="W395" i="1"/>
  <c r="W401" i="1"/>
  <c r="W449" i="1"/>
  <c r="W258" i="1"/>
  <c r="W359" i="1"/>
  <c r="W68" i="1"/>
  <c r="W347" i="1"/>
  <c r="W329" i="1"/>
  <c r="W323" i="1"/>
  <c r="W428" i="1"/>
  <c r="W410" i="1"/>
  <c r="W452" i="1"/>
  <c r="W446" i="1"/>
  <c r="W476" i="1"/>
  <c r="W404" i="1"/>
  <c r="W482" i="1"/>
  <c r="W249" i="1"/>
  <c r="W458" i="1"/>
  <c r="W470" i="1"/>
  <c r="W434" i="1"/>
  <c r="W464" i="1"/>
  <c r="W440" i="1"/>
  <c r="W243" i="1"/>
  <c r="W374" i="1"/>
  <c r="W320" i="1"/>
  <c r="W368" i="1"/>
  <c r="W416" i="1"/>
  <c r="W422" i="1"/>
  <c r="W398" i="1"/>
  <c r="W386" i="1"/>
  <c r="W392" i="1"/>
  <c r="W326" i="1"/>
  <c r="W110" i="1"/>
  <c r="W237" i="1"/>
  <c r="W255" i="1"/>
  <c r="W308" i="1"/>
  <c r="W332" i="1"/>
  <c r="W362" i="1"/>
  <c r="W350" i="1"/>
  <c r="W314" i="1"/>
  <c r="AA14" i="1"/>
  <c r="AC25" i="2" s="1"/>
  <c r="W296" i="1"/>
  <c r="W380" i="1"/>
  <c r="W356" i="1"/>
  <c r="W344" i="1"/>
  <c r="W346" i="1"/>
  <c r="W341" i="1"/>
  <c r="W313" i="1"/>
  <c r="W251" i="1"/>
  <c r="U19" i="1"/>
  <c r="AA19" i="1" s="1"/>
  <c r="AC30" i="2" s="1"/>
  <c r="W427" i="1"/>
  <c r="W469" i="1"/>
  <c r="W421" i="1"/>
  <c r="W373" i="1"/>
  <c r="W415" i="1"/>
  <c r="W409" i="1"/>
  <c r="W463" i="1"/>
  <c r="W433" i="1"/>
  <c r="W439" i="1"/>
  <c r="W445" i="1"/>
  <c r="W451" i="1"/>
  <c r="W457" i="1"/>
  <c r="W475" i="1"/>
  <c r="W481" i="1"/>
  <c r="W379" i="1"/>
  <c r="W295" i="1"/>
  <c r="W343" i="1"/>
  <c r="W403" i="1"/>
  <c r="W242" i="1"/>
  <c r="S14" i="1"/>
  <c r="U16" i="1"/>
  <c r="T23" i="1"/>
  <c r="Z23" i="1" s="1"/>
  <c r="S34" i="2" s="1"/>
  <c r="W248" i="1"/>
  <c r="W337" i="1"/>
  <c r="W397" i="1"/>
  <c r="W391" i="1"/>
  <c r="W319" i="1"/>
  <c r="W367" i="1"/>
  <c r="W385" i="1"/>
  <c r="W355" i="1"/>
  <c r="T17" i="1"/>
  <c r="S24" i="1"/>
  <c r="Y24" i="1" s="1"/>
  <c r="I35" i="2" s="1"/>
  <c r="W254" i="1"/>
  <c r="Y13" i="1"/>
  <c r="T18" i="1"/>
  <c r="W37" i="1"/>
  <c r="W361" i="1"/>
  <c r="Z13" i="1"/>
  <c r="S24" i="2" s="1"/>
  <c r="S16" i="1"/>
  <c r="W97" i="1"/>
  <c r="W412" i="1"/>
  <c r="W460" i="1"/>
  <c r="W430" i="1"/>
  <c r="W400" i="1"/>
  <c r="W418" i="1"/>
  <c r="W448" i="1"/>
  <c r="W472" i="1"/>
  <c r="W484" i="1"/>
  <c r="W424" i="1"/>
  <c r="W406" i="1"/>
  <c r="W466" i="1"/>
  <c r="W478" i="1"/>
  <c r="W454" i="1"/>
  <c r="W442" i="1"/>
  <c r="W304" i="1"/>
  <c r="W352" i="1"/>
  <c r="W239" i="1"/>
  <c r="W245" i="1"/>
  <c r="W334" i="1"/>
  <c r="W142" i="1"/>
  <c r="W376" i="1"/>
  <c r="W316" i="1"/>
  <c r="W298" i="1"/>
  <c r="W370" i="1"/>
  <c r="W340" i="1"/>
  <c r="W322" i="1"/>
  <c r="W436" i="1"/>
  <c r="W388" i="1"/>
  <c r="W310" i="1"/>
  <c r="W358" i="1"/>
  <c r="W349" i="1"/>
  <c r="AA299" i="1"/>
  <c r="Z299" i="1"/>
  <c r="W382" i="1"/>
  <c r="T19" i="1"/>
  <c r="Z19" i="1" s="1"/>
  <c r="T13" i="1"/>
  <c r="AA150" i="1"/>
  <c r="W148" i="1"/>
  <c r="W109" i="1"/>
  <c r="W40" i="1"/>
  <c r="U24" i="1"/>
  <c r="AA24" i="1" s="1"/>
  <c r="AC35" i="2" s="1"/>
  <c r="S19" i="1"/>
  <c r="Y19" i="1" s="1"/>
  <c r="I30" i="2" s="1"/>
  <c r="T16" i="1"/>
  <c r="S13" i="1"/>
  <c r="W328" i="1"/>
  <c r="W317" i="1"/>
  <c r="W121" i="1"/>
  <c r="U21" i="1"/>
  <c r="AA21" i="1" s="1"/>
  <c r="AC32" i="2" s="1"/>
  <c r="T24" i="1"/>
  <c r="Z24" i="1" s="1"/>
  <c r="T21" i="1"/>
  <c r="Z21" i="1" s="1"/>
  <c r="S32" i="2" s="1"/>
  <c r="Y15" i="1"/>
  <c r="I26" i="2" s="1"/>
  <c r="W353" i="1"/>
  <c r="W338" i="1"/>
  <c r="W133" i="1"/>
  <c r="S21" i="1"/>
  <c r="Y21" i="1" s="1"/>
  <c r="I32" i="2" s="1"/>
  <c r="W444" i="1"/>
  <c r="W408" i="1"/>
  <c r="W414" i="1"/>
  <c r="W420" i="1"/>
  <c r="W432" i="1"/>
  <c r="W456" i="1"/>
  <c r="W384" i="1"/>
  <c r="W438" i="1"/>
  <c r="W450" i="1"/>
  <c r="W462" i="1"/>
  <c r="W468" i="1"/>
  <c r="W474" i="1"/>
  <c r="W426" i="1"/>
  <c r="W486" i="1"/>
  <c r="W480" i="1"/>
  <c r="W372" i="1"/>
  <c r="W378" i="1"/>
  <c r="W390" i="1"/>
  <c r="W396" i="1"/>
  <c r="W402" i="1"/>
  <c r="W336" i="1"/>
  <c r="W259" i="1"/>
  <c r="W300" i="1"/>
  <c r="W354" i="1"/>
  <c r="Y18" i="1"/>
  <c r="W42" i="1"/>
  <c r="W126" i="1"/>
  <c r="W342" i="1"/>
  <c r="W324" i="1"/>
  <c r="W306" i="1"/>
  <c r="W247" i="1"/>
  <c r="W318" i="1"/>
  <c r="W366" i="1"/>
  <c r="W405" i="1"/>
  <c r="W435" i="1"/>
  <c r="W483" i="1"/>
  <c r="W417" i="1"/>
  <c r="W429" i="1"/>
  <c r="W459" i="1"/>
  <c r="W477" i="1"/>
  <c r="W244" i="1"/>
  <c r="W441" i="1"/>
  <c r="W411" i="1"/>
  <c r="W447" i="1"/>
  <c r="W465" i="1"/>
  <c r="W453" i="1"/>
  <c r="W471" i="1"/>
  <c r="W387" i="1"/>
  <c r="W238" i="1"/>
  <c r="W423" i="1"/>
  <c r="W375" i="1"/>
  <c r="W381" i="1"/>
  <c r="W393" i="1"/>
  <c r="W399" i="1"/>
  <c r="W327" i="1"/>
  <c r="W303" i="1"/>
  <c r="W345" i="1"/>
  <c r="W315" i="1"/>
  <c r="AA15" i="1"/>
  <c r="AC26" i="2" s="1"/>
  <c r="F25" i="7" s="1"/>
  <c r="U7" i="1"/>
  <c r="W365" i="1"/>
  <c r="W357" i="1"/>
  <c r="W145" i="1"/>
  <c r="W34" i="1"/>
  <c r="U18" i="1"/>
  <c r="U15" i="1"/>
  <c r="T7" i="1"/>
  <c r="W348" i="1"/>
  <c r="W321" i="1"/>
  <c r="W297" i="1"/>
  <c r="W394" i="1"/>
  <c r="AA147" i="1"/>
  <c r="W64" i="1"/>
  <c r="W39" i="1"/>
  <c r="AA36" i="1"/>
  <c r="S18" i="1"/>
  <c r="T15" i="1"/>
  <c r="S7" i="1"/>
  <c r="W253" i="1"/>
  <c r="W106" i="1"/>
  <c r="W118" i="1"/>
  <c r="W130" i="1"/>
  <c r="U23" i="1"/>
  <c r="AA23" i="1" s="1"/>
  <c r="AC34" i="2" s="1"/>
  <c r="F33" i="7" s="1"/>
  <c r="AA17" i="1"/>
  <c r="AC28" i="2" s="1"/>
  <c r="F27" i="7" s="1"/>
  <c r="S15" i="1"/>
  <c r="W309" i="1"/>
  <c r="W195" i="1"/>
  <c r="W183" i="1"/>
  <c r="W267" i="1"/>
  <c r="W264" i="1"/>
  <c r="W261" i="1"/>
  <c r="W215" i="1"/>
  <c r="W567" i="1"/>
  <c r="W614" i="1"/>
  <c r="W630" i="1"/>
  <c r="W646" i="1"/>
  <c r="W662" i="1"/>
  <c r="W678" i="1"/>
  <c r="W580" i="1"/>
  <c r="W596" i="1"/>
  <c r="W603" i="1"/>
  <c r="W619" i="1"/>
  <c r="W635" i="1"/>
  <c r="W651" i="1"/>
  <c r="W616" i="1"/>
  <c r="W624" i="1"/>
  <c r="W637" i="1"/>
  <c r="W650" i="1"/>
  <c r="W655" i="1"/>
  <c r="W660" i="1"/>
  <c r="W677" i="1"/>
  <c r="W571" i="1"/>
  <c r="W588" i="1"/>
  <c r="W611" i="1"/>
  <c r="W606" i="1"/>
  <c r="W627" i="1"/>
  <c r="W658" i="1"/>
  <c r="W675" i="1"/>
  <c r="W586" i="1"/>
  <c r="W622" i="1"/>
  <c r="W648" i="1"/>
  <c r="W663" i="1"/>
  <c r="W574" i="1"/>
  <c r="W591" i="1"/>
  <c r="W609" i="1"/>
  <c r="W604" i="1"/>
  <c r="W608" i="1"/>
  <c r="W620" i="1"/>
  <c r="W575" i="1"/>
  <c r="W578" i="1"/>
  <c r="W581" i="1"/>
  <c r="W590" i="1"/>
  <c r="W593" i="1"/>
  <c r="W602" i="1"/>
  <c r="W491" i="1"/>
  <c r="W507" i="1"/>
  <c r="W523" i="1"/>
  <c r="W539" i="1"/>
  <c r="W555" i="1"/>
  <c r="W631" i="1"/>
  <c r="W638" i="1"/>
  <c r="W641" i="1"/>
  <c r="W496" i="1"/>
  <c r="W512" i="1"/>
  <c r="W625" i="1"/>
  <c r="W629" i="1"/>
  <c r="W644" i="1"/>
  <c r="W665" i="1"/>
  <c r="W672" i="1"/>
  <c r="W583" i="1"/>
  <c r="W597" i="1"/>
  <c r="W490" i="1"/>
  <c r="W516" i="1"/>
  <c r="W536" i="1"/>
  <c r="W558" i="1"/>
  <c r="W216" i="1"/>
  <c r="W260" i="1"/>
  <c r="W605" i="1"/>
  <c r="W669" i="1"/>
  <c r="W573" i="1"/>
  <c r="W594" i="1"/>
  <c r="W498" i="1"/>
  <c r="W511" i="1"/>
  <c r="W519" i="1"/>
  <c r="W524" i="1"/>
  <c r="W676" i="1"/>
  <c r="W570" i="1"/>
  <c r="W587" i="1"/>
  <c r="W601" i="1"/>
  <c r="W506" i="1"/>
  <c r="W529" i="1"/>
  <c r="W652" i="1"/>
  <c r="W666" i="1"/>
  <c r="W577" i="1"/>
  <c r="W493" i="1"/>
  <c r="W501" i="1"/>
  <c r="W514" i="1"/>
  <c r="W534" i="1"/>
  <c r="W556" i="1"/>
  <c r="W205" i="1"/>
  <c r="W617" i="1"/>
  <c r="W621" i="1"/>
  <c r="W645" i="1"/>
  <c r="W659" i="1"/>
  <c r="W673" i="1"/>
  <c r="W584" i="1"/>
  <c r="W488" i="1"/>
  <c r="W522" i="1"/>
  <c r="W613" i="1"/>
  <c r="W653" i="1"/>
  <c r="W585" i="1"/>
  <c r="W595" i="1"/>
  <c r="W494" i="1"/>
  <c r="W520" i="1"/>
  <c r="W636" i="1"/>
  <c r="W647" i="1"/>
  <c r="W668" i="1"/>
  <c r="W513" i="1"/>
  <c r="W610" i="1"/>
  <c r="W576" i="1"/>
  <c r="W487" i="1"/>
  <c r="W615" i="1"/>
  <c r="W633" i="1"/>
  <c r="W640" i="1"/>
  <c r="W495" i="1"/>
  <c r="W518" i="1"/>
  <c r="W628" i="1"/>
  <c r="W661" i="1"/>
  <c r="W592" i="1"/>
  <c r="W500" i="1"/>
  <c r="W526" i="1"/>
  <c r="W607" i="1"/>
  <c r="W618" i="1"/>
  <c r="W654" i="1"/>
  <c r="W670" i="1"/>
  <c r="W599" i="1"/>
  <c r="W505" i="1"/>
  <c r="W510" i="1"/>
  <c r="W548" i="1"/>
  <c r="W515" i="1"/>
  <c r="W530" i="1"/>
  <c r="W533" i="1"/>
  <c r="W656" i="1"/>
  <c r="W579" i="1"/>
  <c r="W600" i="1"/>
  <c r="W492" i="1"/>
  <c r="W537" i="1"/>
  <c r="W549" i="1"/>
  <c r="W560" i="1"/>
  <c r="W213" i="1"/>
  <c r="W639" i="1"/>
  <c r="W649" i="1"/>
  <c r="W671" i="1"/>
  <c r="W497" i="1"/>
  <c r="W540" i="1"/>
  <c r="W546" i="1"/>
  <c r="W563" i="1"/>
  <c r="W208" i="1"/>
  <c r="W612" i="1"/>
  <c r="W657" i="1"/>
  <c r="W643" i="1"/>
  <c r="W504" i="1"/>
  <c r="W532" i="1"/>
  <c r="W553" i="1"/>
  <c r="W509" i="1"/>
  <c r="W521" i="1"/>
  <c r="W535" i="1"/>
  <c r="W562" i="1"/>
  <c r="W565" i="1"/>
  <c r="W559" i="1"/>
  <c r="W545" i="1"/>
  <c r="W569" i="1"/>
  <c r="W503" i="1"/>
  <c r="W541" i="1"/>
  <c r="W566" i="1"/>
  <c r="W211" i="1"/>
  <c r="W214" i="1"/>
  <c r="W642" i="1"/>
  <c r="W664" i="1"/>
  <c r="W542" i="1"/>
  <c r="W270" i="1"/>
  <c r="W184" i="1"/>
  <c r="W582" i="1"/>
  <c r="W531" i="1"/>
  <c r="W550" i="1"/>
  <c r="W277" i="1"/>
  <c r="W667" i="1"/>
  <c r="W632" i="1"/>
  <c r="W674" i="1"/>
  <c r="W489" i="1"/>
  <c r="W499" i="1"/>
  <c r="W634" i="1"/>
  <c r="W589" i="1"/>
  <c r="W528" i="1"/>
  <c r="W552" i="1"/>
  <c r="W204" i="1"/>
  <c r="W207" i="1"/>
  <c r="W210" i="1"/>
  <c r="W178" i="1"/>
  <c r="W275" i="1"/>
  <c r="W543" i="1"/>
  <c r="W502" i="1"/>
  <c r="W282" i="1"/>
  <c r="W274" i="1"/>
  <c r="W266" i="1"/>
  <c r="W263" i="1"/>
  <c r="W206" i="1"/>
  <c r="W564" i="1"/>
  <c r="W557" i="1"/>
  <c r="W172" i="1"/>
  <c r="W212" i="1"/>
  <c r="W572" i="1"/>
  <c r="W271" i="1"/>
  <c r="W276" i="1"/>
  <c r="W265" i="1"/>
  <c r="W547" i="1"/>
  <c r="W517" i="1"/>
  <c r="W281" i="1"/>
  <c r="W268" i="1"/>
  <c r="W262" i="1"/>
  <c r="W568" i="1"/>
  <c r="W626" i="1"/>
  <c r="W561" i="1"/>
  <c r="W554" i="1"/>
  <c r="W508" i="1"/>
  <c r="W623" i="1"/>
  <c r="W158" i="1"/>
  <c r="W84" i="1"/>
  <c r="W193" i="1"/>
  <c r="W176" i="1"/>
  <c r="W278" i="1"/>
  <c r="W209" i="1"/>
  <c r="W203" i="1"/>
  <c r="W544" i="1"/>
  <c r="F50" i="2"/>
  <c r="P15" i="2"/>
  <c r="H24" i="2"/>
  <c r="P24" i="2"/>
  <c r="Z31" i="2"/>
  <c r="Z27" i="2"/>
  <c r="F22" i="2"/>
  <c r="G15" i="2"/>
  <c r="Q31" i="2"/>
  <c r="P63" i="2"/>
  <c r="P55" i="2"/>
  <c r="AA21" i="2"/>
  <c r="F15" i="2"/>
  <c r="P31" i="2"/>
  <c r="F44" i="2"/>
  <c r="F70" i="2"/>
  <c r="Z21" i="2"/>
  <c r="F14" i="2"/>
  <c r="P30" i="2"/>
  <c r="F54" i="2"/>
  <c r="F45" i="2"/>
  <c r="Z20" i="2"/>
  <c r="G30" i="2"/>
  <c r="P44" i="2"/>
  <c r="F62" i="2"/>
  <c r="Q20" i="2"/>
  <c r="F30" i="2"/>
  <c r="Z68" i="2"/>
  <c r="Z52" i="2"/>
  <c r="P20" i="2"/>
  <c r="F29" i="2"/>
  <c r="P75" i="2"/>
  <c r="P19" i="2"/>
  <c r="Z35" i="2"/>
  <c r="AA28" i="2"/>
  <c r="Z60" i="2"/>
  <c r="P51" i="2"/>
  <c r="G19" i="2"/>
  <c r="Q35" i="2"/>
  <c r="Z28" i="2"/>
  <c r="P67" i="2"/>
  <c r="Z48" i="2"/>
  <c r="F19" i="2"/>
  <c r="P35" i="2"/>
  <c r="F74" i="2"/>
  <c r="P34" i="2"/>
  <c r="P59" i="2"/>
  <c r="AA17" i="2"/>
  <c r="G34" i="2"/>
  <c r="P27" i="2"/>
  <c r="F66" i="2"/>
  <c r="R11" i="2"/>
  <c r="C17" i="8" s="1"/>
  <c r="E17" i="8" s="1"/>
  <c r="Z17" i="2"/>
  <c r="F34" i="2"/>
  <c r="P26" i="2"/>
  <c r="Z72" i="2"/>
  <c r="F58" i="2"/>
  <c r="P47" i="2"/>
  <c r="F18" i="2"/>
  <c r="Q27" i="2"/>
  <c r="Z16" i="2"/>
  <c r="F33" i="2"/>
  <c r="G26" i="2"/>
  <c r="Q16" i="2"/>
  <c r="AA32" i="2"/>
  <c r="F26" i="2"/>
  <c r="Z64" i="2"/>
  <c r="H47" i="2"/>
  <c r="AB53" i="2"/>
  <c r="O18" i="7" s="1"/>
  <c r="R56" i="2"/>
  <c r="H59" i="2"/>
  <c r="AB61" i="2"/>
  <c r="O26" i="7" s="1"/>
  <c r="R64" i="2"/>
  <c r="H67" i="2"/>
  <c r="R68" i="2"/>
  <c r="H71" i="2"/>
  <c r="AB73" i="2"/>
  <c r="O38" i="7" s="1"/>
  <c r="Q44" i="2"/>
  <c r="Z11" i="2"/>
  <c r="P10" i="2"/>
  <c r="AB45" i="2"/>
  <c r="O10" i="7" s="1"/>
  <c r="R48" i="2"/>
  <c r="AB49" i="2"/>
  <c r="O14" i="7" s="1"/>
  <c r="H51" i="2"/>
  <c r="R52" i="2"/>
  <c r="H55" i="2"/>
  <c r="AB57" i="2"/>
  <c r="O22" i="7" s="1"/>
  <c r="R60" i="2"/>
  <c r="H63" i="2"/>
  <c r="AB65" i="2"/>
  <c r="O30" i="7" s="1"/>
  <c r="AB69" i="2"/>
  <c r="O34" i="7" s="1"/>
  <c r="R72" i="2"/>
  <c r="H75" i="2"/>
  <c r="F8" i="2"/>
  <c r="H10" i="2"/>
  <c r="AB13" i="2"/>
  <c r="E12" i="7" s="1"/>
  <c r="P16" i="2"/>
  <c r="Z32" i="2"/>
  <c r="F25" i="2"/>
  <c r="P71" i="2"/>
  <c r="Z56" i="2"/>
  <c r="F46" i="2"/>
  <c r="F10" i="2"/>
  <c r="P11" i="2"/>
  <c r="Z13" i="2"/>
  <c r="F24" i="2"/>
  <c r="G44" i="2"/>
  <c r="R75" i="2"/>
  <c r="H74" i="2"/>
  <c r="AB72" i="2"/>
  <c r="O37" i="7" s="1"/>
  <c r="R71" i="2"/>
  <c r="H70" i="2"/>
  <c r="AB68" i="2"/>
  <c r="O33" i="7" s="1"/>
  <c r="R67" i="2"/>
  <c r="H66" i="2"/>
  <c r="AB64" i="2"/>
  <c r="O29" i="7" s="1"/>
  <c r="R63" i="2"/>
  <c r="H62" i="2"/>
  <c r="AB60" i="2"/>
  <c r="O25" i="7" s="1"/>
  <c r="R59" i="2"/>
  <c r="H58" i="2"/>
  <c r="AB56" i="2"/>
  <c r="O21" i="7" s="1"/>
  <c r="R55" i="2"/>
  <c r="H54" i="2"/>
  <c r="AB52" i="2"/>
  <c r="O17" i="7" s="1"/>
  <c r="R51" i="2"/>
  <c r="H50" i="2"/>
  <c r="AB48" i="2"/>
  <c r="O13" i="7" s="1"/>
  <c r="R47" i="2"/>
  <c r="H46" i="2"/>
  <c r="G10" i="2"/>
  <c r="Q11" i="2"/>
  <c r="AA13" i="2"/>
  <c r="AB21" i="2"/>
  <c r="E20" i="7" s="1"/>
  <c r="R20" i="2"/>
  <c r="H19" i="2"/>
  <c r="AB17" i="2"/>
  <c r="E16" i="7" s="1"/>
  <c r="R16" i="2"/>
  <c r="H15" i="2"/>
  <c r="G24" i="2"/>
  <c r="R35" i="2"/>
  <c r="H34" i="2"/>
  <c r="AB32" i="2"/>
  <c r="E31" i="7" s="1"/>
  <c r="R31" i="2"/>
  <c r="H30" i="2"/>
  <c r="AB28" i="2"/>
  <c r="E27" i="7" s="1"/>
  <c r="R27" i="2"/>
  <c r="H26" i="2"/>
  <c r="H44" i="2"/>
  <c r="Q75" i="2"/>
  <c r="G74" i="2"/>
  <c r="AA72" i="2"/>
  <c r="Q71" i="2"/>
  <c r="G70" i="2"/>
  <c r="AA68" i="2"/>
  <c r="Q67" i="2"/>
  <c r="G66" i="2"/>
  <c r="AA64" i="2"/>
  <c r="Q63" i="2"/>
  <c r="G62" i="2"/>
  <c r="AA60" i="2"/>
  <c r="Q59" i="2"/>
  <c r="G58" i="2"/>
  <c r="AA56" i="2"/>
  <c r="Q55" i="2"/>
  <c r="G54" i="2"/>
  <c r="AA52" i="2"/>
  <c r="Q51" i="2"/>
  <c r="G50" i="2"/>
  <c r="AA48" i="2"/>
  <c r="Q47" i="2"/>
  <c r="G46" i="2"/>
  <c r="G8" i="2"/>
  <c r="Q10" i="2"/>
  <c r="AA11" i="2"/>
  <c r="AB22" i="2"/>
  <c r="E21" i="7" s="1"/>
  <c r="R21" i="2"/>
  <c r="H20" i="2"/>
  <c r="AB18" i="2"/>
  <c r="E17" i="7" s="1"/>
  <c r="R17" i="2"/>
  <c r="H16" i="2"/>
  <c r="AB14" i="2"/>
  <c r="E13" i="7" s="1"/>
  <c r="Q24" i="2"/>
  <c r="H35" i="2"/>
  <c r="AB33" i="2"/>
  <c r="E32" i="7" s="1"/>
  <c r="R32" i="2"/>
  <c r="H31" i="2"/>
  <c r="AB29" i="2"/>
  <c r="E28" i="7" s="1"/>
  <c r="R28" i="2"/>
  <c r="H27" i="2"/>
  <c r="AB25" i="2"/>
  <c r="E24" i="7" s="1"/>
  <c r="R44" i="2"/>
  <c r="G75" i="2"/>
  <c r="AA73" i="2"/>
  <c r="Q72" i="2"/>
  <c r="G71" i="2"/>
  <c r="AA69" i="2"/>
  <c r="Q68" i="2"/>
  <c r="G67" i="2"/>
  <c r="AA65" i="2"/>
  <c r="Q64" i="2"/>
  <c r="G63" i="2"/>
  <c r="AA61" i="2"/>
  <c r="Q60" i="2"/>
  <c r="G59" i="2"/>
  <c r="AA57" i="2"/>
  <c r="Q56" i="2"/>
  <c r="G55" i="2"/>
  <c r="AA53" i="2"/>
  <c r="Q52" i="2"/>
  <c r="G51" i="2"/>
  <c r="AA49" i="2"/>
  <c r="Q48" i="2"/>
  <c r="G47" i="2"/>
  <c r="AA45" i="2"/>
  <c r="H8" i="2"/>
  <c r="R10" i="2"/>
  <c r="C16" i="8" s="1"/>
  <c r="AB11" i="2"/>
  <c r="AA22" i="2"/>
  <c r="Q21" i="2"/>
  <c r="G20" i="2"/>
  <c r="AA18" i="2"/>
  <c r="Q17" i="2"/>
  <c r="G16" i="2"/>
  <c r="AA14" i="2"/>
  <c r="R24" i="2"/>
  <c r="G35" i="2"/>
  <c r="AA33" i="2"/>
  <c r="Q32" i="2"/>
  <c r="G31" i="2"/>
  <c r="AA29" i="2"/>
  <c r="Q28" i="2"/>
  <c r="G27" i="2"/>
  <c r="AA25" i="2"/>
  <c r="F75" i="2"/>
  <c r="Z73" i="2"/>
  <c r="P72" i="2"/>
  <c r="F71" i="2"/>
  <c r="Z69" i="2"/>
  <c r="P68" i="2"/>
  <c r="F67" i="2"/>
  <c r="Z65" i="2"/>
  <c r="P64" i="2"/>
  <c r="F63" i="2"/>
  <c r="Z61" i="2"/>
  <c r="P60" i="2"/>
  <c r="F59" i="2"/>
  <c r="Z57" i="2"/>
  <c r="P56" i="2"/>
  <c r="F55" i="2"/>
  <c r="Z53" i="2"/>
  <c r="P52" i="2"/>
  <c r="F51" i="2"/>
  <c r="Z49" i="2"/>
  <c r="P48" i="2"/>
  <c r="F47" i="2"/>
  <c r="Z45" i="2"/>
  <c r="Z22" i="2"/>
  <c r="P21" i="2"/>
  <c r="F20" i="2"/>
  <c r="Z18" i="2"/>
  <c r="P17" i="2"/>
  <c r="F16" i="2"/>
  <c r="Z14" i="2"/>
  <c r="F35" i="2"/>
  <c r="Z33" i="2"/>
  <c r="P32" i="2"/>
  <c r="F31" i="2"/>
  <c r="Z29" i="2"/>
  <c r="P28" i="2"/>
  <c r="F27" i="2"/>
  <c r="Z25" i="2"/>
  <c r="Z44" i="2"/>
  <c r="P8" i="2"/>
  <c r="Z10" i="2"/>
  <c r="F13" i="2"/>
  <c r="Z24" i="2"/>
  <c r="I28" i="2"/>
  <c r="AA44" i="2"/>
  <c r="AB74" i="2"/>
  <c r="O39" i="7" s="1"/>
  <c r="R73" i="2"/>
  <c r="H72" i="2"/>
  <c r="AB70" i="2"/>
  <c r="O35" i="7" s="1"/>
  <c r="R69" i="2"/>
  <c r="H68" i="2"/>
  <c r="AB66" i="2"/>
  <c r="O31" i="7" s="1"/>
  <c r="R65" i="2"/>
  <c r="H64" i="2"/>
  <c r="AB62" i="2"/>
  <c r="O27" i="7" s="1"/>
  <c r="R61" i="2"/>
  <c r="H60" i="2"/>
  <c r="AB58" i="2"/>
  <c r="O23" i="7" s="1"/>
  <c r="R57" i="2"/>
  <c r="H56" i="2"/>
  <c r="AB54" i="2"/>
  <c r="O19" i="7" s="1"/>
  <c r="R53" i="2"/>
  <c r="H52" i="2"/>
  <c r="AB50" i="2"/>
  <c r="O15" i="7" s="1"/>
  <c r="R49" i="2"/>
  <c r="H48" i="2"/>
  <c r="AB46" i="2"/>
  <c r="O11" i="7" s="1"/>
  <c r="R45" i="2"/>
  <c r="Q8" i="2"/>
  <c r="AA10" i="2"/>
  <c r="G13" i="2"/>
  <c r="R22" i="2"/>
  <c r="H21" i="2"/>
  <c r="AB19" i="2"/>
  <c r="E18" i="7" s="1"/>
  <c r="R18" i="2"/>
  <c r="H17" i="2"/>
  <c r="AB15" i="2"/>
  <c r="E14" i="7" s="1"/>
  <c r="R14" i="2"/>
  <c r="AA24" i="2"/>
  <c r="AB34" i="2"/>
  <c r="E33" i="7" s="1"/>
  <c r="R33" i="2"/>
  <c r="H32" i="2"/>
  <c r="AB30" i="2"/>
  <c r="E29" i="7" s="1"/>
  <c r="R29" i="2"/>
  <c r="H28" i="2"/>
  <c r="AB26" i="2"/>
  <c r="E25" i="7" s="1"/>
  <c r="R25" i="2"/>
  <c r="AB44" i="2"/>
  <c r="O9" i="7" s="1"/>
  <c r="AA74" i="2"/>
  <c r="Q73" i="2"/>
  <c r="G72" i="2"/>
  <c r="AA70" i="2"/>
  <c r="Q69" i="2"/>
  <c r="G68" i="2"/>
  <c r="AA66" i="2"/>
  <c r="Q65" i="2"/>
  <c r="G64" i="2"/>
  <c r="AA62" i="2"/>
  <c r="Q61" i="2"/>
  <c r="G60" i="2"/>
  <c r="AA58" i="2"/>
  <c r="Q57" i="2"/>
  <c r="G56" i="2"/>
  <c r="AA54" i="2"/>
  <c r="Q53" i="2"/>
  <c r="G52" i="2"/>
  <c r="AA50" i="2"/>
  <c r="Q49" i="2"/>
  <c r="G48" i="2"/>
  <c r="AA46" i="2"/>
  <c r="Q45" i="2"/>
  <c r="R8" i="2"/>
  <c r="AB10" i="2"/>
  <c r="H13" i="2"/>
  <c r="Q22" i="2"/>
  <c r="G21" i="2"/>
  <c r="AA19" i="2"/>
  <c r="Q18" i="2"/>
  <c r="G17" i="2"/>
  <c r="AA15" i="2"/>
  <c r="Q14" i="2"/>
  <c r="AB24" i="2"/>
  <c r="E23" i="7" s="1"/>
  <c r="AA34" i="2"/>
  <c r="Q33" i="2"/>
  <c r="G32" i="2"/>
  <c r="AA30" i="2"/>
  <c r="Q29" i="2"/>
  <c r="G28" i="2"/>
  <c r="AA26" i="2"/>
  <c r="Q25" i="2"/>
  <c r="Z74" i="2"/>
  <c r="P73" i="2"/>
  <c r="F72" i="2"/>
  <c r="Z70" i="2"/>
  <c r="P69" i="2"/>
  <c r="F68" i="2"/>
  <c r="Z66" i="2"/>
  <c r="P65" i="2"/>
  <c r="F64" i="2"/>
  <c r="Z62" i="2"/>
  <c r="P61" i="2"/>
  <c r="F60" i="2"/>
  <c r="Z58" i="2"/>
  <c r="P57" i="2"/>
  <c r="F56" i="2"/>
  <c r="Z54" i="2"/>
  <c r="P53" i="2"/>
  <c r="F52" i="2"/>
  <c r="Z50" i="2"/>
  <c r="P49" i="2"/>
  <c r="F48" i="2"/>
  <c r="Z46" i="2"/>
  <c r="P45" i="2"/>
  <c r="P22" i="2"/>
  <c r="F21" i="2"/>
  <c r="Z19" i="2"/>
  <c r="P18" i="2"/>
  <c r="F17" i="2"/>
  <c r="Z15" i="2"/>
  <c r="P14" i="2"/>
  <c r="Z34" i="2"/>
  <c r="P33" i="2"/>
  <c r="F32" i="2"/>
  <c r="Z30" i="2"/>
  <c r="P29" i="2"/>
  <c r="F28" i="2"/>
  <c r="Z26" i="2"/>
  <c r="P25" i="2"/>
  <c r="Z8" i="2"/>
  <c r="F11" i="2"/>
  <c r="P13" i="2"/>
  <c r="S30" i="2"/>
  <c r="AB75" i="2"/>
  <c r="O40" i="7" s="1"/>
  <c r="R74" i="2"/>
  <c r="H73" i="2"/>
  <c r="AB71" i="2"/>
  <c r="O36" i="7" s="1"/>
  <c r="R70" i="2"/>
  <c r="H69" i="2"/>
  <c r="AB67" i="2"/>
  <c r="O32" i="7" s="1"/>
  <c r="R66" i="2"/>
  <c r="H65" i="2"/>
  <c r="AB63" i="2"/>
  <c r="O28" i="7" s="1"/>
  <c r="R62" i="2"/>
  <c r="H61" i="2"/>
  <c r="AB59" i="2"/>
  <c r="O24" i="7" s="1"/>
  <c r="R58" i="2"/>
  <c r="H57" i="2"/>
  <c r="AB55" i="2"/>
  <c r="O20" i="7" s="1"/>
  <c r="R54" i="2"/>
  <c r="H53" i="2"/>
  <c r="AB51" i="2"/>
  <c r="O16" i="7" s="1"/>
  <c r="R50" i="2"/>
  <c r="H49" i="2"/>
  <c r="AB47" i="2"/>
  <c r="O12" i="7" s="1"/>
  <c r="R46" i="2"/>
  <c r="H45" i="2"/>
  <c r="AA8" i="2"/>
  <c r="G11" i="2"/>
  <c r="Q13" i="2"/>
  <c r="H22" i="2"/>
  <c r="AB20" i="2"/>
  <c r="E19" i="7" s="1"/>
  <c r="R19" i="2"/>
  <c r="H18" i="2"/>
  <c r="AB16" i="2"/>
  <c r="E15" i="7" s="1"/>
  <c r="R15" i="2"/>
  <c r="H14" i="2"/>
  <c r="AB35" i="2"/>
  <c r="E34" i="7" s="1"/>
  <c r="R34" i="2"/>
  <c r="H33" i="2"/>
  <c r="AB31" i="2"/>
  <c r="E30" i="7" s="1"/>
  <c r="R30" i="2"/>
  <c r="H29" i="2"/>
  <c r="AB27" i="2"/>
  <c r="E26" i="7" s="1"/>
  <c r="R26" i="2"/>
  <c r="H25" i="2"/>
  <c r="AA75" i="2"/>
  <c r="Q74" i="2"/>
  <c r="G73" i="2"/>
  <c r="AA71" i="2"/>
  <c r="Q70" i="2"/>
  <c r="G69" i="2"/>
  <c r="AA67" i="2"/>
  <c r="Q66" i="2"/>
  <c r="G65" i="2"/>
  <c r="AA63" i="2"/>
  <c r="Q62" i="2"/>
  <c r="G61" i="2"/>
  <c r="AA59" i="2"/>
  <c r="Q58" i="2"/>
  <c r="G57" i="2"/>
  <c r="AA55" i="2"/>
  <c r="Q54" i="2"/>
  <c r="G53" i="2"/>
  <c r="AA51" i="2"/>
  <c r="Q50" i="2"/>
  <c r="G49" i="2"/>
  <c r="AA47" i="2"/>
  <c r="Q46" i="2"/>
  <c r="G45" i="2"/>
  <c r="AB8" i="2"/>
  <c r="E7" i="7" s="1"/>
  <c r="H11" i="2"/>
  <c r="R13" i="2"/>
  <c r="G22" i="2"/>
  <c r="AA20" i="2"/>
  <c r="Q19" i="2"/>
  <c r="G18" i="2"/>
  <c r="AA16" i="2"/>
  <c r="Q15" i="2"/>
  <c r="G14" i="2"/>
  <c r="AA35" i="2"/>
  <c r="Q34" i="2"/>
  <c r="G33" i="2"/>
  <c r="AA31" i="2"/>
  <c r="Q30" i="2"/>
  <c r="G29" i="2"/>
  <c r="AA27" i="2"/>
  <c r="Q26" i="2"/>
  <c r="G25" i="2"/>
  <c r="Z75" i="2"/>
  <c r="P74" i="2"/>
  <c r="F73" i="2"/>
  <c r="Z71" i="2"/>
  <c r="P70" i="2"/>
  <c r="F69" i="2"/>
  <c r="Z67" i="2"/>
  <c r="P66" i="2"/>
  <c r="F65" i="2"/>
  <c r="Z63" i="2"/>
  <c r="P62" i="2"/>
  <c r="F61" i="2"/>
  <c r="Z59" i="2"/>
  <c r="P58" i="2"/>
  <c r="F57" i="2"/>
  <c r="Z55" i="2"/>
  <c r="P54" i="2"/>
  <c r="F53" i="2"/>
  <c r="Z51" i="2"/>
  <c r="P50" i="2"/>
  <c r="F49" i="2"/>
  <c r="Z47" i="2"/>
  <c r="P46" i="2"/>
  <c r="I25" i="2"/>
  <c r="AC24" i="2"/>
  <c r="I29" i="2"/>
  <c r="S26" i="2"/>
  <c r="S35" i="2"/>
  <c r="I27" i="2"/>
  <c r="AC29" i="2"/>
  <c r="I34" i="2"/>
  <c r="S31" i="2"/>
  <c r="S29" i="2"/>
  <c r="Q41" i="2"/>
  <c r="AB38" i="2"/>
  <c r="O4" i="7" s="1"/>
  <c r="AA38" i="2"/>
  <c r="F39" i="2"/>
  <c r="G39" i="2"/>
  <c r="H39" i="2"/>
  <c r="Z39" i="2"/>
  <c r="F7" i="2"/>
  <c r="H40" i="2"/>
  <c r="G7" i="2"/>
  <c r="P40" i="2"/>
  <c r="H7" i="2"/>
  <c r="Q40" i="2"/>
  <c r="P7" i="2"/>
  <c r="R7" i="2"/>
  <c r="AA40" i="2"/>
  <c r="AB40" i="2"/>
  <c r="O6" i="7" s="1"/>
  <c r="AB41" i="2"/>
  <c r="O7" i="7" s="1"/>
  <c r="G40" i="2"/>
  <c r="P38" i="2"/>
  <c r="AA41" i="2"/>
  <c r="F40" i="2"/>
  <c r="H38" i="2"/>
  <c r="Z41" i="2"/>
  <c r="AB39" i="2"/>
  <c r="O5" i="7" s="1"/>
  <c r="G38" i="2"/>
  <c r="R41" i="2"/>
  <c r="AA39" i="2"/>
  <c r="F38" i="2"/>
  <c r="H41" i="2"/>
  <c r="Q39" i="2"/>
  <c r="AA7" i="2"/>
  <c r="G41" i="2"/>
  <c r="P39" i="2"/>
  <c r="Z7" i="2"/>
  <c r="R39" i="2"/>
  <c r="Q7" i="2"/>
  <c r="Z40" i="2"/>
  <c r="AB7" i="2"/>
  <c r="E6" i="7" s="1"/>
  <c r="R38" i="2"/>
  <c r="F41" i="2"/>
  <c r="R40" i="2"/>
  <c r="Q38" i="2"/>
  <c r="Z38" i="2"/>
  <c r="P41" i="2"/>
  <c r="K7" i="1"/>
  <c r="J7" i="1"/>
  <c r="I7" i="1"/>
  <c r="H7" i="1"/>
  <c r="M7" i="1"/>
  <c r="O7" i="1"/>
  <c r="N7" i="1"/>
  <c r="L7" i="1"/>
  <c r="E9" i="7" l="1"/>
  <c r="C11" i="8"/>
  <c r="E10" i="7"/>
  <c r="C12" i="8"/>
  <c r="E12" i="8" s="1"/>
  <c r="C18" i="8"/>
  <c r="E18" i="8" s="1"/>
  <c r="E16" i="8"/>
  <c r="H25" i="7"/>
  <c r="G25" i="7"/>
  <c r="F31" i="7"/>
  <c r="H31" i="7" s="1"/>
  <c r="F24" i="7"/>
  <c r="H24" i="7" s="1"/>
  <c r="H27" i="7"/>
  <c r="G27" i="7"/>
  <c r="F26" i="7"/>
  <c r="H26" i="7" s="1"/>
  <c r="H33" i="7"/>
  <c r="G33" i="7"/>
  <c r="F28" i="7"/>
  <c r="F34" i="7"/>
  <c r="H34" i="7" s="1"/>
  <c r="F32" i="7"/>
  <c r="H32" i="7" s="1"/>
  <c r="F29" i="7"/>
  <c r="H29" i="7" s="1"/>
  <c r="F30" i="7"/>
  <c r="H30" i="7" s="1"/>
  <c r="F23" i="7"/>
  <c r="H23" i="7" s="1"/>
  <c r="Z135" i="1"/>
  <c r="AA67" i="1"/>
  <c r="AA111" i="1"/>
  <c r="AA135" i="1"/>
  <c r="Z147" i="1"/>
  <c r="Z35" i="1"/>
  <c r="AA333" i="1"/>
  <c r="Z333" i="1"/>
  <c r="Z111" i="1"/>
  <c r="AA125" i="1"/>
  <c r="AA33" i="1"/>
  <c r="Z33" i="1"/>
  <c r="T180" i="1"/>
  <c r="Z180" i="1" s="1"/>
  <c r="Z125" i="1"/>
  <c r="S185" i="1"/>
  <c r="Y185" i="1" s="1"/>
  <c r="Z136" i="1"/>
  <c r="Z67" i="1"/>
  <c r="Y99" i="1"/>
  <c r="Z99" i="1"/>
  <c r="U175" i="1"/>
  <c r="AA175" i="1" s="1"/>
  <c r="S43" i="1"/>
  <c r="Y43" i="1" s="1"/>
  <c r="Z335" i="1"/>
  <c r="Y335" i="1"/>
  <c r="Y124" i="1"/>
  <c r="Z124" i="1"/>
  <c r="AA124" i="1"/>
  <c r="T170" i="1"/>
  <c r="Z170" i="1" s="1"/>
  <c r="AA35" i="1"/>
  <c r="Z250" i="1"/>
  <c r="U49" i="1"/>
  <c r="AA49" i="1" s="1"/>
  <c r="AA250" i="1"/>
  <c r="Y307" i="1"/>
  <c r="AA100" i="1"/>
  <c r="Z100" i="1"/>
  <c r="AA136" i="1"/>
  <c r="S174" i="1"/>
  <c r="Y174" i="1" s="1"/>
  <c r="AA236" i="1"/>
  <c r="T49" i="1"/>
  <c r="Z49" i="1" s="1"/>
  <c r="U52" i="1"/>
  <c r="AA52" i="1" s="1"/>
  <c r="Y236" i="1"/>
  <c r="U184" i="1"/>
  <c r="U187" i="1"/>
  <c r="AA187" i="1" s="1"/>
  <c r="S167" i="1"/>
  <c r="Y167" i="1" s="1"/>
  <c r="U185" i="1"/>
  <c r="AA185" i="1" s="1"/>
  <c r="U53" i="1"/>
  <c r="AA53" i="1" s="1"/>
  <c r="U81" i="1"/>
  <c r="AA81" i="1" s="1"/>
  <c r="U309" i="1"/>
  <c r="Y36" i="1"/>
  <c r="AA134" i="1"/>
  <c r="Z134" i="1"/>
  <c r="S78" i="1"/>
  <c r="Y78" i="1" s="1"/>
  <c r="AA112" i="1"/>
  <c r="S180" i="1"/>
  <c r="Y180" i="1" s="1"/>
  <c r="U281" i="1"/>
  <c r="AA281" i="1" s="1"/>
  <c r="T191" i="1"/>
  <c r="Z191" i="1" s="1"/>
  <c r="Y112" i="1"/>
  <c r="U178" i="1"/>
  <c r="AA178" i="1" s="1"/>
  <c r="S52" i="1"/>
  <c r="Y52" i="1" s="1"/>
  <c r="T182" i="1"/>
  <c r="Z182" i="1" s="1"/>
  <c r="AE33" i="2"/>
  <c r="AF33" i="2"/>
  <c r="AD33" i="2"/>
  <c r="AF34" i="2"/>
  <c r="AE34" i="2"/>
  <c r="AD34" i="2"/>
  <c r="AF35" i="2"/>
  <c r="AE35" i="2"/>
  <c r="AD35" i="2"/>
  <c r="AD32" i="2"/>
  <c r="AF32" i="2"/>
  <c r="AE32" i="2"/>
  <c r="AF26" i="2"/>
  <c r="AE26" i="2"/>
  <c r="AD26" i="2"/>
  <c r="AF24" i="2"/>
  <c r="AE24" i="2"/>
  <c r="AD24" i="2"/>
  <c r="AF27" i="2"/>
  <c r="AE27" i="2"/>
  <c r="AD27" i="2"/>
  <c r="AD25" i="2"/>
  <c r="AF25" i="2"/>
  <c r="AE25" i="2"/>
  <c r="AE28" i="2"/>
  <c r="AF28" i="2"/>
  <c r="AD28" i="2"/>
  <c r="AF29" i="2"/>
  <c r="AE29" i="2"/>
  <c r="AD29" i="2"/>
  <c r="AE31" i="2"/>
  <c r="AD31" i="2"/>
  <c r="AF31" i="2"/>
  <c r="AE30" i="2"/>
  <c r="AD30" i="2"/>
  <c r="AF30" i="2"/>
  <c r="L26" i="2"/>
  <c r="K26" i="2"/>
  <c r="J26" i="2"/>
  <c r="U24" i="2"/>
  <c r="T24" i="2"/>
  <c r="V24" i="2"/>
  <c r="V32" i="2"/>
  <c r="U32" i="2"/>
  <c r="T32" i="2"/>
  <c r="K25" i="2"/>
  <c r="J25" i="2"/>
  <c r="L25" i="2"/>
  <c r="L33" i="2"/>
  <c r="K33" i="2"/>
  <c r="J33" i="2"/>
  <c r="K35" i="2"/>
  <c r="J35" i="2"/>
  <c r="L35" i="2"/>
  <c r="V34" i="2"/>
  <c r="U34" i="2"/>
  <c r="T34" i="2"/>
  <c r="L28" i="2"/>
  <c r="K28" i="2"/>
  <c r="J28" i="2"/>
  <c r="L27" i="2"/>
  <c r="K27" i="2"/>
  <c r="J27" i="2"/>
  <c r="V27" i="2"/>
  <c r="U27" i="2"/>
  <c r="T27" i="2"/>
  <c r="V33" i="2"/>
  <c r="U33" i="2"/>
  <c r="T33" i="2"/>
  <c r="V35" i="2"/>
  <c r="T35" i="2"/>
  <c r="U35" i="2"/>
  <c r="V28" i="2"/>
  <c r="U28" i="2"/>
  <c r="T28" i="2"/>
  <c r="V26" i="2"/>
  <c r="U26" i="2"/>
  <c r="T26" i="2"/>
  <c r="L31" i="2"/>
  <c r="K31" i="2"/>
  <c r="J31" i="2"/>
  <c r="L29" i="2"/>
  <c r="K29" i="2"/>
  <c r="J29" i="2"/>
  <c r="L30" i="2"/>
  <c r="J30" i="2"/>
  <c r="K30" i="2"/>
  <c r="U29" i="2"/>
  <c r="T29" i="2"/>
  <c r="V29" i="2"/>
  <c r="U31" i="2"/>
  <c r="V31" i="2"/>
  <c r="T31" i="2"/>
  <c r="L34" i="2"/>
  <c r="K34" i="2"/>
  <c r="J34" i="2"/>
  <c r="T25" i="2"/>
  <c r="V25" i="2"/>
  <c r="U25" i="2"/>
  <c r="U30" i="2"/>
  <c r="T30" i="2"/>
  <c r="V30" i="2"/>
  <c r="L32" i="2"/>
  <c r="K32" i="2"/>
  <c r="J32" i="2"/>
  <c r="S176" i="1"/>
  <c r="Y176" i="1" s="1"/>
  <c r="S48" i="1"/>
  <c r="Y48" i="1" s="1"/>
  <c r="U54" i="1"/>
  <c r="AA54" i="1" s="1"/>
  <c r="AA122" i="1"/>
  <c r="T171" i="1"/>
  <c r="Z171" i="1" s="1"/>
  <c r="AA25" i="1"/>
  <c r="U48" i="1"/>
  <c r="AA48" i="1" s="1"/>
  <c r="T43" i="1"/>
  <c r="Z43" i="1" s="1"/>
  <c r="T54" i="1"/>
  <c r="Z54" i="1" s="1"/>
  <c r="Z122" i="1"/>
  <c r="U176" i="1"/>
  <c r="AA176" i="1" s="1"/>
  <c r="T172" i="1"/>
  <c r="U173" i="1"/>
  <c r="AA173" i="1" s="1"/>
  <c r="S314" i="1"/>
  <c r="Y314" i="1" s="1"/>
  <c r="U50" i="1"/>
  <c r="AA50" i="1" s="1"/>
  <c r="Y65" i="1"/>
  <c r="Z65" i="1"/>
  <c r="AA65" i="1"/>
  <c r="S51" i="1"/>
  <c r="Y51" i="1" s="1"/>
  <c r="Z66" i="1"/>
  <c r="Y66" i="1"/>
  <c r="T85" i="1"/>
  <c r="Z85" i="1" s="1"/>
  <c r="S53" i="1"/>
  <c r="Y53" i="1" s="1"/>
  <c r="U44" i="1"/>
  <c r="AA44" i="1" s="1"/>
  <c r="T53" i="1"/>
  <c r="Z53" i="1" s="1"/>
  <c r="Z98" i="1"/>
  <c r="Y98" i="1"/>
  <c r="Y69" i="1"/>
  <c r="AA69" i="1"/>
  <c r="U169" i="1"/>
  <c r="AA169" i="1" s="1"/>
  <c r="U190" i="1"/>
  <c r="AA190" i="1" s="1"/>
  <c r="S173" i="1"/>
  <c r="Y173" i="1" s="1"/>
  <c r="S181" i="1"/>
  <c r="Y181" i="1" s="1"/>
  <c r="T50" i="1"/>
  <c r="Z50" i="1" s="1"/>
  <c r="S47" i="1"/>
  <c r="Y47" i="1" s="1"/>
  <c r="Z123" i="1"/>
  <c r="Y123" i="1"/>
  <c r="AA123" i="1"/>
  <c r="Y114" i="1"/>
  <c r="Z114" i="1"/>
  <c r="AA114" i="1"/>
  <c r="T188" i="1"/>
  <c r="Z188" i="1" s="1"/>
  <c r="T189" i="1"/>
  <c r="Z189" i="1" s="1"/>
  <c r="U45" i="1"/>
  <c r="AA45" i="1" s="1"/>
  <c r="Z138" i="1"/>
  <c r="AA138" i="1"/>
  <c r="Y138" i="1"/>
  <c r="S79" i="1"/>
  <c r="Y79" i="1" s="1"/>
  <c r="Z69" i="1"/>
  <c r="U183" i="1"/>
  <c r="T45" i="1"/>
  <c r="Z45" i="1" s="1"/>
  <c r="AA137" i="1"/>
  <c r="Y137" i="1"/>
  <c r="AA146" i="1"/>
  <c r="Y146" i="1"/>
  <c r="Z146" i="1"/>
  <c r="AA98" i="1"/>
  <c r="S77" i="1"/>
  <c r="Y77" i="1" s="1"/>
  <c r="S192" i="1"/>
  <c r="Y192" i="1" s="1"/>
  <c r="S243" i="1"/>
  <c r="S172" i="1"/>
  <c r="Y172" i="1" s="1"/>
  <c r="T185" i="1"/>
  <c r="Z185" i="1" s="1"/>
  <c r="S54" i="1"/>
  <c r="Y54" i="1" s="1"/>
  <c r="S50" i="1"/>
  <c r="Y50" i="1" s="1"/>
  <c r="U182" i="1"/>
  <c r="AA182" i="1" s="1"/>
  <c r="T310" i="1"/>
  <c r="S49" i="1"/>
  <c r="Y49" i="1" s="1"/>
  <c r="U180" i="1"/>
  <c r="AA180" i="1" s="1"/>
  <c r="AA101" i="1"/>
  <c r="Y101" i="1"/>
  <c r="Z101" i="1"/>
  <c r="U162" i="1"/>
  <c r="AA162" i="1" s="1"/>
  <c r="U165" i="1"/>
  <c r="AA165" i="1" s="1"/>
  <c r="S188" i="1"/>
  <c r="Y188" i="1" s="1"/>
  <c r="S169" i="1"/>
  <c r="Y169" i="1" s="1"/>
  <c r="AA307" i="1"/>
  <c r="T44" i="1"/>
  <c r="Z44" i="1" s="1"/>
  <c r="S45" i="1"/>
  <c r="Y45" i="1" s="1"/>
  <c r="U276" i="1"/>
  <c r="Z137" i="1"/>
  <c r="S163" i="1"/>
  <c r="Y163" i="1" s="1"/>
  <c r="T178" i="1"/>
  <c r="Z178" i="1" s="1"/>
  <c r="U51" i="1"/>
  <c r="AA51" i="1" s="1"/>
  <c r="T52" i="1"/>
  <c r="Z52" i="1" s="1"/>
  <c r="U157" i="1"/>
  <c r="AA157" i="1" s="1"/>
  <c r="T46" i="1"/>
  <c r="Z46" i="1" s="1"/>
  <c r="U174" i="1"/>
  <c r="AA174" i="1" s="1"/>
  <c r="T314" i="1"/>
  <c r="Z314" i="1" s="1"/>
  <c r="S44" i="1"/>
  <c r="Y44" i="1" s="1"/>
  <c r="U47" i="1"/>
  <c r="AA47" i="1" s="1"/>
  <c r="U275" i="1"/>
  <c r="T162" i="1"/>
  <c r="Z162" i="1" s="1"/>
  <c r="U79" i="1"/>
  <c r="AA79" i="1" s="1"/>
  <c r="S46" i="1"/>
  <c r="Y46" i="1" s="1"/>
  <c r="T174" i="1"/>
  <c r="Z174" i="1" s="1"/>
  <c r="T48" i="1"/>
  <c r="Z48" i="1" s="1"/>
  <c r="U43" i="1"/>
  <c r="AA43" i="1" s="1"/>
  <c r="Y102" i="1"/>
  <c r="Z102" i="1"/>
  <c r="AA102" i="1"/>
  <c r="AA312" i="1"/>
  <c r="Z312" i="1"/>
  <c r="Y312" i="1"/>
  <c r="T84" i="1"/>
  <c r="Z84" i="1" s="1"/>
  <c r="U170" i="1"/>
  <c r="AA170" i="1" s="1"/>
  <c r="T51" i="1"/>
  <c r="Z51" i="1" s="1"/>
  <c r="Y113" i="1"/>
  <c r="Z113" i="1"/>
  <c r="AA113" i="1"/>
  <c r="AA32" i="1"/>
  <c r="Z32" i="1"/>
  <c r="Y32" i="1"/>
  <c r="T184" i="1"/>
  <c r="U171" i="1"/>
  <c r="AA171" i="1" s="1"/>
  <c r="S83" i="1"/>
  <c r="Y83" i="1" s="1"/>
  <c r="U46" i="1"/>
  <c r="AA46" i="1" s="1"/>
  <c r="T47" i="1"/>
  <c r="Z47" i="1" s="1"/>
  <c r="Y309" i="1"/>
  <c r="Z309" i="1"/>
  <c r="AA309" i="1"/>
  <c r="Y297" i="1"/>
  <c r="Z297" i="1"/>
  <c r="AA297" i="1"/>
  <c r="Y381" i="1"/>
  <c r="Z381" i="1"/>
  <c r="AA381" i="1"/>
  <c r="Y420" i="1"/>
  <c r="Z420" i="1"/>
  <c r="AA420" i="1"/>
  <c r="U391" i="1"/>
  <c r="T398" i="1"/>
  <c r="Z398" i="1" s="1"/>
  <c r="Z391" i="1"/>
  <c r="S394" i="1"/>
  <c r="U396" i="1"/>
  <c r="T395" i="1"/>
  <c r="U400" i="1"/>
  <c r="AA400" i="1" s="1"/>
  <c r="U395" i="1"/>
  <c r="S393" i="1"/>
  <c r="S396" i="1"/>
  <c r="S399" i="1"/>
  <c r="Y399" i="1" s="1"/>
  <c r="T393" i="1"/>
  <c r="T396" i="1"/>
  <c r="T399" i="1"/>
  <c r="Z399" i="1" s="1"/>
  <c r="S402" i="1"/>
  <c r="Y402" i="1" s="1"/>
  <c r="U393" i="1"/>
  <c r="U399" i="1"/>
  <c r="AA399" i="1" s="1"/>
  <c r="T402" i="1"/>
  <c r="Z402" i="1" s="1"/>
  <c r="U402" i="1"/>
  <c r="AA402" i="1" s="1"/>
  <c r="S391" i="1"/>
  <c r="T394" i="1"/>
  <c r="S397" i="1"/>
  <c r="Y397" i="1" s="1"/>
  <c r="U392" i="1"/>
  <c r="S395" i="1"/>
  <c r="T397" i="1"/>
  <c r="Z397" i="1" s="1"/>
  <c r="U397" i="1"/>
  <c r="AA397" i="1" s="1"/>
  <c r="T391" i="1"/>
  <c r="Y391" i="1"/>
  <c r="S398" i="1"/>
  <c r="Y398" i="1" s="1"/>
  <c r="S392" i="1"/>
  <c r="T401" i="1"/>
  <c r="Z401" i="1" s="1"/>
  <c r="U401" i="1"/>
  <c r="AA401" i="1" s="1"/>
  <c r="U394" i="1"/>
  <c r="U398" i="1"/>
  <c r="AA398" i="1" s="1"/>
  <c r="S400" i="1"/>
  <c r="Y400" i="1" s="1"/>
  <c r="T400" i="1"/>
  <c r="Z400" i="1" s="1"/>
  <c r="S401" i="1"/>
  <c r="Y401" i="1" s="1"/>
  <c r="AA391" i="1"/>
  <c r="T392" i="1"/>
  <c r="Z68" i="1"/>
  <c r="AA68" i="1"/>
  <c r="Y68" i="1"/>
  <c r="T239" i="1"/>
  <c r="S312" i="1"/>
  <c r="S317" i="1"/>
  <c r="Y317" i="1" s="1"/>
  <c r="S274" i="1"/>
  <c r="Y274" i="1" s="1"/>
  <c r="AA440" i="1"/>
  <c r="Y440" i="1"/>
  <c r="Z440" i="1"/>
  <c r="AA455" i="1"/>
  <c r="Y455" i="1"/>
  <c r="Z455" i="1"/>
  <c r="U282" i="1"/>
  <c r="AA282" i="1" s="1"/>
  <c r="T240" i="1"/>
  <c r="T644" i="1"/>
  <c r="S651" i="1"/>
  <c r="Y651" i="1" s="1"/>
  <c r="U653" i="1"/>
  <c r="AA653" i="1" s="1"/>
  <c r="T649" i="1"/>
  <c r="Z649" i="1" s="1"/>
  <c r="U645" i="1"/>
  <c r="S653" i="1"/>
  <c r="Y653" i="1" s="1"/>
  <c r="T643" i="1"/>
  <c r="U648" i="1"/>
  <c r="U643" i="1"/>
  <c r="AA643" i="1" s="1"/>
  <c r="T651" i="1"/>
  <c r="S644" i="1"/>
  <c r="U647" i="1"/>
  <c r="U650" i="1"/>
  <c r="AA650" i="1" s="1"/>
  <c r="U651" i="1"/>
  <c r="AA651" i="1" s="1"/>
  <c r="U654" i="1"/>
  <c r="AA654" i="1" s="1"/>
  <c r="T648" i="1"/>
  <c r="S652" i="1"/>
  <c r="Y652" i="1" s="1"/>
  <c r="T652" i="1"/>
  <c r="Z652" i="1" s="1"/>
  <c r="S645" i="1"/>
  <c r="U652" i="1"/>
  <c r="AA652" i="1" s="1"/>
  <c r="T645" i="1"/>
  <c r="S649" i="1"/>
  <c r="Y649" i="1" s="1"/>
  <c r="U649" i="1"/>
  <c r="AA649" i="1" s="1"/>
  <c r="U646" i="1"/>
  <c r="AA646" i="1" s="1"/>
  <c r="Z643" i="1"/>
  <c r="U644" i="1"/>
  <c r="S648" i="1"/>
  <c r="S646" i="1"/>
  <c r="Y646" i="1" s="1"/>
  <c r="S654" i="1"/>
  <c r="Y654" i="1" s="1"/>
  <c r="T646" i="1"/>
  <c r="Z646" i="1" s="1"/>
  <c r="T654" i="1"/>
  <c r="Z654" i="1" s="1"/>
  <c r="S647" i="1"/>
  <c r="T647" i="1"/>
  <c r="Y643" i="1"/>
  <c r="S643" i="1"/>
  <c r="T653" i="1"/>
  <c r="Z653" i="1" s="1"/>
  <c r="T650" i="1"/>
  <c r="Z650" i="1" s="1"/>
  <c r="S650" i="1"/>
  <c r="Y650" i="1" s="1"/>
  <c r="T86" i="1"/>
  <c r="Z86" i="1" s="1"/>
  <c r="Y321" i="1"/>
  <c r="Z321" i="1"/>
  <c r="AA321" i="1"/>
  <c r="Y396" i="1"/>
  <c r="Z396" i="1"/>
  <c r="AA396" i="1"/>
  <c r="T272" i="1"/>
  <c r="Z272" i="1" s="1"/>
  <c r="S279" i="1"/>
  <c r="Y279" i="1" s="1"/>
  <c r="AA239" i="1"/>
  <c r="Y239" i="1"/>
  <c r="Z239" i="1"/>
  <c r="AA439" i="1"/>
  <c r="T442" i="1"/>
  <c r="S449" i="1"/>
  <c r="Y449" i="1" s="1"/>
  <c r="U440" i="1"/>
  <c r="T445" i="1"/>
  <c r="Z445" i="1" s="1"/>
  <c r="S450" i="1"/>
  <c r="Y450" i="1" s="1"/>
  <c r="S446" i="1"/>
  <c r="Y446" i="1" s="1"/>
  <c r="U441" i="1"/>
  <c r="T449" i="1"/>
  <c r="Z449" i="1" s="1"/>
  <c r="T441" i="1"/>
  <c r="T444" i="1"/>
  <c r="T447" i="1"/>
  <c r="Z447" i="1" s="1"/>
  <c r="T450" i="1"/>
  <c r="Z450" i="1" s="1"/>
  <c r="U444" i="1"/>
  <c r="U447" i="1"/>
  <c r="AA447" i="1" s="1"/>
  <c r="U450" i="1"/>
  <c r="AA450" i="1" s="1"/>
  <c r="S439" i="1"/>
  <c r="Y439" i="1"/>
  <c r="Z439" i="1"/>
  <c r="S440" i="1"/>
  <c r="T440" i="1"/>
  <c r="T446" i="1"/>
  <c r="Z446" i="1" s="1"/>
  <c r="U446" i="1"/>
  <c r="AA446" i="1" s="1"/>
  <c r="S441" i="1"/>
  <c r="S447" i="1"/>
  <c r="S442" i="1"/>
  <c r="S448" i="1"/>
  <c r="Y448" i="1" s="1"/>
  <c r="S444" i="1"/>
  <c r="T439" i="1"/>
  <c r="S445" i="1"/>
  <c r="Y445" i="1" s="1"/>
  <c r="U439" i="1"/>
  <c r="U442" i="1"/>
  <c r="S443" i="1"/>
  <c r="T443" i="1"/>
  <c r="U445" i="1"/>
  <c r="AA445" i="1" s="1"/>
  <c r="U449" i="1"/>
  <c r="AA449" i="1" s="1"/>
  <c r="U443" i="1"/>
  <c r="T448" i="1"/>
  <c r="Z448" i="1" s="1"/>
  <c r="U448" i="1"/>
  <c r="AA448" i="1" s="1"/>
  <c r="T80" i="1"/>
  <c r="Z80" i="1" s="1"/>
  <c r="Y332" i="1"/>
  <c r="Z332" i="1"/>
  <c r="AA332" i="1"/>
  <c r="Y464" i="1"/>
  <c r="Z464" i="1"/>
  <c r="AA464" i="1"/>
  <c r="AA359" i="1"/>
  <c r="Y359" i="1"/>
  <c r="Z359" i="1"/>
  <c r="AA331" i="1"/>
  <c r="T334" i="1"/>
  <c r="S341" i="1"/>
  <c r="Y341" i="1" s="1"/>
  <c r="S332" i="1"/>
  <c r="U334" i="1"/>
  <c r="T341" i="1"/>
  <c r="Z341" i="1" s="1"/>
  <c r="Y331" i="1"/>
  <c r="S337" i="1"/>
  <c r="Y337" i="1" s="1"/>
  <c r="T342" i="1"/>
  <c r="Z342" i="1" s="1"/>
  <c r="T332" i="1"/>
  <c r="U337" i="1"/>
  <c r="AA337" i="1" s="1"/>
  <c r="U332" i="1"/>
  <c r="S340" i="1"/>
  <c r="Y340" i="1" s="1"/>
  <c r="S335" i="1"/>
  <c r="T340" i="1"/>
  <c r="Z340" i="1" s="1"/>
  <c r="T335" i="1"/>
  <c r="U340" i="1"/>
  <c r="AA340" i="1" s="1"/>
  <c r="U335" i="1"/>
  <c r="T331" i="1"/>
  <c r="U336" i="1"/>
  <c r="T339" i="1"/>
  <c r="Z339" i="1" s="1"/>
  <c r="U331" i="1"/>
  <c r="U339" i="1"/>
  <c r="AA339" i="1" s="1"/>
  <c r="Z331" i="1"/>
  <c r="T337" i="1"/>
  <c r="Z337" i="1" s="1"/>
  <c r="U342" i="1"/>
  <c r="AA342" i="1" s="1"/>
  <c r="S338" i="1"/>
  <c r="Y338" i="1" s="1"/>
  <c r="S333" i="1"/>
  <c r="T338" i="1"/>
  <c r="Z338" i="1" s="1"/>
  <c r="T333" i="1"/>
  <c r="U338" i="1"/>
  <c r="AA338" i="1" s="1"/>
  <c r="U333" i="1"/>
  <c r="S339" i="1"/>
  <c r="Y339" i="1" s="1"/>
  <c r="S334" i="1"/>
  <c r="S336" i="1"/>
  <c r="S331" i="1"/>
  <c r="T336" i="1"/>
  <c r="S342" i="1"/>
  <c r="Y342" i="1" s="1"/>
  <c r="U341" i="1"/>
  <c r="AA341" i="1" s="1"/>
  <c r="S239" i="1"/>
  <c r="T237" i="1"/>
  <c r="T317" i="1"/>
  <c r="Z317" i="1" s="1"/>
  <c r="U239" i="1"/>
  <c r="S603" i="1"/>
  <c r="Y603" i="1" s="1"/>
  <c r="U605" i="1"/>
  <c r="AA605" i="1" s="1"/>
  <c r="S601" i="1"/>
  <c r="Y601" i="1" s="1"/>
  <c r="T603" i="1"/>
  <c r="Z603" i="1" s="1"/>
  <c r="T606" i="1"/>
  <c r="Z606" i="1" s="1"/>
  <c r="T598" i="1"/>
  <c r="Z598" i="1" s="1"/>
  <c r="U603" i="1"/>
  <c r="AA603" i="1" s="1"/>
  <c r="U606" i="1"/>
  <c r="AA606" i="1" s="1"/>
  <c r="S604" i="1"/>
  <c r="Y604" i="1" s="1"/>
  <c r="T596" i="1"/>
  <c r="Z596" i="1" s="1"/>
  <c r="T601" i="1"/>
  <c r="Z601" i="1" s="1"/>
  <c r="T604" i="1"/>
  <c r="Z604" i="1" s="1"/>
  <c r="U596" i="1"/>
  <c r="U601" i="1"/>
  <c r="AA601" i="1" s="1"/>
  <c r="U604" i="1"/>
  <c r="AA604" i="1" s="1"/>
  <c r="S605" i="1"/>
  <c r="Y605" i="1" s="1"/>
  <c r="T597" i="1"/>
  <c r="S600" i="1"/>
  <c r="Y600" i="1" s="1"/>
  <c r="T605" i="1"/>
  <c r="Z605" i="1" s="1"/>
  <c r="S606" i="1"/>
  <c r="Y606" i="1" s="1"/>
  <c r="S598" i="1"/>
  <c r="Y598" i="1" s="1"/>
  <c r="T599" i="1"/>
  <c r="U602" i="1"/>
  <c r="AA602" i="1" s="1"/>
  <c r="T600" i="1"/>
  <c r="Z600" i="1" s="1"/>
  <c r="S597" i="1"/>
  <c r="U600" i="1"/>
  <c r="AA600" i="1" s="1"/>
  <c r="S599" i="1"/>
  <c r="U599" i="1"/>
  <c r="S595" i="1"/>
  <c r="U597" i="1"/>
  <c r="U598" i="1"/>
  <c r="AA598" i="1" s="1"/>
  <c r="T595" i="1"/>
  <c r="Z595" i="1" s="1"/>
  <c r="U595" i="1"/>
  <c r="AA595" i="1" s="1"/>
  <c r="Y595" i="1"/>
  <c r="S596" i="1"/>
  <c r="S602" i="1"/>
  <c r="Y602" i="1" s="1"/>
  <c r="T602" i="1"/>
  <c r="Z602" i="1" s="1"/>
  <c r="U571" i="1"/>
  <c r="AA571" i="1" s="1"/>
  <c r="T578" i="1"/>
  <c r="Z578" i="1" s="1"/>
  <c r="U576" i="1"/>
  <c r="AA576" i="1" s="1"/>
  <c r="T581" i="1"/>
  <c r="Z581" i="1" s="1"/>
  <c r="U574" i="1"/>
  <c r="T579" i="1"/>
  <c r="Z579" i="1" s="1"/>
  <c r="S572" i="1"/>
  <c r="U579" i="1"/>
  <c r="AA579" i="1" s="1"/>
  <c r="S573" i="1"/>
  <c r="Y573" i="1" s="1"/>
  <c r="S576" i="1"/>
  <c r="S579" i="1"/>
  <c r="Y579" i="1" s="1"/>
  <c r="T582" i="1"/>
  <c r="Z582" i="1" s="1"/>
  <c r="U573" i="1"/>
  <c r="AA573" i="1" s="1"/>
  <c r="S577" i="1"/>
  <c r="Y577" i="1" s="1"/>
  <c r="T580" i="1"/>
  <c r="Z580" i="1" s="1"/>
  <c r="T577" i="1"/>
  <c r="Z577" i="1" s="1"/>
  <c r="U580" i="1"/>
  <c r="AA580" i="1" s="1"/>
  <c r="U577" i="1"/>
  <c r="AA577" i="1" s="1"/>
  <c r="S574" i="1"/>
  <c r="Y574" i="1" s="1"/>
  <c r="T574" i="1"/>
  <c r="S575" i="1"/>
  <c r="Y575" i="1" s="1"/>
  <c r="U578" i="1"/>
  <c r="AA578" i="1" s="1"/>
  <c r="S582" i="1"/>
  <c r="T576" i="1"/>
  <c r="Z576" i="1" s="1"/>
  <c r="T573" i="1"/>
  <c r="Z573" i="1" s="1"/>
  <c r="S580" i="1"/>
  <c r="Y580" i="1" s="1"/>
  <c r="S578" i="1"/>
  <c r="Y578" i="1" s="1"/>
  <c r="S571" i="1"/>
  <c r="Y571" i="1" s="1"/>
  <c r="T571" i="1"/>
  <c r="Z571" i="1" s="1"/>
  <c r="T572" i="1"/>
  <c r="U572" i="1"/>
  <c r="S581" i="1"/>
  <c r="Y581" i="1" s="1"/>
  <c r="T575" i="1"/>
  <c r="Z575" i="1" s="1"/>
  <c r="U575" i="1"/>
  <c r="AA575" i="1" s="1"/>
  <c r="U581" i="1"/>
  <c r="AA581" i="1" s="1"/>
  <c r="U582" i="1"/>
  <c r="AA582" i="1" s="1"/>
  <c r="U86" i="1"/>
  <c r="AA86" i="1" s="1"/>
  <c r="Y348" i="1"/>
  <c r="Z348" i="1"/>
  <c r="AA348" i="1"/>
  <c r="Y405" i="1"/>
  <c r="AA405" i="1"/>
  <c r="Z405" i="1"/>
  <c r="Y408" i="1"/>
  <c r="Z408" i="1"/>
  <c r="AA408" i="1"/>
  <c r="U188" i="1"/>
  <c r="AA188" i="1" s="1"/>
  <c r="S99" i="1"/>
  <c r="U101" i="1"/>
  <c r="T108" i="1"/>
  <c r="Z108" i="1" s="1"/>
  <c r="T101" i="1"/>
  <c r="T106" i="1"/>
  <c r="Z106" i="1" s="1"/>
  <c r="U106" i="1"/>
  <c r="AA106" i="1" s="1"/>
  <c r="T99" i="1"/>
  <c r="S104" i="1"/>
  <c r="Y104" i="1" s="1"/>
  <c r="T100" i="1"/>
  <c r="U99" i="1"/>
  <c r="T104" i="1"/>
  <c r="Z104" i="1" s="1"/>
  <c r="S97" i="1"/>
  <c r="U104" i="1"/>
  <c r="AA104" i="1" s="1"/>
  <c r="T97" i="1"/>
  <c r="S102" i="1"/>
  <c r="S105" i="1"/>
  <c r="Y105" i="1" s="1"/>
  <c r="U97" i="1"/>
  <c r="T102" i="1"/>
  <c r="S107" i="1"/>
  <c r="Y107" i="1" s="1"/>
  <c r="T107" i="1"/>
  <c r="Z107" i="1" s="1"/>
  <c r="Z97" i="1"/>
  <c r="U102" i="1"/>
  <c r="Y97" i="1"/>
  <c r="S100" i="1"/>
  <c r="U107" i="1"/>
  <c r="AA107" i="1" s="1"/>
  <c r="U98" i="1"/>
  <c r="T103" i="1"/>
  <c r="Z103" i="1" s="1"/>
  <c r="S108" i="1"/>
  <c r="Y108" i="1" s="1"/>
  <c r="U103" i="1"/>
  <c r="AA103" i="1" s="1"/>
  <c r="U108" i="1"/>
  <c r="AA108" i="1" s="1"/>
  <c r="S101" i="1"/>
  <c r="S106" i="1"/>
  <c r="Y106" i="1" s="1"/>
  <c r="T98" i="1"/>
  <c r="S103" i="1"/>
  <c r="Y103" i="1" s="1"/>
  <c r="U100" i="1"/>
  <c r="U105" i="1"/>
  <c r="AA105" i="1" s="1"/>
  <c r="T105" i="1"/>
  <c r="Z105" i="1" s="1"/>
  <c r="S98" i="1"/>
  <c r="AA97" i="1"/>
  <c r="S85" i="1"/>
  <c r="Y85" i="1" s="1"/>
  <c r="Y308" i="1"/>
  <c r="Z308" i="1"/>
  <c r="AA308" i="1"/>
  <c r="T192" i="1"/>
  <c r="Z192" i="1" s="1"/>
  <c r="U244" i="1"/>
  <c r="AA244" i="1" s="1"/>
  <c r="U85" i="1"/>
  <c r="AA85" i="1" s="1"/>
  <c r="U316" i="1"/>
  <c r="AA316" i="1" s="1"/>
  <c r="U314" i="1"/>
  <c r="AA314" i="1" s="1"/>
  <c r="U186" i="1"/>
  <c r="AA186" i="1" s="1"/>
  <c r="T505" i="1"/>
  <c r="Z505" i="1" s="1"/>
  <c r="S501" i="1"/>
  <c r="Y501" i="1" s="1"/>
  <c r="U503" i="1"/>
  <c r="T510" i="1"/>
  <c r="Z510" i="1" s="1"/>
  <c r="T506" i="1"/>
  <c r="Z506" i="1" s="1"/>
  <c r="T501" i="1"/>
  <c r="Z501" i="1" s="1"/>
  <c r="U506" i="1"/>
  <c r="AA506" i="1" s="1"/>
  <c r="U501" i="1"/>
  <c r="AA501" i="1" s="1"/>
  <c r="S509" i="1"/>
  <c r="Y509" i="1" s="1"/>
  <c r="S504" i="1"/>
  <c r="Y504" i="1" s="1"/>
  <c r="T509" i="1"/>
  <c r="Z509" i="1" s="1"/>
  <c r="S499" i="1"/>
  <c r="Y499" i="1" s="1"/>
  <c r="T504" i="1"/>
  <c r="Z504" i="1" s="1"/>
  <c r="U509" i="1"/>
  <c r="AA509" i="1" s="1"/>
  <c r="T502" i="1"/>
  <c r="U507" i="1"/>
  <c r="AA507" i="1" s="1"/>
  <c r="S510" i="1"/>
  <c r="Y510" i="1" s="1"/>
  <c r="U500" i="1"/>
  <c r="AA500" i="1" s="1"/>
  <c r="S503" i="1"/>
  <c r="Y503" i="1" s="1"/>
  <c r="U508" i="1"/>
  <c r="T500" i="1"/>
  <c r="Z500" i="1" s="1"/>
  <c r="S505" i="1"/>
  <c r="Y505" i="1" s="1"/>
  <c r="U505" i="1"/>
  <c r="AA505" i="1" s="1"/>
  <c r="U510" i="1"/>
  <c r="AA510" i="1" s="1"/>
  <c r="S506" i="1"/>
  <c r="Y506" i="1" s="1"/>
  <c r="S502" i="1"/>
  <c r="U502" i="1"/>
  <c r="AA502" i="1" s="1"/>
  <c r="S507" i="1"/>
  <c r="Y507" i="1" s="1"/>
  <c r="T503" i="1"/>
  <c r="Z503" i="1" s="1"/>
  <c r="U504" i="1"/>
  <c r="AA504" i="1" s="1"/>
  <c r="T507" i="1"/>
  <c r="Z507" i="1" s="1"/>
  <c r="S500" i="1"/>
  <c r="Y500" i="1" s="1"/>
  <c r="T508" i="1"/>
  <c r="Z508" i="1" s="1"/>
  <c r="S508" i="1"/>
  <c r="Y508" i="1" s="1"/>
  <c r="T499" i="1"/>
  <c r="Z499" i="1" s="1"/>
  <c r="U499" i="1"/>
  <c r="AA499" i="1" s="1"/>
  <c r="Y656" i="1"/>
  <c r="Y238" i="1"/>
  <c r="Z238" i="1"/>
  <c r="AA238" i="1"/>
  <c r="Y444" i="1"/>
  <c r="Z444" i="1"/>
  <c r="AA444" i="1"/>
  <c r="S249" i="1"/>
  <c r="U251" i="1"/>
  <c r="T258" i="1"/>
  <c r="Z258" i="1" s="1"/>
  <c r="S254" i="1"/>
  <c r="Y254" i="1" s="1"/>
  <c r="U256" i="1"/>
  <c r="AA256" i="1" s="1"/>
  <c r="Y248" i="1"/>
  <c r="T251" i="1"/>
  <c r="T259" i="1"/>
  <c r="Z259" i="1" s="1"/>
  <c r="U249" i="1"/>
  <c r="U252" i="1"/>
  <c r="S255" i="1"/>
  <c r="Y255" i="1" s="1"/>
  <c r="T255" i="1"/>
  <c r="Z255" i="1" s="1"/>
  <c r="T248" i="1"/>
  <c r="S248" i="1"/>
  <c r="U255" i="1"/>
  <c r="AA255" i="1" s="1"/>
  <c r="U248" i="1"/>
  <c r="S252" i="1"/>
  <c r="T252" i="1"/>
  <c r="S259" i="1"/>
  <c r="Y259" i="1" s="1"/>
  <c r="Z248" i="1"/>
  <c r="U259" i="1"/>
  <c r="AA259" i="1" s="1"/>
  <c r="AA248" i="1"/>
  <c r="S256" i="1"/>
  <c r="Y256" i="1" s="1"/>
  <c r="T249" i="1"/>
  <c r="T256" i="1"/>
  <c r="Z256" i="1" s="1"/>
  <c r="S250" i="1"/>
  <c r="T253" i="1"/>
  <c r="S251" i="1"/>
  <c r="S258" i="1"/>
  <c r="Y258" i="1" s="1"/>
  <c r="U253" i="1"/>
  <c r="T254" i="1"/>
  <c r="Z254" i="1" s="1"/>
  <c r="U254" i="1"/>
  <c r="AA254" i="1" s="1"/>
  <c r="S257" i="1"/>
  <c r="Y257" i="1" s="1"/>
  <c r="T257" i="1"/>
  <c r="Z257" i="1" s="1"/>
  <c r="U257" i="1"/>
  <c r="AA257" i="1" s="1"/>
  <c r="T250" i="1"/>
  <c r="S253" i="1"/>
  <c r="U250" i="1"/>
  <c r="U258" i="1"/>
  <c r="AA258" i="1" s="1"/>
  <c r="S465" i="1"/>
  <c r="U467" i="1"/>
  <c r="S467" i="1"/>
  <c r="S472" i="1"/>
  <c r="Y472" i="1" s="1"/>
  <c r="U474" i="1"/>
  <c r="AA474" i="1" s="1"/>
  <c r="T464" i="1"/>
  <c r="U469" i="1"/>
  <c r="AA469" i="1" s="1"/>
  <c r="T472" i="1"/>
  <c r="Z472" i="1" s="1"/>
  <c r="S470" i="1"/>
  <c r="Y470" i="1" s="1"/>
  <c r="T465" i="1"/>
  <c r="S468" i="1"/>
  <c r="U465" i="1"/>
  <c r="T468" i="1"/>
  <c r="S471" i="1"/>
  <c r="Y471" i="1" s="1"/>
  <c r="U468" i="1"/>
  <c r="T471" i="1"/>
  <c r="Z471" i="1" s="1"/>
  <c r="S474" i="1"/>
  <c r="Y474" i="1" s="1"/>
  <c r="U471" i="1"/>
  <c r="AA471" i="1" s="1"/>
  <c r="T474" i="1"/>
  <c r="Z474" i="1" s="1"/>
  <c r="U466" i="1"/>
  <c r="T469" i="1"/>
  <c r="Z469" i="1" s="1"/>
  <c r="U464" i="1"/>
  <c r="U473" i="1"/>
  <c r="AA473" i="1" s="1"/>
  <c r="U463" i="1"/>
  <c r="S469" i="1"/>
  <c r="Y469" i="1" s="1"/>
  <c r="Y463" i="1"/>
  <c r="Z463" i="1"/>
  <c r="AA463" i="1"/>
  <c r="T470" i="1"/>
  <c r="Z470" i="1" s="1"/>
  <c r="S464" i="1"/>
  <c r="U470" i="1"/>
  <c r="AA470" i="1" s="1"/>
  <c r="S463" i="1"/>
  <c r="T467" i="1"/>
  <c r="U472" i="1"/>
  <c r="AA472" i="1" s="1"/>
  <c r="T463" i="1"/>
  <c r="S466" i="1"/>
  <c r="S473" i="1"/>
  <c r="T473" i="1"/>
  <c r="Z473" i="1" s="1"/>
  <c r="T466" i="1"/>
  <c r="Z251" i="1"/>
  <c r="Y251" i="1"/>
  <c r="AA251" i="1"/>
  <c r="AA241" i="1"/>
  <c r="Z241" i="1"/>
  <c r="Y241" i="1"/>
  <c r="T244" i="1"/>
  <c r="Z244" i="1" s="1"/>
  <c r="S240" i="1"/>
  <c r="AA263" i="1"/>
  <c r="S283" i="1"/>
  <c r="Y283" i="1" s="1"/>
  <c r="Y372" i="1"/>
  <c r="Z372" i="1"/>
  <c r="AA372" i="1"/>
  <c r="Y382" i="1"/>
  <c r="Z382" i="1"/>
  <c r="AA382" i="1"/>
  <c r="T276" i="1"/>
  <c r="AA358" i="1"/>
  <c r="Y358" i="1"/>
  <c r="Z358" i="1"/>
  <c r="Z442" i="1"/>
  <c r="Y442" i="1"/>
  <c r="AA442" i="1"/>
  <c r="Z25" i="1"/>
  <c r="Y237" i="1"/>
  <c r="Z237" i="1"/>
  <c r="AA237" i="1"/>
  <c r="AA407" i="1"/>
  <c r="Y407" i="1"/>
  <c r="Z407" i="1"/>
  <c r="S237" i="1"/>
  <c r="S310" i="1"/>
  <c r="AA503" i="1"/>
  <c r="S264" i="1"/>
  <c r="Y264" i="1" s="1"/>
  <c r="U266" i="1"/>
  <c r="AA266" i="1" s="1"/>
  <c r="Y260" i="1"/>
  <c r="T263" i="1"/>
  <c r="Z263" i="1" s="1"/>
  <c r="S268" i="1"/>
  <c r="Y268" i="1" s="1"/>
  <c r="U263" i="1"/>
  <c r="T268" i="1"/>
  <c r="Z268" i="1" s="1"/>
  <c r="T262" i="1"/>
  <c r="Z262" i="1" s="1"/>
  <c r="S267" i="1"/>
  <c r="Y267" i="1" s="1"/>
  <c r="S262" i="1"/>
  <c r="Y262" i="1" s="1"/>
  <c r="S265" i="1"/>
  <c r="Y265" i="1" s="1"/>
  <c r="U262" i="1"/>
  <c r="AA262" i="1" s="1"/>
  <c r="T265" i="1"/>
  <c r="Z265" i="1" s="1"/>
  <c r="U268" i="1"/>
  <c r="AA268" i="1" s="1"/>
  <c r="S271" i="1"/>
  <c r="Y271" i="1" s="1"/>
  <c r="U265" i="1"/>
  <c r="T271" i="1"/>
  <c r="Z271" i="1" s="1"/>
  <c r="U271" i="1"/>
  <c r="AA271" i="1" s="1"/>
  <c r="S266" i="1"/>
  <c r="Y266" i="1" s="1"/>
  <c r="S269" i="1"/>
  <c r="Y269" i="1" s="1"/>
  <c r="S260" i="1"/>
  <c r="U269" i="1"/>
  <c r="AA269" i="1" s="1"/>
  <c r="U261" i="1"/>
  <c r="AA261" i="1" s="1"/>
  <c r="U264" i="1"/>
  <c r="U267" i="1"/>
  <c r="AA267" i="1" s="1"/>
  <c r="S270" i="1"/>
  <c r="T270" i="1"/>
  <c r="Z270" i="1" s="1"/>
  <c r="S263" i="1"/>
  <c r="Y263" i="1" s="1"/>
  <c r="U270" i="1"/>
  <c r="AA270" i="1" s="1"/>
  <c r="T264" i="1"/>
  <c r="T266" i="1"/>
  <c r="Z266" i="1" s="1"/>
  <c r="U260" i="1"/>
  <c r="AA260" i="1" s="1"/>
  <c r="T269" i="1"/>
  <c r="Z269" i="1" s="1"/>
  <c r="S261" i="1"/>
  <c r="Y261" i="1" s="1"/>
  <c r="T261" i="1"/>
  <c r="Z261" i="1" s="1"/>
  <c r="T260" i="1"/>
  <c r="Z260" i="1" s="1"/>
  <c r="T267" i="1"/>
  <c r="Z267" i="1" s="1"/>
  <c r="Y655" i="1"/>
  <c r="T660" i="1"/>
  <c r="Z660" i="1" s="1"/>
  <c r="S658" i="1"/>
  <c r="U665" i="1"/>
  <c r="AA665" i="1" s="1"/>
  <c r="S656" i="1"/>
  <c r="U663" i="1"/>
  <c r="AA663" i="1" s="1"/>
  <c r="T656" i="1"/>
  <c r="Z656" i="1" s="1"/>
  <c r="S661" i="1"/>
  <c r="Y661" i="1" s="1"/>
  <c r="T657" i="1"/>
  <c r="Z657" i="1" s="1"/>
  <c r="S660" i="1"/>
  <c r="Y660" i="1" s="1"/>
  <c r="T663" i="1"/>
  <c r="Z663" i="1" s="1"/>
  <c r="U666" i="1"/>
  <c r="AA666" i="1" s="1"/>
  <c r="T655" i="1"/>
  <c r="Z655" i="1" s="1"/>
  <c r="S662" i="1"/>
  <c r="Y662" i="1" s="1"/>
  <c r="U655" i="1"/>
  <c r="S659" i="1"/>
  <c r="T662" i="1"/>
  <c r="Z662" i="1" s="1"/>
  <c r="S666" i="1"/>
  <c r="Y666" i="1" s="1"/>
  <c r="T659" i="1"/>
  <c r="Z659" i="1" s="1"/>
  <c r="U662" i="1"/>
  <c r="AA662" i="1" s="1"/>
  <c r="T666" i="1"/>
  <c r="Z666" i="1" s="1"/>
  <c r="AA655" i="1"/>
  <c r="U659" i="1"/>
  <c r="U656" i="1"/>
  <c r="AA656" i="1" s="1"/>
  <c r="S663" i="1"/>
  <c r="Y663" i="1" s="1"/>
  <c r="S657" i="1"/>
  <c r="Y657" i="1" s="1"/>
  <c r="S664" i="1"/>
  <c r="Y664" i="1" s="1"/>
  <c r="T658" i="1"/>
  <c r="Z658" i="1" s="1"/>
  <c r="U658" i="1"/>
  <c r="AA658" i="1" s="1"/>
  <c r="S665" i="1"/>
  <c r="Y665" i="1" s="1"/>
  <c r="S655" i="1"/>
  <c r="T665" i="1"/>
  <c r="Z665" i="1" s="1"/>
  <c r="U661" i="1"/>
  <c r="AA661" i="1" s="1"/>
  <c r="T664" i="1"/>
  <c r="Z664" i="1" s="1"/>
  <c r="U664" i="1"/>
  <c r="AA664" i="1" s="1"/>
  <c r="U660" i="1"/>
  <c r="AA660" i="1" s="1"/>
  <c r="T661" i="1"/>
  <c r="Z661" i="1" s="1"/>
  <c r="U657" i="1"/>
  <c r="AA657" i="1" s="1"/>
  <c r="Y357" i="1"/>
  <c r="Z357" i="1"/>
  <c r="AA357" i="1"/>
  <c r="Z480" i="1"/>
  <c r="Y480" i="1"/>
  <c r="AA480" i="1"/>
  <c r="U283" i="1"/>
  <c r="AA283" i="1" s="1"/>
  <c r="S281" i="1"/>
  <c r="Y281" i="1" s="1"/>
  <c r="Z310" i="1"/>
  <c r="Y310" i="1"/>
  <c r="AA310" i="1"/>
  <c r="AA454" i="1"/>
  <c r="Y454" i="1"/>
  <c r="Z454" i="1"/>
  <c r="S417" i="1"/>
  <c r="U419" i="1"/>
  <c r="T426" i="1"/>
  <c r="Z426" i="1" s="1"/>
  <c r="U415" i="1"/>
  <c r="T420" i="1"/>
  <c r="S425" i="1"/>
  <c r="Z415" i="1"/>
  <c r="T418" i="1"/>
  <c r="S423" i="1"/>
  <c r="Y423" i="1" s="1"/>
  <c r="AA415" i="1"/>
  <c r="U418" i="1"/>
  <c r="T423" i="1"/>
  <c r="Z423" i="1" s="1"/>
  <c r="S415" i="1"/>
  <c r="S418" i="1"/>
  <c r="T421" i="1"/>
  <c r="Z421" i="1" s="1"/>
  <c r="T424" i="1"/>
  <c r="Z424" i="1" s="1"/>
  <c r="T425" i="1"/>
  <c r="Z425" i="1" s="1"/>
  <c r="T415" i="1"/>
  <c r="S422" i="1"/>
  <c r="Y422" i="1" s="1"/>
  <c r="U425" i="1"/>
  <c r="AA425" i="1" s="1"/>
  <c r="T422" i="1"/>
  <c r="Z422" i="1" s="1"/>
  <c r="U416" i="1"/>
  <c r="T417" i="1"/>
  <c r="U424" i="1"/>
  <c r="AA424" i="1" s="1"/>
  <c r="U417" i="1"/>
  <c r="S421" i="1"/>
  <c r="Y421" i="1" s="1"/>
  <c r="U426" i="1"/>
  <c r="AA426" i="1" s="1"/>
  <c r="S420" i="1"/>
  <c r="U420" i="1"/>
  <c r="U421" i="1"/>
  <c r="AA421" i="1" s="1"/>
  <c r="Y415" i="1"/>
  <c r="U422" i="1"/>
  <c r="AA422" i="1" s="1"/>
  <c r="S419" i="1"/>
  <c r="S424" i="1"/>
  <c r="Y424" i="1" s="1"/>
  <c r="S426" i="1"/>
  <c r="Y426" i="1" s="1"/>
  <c r="S416" i="1"/>
  <c r="T416" i="1"/>
  <c r="T419" i="1"/>
  <c r="U423" i="1"/>
  <c r="AA423" i="1" s="1"/>
  <c r="Y110" i="1"/>
  <c r="Z110" i="1"/>
  <c r="AA110" i="1"/>
  <c r="Y249" i="1"/>
  <c r="Z249" i="1"/>
  <c r="AA249" i="1"/>
  <c r="AA395" i="1"/>
  <c r="Y395" i="1"/>
  <c r="Z395" i="1"/>
  <c r="Y467" i="1"/>
  <c r="Z467" i="1"/>
  <c r="AA467" i="1"/>
  <c r="T281" i="1"/>
  <c r="Z281" i="1" s="1"/>
  <c r="S241" i="1"/>
  <c r="U315" i="1"/>
  <c r="T311" i="1"/>
  <c r="T313" i="1"/>
  <c r="Z313" i="1" s="1"/>
  <c r="S280" i="1"/>
  <c r="Y280" i="1" s="1"/>
  <c r="U280" i="1"/>
  <c r="AA280" i="1" s="1"/>
  <c r="U274" i="1"/>
  <c r="AA274" i="1" s="1"/>
  <c r="T280" i="1"/>
  <c r="Z280" i="1" s="1"/>
  <c r="S635" i="1"/>
  <c r="U637" i="1"/>
  <c r="AA637" i="1" s="1"/>
  <c r="T633" i="1"/>
  <c r="S640" i="1"/>
  <c r="Y640" i="1" s="1"/>
  <c r="U642" i="1"/>
  <c r="AA642" i="1" s="1"/>
  <c r="T632" i="1"/>
  <c r="Z632" i="1" s="1"/>
  <c r="T640" i="1"/>
  <c r="Z640" i="1" s="1"/>
  <c r="U635" i="1"/>
  <c r="S638" i="1"/>
  <c r="Y638" i="1" s="1"/>
  <c r="T638" i="1"/>
  <c r="Z638" i="1" s="1"/>
  <c r="U631" i="1"/>
  <c r="AA631" i="1" s="1"/>
  <c r="U634" i="1"/>
  <c r="AA634" i="1" s="1"/>
  <c r="S641" i="1"/>
  <c r="Y641" i="1" s="1"/>
  <c r="S637" i="1"/>
  <c r="Y637" i="1" s="1"/>
  <c r="T641" i="1"/>
  <c r="Z641" i="1" s="1"/>
  <c r="T637" i="1"/>
  <c r="Z637" i="1" s="1"/>
  <c r="U641" i="1"/>
  <c r="AA641" i="1" s="1"/>
  <c r="S634" i="1"/>
  <c r="Y634" i="1" s="1"/>
  <c r="T634" i="1"/>
  <c r="Z634" i="1" s="1"/>
  <c r="U638" i="1"/>
  <c r="AA638" i="1" s="1"/>
  <c r="S639" i="1"/>
  <c r="Y639" i="1" s="1"/>
  <c r="S633" i="1"/>
  <c r="Y633" i="1" s="1"/>
  <c r="U633" i="1"/>
  <c r="U640" i="1"/>
  <c r="AA640" i="1" s="1"/>
  <c r="U636" i="1"/>
  <c r="S631" i="1"/>
  <c r="Y631" i="1" s="1"/>
  <c r="T639" i="1"/>
  <c r="Z639" i="1" s="1"/>
  <c r="T631" i="1"/>
  <c r="Z631" i="1" s="1"/>
  <c r="U639" i="1"/>
  <c r="AA639" i="1" s="1"/>
  <c r="U632" i="1"/>
  <c r="AA632" i="1" s="1"/>
  <c r="S642" i="1"/>
  <c r="Y642" i="1" s="1"/>
  <c r="S636" i="1"/>
  <c r="T635" i="1"/>
  <c r="T636" i="1"/>
  <c r="T642" i="1"/>
  <c r="Z642" i="1" s="1"/>
  <c r="S632" i="1"/>
  <c r="Y632" i="1" s="1"/>
  <c r="Y453" i="1"/>
  <c r="AA453" i="1"/>
  <c r="Z453" i="1"/>
  <c r="T278" i="1"/>
  <c r="Z278" i="1" s="1"/>
  <c r="U273" i="1"/>
  <c r="AA273" i="1" s="1"/>
  <c r="AA478" i="1"/>
  <c r="Z478" i="1"/>
  <c r="Y478" i="1"/>
  <c r="Z346" i="1"/>
  <c r="AA346" i="1"/>
  <c r="Y346" i="1"/>
  <c r="AA383" i="1"/>
  <c r="Y383" i="1"/>
  <c r="Z383" i="1"/>
  <c r="Z371" i="1"/>
  <c r="AA371" i="1"/>
  <c r="Y371" i="1"/>
  <c r="T307" i="1"/>
  <c r="U245" i="1"/>
  <c r="AA245" i="1" s="1"/>
  <c r="S246" i="1"/>
  <c r="T315" i="1"/>
  <c r="Z315" i="1" s="1"/>
  <c r="S311" i="1"/>
  <c r="T553" i="1"/>
  <c r="Z553" i="1" s="1"/>
  <c r="T551" i="1"/>
  <c r="Z551" i="1" s="1"/>
  <c r="S556" i="1"/>
  <c r="Y556" i="1" s="1"/>
  <c r="S549" i="1"/>
  <c r="T549" i="1"/>
  <c r="S554" i="1"/>
  <c r="Y554" i="1" s="1"/>
  <c r="T552" i="1"/>
  <c r="U552" i="1"/>
  <c r="AA552" i="1" s="1"/>
  <c r="S555" i="1"/>
  <c r="Y555" i="1" s="1"/>
  <c r="U549" i="1"/>
  <c r="T556" i="1"/>
  <c r="Z556" i="1" s="1"/>
  <c r="U556" i="1"/>
  <c r="AA556" i="1" s="1"/>
  <c r="S553" i="1"/>
  <c r="Y553" i="1" s="1"/>
  <c r="S550" i="1"/>
  <c r="U553" i="1"/>
  <c r="AA553" i="1" s="1"/>
  <c r="T550" i="1"/>
  <c r="U550" i="1"/>
  <c r="S557" i="1"/>
  <c r="Y557" i="1" s="1"/>
  <c r="S547" i="1"/>
  <c r="Y547" i="1" s="1"/>
  <c r="T554" i="1"/>
  <c r="Z554" i="1" s="1"/>
  <c r="T557" i="1"/>
  <c r="Z557" i="1" s="1"/>
  <c r="T548" i="1"/>
  <c r="S552" i="1"/>
  <c r="U548" i="1"/>
  <c r="AA548" i="1" s="1"/>
  <c r="U554" i="1"/>
  <c r="AA554" i="1" s="1"/>
  <c r="T547" i="1"/>
  <c r="Z547" i="1" s="1"/>
  <c r="U547" i="1"/>
  <c r="AA547" i="1" s="1"/>
  <c r="T555" i="1"/>
  <c r="Z555" i="1" s="1"/>
  <c r="U555" i="1"/>
  <c r="AA555" i="1" s="1"/>
  <c r="U557" i="1"/>
  <c r="AA557" i="1" s="1"/>
  <c r="S558" i="1"/>
  <c r="Y558" i="1" s="1"/>
  <c r="T558" i="1"/>
  <c r="Z558" i="1" s="1"/>
  <c r="U558" i="1"/>
  <c r="AA558" i="1" s="1"/>
  <c r="U551" i="1"/>
  <c r="AA551" i="1" s="1"/>
  <c r="S551" i="1"/>
  <c r="Y551" i="1" s="1"/>
  <c r="S548" i="1"/>
  <c r="Y548" i="1" s="1"/>
  <c r="S667" i="1"/>
  <c r="U669" i="1"/>
  <c r="AA669" i="1" s="1"/>
  <c r="T676" i="1"/>
  <c r="Z676" i="1" s="1"/>
  <c r="Z667" i="1"/>
  <c r="T670" i="1"/>
  <c r="S675" i="1"/>
  <c r="Y675" i="1" s="1"/>
  <c r="T668" i="1"/>
  <c r="S673" i="1"/>
  <c r="Y673" i="1" s="1"/>
  <c r="U668" i="1"/>
  <c r="T673" i="1"/>
  <c r="Z673" i="1" s="1"/>
  <c r="S678" i="1"/>
  <c r="Y678" i="1" s="1"/>
  <c r="T669" i="1"/>
  <c r="Z669" i="1" s="1"/>
  <c r="T672" i="1"/>
  <c r="T675" i="1"/>
  <c r="Z675" i="1" s="1"/>
  <c r="U678" i="1"/>
  <c r="AA678" i="1" s="1"/>
  <c r="S669" i="1"/>
  <c r="Y669" i="1" s="1"/>
  <c r="S676" i="1"/>
  <c r="Y676" i="1" s="1"/>
  <c r="U676" i="1"/>
  <c r="AA676" i="1" s="1"/>
  <c r="U673" i="1"/>
  <c r="AA673" i="1" s="1"/>
  <c r="U667" i="1"/>
  <c r="AA667" i="1" s="1"/>
  <c r="T674" i="1"/>
  <c r="Z674" i="1" s="1"/>
  <c r="U677" i="1"/>
  <c r="AA677" i="1" s="1"/>
  <c r="U675" i="1"/>
  <c r="AA675" i="1" s="1"/>
  <c r="S672" i="1"/>
  <c r="U672" i="1"/>
  <c r="S670" i="1"/>
  <c r="T677" i="1"/>
  <c r="Z677" i="1" s="1"/>
  <c r="U670" i="1"/>
  <c r="AA670" i="1" s="1"/>
  <c r="T678" i="1"/>
  <c r="Z678" i="1" s="1"/>
  <c r="S671" i="1"/>
  <c r="Y671" i="1" s="1"/>
  <c r="T671" i="1"/>
  <c r="Z671" i="1" s="1"/>
  <c r="U671" i="1"/>
  <c r="AA671" i="1" s="1"/>
  <c r="Y667" i="1"/>
  <c r="U674" i="1"/>
  <c r="AA674" i="1" s="1"/>
  <c r="S677" i="1"/>
  <c r="Y677" i="1" s="1"/>
  <c r="S668" i="1"/>
  <c r="T667" i="1"/>
  <c r="S674" i="1"/>
  <c r="Y674" i="1" s="1"/>
  <c r="Z548" i="1"/>
  <c r="Z633" i="1"/>
  <c r="AA633" i="1"/>
  <c r="Z574" i="1"/>
  <c r="AA574" i="1"/>
  <c r="T176" i="1"/>
  <c r="Z176" i="1" s="1"/>
  <c r="Y34" i="1"/>
  <c r="Z34" i="1"/>
  <c r="AA34" i="1"/>
  <c r="T173" i="1"/>
  <c r="Z173" i="1" s="1"/>
  <c r="Y465" i="1"/>
  <c r="Z465" i="1"/>
  <c r="AA465" i="1"/>
  <c r="Y324" i="1"/>
  <c r="Z324" i="1"/>
  <c r="AA324" i="1"/>
  <c r="U133" i="1"/>
  <c r="T140" i="1"/>
  <c r="Z140" i="1" s="1"/>
  <c r="U135" i="1"/>
  <c r="U140" i="1"/>
  <c r="AA140" i="1" s="1"/>
  <c r="S133" i="1"/>
  <c r="T138" i="1"/>
  <c r="S143" i="1"/>
  <c r="Y143" i="1" s="1"/>
  <c r="T143" i="1"/>
  <c r="Z143" i="1" s="1"/>
  <c r="S134" i="1"/>
  <c r="S138" i="1"/>
  <c r="T133" i="1"/>
  <c r="Z133" i="1"/>
  <c r="T136" i="1"/>
  <c r="U138" i="1"/>
  <c r="T134" i="1"/>
  <c r="U134" i="1"/>
  <c r="Y133" i="1"/>
  <c r="S136" i="1"/>
  <c r="U143" i="1"/>
  <c r="AA143" i="1" s="1"/>
  <c r="S141" i="1"/>
  <c r="Y141" i="1" s="1"/>
  <c r="U141" i="1"/>
  <c r="AA141" i="1" s="1"/>
  <c r="AA133" i="1"/>
  <c r="U136" i="1"/>
  <c r="T141" i="1"/>
  <c r="Z141" i="1" s="1"/>
  <c r="S139" i="1"/>
  <c r="Y139" i="1" s="1"/>
  <c r="T139" i="1"/>
  <c r="Z139" i="1" s="1"/>
  <c r="U137" i="1"/>
  <c r="T142" i="1"/>
  <c r="Z142" i="1" s="1"/>
  <c r="S135" i="1"/>
  <c r="U142" i="1"/>
  <c r="AA142" i="1" s="1"/>
  <c r="T135" i="1"/>
  <c r="S140" i="1"/>
  <c r="Y140" i="1" s="1"/>
  <c r="S137" i="1"/>
  <c r="S142" i="1"/>
  <c r="Y142" i="1" s="1"/>
  <c r="T137" i="1"/>
  <c r="S144" i="1"/>
  <c r="Y144" i="1" s="1"/>
  <c r="U144" i="1"/>
  <c r="AA144" i="1" s="1"/>
  <c r="U139" i="1"/>
  <c r="AA139" i="1" s="1"/>
  <c r="T144" i="1"/>
  <c r="Z144" i="1" s="1"/>
  <c r="T187" i="1"/>
  <c r="Z187" i="1" s="1"/>
  <c r="S273" i="1"/>
  <c r="Y273" i="1" s="1"/>
  <c r="S282" i="1"/>
  <c r="Y282" i="1" s="1"/>
  <c r="Z466" i="1"/>
  <c r="Y466" i="1"/>
  <c r="AA466" i="1"/>
  <c r="U179" i="1"/>
  <c r="AA179" i="1" s="1"/>
  <c r="Y392" i="1"/>
  <c r="Z392" i="1"/>
  <c r="AA392" i="1"/>
  <c r="Y404" i="1"/>
  <c r="Z404" i="1"/>
  <c r="AA404" i="1"/>
  <c r="AA479" i="1"/>
  <c r="Y479" i="1"/>
  <c r="Z479" i="1"/>
  <c r="Z360" i="1"/>
  <c r="AA360" i="1"/>
  <c r="Y360" i="1"/>
  <c r="T181" i="1"/>
  <c r="Z181" i="1" s="1"/>
  <c r="U247" i="1"/>
  <c r="AA247" i="1" s="1"/>
  <c r="U238" i="1"/>
  <c r="S178" i="1"/>
  <c r="Y178" i="1" s="1"/>
  <c r="S315" i="1"/>
  <c r="Y315" i="1" s="1"/>
  <c r="T316" i="1"/>
  <c r="T203" i="1"/>
  <c r="Z203" i="1" s="1"/>
  <c r="S203" i="1"/>
  <c r="Y203" i="1" s="1"/>
  <c r="U203" i="1"/>
  <c r="AA203" i="1" s="1"/>
  <c r="U204" i="1"/>
  <c r="S198" i="1"/>
  <c r="Y198" i="1" s="1"/>
  <c r="U200" i="1"/>
  <c r="AA200" i="1" s="1"/>
  <c r="S204" i="1"/>
  <c r="Y204" i="1" s="1"/>
  <c r="T204" i="1"/>
  <c r="Z204" i="1" s="1"/>
  <c r="U194" i="1"/>
  <c r="AA194" i="1" s="1"/>
  <c r="T201" i="1"/>
  <c r="Z201" i="1" s="1"/>
  <c r="S193" i="1"/>
  <c r="U195" i="1"/>
  <c r="T202" i="1"/>
  <c r="Z202" i="1" s="1"/>
  <c r="T193" i="1"/>
  <c r="Z193" i="1" s="1"/>
  <c r="S200" i="1"/>
  <c r="Y200" i="1" s="1"/>
  <c r="U202" i="1"/>
  <c r="AA202" i="1" s="1"/>
  <c r="T195" i="1"/>
  <c r="S194" i="1"/>
  <c r="Y194" i="1" s="1"/>
  <c r="S197" i="1"/>
  <c r="Y197" i="1" s="1"/>
  <c r="T200" i="1"/>
  <c r="Z200" i="1" s="1"/>
  <c r="T194" i="1"/>
  <c r="Z194" i="1" s="1"/>
  <c r="T197" i="1"/>
  <c r="Z197" i="1" s="1"/>
  <c r="U197" i="1"/>
  <c r="AA197" i="1" s="1"/>
  <c r="T198" i="1"/>
  <c r="Z198" i="1" s="1"/>
  <c r="S201" i="1"/>
  <c r="Y201" i="1" s="1"/>
  <c r="S195" i="1"/>
  <c r="U198" i="1"/>
  <c r="AA198" i="1" s="1"/>
  <c r="U201" i="1"/>
  <c r="AA201" i="1" s="1"/>
  <c r="T196" i="1"/>
  <c r="Z196" i="1" s="1"/>
  <c r="T199" i="1"/>
  <c r="Z199" i="1" s="1"/>
  <c r="S202" i="1"/>
  <c r="Y202" i="1" s="1"/>
  <c r="U193" i="1"/>
  <c r="AA193" i="1" s="1"/>
  <c r="U196" i="1"/>
  <c r="AA196" i="1" s="1"/>
  <c r="U199" i="1"/>
  <c r="AA199" i="1" s="1"/>
  <c r="Y193" i="1"/>
  <c r="S196" i="1"/>
  <c r="Y196" i="1" s="1"/>
  <c r="S199" i="1"/>
  <c r="Y199" i="1" s="1"/>
  <c r="AA265" i="1"/>
  <c r="Y502" i="1"/>
  <c r="Z502" i="1"/>
  <c r="S560" i="1"/>
  <c r="U562" i="1"/>
  <c r="T569" i="1"/>
  <c r="Z569" i="1" s="1"/>
  <c r="T570" i="1"/>
  <c r="Z570" i="1" s="1"/>
  <c r="S570" i="1"/>
  <c r="Y570" i="1" s="1"/>
  <c r="U563" i="1"/>
  <c r="AA563" i="1" s="1"/>
  <c r="T568" i="1"/>
  <c r="Z568" i="1" s="1"/>
  <c r="U570" i="1"/>
  <c r="AA570" i="1" s="1"/>
  <c r="U561" i="1"/>
  <c r="T566" i="1"/>
  <c r="Z566" i="1" s="1"/>
  <c r="T563" i="1"/>
  <c r="Z563" i="1" s="1"/>
  <c r="S566" i="1"/>
  <c r="Y566" i="1" s="1"/>
  <c r="U566" i="1"/>
  <c r="AA566" i="1" s="1"/>
  <c r="S569" i="1"/>
  <c r="Y569" i="1" s="1"/>
  <c r="U559" i="1"/>
  <c r="AA559" i="1" s="1"/>
  <c r="U569" i="1"/>
  <c r="AA569" i="1" s="1"/>
  <c r="S563" i="1"/>
  <c r="Y563" i="1" s="1"/>
  <c r="T560" i="1"/>
  <c r="U560" i="1"/>
  <c r="AA560" i="1" s="1"/>
  <c r="S567" i="1"/>
  <c r="Y567" i="1" s="1"/>
  <c r="S565" i="1"/>
  <c r="Y565" i="1" s="1"/>
  <c r="S568" i="1"/>
  <c r="Y568" i="1" s="1"/>
  <c r="S559" i="1"/>
  <c r="Y559" i="1" s="1"/>
  <c r="S562" i="1"/>
  <c r="T565" i="1"/>
  <c r="Z565" i="1" s="1"/>
  <c r="U568" i="1"/>
  <c r="AA568" i="1" s="1"/>
  <c r="T561" i="1"/>
  <c r="Z561" i="1" s="1"/>
  <c r="T562" i="1"/>
  <c r="S564" i="1"/>
  <c r="Y564" i="1" s="1"/>
  <c r="T564" i="1"/>
  <c r="Z564" i="1" s="1"/>
  <c r="T559" i="1"/>
  <c r="Z559" i="1" s="1"/>
  <c r="U567" i="1"/>
  <c r="AA567" i="1" s="1"/>
  <c r="S561" i="1"/>
  <c r="U564" i="1"/>
  <c r="AA564" i="1" s="1"/>
  <c r="U565" i="1"/>
  <c r="AA565" i="1" s="1"/>
  <c r="T567" i="1"/>
  <c r="Z567" i="1" s="1"/>
  <c r="Y539" i="1"/>
  <c r="AA264" i="1"/>
  <c r="Z264" i="1"/>
  <c r="Y447" i="1"/>
  <c r="T283" i="1"/>
  <c r="Z283" i="1" s="1"/>
  <c r="T275" i="1"/>
  <c r="Z322" i="1"/>
  <c r="AA322" i="1"/>
  <c r="Y322" i="1"/>
  <c r="Y406" i="1"/>
  <c r="Z406" i="1"/>
  <c r="AA406" i="1"/>
  <c r="Y25" i="1"/>
  <c r="U403" i="1"/>
  <c r="T410" i="1"/>
  <c r="Z410" i="1" s="1"/>
  <c r="S403" i="1"/>
  <c r="S408" i="1"/>
  <c r="Y403" i="1"/>
  <c r="S406" i="1"/>
  <c r="U413" i="1"/>
  <c r="AA413" i="1" s="1"/>
  <c r="Z403" i="1"/>
  <c r="T406" i="1"/>
  <c r="S411" i="1"/>
  <c r="Y411" i="1" s="1"/>
  <c r="U405" i="1"/>
  <c r="U406" i="1"/>
  <c r="T409" i="1"/>
  <c r="Z409" i="1" s="1"/>
  <c r="S412" i="1"/>
  <c r="Y412" i="1" s="1"/>
  <c r="U404" i="1"/>
  <c r="T411" i="1"/>
  <c r="Z411" i="1" s="1"/>
  <c r="U414" i="1"/>
  <c r="AA414" i="1" s="1"/>
  <c r="U411" i="1"/>
  <c r="AA411" i="1" s="1"/>
  <c r="T408" i="1"/>
  <c r="U408" i="1"/>
  <c r="AA403" i="1"/>
  <c r="S407" i="1"/>
  <c r="U410" i="1"/>
  <c r="AA410" i="1" s="1"/>
  <c r="S404" i="1"/>
  <c r="T407" i="1"/>
  <c r="S414" i="1"/>
  <c r="Y414" i="1" s="1"/>
  <c r="S413" i="1"/>
  <c r="Y413" i="1" s="1"/>
  <c r="T413" i="1"/>
  <c r="Z413" i="1" s="1"/>
  <c r="U407" i="1"/>
  <c r="T414" i="1"/>
  <c r="Z414" i="1" s="1"/>
  <c r="T404" i="1"/>
  <c r="S405" i="1"/>
  <c r="T412" i="1"/>
  <c r="Z412" i="1" s="1"/>
  <c r="U409" i="1"/>
  <c r="AA409" i="1" s="1"/>
  <c r="S410" i="1"/>
  <c r="Y410" i="1" s="1"/>
  <c r="U412" i="1"/>
  <c r="AA412" i="1" s="1"/>
  <c r="T405" i="1"/>
  <c r="T403" i="1"/>
  <c r="S409" i="1"/>
  <c r="Y409" i="1" s="1"/>
  <c r="Y476" i="1"/>
  <c r="Z476" i="1"/>
  <c r="AA476" i="1"/>
  <c r="Y311" i="1"/>
  <c r="Z311" i="1"/>
  <c r="AA311" i="1"/>
  <c r="AA443" i="1"/>
  <c r="Y443" i="1"/>
  <c r="Z443" i="1"/>
  <c r="S247" i="1"/>
  <c r="Y247" i="1" s="1"/>
  <c r="S244" i="1"/>
  <c r="Y244" i="1" s="1"/>
  <c r="T247" i="1"/>
  <c r="Z247" i="1" s="1"/>
  <c r="S313" i="1"/>
  <c r="Y313" i="1" s="1"/>
  <c r="U313" i="1"/>
  <c r="AA313" i="1" s="1"/>
  <c r="AA550" i="1"/>
  <c r="Y550" i="1"/>
  <c r="Z550" i="1"/>
  <c r="S488" i="1"/>
  <c r="Y488" i="1" s="1"/>
  <c r="T489" i="1"/>
  <c r="Z489" i="1" s="1"/>
  <c r="S496" i="1"/>
  <c r="Y496" i="1" s="1"/>
  <c r="U498" i="1"/>
  <c r="AA498" i="1" s="1"/>
  <c r="T487" i="1"/>
  <c r="T494" i="1"/>
  <c r="Z494" i="1" s="1"/>
  <c r="Z487" i="1"/>
  <c r="S493" i="1"/>
  <c r="Y493" i="1" s="1"/>
  <c r="T498" i="1"/>
  <c r="Z498" i="1" s="1"/>
  <c r="T493" i="1"/>
  <c r="Z493" i="1" s="1"/>
  <c r="T488" i="1"/>
  <c r="Z488" i="1" s="1"/>
  <c r="U493" i="1"/>
  <c r="AA493" i="1" s="1"/>
  <c r="U488" i="1"/>
  <c r="AA488" i="1" s="1"/>
  <c r="T496" i="1"/>
  <c r="Z496" i="1" s="1"/>
  <c r="S491" i="1"/>
  <c r="Y491" i="1" s="1"/>
  <c r="U496" i="1"/>
  <c r="AA496" i="1" s="1"/>
  <c r="S489" i="1"/>
  <c r="Y489" i="1" s="1"/>
  <c r="S497" i="1"/>
  <c r="Y497" i="1" s="1"/>
  <c r="U487" i="1"/>
  <c r="AA487" i="1" s="1"/>
  <c r="S490" i="1"/>
  <c r="T495" i="1"/>
  <c r="Z495" i="1" s="1"/>
  <c r="U491" i="1"/>
  <c r="S492" i="1"/>
  <c r="Y492" i="1" s="1"/>
  <c r="T492" i="1"/>
  <c r="Z492" i="1" s="1"/>
  <c r="S487" i="1"/>
  <c r="Y487" i="1" s="1"/>
  <c r="U492" i="1"/>
  <c r="AA492" i="1" s="1"/>
  <c r="T497" i="1"/>
  <c r="Z497" i="1" s="1"/>
  <c r="U497" i="1"/>
  <c r="AA497" i="1" s="1"/>
  <c r="T490" i="1"/>
  <c r="Z490" i="1" s="1"/>
  <c r="U490" i="1"/>
  <c r="AA490" i="1" s="1"/>
  <c r="S495" i="1"/>
  <c r="Y495" i="1" s="1"/>
  <c r="T491" i="1"/>
  <c r="S494" i="1"/>
  <c r="Y494" i="1" s="1"/>
  <c r="U494" i="1"/>
  <c r="AA494" i="1" s="1"/>
  <c r="U489" i="1"/>
  <c r="AA489" i="1" s="1"/>
  <c r="U495" i="1"/>
  <c r="AA495" i="1" s="1"/>
  <c r="S498" i="1"/>
  <c r="Y498" i="1" s="1"/>
  <c r="S528" i="1"/>
  <c r="Y528" i="1" s="1"/>
  <c r="U530" i="1"/>
  <c r="AA530" i="1" s="1"/>
  <c r="U524" i="1"/>
  <c r="AA524" i="1" s="1"/>
  <c r="T529" i="1"/>
  <c r="Z529" i="1" s="1"/>
  <c r="S534" i="1"/>
  <c r="Y534" i="1" s="1"/>
  <c r="S527" i="1"/>
  <c r="Y527" i="1" s="1"/>
  <c r="U534" i="1"/>
  <c r="AA534" i="1" s="1"/>
  <c r="T527" i="1"/>
  <c r="Z527" i="1" s="1"/>
  <c r="S532" i="1"/>
  <c r="Y532" i="1" s="1"/>
  <c r="U527" i="1"/>
  <c r="AA527" i="1" s="1"/>
  <c r="T532" i="1"/>
  <c r="Z532" i="1" s="1"/>
  <c r="S523" i="1"/>
  <c r="Y523" i="1" s="1"/>
  <c r="U526" i="1"/>
  <c r="S533" i="1"/>
  <c r="Y533" i="1" s="1"/>
  <c r="T523" i="1"/>
  <c r="Z523" i="1" s="1"/>
  <c r="S530" i="1"/>
  <c r="Y530" i="1" s="1"/>
  <c r="T533" i="1"/>
  <c r="Z533" i="1" s="1"/>
  <c r="U523" i="1"/>
  <c r="AA523" i="1" s="1"/>
  <c r="T530" i="1"/>
  <c r="Z530" i="1" s="1"/>
  <c r="U533" i="1"/>
  <c r="AA533" i="1" s="1"/>
  <c r="S524" i="1"/>
  <c r="S526" i="1"/>
  <c r="S529" i="1"/>
  <c r="Y529" i="1" s="1"/>
  <c r="U529" i="1"/>
  <c r="AA529" i="1" s="1"/>
  <c r="T524" i="1"/>
  <c r="S531" i="1"/>
  <c r="Y531" i="1" s="1"/>
  <c r="S525" i="1"/>
  <c r="Y525" i="1" s="1"/>
  <c r="T531" i="1"/>
  <c r="Z531" i="1" s="1"/>
  <c r="T525" i="1"/>
  <c r="Z525" i="1" s="1"/>
  <c r="U531" i="1"/>
  <c r="AA531" i="1" s="1"/>
  <c r="U525" i="1"/>
  <c r="AA525" i="1" s="1"/>
  <c r="U532" i="1"/>
  <c r="AA532" i="1" s="1"/>
  <c r="U528" i="1"/>
  <c r="AA528" i="1" s="1"/>
  <c r="T534" i="1"/>
  <c r="Z534" i="1" s="1"/>
  <c r="T528" i="1"/>
  <c r="Z528" i="1" s="1"/>
  <c r="T526" i="1"/>
  <c r="Z648" i="1"/>
  <c r="Y648" i="1"/>
  <c r="AA648" i="1"/>
  <c r="T79" i="1"/>
  <c r="Z79" i="1" s="1"/>
  <c r="AA126" i="1"/>
  <c r="Y126" i="1"/>
  <c r="Z126" i="1"/>
  <c r="Y468" i="1"/>
  <c r="Z468" i="1"/>
  <c r="AA468" i="1"/>
  <c r="T77" i="1"/>
  <c r="Z77" i="1" s="1"/>
  <c r="S187" i="1"/>
  <c r="Y187" i="1" s="1"/>
  <c r="S278" i="1"/>
  <c r="Y278" i="1" s="1"/>
  <c r="U343" i="1"/>
  <c r="T350" i="1"/>
  <c r="Z350" i="1" s="1"/>
  <c r="T347" i="1"/>
  <c r="S352" i="1"/>
  <c r="Y352" i="1" s="1"/>
  <c r="S345" i="1"/>
  <c r="U352" i="1"/>
  <c r="AA352" i="1" s="1"/>
  <c r="T345" i="1"/>
  <c r="S350" i="1"/>
  <c r="Y350" i="1" s="1"/>
  <c r="U345" i="1"/>
  <c r="U350" i="1"/>
  <c r="AA350" i="1" s="1"/>
  <c r="S348" i="1"/>
  <c r="S343" i="1"/>
  <c r="T348" i="1"/>
  <c r="S353" i="1"/>
  <c r="Y353" i="1" s="1"/>
  <c r="U344" i="1"/>
  <c r="T349" i="1"/>
  <c r="Z349" i="1" s="1"/>
  <c r="S354" i="1"/>
  <c r="Y354" i="1" s="1"/>
  <c r="U349" i="1"/>
  <c r="AA349" i="1" s="1"/>
  <c r="T354" i="1"/>
  <c r="Z354" i="1" s="1"/>
  <c r="U347" i="1"/>
  <c r="T352" i="1"/>
  <c r="Z352" i="1" s="1"/>
  <c r="T343" i="1"/>
  <c r="U348" i="1"/>
  <c r="Y343" i="1"/>
  <c r="T353" i="1"/>
  <c r="Z353" i="1" s="1"/>
  <c r="Z343" i="1"/>
  <c r="U353" i="1"/>
  <c r="AA353" i="1" s="1"/>
  <c r="AA343" i="1"/>
  <c r="S344" i="1"/>
  <c r="T344" i="1"/>
  <c r="S349" i="1"/>
  <c r="Y349" i="1" s="1"/>
  <c r="U354" i="1"/>
  <c r="AA354" i="1" s="1"/>
  <c r="U351" i="1"/>
  <c r="AA351" i="1" s="1"/>
  <c r="S347" i="1"/>
  <c r="S346" i="1"/>
  <c r="T346" i="1"/>
  <c r="U346" i="1"/>
  <c r="S351" i="1"/>
  <c r="Y351" i="1" s="1"/>
  <c r="T351" i="1"/>
  <c r="Z351" i="1" s="1"/>
  <c r="S433" i="1"/>
  <c r="Y433" i="1" s="1"/>
  <c r="U435" i="1"/>
  <c r="AA435" i="1" s="1"/>
  <c r="U432" i="1"/>
  <c r="AA427" i="1"/>
  <c r="U430" i="1"/>
  <c r="T435" i="1"/>
  <c r="Z435" i="1" s="1"/>
  <c r="S428" i="1"/>
  <c r="U438" i="1"/>
  <c r="AA438" i="1" s="1"/>
  <c r="S427" i="1"/>
  <c r="S430" i="1"/>
  <c r="U433" i="1"/>
  <c r="AA433" i="1" s="1"/>
  <c r="T436" i="1"/>
  <c r="Z436" i="1" s="1"/>
  <c r="U428" i="1"/>
  <c r="T438" i="1"/>
  <c r="Z438" i="1" s="1"/>
  <c r="S435" i="1"/>
  <c r="Y435" i="1" s="1"/>
  <c r="S432" i="1"/>
  <c r="S429" i="1"/>
  <c r="T432" i="1"/>
  <c r="S436" i="1"/>
  <c r="Y436" i="1" s="1"/>
  <c r="Y427" i="1"/>
  <c r="T431" i="1"/>
  <c r="U434" i="1"/>
  <c r="AA434" i="1" s="1"/>
  <c r="Z427" i="1"/>
  <c r="U431" i="1"/>
  <c r="T427" i="1"/>
  <c r="S434" i="1"/>
  <c r="Y434" i="1" s="1"/>
  <c r="U427" i="1"/>
  <c r="T434" i="1"/>
  <c r="Z434" i="1" s="1"/>
  <c r="T428" i="1"/>
  <c r="T429" i="1"/>
  <c r="U436" i="1"/>
  <c r="AA436" i="1" s="1"/>
  <c r="S438" i="1"/>
  <c r="Y438" i="1" s="1"/>
  <c r="U437" i="1"/>
  <c r="AA437" i="1" s="1"/>
  <c r="U429" i="1"/>
  <c r="T430" i="1"/>
  <c r="S437" i="1"/>
  <c r="Y437" i="1" s="1"/>
  <c r="T433" i="1"/>
  <c r="Z433" i="1" s="1"/>
  <c r="T437" i="1"/>
  <c r="Z437" i="1" s="1"/>
  <c r="S431" i="1"/>
  <c r="Z344" i="1"/>
  <c r="Y344" i="1"/>
  <c r="AA344" i="1"/>
  <c r="Y252" i="1"/>
  <c r="Z252" i="1"/>
  <c r="AA252" i="1"/>
  <c r="S31" i="1"/>
  <c r="U33" i="1"/>
  <c r="T40" i="1"/>
  <c r="Z40" i="1" s="1"/>
  <c r="T35" i="1"/>
  <c r="Y31" i="1"/>
  <c r="T34" i="1"/>
  <c r="U39" i="1"/>
  <c r="AA39" i="1" s="1"/>
  <c r="Z31" i="1"/>
  <c r="U34" i="1"/>
  <c r="S42" i="1"/>
  <c r="Y42" i="1" s="1"/>
  <c r="AA31" i="1"/>
  <c r="S37" i="1"/>
  <c r="Y37" i="1" s="1"/>
  <c r="T42" i="1"/>
  <c r="Z42" i="1" s="1"/>
  <c r="S32" i="1"/>
  <c r="T37" i="1"/>
  <c r="Z37" i="1" s="1"/>
  <c r="U42" i="1"/>
  <c r="AA42" i="1" s="1"/>
  <c r="T32" i="1"/>
  <c r="U37" i="1"/>
  <c r="AA37" i="1" s="1"/>
  <c r="S40" i="1"/>
  <c r="Y40" i="1" s="1"/>
  <c r="U32" i="1"/>
  <c r="U40" i="1"/>
  <c r="AA40" i="1" s="1"/>
  <c r="S35" i="1"/>
  <c r="S38" i="1"/>
  <c r="Y38" i="1" s="1"/>
  <c r="U35" i="1"/>
  <c r="U38" i="1"/>
  <c r="AA38" i="1" s="1"/>
  <c r="T38" i="1"/>
  <c r="Z38" i="1" s="1"/>
  <c r="T31" i="1"/>
  <c r="U36" i="1"/>
  <c r="U31" i="1"/>
  <c r="S39" i="1"/>
  <c r="Y39" i="1" s="1"/>
  <c r="S34" i="1"/>
  <c r="T39" i="1"/>
  <c r="Z39" i="1" s="1"/>
  <c r="S33" i="1"/>
  <c r="T36" i="1"/>
  <c r="S41" i="1"/>
  <c r="Y41" i="1" s="1"/>
  <c r="T33" i="1"/>
  <c r="T41" i="1"/>
  <c r="Z41" i="1" s="1"/>
  <c r="U41" i="1"/>
  <c r="AA41" i="1" s="1"/>
  <c r="S36" i="1"/>
  <c r="U246" i="1"/>
  <c r="AA246" i="1" s="1"/>
  <c r="U241" i="1"/>
  <c r="U240" i="1"/>
  <c r="T83" i="1"/>
  <c r="Z83" i="1" s="1"/>
  <c r="T308" i="1"/>
  <c r="T78" i="1"/>
  <c r="Z78" i="1" s="1"/>
  <c r="U78" i="1"/>
  <c r="AA78" i="1" s="1"/>
  <c r="Z276" i="1"/>
  <c r="AA276" i="1"/>
  <c r="AA275" i="1"/>
  <c r="Z275" i="1"/>
  <c r="Y562" i="1"/>
  <c r="Z562" i="1"/>
  <c r="AA562" i="1"/>
  <c r="Y599" i="1"/>
  <c r="Z599" i="1"/>
  <c r="AA599" i="1"/>
  <c r="Y576" i="1"/>
  <c r="Y659" i="1"/>
  <c r="AA659" i="1"/>
  <c r="Y587" i="1"/>
  <c r="Y490" i="1"/>
  <c r="Z651" i="1"/>
  <c r="AA183" i="1"/>
  <c r="S186" i="1"/>
  <c r="Y186" i="1" s="1"/>
  <c r="U189" i="1"/>
  <c r="AA189" i="1" s="1"/>
  <c r="S84" i="1"/>
  <c r="Y84" i="1" s="1"/>
  <c r="AA315" i="1"/>
  <c r="Y441" i="1"/>
  <c r="Z441" i="1"/>
  <c r="AA441" i="1"/>
  <c r="U84" i="1"/>
  <c r="AA84" i="1" s="1"/>
  <c r="AA121" i="1"/>
  <c r="T124" i="1"/>
  <c r="S131" i="1"/>
  <c r="Y131" i="1" s="1"/>
  <c r="T123" i="1"/>
  <c r="S128" i="1"/>
  <c r="Y128" i="1" s="1"/>
  <c r="U123" i="1"/>
  <c r="T128" i="1"/>
  <c r="Z128" i="1" s="1"/>
  <c r="S121" i="1"/>
  <c r="U126" i="1"/>
  <c r="U128" i="1"/>
  <c r="AA128" i="1" s="1"/>
  <c r="T122" i="1"/>
  <c r="T121" i="1"/>
  <c r="S126" i="1"/>
  <c r="U131" i="1"/>
  <c r="AA131" i="1" s="1"/>
  <c r="T129" i="1"/>
  <c r="Z129" i="1" s="1"/>
  <c r="U121" i="1"/>
  <c r="T126" i="1"/>
  <c r="T131" i="1"/>
  <c r="Z131" i="1" s="1"/>
  <c r="Y121" i="1"/>
  <c r="S124" i="1"/>
  <c r="S129" i="1"/>
  <c r="Y129" i="1" s="1"/>
  <c r="U124" i="1"/>
  <c r="S122" i="1"/>
  <c r="U129" i="1"/>
  <c r="AA129" i="1" s="1"/>
  <c r="T125" i="1"/>
  <c r="S130" i="1"/>
  <c r="Y130" i="1" s="1"/>
  <c r="Z121" i="1"/>
  <c r="U125" i="1"/>
  <c r="T130" i="1"/>
  <c r="Z130" i="1" s="1"/>
  <c r="S123" i="1"/>
  <c r="U130" i="1"/>
  <c r="AA130" i="1" s="1"/>
  <c r="S127" i="1"/>
  <c r="Y127" i="1" s="1"/>
  <c r="T127" i="1"/>
  <c r="Z127" i="1" s="1"/>
  <c r="S132" i="1"/>
  <c r="Y132" i="1" s="1"/>
  <c r="U127" i="1"/>
  <c r="AA127" i="1" s="1"/>
  <c r="S125" i="1"/>
  <c r="T132" i="1"/>
  <c r="Z132" i="1" s="1"/>
  <c r="U132" i="1"/>
  <c r="AA132" i="1" s="1"/>
  <c r="U122" i="1"/>
  <c r="S182" i="1"/>
  <c r="Y182" i="1" s="1"/>
  <c r="U77" i="1"/>
  <c r="AA77" i="1" s="1"/>
  <c r="U277" i="1"/>
  <c r="AA277" i="1" s="1"/>
  <c r="Y370" i="1"/>
  <c r="Z370" i="1"/>
  <c r="AA370" i="1"/>
  <c r="U295" i="1"/>
  <c r="T302" i="1"/>
  <c r="Z302" i="1" s="1"/>
  <c r="S300" i="1"/>
  <c r="U302" i="1"/>
  <c r="AA302" i="1" s="1"/>
  <c r="S295" i="1"/>
  <c r="S303" i="1"/>
  <c r="Y303" i="1" s="1"/>
  <c r="Y295" i="1"/>
  <c r="T298" i="1"/>
  <c r="U303" i="1"/>
  <c r="AA303" i="1" s="1"/>
  <c r="Z295" i="1"/>
  <c r="U298" i="1"/>
  <c r="S306" i="1"/>
  <c r="Y306" i="1" s="1"/>
  <c r="AA295" i="1"/>
  <c r="S301" i="1"/>
  <c r="Y301" i="1" s="1"/>
  <c r="T306" i="1"/>
  <c r="Z306" i="1" s="1"/>
  <c r="S296" i="1"/>
  <c r="T301" i="1"/>
  <c r="Z301" i="1" s="1"/>
  <c r="U306" i="1"/>
  <c r="AA306" i="1" s="1"/>
  <c r="T296" i="1"/>
  <c r="U301" i="1"/>
  <c r="AA301" i="1" s="1"/>
  <c r="S299" i="1"/>
  <c r="T304" i="1"/>
  <c r="Z304" i="1" s="1"/>
  <c r="T297" i="1"/>
  <c r="T305" i="1"/>
  <c r="Z305" i="1" s="1"/>
  <c r="U297" i="1"/>
  <c r="T300" i="1"/>
  <c r="U305" i="1"/>
  <c r="AA305" i="1" s="1"/>
  <c r="S297" i="1"/>
  <c r="T303" i="1"/>
  <c r="Z303" i="1" s="1"/>
  <c r="S304" i="1"/>
  <c r="Y304" i="1" s="1"/>
  <c r="S298" i="1"/>
  <c r="U304" i="1"/>
  <c r="AA304" i="1" s="1"/>
  <c r="T299" i="1"/>
  <c r="U299" i="1"/>
  <c r="S305" i="1"/>
  <c r="Y305" i="1" s="1"/>
  <c r="U296" i="1"/>
  <c r="S302" i="1"/>
  <c r="Y302" i="1" s="1"/>
  <c r="U300" i="1"/>
  <c r="T295" i="1"/>
  <c r="AA356" i="1"/>
  <c r="Y356" i="1"/>
  <c r="Z356" i="1"/>
  <c r="Y452" i="1"/>
  <c r="Z452" i="1"/>
  <c r="AA452" i="1"/>
  <c r="Y246" i="1"/>
  <c r="Y425" i="1"/>
  <c r="S184" i="1"/>
  <c r="Y184" i="1" s="1"/>
  <c r="T245" i="1"/>
  <c r="Z245" i="1" s="1"/>
  <c r="T238" i="1"/>
  <c r="S238" i="1"/>
  <c r="S318" i="1"/>
  <c r="Y318" i="1" s="1"/>
  <c r="U318" i="1"/>
  <c r="AA318" i="1" s="1"/>
  <c r="U87" i="1"/>
  <c r="AA87" i="1" s="1"/>
  <c r="U307" i="1"/>
  <c r="T167" i="1"/>
  <c r="Z167" i="1" s="1"/>
  <c r="U167" i="1"/>
  <c r="AA167" i="1" s="1"/>
  <c r="S165" i="1"/>
  <c r="Y165" i="1" s="1"/>
  <c r="T168" i="1"/>
  <c r="Z168" i="1" s="1"/>
  <c r="S160" i="1"/>
  <c r="Y160" i="1" s="1"/>
  <c r="S158" i="1"/>
  <c r="Y158" i="1" s="1"/>
  <c r="T160" i="1"/>
  <c r="Z160" i="1" s="1"/>
  <c r="U160" i="1"/>
  <c r="AA160" i="1" s="1"/>
  <c r="T165" i="1"/>
  <c r="Z165" i="1" s="1"/>
  <c r="U163" i="1"/>
  <c r="AA163" i="1" s="1"/>
  <c r="U168" i="1"/>
  <c r="AA168" i="1" s="1"/>
  <c r="T158" i="1"/>
  <c r="T163" i="1"/>
  <c r="Z163" i="1" s="1"/>
  <c r="S168" i="1"/>
  <c r="Y168" i="1" s="1"/>
  <c r="U159" i="1"/>
  <c r="AA159" i="1" s="1"/>
  <c r="T164" i="1"/>
  <c r="Z164" i="1" s="1"/>
  <c r="S157" i="1"/>
  <c r="Y157" i="1" s="1"/>
  <c r="U164" i="1"/>
  <c r="AA164" i="1" s="1"/>
  <c r="U158" i="1"/>
  <c r="S161" i="1"/>
  <c r="Y161" i="1" s="1"/>
  <c r="T157" i="1"/>
  <c r="Z157" i="1" s="1"/>
  <c r="S162" i="1"/>
  <c r="Y162" i="1" s="1"/>
  <c r="S164" i="1"/>
  <c r="Y164" i="1" s="1"/>
  <c r="Z158" i="1"/>
  <c r="U161" i="1"/>
  <c r="AA161" i="1" s="1"/>
  <c r="AA158" i="1"/>
  <c r="S159" i="1"/>
  <c r="Y159" i="1" s="1"/>
  <c r="S166" i="1"/>
  <c r="Y166" i="1" s="1"/>
  <c r="T159" i="1"/>
  <c r="Z159" i="1" s="1"/>
  <c r="T166" i="1"/>
  <c r="Z166" i="1" s="1"/>
  <c r="U166" i="1"/>
  <c r="AA166" i="1" s="1"/>
  <c r="T161" i="1"/>
  <c r="Z161" i="1" s="1"/>
  <c r="Y582" i="1"/>
  <c r="T537" i="1"/>
  <c r="S544" i="1"/>
  <c r="Y544" i="1" s="1"/>
  <c r="U546" i="1"/>
  <c r="AA546" i="1" s="1"/>
  <c r="U541" i="1"/>
  <c r="AA541" i="1" s="1"/>
  <c r="T546" i="1"/>
  <c r="Z546" i="1" s="1"/>
  <c r="T539" i="1"/>
  <c r="Z539" i="1" s="1"/>
  <c r="T544" i="1"/>
  <c r="Z544" i="1" s="1"/>
  <c r="U539" i="1"/>
  <c r="AA539" i="1" s="1"/>
  <c r="U544" i="1"/>
  <c r="AA544" i="1" s="1"/>
  <c r="S537" i="1"/>
  <c r="Y537" i="1" s="1"/>
  <c r="T536" i="1"/>
  <c r="Z536" i="1" s="1"/>
  <c r="U536" i="1"/>
  <c r="AA536" i="1" s="1"/>
  <c r="S540" i="1"/>
  <c r="Y540" i="1" s="1"/>
  <c r="U540" i="1"/>
  <c r="AA540" i="1" s="1"/>
  <c r="T543" i="1"/>
  <c r="Z543" i="1" s="1"/>
  <c r="S546" i="1"/>
  <c r="Y546" i="1" s="1"/>
  <c r="U543" i="1"/>
  <c r="AA543" i="1" s="1"/>
  <c r="S542" i="1"/>
  <c r="Y542" i="1" s="1"/>
  <c r="Z535" i="1"/>
  <c r="T542" i="1"/>
  <c r="Z542" i="1" s="1"/>
  <c r="T545" i="1"/>
  <c r="Z545" i="1" s="1"/>
  <c r="S541" i="1"/>
  <c r="Y541" i="1" s="1"/>
  <c r="U545" i="1"/>
  <c r="AA545" i="1" s="1"/>
  <c r="S536" i="1"/>
  <c r="Y536" i="1" s="1"/>
  <c r="T541" i="1"/>
  <c r="Z541" i="1" s="1"/>
  <c r="U537" i="1"/>
  <c r="U542" i="1"/>
  <c r="AA542" i="1" s="1"/>
  <c r="S538" i="1"/>
  <c r="Y538" i="1" s="1"/>
  <c r="U538" i="1"/>
  <c r="AA538" i="1" s="1"/>
  <c r="S543" i="1"/>
  <c r="Y543" i="1" s="1"/>
  <c r="S535" i="1"/>
  <c r="Y535" i="1" s="1"/>
  <c r="T540" i="1"/>
  <c r="Z540" i="1" s="1"/>
  <c r="T535" i="1"/>
  <c r="S545" i="1"/>
  <c r="Y545" i="1" s="1"/>
  <c r="U535" i="1"/>
  <c r="AA535" i="1" s="1"/>
  <c r="T538" i="1"/>
  <c r="Z538" i="1" s="1"/>
  <c r="S539" i="1"/>
  <c r="Y670" i="1"/>
  <c r="Z670" i="1"/>
  <c r="Z645" i="1"/>
  <c r="AA645" i="1"/>
  <c r="Y645" i="1"/>
  <c r="Y597" i="1"/>
  <c r="Z597" i="1"/>
  <c r="AA597" i="1"/>
  <c r="AA491" i="1"/>
  <c r="Z491" i="1"/>
  <c r="Z586" i="1"/>
  <c r="Y635" i="1"/>
  <c r="Z635" i="1"/>
  <c r="AA635" i="1"/>
  <c r="Z195" i="1"/>
  <c r="Y195" i="1"/>
  <c r="AA195" i="1"/>
  <c r="U177" i="1"/>
  <c r="AA177" i="1" s="1"/>
  <c r="Y345" i="1"/>
  <c r="Z345" i="1"/>
  <c r="AA345" i="1"/>
  <c r="S272" i="1"/>
  <c r="Y272" i="1" s="1"/>
  <c r="S191" i="1"/>
  <c r="Y191" i="1" s="1"/>
  <c r="U82" i="1"/>
  <c r="AA82" i="1" s="1"/>
  <c r="S277" i="1"/>
  <c r="Y277" i="1" s="1"/>
  <c r="S275" i="1"/>
  <c r="Y275" i="1" s="1"/>
  <c r="Y298" i="1"/>
  <c r="Z298" i="1"/>
  <c r="AA298" i="1"/>
  <c r="AA379" i="1"/>
  <c r="T382" i="1"/>
  <c r="S389" i="1"/>
  <c r="Y389" i="1" s="1"/>
  <c r="U380" i="1"/>
  <c r="T387" i="1"/>
  <c r="Z387" i="1" s="1"/>
  <c r="S382" i="1"/>
  <c r="S390" i="1"/>
  <c r="Y390" i="1" s="1"/>
  <c r="Y379" i="1"/>
  <c r="U382" i="1"/>
  <c r="S385" i="1"/>
  <c r="Y385" i="1" s="1"/>
  <c r="T390" i="1"/>
  <c r="Z390" i="1" s="1"/>
  <c r="S381" i="1"/>
  <c r="T381" i="1"/>
  <c r="S384" i="1"/>
  <c r="S387" i="1"/>
  <c r="Y387" i="1" s="1"/>
  <c r="U390" i="1"/>
  <c r="AA390" i="1" s="1"/>
  <c r="U381" i="1"/>
  <c r="T384" i="1"/>
  <c r="U387" i="1"/>
  <c r="AA387" i="1" s="1"/>
  <c r="U384" i="1"/>
  <c r="T385" i="1"/>
  <c r="Z385" i="1" s="1"/>
  <c r="S388" i="1"/>
  <c r="Y388" i="1" s="1"/>
  <c r="S379" i="1"/>
  <c r="U385" i="1"/>
  <c r="AA385" i="1" s="1"/>
  <c r="T388" i="1"/>
  <c r="Z388" i="1" s="1"/>
  <c r="U386" i="1"/>
  <c r="AA386" i="1" s="1"/>
  <c r="U389" i="1"/>
  <c r="AA389" i="1" s="1"/>
  <c r="S383" i="1"/>
  <c r="T389" i="1"/>
  <c r="Z389" i="1" s="1"/>
  <c r="T383" i="1"/>
  <c r="U383" i="1"/>
  <c r="T379" i="1"/>
  <c r="U388" i="1"/>
  <c r="AA388" i="1" s="1"/>
  <c r="U379" i="1"/>
  <c r="Z379" i="1"/>
  <c r="S380" i="1"/>
  <c r="T380" i="1"/>
  <c r="S386" i="1"/>
  <c r="Y386" i="1" s="1"/>
  <c r="T386" i="1"/>
  <c r="Z386" i="1" s="1"/>
  <c r="Y380" i="1"/>
  <c r="Z380" i="1"/>
  <c r="AA380" i="1"/>
  <c r="Y416" i="1"/>
  <c r="Z416" i="1"/>
  <c r="AA416" i="1"/>
  <c r="AA240" i="1"/>
  <c r="Z240" i="1"/>
  <c r="Y240" i="1"/>
  <c r="T76" i="1"/>
  <c r="Z76" i="1" s="1"/>
  <c r="U192" i="1"/>
  <c r="AA192" i="1" s="1"/>
  <c r="U242" i="1"/>
  <c r="AA242" i="1" s="1"/>
  <c r="T241" i="1"/>
  <c r="T242" i="1"/>
  <c r="Z242" i="1" s="1"/>
  <c r="U310" i="1"/>
  <c r="S316" i="1"/>
  <c r="Y316" i="1" s="1"/>
  <c r="S80" i="1"/>
  <c r="Y80" i="1" s="1"/>
  <c r="AA623" i="1"/>
  <c r="Z184" i="1"/>
  <c r="AA184" i="1"/>
  <c r="S585" i="1"/>
  <c r="Y585" i="1" s="1"/>
  <c r="U587" i="1"/>
  <c r="AA587" i="1" s="1"/>
  <c r="T594" i="1"/>
  <c r="Z594" i="1" s="1"/>
  <c r="Y583" i="1"/>
  <c r="S586" i="1"/>
  <c r="Y586" i="1" s="1"/>
  <c r="U593" i="1"/>
  <c r="AA593" i="1" s="1"/>
  <c r="S584" i="1"/>
  <c r="Y584" i="1" s="1"/>
  <c r="U591" i="1"/>
  <c r="AA591" i="1" s="1"/>
  <c r="T584" i="1"/>
  <c r="Z584" i="1" s="1"/>
  <c r="S589" i="1"/>
  <c r="Y589" i="1" s="1"/>
  <c r="T585" i="1"/>
  <c r="Z585" i="1" s="1"/>
  <c r="S588" i="1"/>
  <c r="Y588" i="1" s="1"/>
  <c r="S591" i="1"/>
  <c r="Y591" i="1" s="1"/>
  <c r="U594" i="1"/>
  <c r="AA594" i="1" s="1"/>
  <c r="S587" i="1"/>
  <c r="U590" i="1"/>
  <c r="AA590" i="1" s="1"/>
  <c r="S594" i="1"/>
  <c r="Y594" i="1" s="1"/>
  <c r="T587" i="1"/>
  <c r="Z587" i="1" s="1"/>
  <c r="AA583" i="1"/>
  <c r="U584" i="1"/>
  <c r="AA584" i="1" s="1"/>
  <c r="T591" i="1"/>
  <c r="Z591" i="1" s="1"/>
  <c r="U592" i="1"/>
  <c r="AA592" i="1" s="1"/>
  <c r="S583" i="1"/>
  <c r="U586" i="1"/>
  <c r="AA586" i="1" s="1"/>
  <c r="S593" i="1"/>
  <c r="Y593" i="1" s="1"/>
  <c r="T583" i="1"/>
  <c r="Z583" i="1" s="1"/>
  <c r="S590" i="1"/>
  <c r="Y590" i="1" s="1"/>
  <c r="T593" i="1"/>
  <c r="Z593" i="1" s="1"/>
  <c r="U585" i="1"/>
  <c r="AA585" i="1" s="1"/>
  <c r="T592" i="1"/>
  <c r="Z592" i="1" s="1"/>
  <c r="T586" i="1"/>
  <c r="T588" i="1"/>
  <c r="Z588" i="1" s="1"/>
  <c r="U583" i="1"/>
  <c r="T590" i="1"/>
  <c r="Z590" i="1" s="1"/>
  <c r="S592" i="1"/>
  <c r="Y592" i="1" s="1"/>
  <c r="U589" i="1"/>
  <c r="AA589" i="1" s="1"/>
  <c r="U588" i="1"/>
  <c r="AA588" i="1" s="1"/>
  <c r="T589" i="1"/>
  <c r="Z589" i="1" s="1"/>
  <c r="S619" i="1"/>
  <c r="Y619" i="1" s="1"/>
  <c r="U621" i="1"/>
  <c r="AA621" i="1" s="1"/>
  <c r="T628" i="1"/>
  <c r="Z628" i="1" s="1"/>
  <c r="S624" i="1"/>
  <c r="Y624" i="1" s="1"/>
  <c r="U626" i="1"/>
  <c r="AA626" i="1" s="1"/>
  <c r="T619" i="1"/>
  <c r="Z619" i="1" s="1"/>
  <c r="S627" i="1"/>
  <c r="Y627" i="1" s="1"/>
  <c r="U619" i="1"/>
  <c r="AA619" i="1" s="1"/>
  <c r="S622" i="1"/>
  <c r="Y622" i="1" s="1"/>
  <c r="T627" i="1"/>
  <c r="Z627" i="1" s="1"/>
  <c r="T622" i="1"/>
  <c r="Z622" i="1" s="1"/>
  <c r="U627" i="1"/>
  <c r="AA627" i="1" s="1"/>
  <c r="U622" i="1"/>
  <c r="AA622" i="1" s="1"/>
  <c r="S630" i="1"/>
  <c r="Y630" i="1" s="1"/>
  <c r="S625" i="1"/>
  <c r="Y625" i="1" s="1"/>
  <c r="T630" i="1"/>
  <c r="Z630" i="1" s="1"/>
  <c r="S628" i="1"/>
  <c r="Y628" i="1" s="1"/>
  <c r="T624" i="1"/>
  <c r="Z624" i="1" s="1"/>
  <c r="U628" i="1"/>
  <c r="AA628" i="1" s="1"/>
  <c r="T625" i="1"/>
  <c r="Z625" i="1" s="1"/>
  <c r="U620" i="1"/>
  <c r="AA620" i="1" s="1"/>
  <c r="S621" i="1"/>
  <c r="Y621" i="1" s="1"/>
  <c r="T621" i="1"/>
  <c r="Z621" i="1" s="1"/>
  <c r="S626" i="1"/>
  <c r="Y626" i="1" s="1"/>
  <c r="U630" i="1"/>
  <c r="AA630" i="1" s="1"/>
  <c r="T626" i="1"/>
  <c r="Z626" i="1" s="1"/>
  <c r="S629" i="1"/>
  <c r="Y629" i="1" s="1"/>
  <c r="S620" i="1"/>
  <c r="Y620" i="1" s="1"/>
  <c r="U624" i="1"/>
  <c r="AA624" i="1" s="1"/>
  <c r="T629" i="1"/>
  <c r="Z629" i="1" s="1"/>
  <c r="T620" i="1"/>
  <c r="Z620" i="1" s="1"/>
  <c r="U625" i="1"/>
  <c r="AA625" i="1" s="1"/>
  <c r="U629" i="1"/>
  <c r="AA629" i="1" s="1"/>
  <c r="S623" i="1"/>
  <c r="Y623" i="1" s="1"/>
  <c r="U623" i="1"/>
  <c r="T623" i="1"/>
  <c r="Z623" i="1" s="1"/>
  <c r="S170" i="1"/>
  <c r="Y170" i="1" s="1"/>
  <c r="S147" i="1"/>
  <c r="U149" i="1"/>
  <c r="T156" i="1"/>
  <c r="Z156" i="1" s="1"/>
  <c r="T145" i="1"/>
  <c r="S150" i="1"/>
  <c r="U145" i="1"/>
  <c r="S155" i="1"/>
  <c r="Y155" i="1" s="1"/>
  <c r="T155" i="1"/>
  <c r="Z155" i="1" s="1"/>
  <c r="AA145" i="1"/>
  <c r="T153" i="1"/>
  <c r="Z153" i="1" s="1"/>
  <c r="T151" i="1"/>
  <c r="Z151" i="1" s="1"/>
  <c r="T150" i="1"/>
  <c r="U150" i="1"/>
  <c r="Y145" i="1"/>
  <c r="U155" i="1"/>
  <c r="AA155" i="1" s="1"/>
  <c r="S148" i="1"/>
  <c r="S156" i="1"/>
  <c r="Y156" i="1" s="1"/>
  <c r="Z145" i="1"/>
  <c r="T148" i="1"/>
  <c r="S153" i="1"/>
  <c r="Y153" i="1" s="1"/>
  <c r="U148" i="1"/>
  <c r="S146" i="1"/>
  <c r="U153" i="1"/>
  <c r="AA153" i="1" s="1"/>
  <c r="T146" i="1"/>
  <c r="U146" i="1"/>
  <c r="T147" i="1"/>
  <c r="S152" i="1"/>
  <c r="Y152" i="1" s="1"/>
  <c r="U147" i="1"/>
  <c r="T152" i="1"/>
  <c r="Z152" i="1" s="1"/>
  <c r="S145" i="1"/>
  <c r="U152" i="1"/>
  <c r="AA152" i="1" s="1"/>
  <c r="S151" i="1"/>
  <c r="Y151" i="1" s="1"/>
  <c r="S154" i="1"/>
  <c r="Y154" i="1" s="1"/>
  <c r="U154" i="1"/>
  <c r="AA154" i="1" s="1"/>
  <c r="S149" i="1"/>
  <c r="U151" i="1"/>
  <c r="AA151" i="1" s="1"/>
  <c r="T149" i="1"/>
  <c r="T154" i="1"/>
  <c r="Z154" i="1" s="1"/>
  <c r="U156" i="1"/>
  <c r="AA156" i="1" s="1"/>
  <c r="Y477" i="1"/>
  <c r="AA477" i="1"/>
  <c r="Z477" i="1"/>
  <c r="T186" i="1"/>
  <c r="Z186" i="1" s="1"/>
  <c r="T87" i="1"/>
  <c r="Z87" i="1" s="1"/>
  <c r="T282" i="1"/>
  <c r="Z282" i="1" s="1"/>
  <c r="Z316" i="1"/>
  <c r="S357" i="1"/>
  <c r="U359" i="1"/>
  <c r="T366" i="1"/>
  <c r="Z366" i="1" s="1"/>
  <c r="U364" i="1"/>
  <c r="AA364" i="1" s="1"/>
  <c r="U357" i="1"/>
  <c r="T355" i="1"/>
  <c r="S360" i="1"/>
  <c r="U355" i="1"/>
  <c r="T360" i="1"/>
  <c r="S365" i="1"/>
  <c r="Y365" i="1" s="1"/>
  <c r="U360" i="1"/>
  <c r="T365" i="1"/>
  <c r="Z365" i="1" s="1"/>
  <c r="U361" i="1"/>
  <c r="AA361" i="1" s="1"/>
  <c r="U366" i="1"/>
  <c r="AA366" i="1" s="1"/>
  <c r="S359" i="1"/>
  <c r="S364" i="1"/>
  <c r="Y364" i="1" s="1"/>
  <c r="U356" i="1"/>
  <c r="T357" i="1"/>
  <c r="S361" i="1"/>
  <c r="Y361" i="1" s="1"/>
  <c r="U365" i="1"/>
  <c r="AA365" i="1" s="1"/>
  <c r="T361" i="1"/>
  <c r="Z361" i="1" s="1"/>
  <c r="S358" i="1"/>
  <c r="T358" i="1"/>
  <c r="S362" i="1"/>
  <c r="Y362" i="1" s="1"/>
  <c r="U358" i="1"/>
  <c r="T362" i="1"/>
  <c r="Z362" i="1" s="1"/>
  <c r="U362" i="1"/>
  <c r="AA362" i="1" s="1"/>
  <c r="S366" i="1"/>
  <c r="Y366" i="1" s="1"/>
  <c r="AA355" i="1"/>
  <c r="S356" i="1"/>
  <c r="T364" i="1"/>
  <c r="Z364" i="1" s="1"/>
  <c r="T356" i="1"/>
  <c r="S363" i="1"/>
  <c r="Y363" i="1" s="1"/>
  <c r="T359" i="1"/>
  <c r="T363" i="1"/>
  <c r="Z363" i="1" s="1"/>
  <c r="S355" i="1"/>
  <c r="Y355" i="1"/>
  <c r="Z355" i="1"/>
  <c r="U363" i="1"/>
  <c r="AA363" i="1" s="1"/>
  <c r="AA296" i="1"/>
  <c r="Y296" i="1"/>
  <c r="Z296" i="1"/>
  <c r="Z368" i="1"/>
  <c r="AA368" i="1"/>
  <c r="Y368" i="1"/>
  <c r="Y428" i="1"/>
  <c r="Z428" i="1"/>
  <c r="AA428" i="1"/>
  <c r="Y431" i="1"/>
  <c r="Z431" i="1"/>
  <c r="AA431" i="1"/>
  <c r="S76" i="1"/>
  <c r="Y76" i="1" s="1"/>
  <c r="S81" i="1"/>
  <c r="Y81" i="1" s="1"/>
  <c r="T190" i="1"/>
  <c r="Z190" i="1" s="1"/>
  <c r="S242" i="1"/>
  <c r="Y242" i="1" s="1"/>
  <c r="T246" i="1"/>
  <c r="Z246" i="1" s="1"/>
  <c r="T273" i="1"/>
  <c r="Z273" i="1" s="1"/>
  <c r="U308" i="1"/>
  <c r="T309" i="1"/>
  <c r="U80" i="1"/>
  <c r="AA80" i="1" s="1"/>
  <c r="S236" i="1"/>
  <c r="AA508" i="1"/>
  <c r="Y572" i="1"/>
  <c r="Z572" i="1"/>
  <c r="AA572" i="1"/>
  <c r="Y207" i="1"/>
  <c r="Y270" i="1"/>
  <c r="Y560" i="1"/>
  <c r="Z560" i="1"/>
  <c r="Z668" i="1"/>
  <c r="Y668" i="1"/>
  <c r="AA668" i="1"/>
  <c r="Y524" i="1"/>
  <c r="Z524" i="1"/>
  <c r="Y672" i="1"/>
  <c r="Z672" i="1"/>
  <c r="AA672" i="1"/>
  <c r="Y658" i="1"/>
  <c r="T177" i="1"/>
  <c r="Z177" i="1" s="1"/>
  <c r="T66" i="1"/>
  <c r="S73" i="1"/>
  <c r="Y73" i="1" s="1"/>
  <c r="U75" i="1"/>
  <c r="AA75" i="1" s="1"/>
  <c r="U64" i="1"/>
  <c r="T69" i="1"/>
  <c r="S74" i="1"/>
  <c r="Y74" i="1" s="1"/>
  <c r="U69" i="1"/>
  <c r="T74" i="1"/>
  <c r="Z74" i="1" s="1"/>
  <c r="Y64" i="1"/>
  <c r="S67" i="1"/>
  <c r="U74" i="1"/>
  <c r="AA74" i="1" s="1"/>
  <c r="Z64" i="1"/>
  <c r="T67" i="1"/>
  <c r="S72" i="1"/>
  <c r="Y72" i="1" s="1"/>
  <c r="AA64" i="1"/>
  <c r="U67" i="1"/>
  <c r="T72" i="1"/>
  <c r="Z72" i="1" s="1"/>
  <c r="U72" i="1"/>
  <c r="AA72" i="1" s="1"/>
  <c r="S65" i="1"/>
  <c r="T65" i="1"/>
  <c r="S70" i="1"/>
  <c r="Y70" i="1" s="1"/>
  <c r="U65" i="1"/>
  <c r="S75" i="1"/>
  <c r="Y75" i="1" s="1"/>
  <c r="T70" i="1"/>
  <c r="Z70" i="1" s="1"/>
  <c r="U70" i="1"/>
  <c r="AA70" i="1" s="1"/>
  <c r="T75" i="1"/>
  <c r="Z75" i="1" s="1"/>
  <c r="U66" i="1"/>
  <c r="T71" i="1"/>
  <c r="Z71" i="1" s="1"/>
  <c r="S64" i="1"/>
  <c r="U71" i="1"/>
  <c r="AA71" i="1" s="1"/>
  <c r="S68" i="1"/>
  <c r="T64" i="1"/>
  <c r="S69" i="1"/>
  <c r="U68" i="1"/>
  <c r="S71" i="1"/>
  <c r="Y71" i="1" s="1"/>
  <c r="S66" i="1"/>
  <c r="T73" i="1"/>
  <c r="Z73" i="1" s="1"/>
  <c r="T68" i="1"/>
  <c r="U73" i="1"/>
  <c r="AA73" i="1" s="1"/>
  <c r="Z300" i="1"/>
  <c r="AA300" i="1"/>
  <c r="Y300" i="1"/>
  <c r="AA384" i="1"/>
  <c r="Z384" i="1"/>
  <c r="Y384" i="1"/>
  <c r="U272" i="1"/>
  <c r="AA272" i="1" s="1"/>
  <c r="U181" i="1"/>
  <c r="AA181" i="1" s="1"/>
  <c r="S115" i="1"/>
  <c r="Y115" i="1" s="1"/>
  <c r="U117" i="1"/>
  <c r="AA117" i="1" s="1"/>
  <c r="S111" i="1"/>
  <c r="U118" i="1"/>
  <c r="AA118" i="1" s="1"/>
  <c r="T111" i="1"/>
  <c r="T116" i="1"/>
  <c r="Z116" i="1" s="1"/>
  <c r="U109" i="1"/>
  <c r="U112" i="1"/>
  <c r="S116" i="1"/>
  <c r="Y116" i="1" s="1"/>
  <c r="U111" i="1"/>
  <c r="S109" i="1"/>
  <c r="U116" i="1"/>
  <c r="AA116" i="1" s="1"/>
  <c r="T114" i="1"/>
  <c r="T109" i="1"/>
  <c r="S114" i="1"/>
  <c r="S119" i="1"/>
  <c r="Y119" i="1" s="1"/>
  <c r="U114" i="1"/>
  <c r="T119" i="1"/>
  <c r="Z119" i="1" s="1"/>
  <c r="S112" i="1"/>
  <c r="Y109" i="1"/>
  <c r="U119" i="1"/>
  <c r="AA119" i="1" s="1"/>
  <c r="Z109" i="1"/>
  <c r="T112" i="1"/>
  <c r="S117" i="1"/>
  <c r="Y117" i="1" s="1"/>
  <c r="T117" i="1"/>
  <c r="Z117" i="1" s="1"/>
  <c r="S113" i="1"/>
  <c r="U120" i="1"/>
  <c r="AA120" i="1" s="1"/>
  <c r="T113" i="1"/>
  <c r="S118" i="1"/>
  <c r="Y118" i="1" s="1"/>
  <c r="U113" i="1"/>
  <c r="T118" i="1"/>
  <c r="Z118" i="1" s="1"/>
  <c r="AA109" i="1"/>
  <c r="U110" i="1"/>
  <c r="T120" i="1"/>
  <c r="Z120" i="1" s="1"/>
  <c r="S120" i="1"/>
  <c r="Y120" i="1" s="1"/>
  <c r="U115" i="1"/>
  <c r="AA115" i="1" s="1"/>
  <c r="S110" i="1"/>
  <c r="T115" i="1"/>
  <c r="Z115" i="1" s="1"/>
  <c r="T110" i="1"/>
  <c r="U279" i="1"/>
  <c r="AA279" i="1" s="1"/>
  <c r="Y418" i="1"/>
  <c r="Z418" i="1"/>
  <c r="AA418" i="1"/>
  <c r="T481" i="1"/>
  <c r="Z481" i="1" s="1"/>
  <c r="S477" i="1"/>
  <c r="U484" i="1"/>
  <c r="AA484" i="1" s="1"/>
  <c r="S475" i="1"/>
  <c r="U482" i="1"/>
  <c r="AA482" i="1" s="1"/>
  <c r="U479" i="1"/>
  <c r="T482" i="1"/>
  <c r="Z482" i="1" s="1"/>
  <c r="S485" i="1"/>
  <c r="Y485" i="1" s="1"/>
  <c r="T485" i="1"/>
  <c r="Z485" i="1" s="1"/>
  <c r="U485" i="1"/>
  <c r="AA485" i="1" s="1"/>
  <c r="T477" i="1"/>
  <c r="S480" i="1"/>
  <c r="U477" i="1"/>
  <c r="T480" i="1"/>
  <c r="U475" i="1"/>
  <c r="S478" i="1"/>
  <c r="U486" i="1"/>
  <c r="AA486" i="1" s="1"/>
  <c r="S476" i="1"/>
  <c r="T476" i="1"/>
  <c r="S479" i="1"/>
  <c r="T475" i="1"/>
  <c r="T486" i="1"/>
  <c r="Z486" i="1" s="1"/>
  <c r="Y475" i="1"/>
  <c r="S481" i="1"/>
  <c r="Y481" i="1" s="1"/>
  <c r="Z475" i="1"/>
  <c r="U481" i="1"/>
  <c r="AA481" i="1" s="1"/>
  <c r="AA475" i="1"/>
  <c r="U476" i="1"/>
  <c r="S482" i="1"/>
  <c r="Y482" i="1" s="1"/>
  <c r="S483" i="1"/>
  <c r="Y483" i="1" s="1"/>
  <c r="T479" i="1"/>
  <c r="U480" i="1"/>
  <c r="T483" i="1"/>
  <c r="Z483" i="1" s="1"/>
  <c r="U483" i="1"/>
  <c r="AA483" i="1" s="1"/>
  <c r="T484" i="1"/>
  <c r="Z484" i="1" s="1"/>
  <c r="T478" i="1"/>
  <c r="U478" i="1"/>
  <c r="S484" i="1"/>
  <c r="Y484" i="1" s="1"/>
  <c r="S486" i="1"/>
  <c r="Y486" i="1" s="1"/>
  <c r="Y320" i="1"/>
  <c r="AA320" i="1"/>
  <c r="Z320" i="1"/>
  <c r="AA323" i="1"/>
  <c r="Y323" i="1"/>
  <c r="Z323" i="1"/>
  <c r="Y419" i="1"/>
  <c r="Z419" i="1"/>
  <c r="AA419" i="1"/>
  <c r="U83" i="1"/>
  <c r="AA83" i="1" s="1"/>
  <c r="U76" i="1"/>
  <c r="AA76" i="1" s="1"/>
  <c r="T183" i="1"/>
  <c r="Z183" i="1" s="1"/>
  <c r="U236" i="1"/>
  <c r="U243" i="1"/>
  <c r="AA243" i="1" s="1"/>
  <c r="S308" i="1"/>
  <c r="U317" i="1"/>
  <c r="AA317" i="1" s="1"/>
  <c r="T318" i="1"/>
  <c r="Z318" i="1" s="1"/>
  <c r="S87" i="1"/>
  <c r="Y87" i="1" s="1"/>
  <c r="AA204" i="1"/>
  <c r="Y549" i="1"/>
  <c r="Z549" i="1"/>
  <c r="AA549" i="1"/>
  <c r="Y607" i="1"/>
  <c r="T612" i="1"/>
  <c r="Z612" i="1" s="1"/>
  <c r="S608" i="1"/>
  <c r="Y608" i="1" s="1"/>
  <c r="U610" i="1"/>
  <c r="AA610" i="1" s="1"/>
  <c r="T617" i="1"/>
  <c r="Z617" i="1" s="1"/>
  <c r="U611" i="1"/>
  <c r="AA611" i="1" s="1"/>
  <c r="S614" i="1"/>
  <c r="Y614" i="1" s="1"/>
  <c r="S609" i="1"/>
  <c r="Y609" i="1" s="1"/>
  <c r="T614" i="1"/>
  <c r="Z614" i="1" s="1"/>
  <c r="T609" i="1"/>
  <c r="Z609" i="1" s="1"/>
  <c r="U614" i="1"/>
  <c r="AA614" i="1" s="1"/>
  <c r="S617" i="1"/>
  <c r="Y617" i="1" s="1"/>
  <c r="U609" i="1"/>
  <c r="AA609" i="1" s="1"/>
  <c r="U617" i="1"/>
  <c r="AA617" i="1" s="1"/>
  <c r="S607" i="1"/>
  <c r="T616" i="1"/>
  <c r="Z616" i="1" s="1"/>
  <c r="S613" i="1"/>
  <c r="Y613" i="1" s="1"/>
  <c r="U616" i="1"/>
  <c r="AA616" i="1" s="1"/>
  <c r="T613" i="1"/>
  <c r="Z613" i="1" s="1"/>
  <c r="U613" i="1"/>
  <c r="AA613" i="1" s="1"/>
  <c r="S611" i="1"/>
  <c r="Y611" i="1" s="1"/>
  <c r="T611" i="1"/>
  <c r="Z611" i="1" s="1"/>
  <c r="S616" i="1"/>
  <c r="Y616" i="1" s="1"/>
  <c r="S612" i="1"/>
  <c r="Y612" i="1" s="1"/>
  <c r="Z607" i="1"/>
  <c r="T618" i="1"/>
  <c r="Z618" i="1" s="1"/>
  <c r="T610" i="1"/>
  <c r="Z610" i="1" s="1"/>
  <c r="T615" i="1"/>
  <c r="Z615" i="1" s="1"/>
  <c r="U615" i="1"/>
  <c r="AA615" i="1" s="1"/>
  <c r="T607" i="1"/>
  <c r="S618" i="1"/>
  <c r="Y618" i="1" s="1"/>
  <c r="U607" i="1"/>
  <c r="U618" i="1"/>
  <c r="AA618" i="1" s="1"/>
  <c r="AA607" i="1"/>
  <c r="T608" i="1"/>
  <c r="Z608" i="1" s="1"/>
  <c r="U608" i="1"/>
  <c r="AA608" i="1" s="1"/>
  <c r="S610" i="1"/>
  <c r="Y610" i="1" s="1"/>
  <c r="S615" i="1"/>
  <c r="Y615" i="1" s="1"/>
  <c r="U612" i="1"/>
  <c r="AA612" i="1" s="1"/>
  <c r="AA647" i="1"/>
  <c r="Z647" i="1"/>
  <c r="Y647" i="1"/>
  <c r="S205" i="1"/>
  <c r="Y205" i="1" s="1"/>
  <c r="U207" i="1"/>
  <c r="AA207" i="1" s="1"/>
  <c r="T214" i="1"/>
  <c r="Z214" i="1" s="1"/>
  <c r="S210" i="1"/>
  <c r="Y210" i="1" s="1"/>
  <c r="U212" i="1"/>
  <c r="AA212" i="1" s="1"/>
  <c r="U208" i="1"/>
  <c r="AA208" i="1" s="1"/>
  <c r="S216" i="1"/>
  <c r="Y216" i="1" s="1"/>
  <c r="S211" i="1"/>
  <c r="Y211" i="1" s="1"/>
  <c r="T216" i="1"/>
  <c r="Z216" i="1" s="1"/>
  <c r="S208" i="1"/>
  <c r="Y208" i="1" s="1"/>
  <c r="T211" i="1"/>
  <c r="Z211" i="1" s="1"/>
  <c r="S214" i="1"/>
  <c r="Y214" i="1" s="1"/>
  <c r="T205" i="1"/>
  <c r="Z205" i="1" s="1"/>
  <c r="T208" i="1"/>
  <c r="Z208" i="1" s="1"/>
  <c r="U211" i="1"/>
  <c r="AA211" i="1" s="1"/>
  <c r="U214" i="1"/>
  <c r="AA214" i="1" s="1"/>
  <c r="U205" i="1"/>
  <c r="AA205" i="1" s="1"/>
  <c r="S206" i="1"/>
  <c r="Y206" i="1" s="1"/>
  <c r="T206" i="1"/>
  <c r="Z206" i="1" s="1"/>
  <c r="S209" i="1"/>
  <c r="Y209" i="1" s="1"/>
  <c r="S212" i="1"/>
  <c r="Y212" i="1" s="1"/>
  <c r="S215" i="1"/>
  <c r="Y215" i="1" s="1"/>
  <c r="T207" i="1"/>
  <c r="Z207" i="1" s="1"/>
  <c r="U210" i="1"/>
  <c r="AA210" i="1" s="1"/>
  <c r="T213" i="1"/>
  <c r="Z213" i="1" s="1"/>
  <c r="U216" i="1"/>
  <c r="AA216" i="1" s="1"/>
  <c r="U213" i="1"/>
  <c r="AA213" i="1" s="1"/>
  <c r="T210" i="1"/>
  <c r="Z210" i="1" s="1"/>
  <c r="T212" i="1"/>
  <c r="Z212" i="1" s="1"/>
  <c r="U215" i="1"/>
  <c r="AA215" i="1" s="1"/>
  <c r="T209" i="1"/>
  <c r="Z209" i="1" s="1"/>
  <c r="S213" i="1"/>
  <c r="Y213" i="1" s="1"/>
  <c r="T215" i="1"/>
  <c r="Z215" i="1" s="1"/>
  <c r="S207" i="1"/>
  <c r="U209" i="1"/>
  <c r="AA209" i="1" s="1"/>
  <c r="U206" i="1"/>
  <c r="AA206" i="1" s="1"/>
  <c r="AA596" i="1"/>
  <c r="Y596" i="1"/>
  <c r="U172" i="1"/>
  <c r="Y394" i="1"/>
  <c r="Z394" i="1"/>
  <c r="AA394" i="1"/>
  <c r="AA429" i="1"/>
  <c r="Z429" i="1"/>
  <c r="Y429" i="1"/>
  <c r="AA456" i="1"/>
  <c r="Y456" i="1"/>
  <c r="Z456" i="1"/>
  <c r="U278" i="1"/>
  <c r="AA278" i="1" s="1"/>
  <c r="U191" i="1"/>
  <c r="AA191" i="1" s="1"/>
  <c r="T274" i="1"/>
  <c r="Z274" i="1" s="1"/>
  <c r="S373" i="1"/>
  <c r="Y373" i="1" s="1"/>
  <c r="U375" i="1"/>
  <c r="AA375" i="1" s="1"/>
  <c r="S371" i="1"/>
  <c r="S378" i="1"/>
  <c r="Y378" i="1" s="1"/>
  <c r="U374" i="1"/>
  <c r="AA374" i="1" s="1"/>
  <c r="S377" i="1"/>
  <c r="Y377" i="1" s="1"/>
  <c r="T372" i="1"/>
  <c r="S375" i="1"/>
  <c r="Y375" i="1" s="1"/>
  <c r="T378" i="1"/>
  <c r="Z378" i="1" s="1"/>
  <c r="U372" i="1"/>
  <c r="T375" i="1"/>
  <c r="Z375" i="1" s="1"/>
  <c r="U378" i="1"/>
  <c r="AA378" i="1" s="1"/>
  <c r="S376" i="1"/>
  <c r="Y376" i="1" s="1"/>
  <c r="S370" i="1"/>
  <c r="T373" i="1"/>
  <c r="Z373" i="1" s="1"/>
  <c r="T376" i="1"/>
  <c r="Z376" i="1" s="1"/>
  <c r="U371" i="1"/>
  <c r="T369" i="1"/>
  <c r="U376" i="1"/>
  <c r="AA376" i="1" s="1"/>
  <c r="T370" i="1"/>
  <c r="U370" i="1"/>
  <c r="U367" i="1"/>
  <c r="T377" i="1"/>
  <c r="Z377" i="1" s="1"/>
  <c r="U377" i="1"/>
  <c r="AA377" i="1" s="1"/>
  <c r="Y367" i="1"/>
  <c r="T371" i="1"/>
  <c r="S374" i="1"/>
  <c r="Y374" i="1" s="1"/>
  <c r="U368" i="1"/>
  <c r="T374" i="1"/>
  <c r="Z374" i="1" s="1"/>
  <c r="S369" i="1"/>
  <c r="U369" i="1"/>
  <c r="S372" i="1"/>
  <c r="AA367" i="1"/>
  <c r="U373" i="1"/>
  <c r="AA373" i="1" s="1"/>
  <c r="S368" i="1"/>
  <c r="T368" i="1"/>
  <c r="T367" i="1"/>
  <c r="Z367" i="1"/>
  <c r="S367" i="1"/>
  <c r="Y473" i="1"/>
  <c r="T81" i="1"/>
  <c r="Z81" i="1" s="1"/>
  <c r="S190" i="1"/>
  <c r="Y190" i="1" s="1"/>
  <c r="T236" i="1"/>
  <c r="U237" i="1"/>
  <c r="T312" i="1"/>
  <c r="U311" i="1"/>
  <c r="S82" i="1"/>
  <c r="Y82" i="1" s="1"/>
  <c r="AA561" i="1"/>
  <c r="Y561" i="1"/>
  <c r="Z172" i="1"/>
  <c r="AA172" i="1"/>
  <c r="T175" i="1"/>
  <c r="Z175" i="1" s="1"/>
  <c r="S171" i="1"/>
  <c r="Y171" i="1" s="1"/>
  <c r="S175" i="1"/>
  <c r="Y175" i="1" s="1"/>
  <c r="S179" i="1"/>
  <c r="Y179" i="1" s="1"/>
  <c r="T179" i="1"/>
  <c r="Z179" i="1" s="1"/>
  <c r="Z552" i="1"/>
  <c r="Y552" i="1"/>
  <c r="Z537" i="1"/>
  <c r="AA537" i="1"/>
  <c r="Z526" i="1"/>
  <c r="Y526" i="1"/>
  <c r="AA526" i="1"/>
  <c r="AA636" i="1"/>
  <c r="Y636" i="1"/>
  <c r="Z636" i="1"/>
  <c r="S512" i="1"/>
  <c r="Y512" i="1" s="1"/>
  <c r="U514" i="1"/>
  <c r="AA514" i="1" s="1"/>
  <c r="T521" i="1"/>
  <c r="Z521" i="1" s="1"/>
  <c r="S517" i="1"/>
  <c r="Y517" i="1" s="1"/>
  <c r="U519" i="1"/>
  <c r="AA519" i="1" s="1"/>
  <c r="U511" i="1"/>
  <c r="T519" i="1"/>
  <c r="Z519" i="1" s="1"/>
  <c r="S514" i="1"/>
  <c r="Y514" i="1" s="1"/>
  <c r="S522" i="1"/>
  <c r="Y522" i="1" s="1"/>
  <c r="T514" i="1"/>
  <c r="Z514" i="1" s="1"/>
  <c r="T522" i="1"/>
  <c r="Z522" i="1" s="1"/>
  <c r="T517" i="1"/>
  <c r="Z517" i="1" s="1"/>
  <c r="U522" i="1"/>
  <c r="AA522" i="1" s="1"/>
  <c r="AA511" i="1"/>
  <c r="U517" i="1"/>
  <c r="AA517" i="1" s="1"/>
  <c r="U515" i="1"/>
  <c r="AA515" i="1" s="1"/>
  <c r="S515" i="1"/>
  <c r="Y515" i="1" s="1"/>
  <c r="T515" i="1"/>
  <c r="Z515" i="1" s="1"/>
  <c r="S519" i="1"/>
  <c r="Y519" i="1" s="1"/>
  <c r="S520" i="1"/>
  <c r="Y520" i="1" s="1"/>
  <c r="S511" i="1"/>
  <c r="Y511" i="1" s="1"/>
  <c r="T520" i="1"/>
  <c r="Z520" i="1" s="1"/>
  <c r="T511" i="1"/>
  <c r="Z511" i="1" s="1"/>
  <c r="U520" i="1"/>
  <c r="AA520" i="1" s="1"/>
  <c r="U513" i="1"/>
  <c r="AA513" i="1" s="1"/>
  <c r="S518" i="1"/>
  <c r="Y518" i="1" s="1"/>
  <c r="T518" i="1"/>
  <c r="Z518" i="1" s="1"/>
  <c r="S513" i="1"/>
  <c r="Y513" i="1" s="1"/>
  <c r="T513" i="1"/>
  <c r="Z513" i="1" s="1"/>
  <c r="S516" i="1"/>
  <c r="Y516" i="1" s="1"/>
  <c r="T516" i="1"/>
  <c r="Z516" i="1" s="1"/>
  <c r="U516" i="1"/>
  <c r="AA516" i="1" s="1"/>
  <c r="T512" i="1"/>
  <c r="Z512" i="1" s="1"/>
  <c r="U512" i="1"/>
  <c r="AA512" i="1" s="1"/>
  <c r="S521" i="1"/>
  <c r="Y521" i="1" s="1"/>
  <c r="U518" i="1"/>
  <c r="AA518" i="1" s="1"/>
  <c r="U521" i="1"/>
  <c r="AA521" i="1" s="1"/>
  <c r="Y644" i="1"/>
  <c r="Z644" i="1"/>
  <c r="AA644" i="1"/>
  <c r="S276" i="1"/>
  <c r="Y276" i="1" s="1"/>
  <c r="T82" i="1"/>
  <c r="Z82" i="1" s="1"/>
  <c r="S177" i="1"/>
  <c r="Y177" i="1" s="1"/>
  <c r="Y253" i="1"/>
  <c r="AA253" i="1"/>
  <c r="Z253" i="1"/>
  <c r="T277" i="1"/>
  <c r="Z277" i="1" s="1"/>
  <c r="Y393" i="1"/>
  <c r="Z393" i="1"/>
  <c r="AA393" i="1"/>
  <c r="Z417" i="1"/>
  <c r="AA417" i="1"/>
  <c r="Y417" i="1"/>
  <c r="Y336" i="1"/>
  <c r="Z336" i="1"/>
  <c r="AA336" i="1"/>
  <c r="Z432" i="1"/>
  <c r="AA432" i="1"/>
  <c r="Y432" i="1"/>
  <c r="S189" i="1"/>
  <c r="Y189" i="1" s="1"/>
  <c r="Z148" i="1"/>
  <c r="Y148" i="1"/>
  <c r="AA148" i="1"/>
  <c r="T279" i="1"/>
  <c r="Z279" i="1" s="1"/>
  <c r="Z334" i="1"/>
  <c r="AA334" i="1"/>
  <c r="Y334" i="1"/>
  <c r="Z430" i="1"/>
  <c r="AA430" i="1"/>
  <c r="Y430" i="1"/>
  <c r="S325" i="1"/>
  <c r="Y325" i="1" s="1"/>
  <c r="U327" i="1"/>
  <c r="AA327" i="1" s="1"/>
  <c r="T325" i="1"/>
  <c r="Z325" i="1" s="1"/>
  <c r="U321" i="1"/>
  <c r="S329" i="1"/>
  <c r="Y329" i="1" s="1"/>
  <c r="S319" i="1"/>
  <c r="T324" i="1"/>
  <c r="U329" i="1"/>
  <c r="AA329" i="1" s="1"/>
  <c r="T319" i="1"/>
  <c r="U324" i="1"/>
  <c r="U319" i="1"/>
  <c r="S327" i="1"/>
  <c r="Y327" i="1" s="1"/>
  <c r="S322" i="1"/>
  <c r="T327" i="1"/>
  <c r="Z327" i="1" s="1"/>
  <c r="S330" i="1"/>
  <c r="Y330" i="1" s="1"/>
  <c r="Y319" i="1"/>
  <c r="T322" i="1"/>
  <c r="T330" i="1"/>
  <c r="Z330" i="1" s="1"/>
  <c r="AA319" i="1"/>
  <c r="U325" i="1"/>
  <c r="AA325" i="1" s="1"/>
  <c r="S326" i="1"/>
  <c r="Y326" i="1" s="1"/>
  <c r="S321" i="1"/>
  <c r="T326" i="1"/>
  <c r="Z326" i="1" s="1"/>
  <c r="T321" i="1"/>
  <c r="U330" i="1"/>
  <c r="AA330" i="1" s="1"/>
  <c r="U322" i="1"/>
  <c r="S328" i="1"/>
  <c r="Y328" i="1" s="1"/>
  <c r="T328" i="1"/>
  <c r="Z328" i="1" s="1"/>
  <c r="S323" i="1"/>
  <c r="U328" i="1"/>
  <c r="AA328" i="1" s="1"/>
  <c r="T323" i="1"/>
  <c r="U323" i="1"/>
  <c r="S324" i="1"/>
  <c r="T329" i="1"/>
  <c r="Z329" i="1" s="1"/>
  <c r="S320" i="1"/>
  <c r="T320" i="1"/>
  <c r="U320" i="1"/>
  <c r="U326" i="1"/>
  <c r="AA326" i="1" s="1"/>
  <c r="Z319" i="1"/>
  <c r="U451" i="1"/>
  <c r="T458" i="1"/>
  <c r="Z458" i="1" s="1"/>
  <c r="U457" i="1"/>
  <c r="AA457" i="1" s="1"/>
  <c r="T462" i="1"/>
  <c r="Z462" i="1" s="1"/>
  <c r="T451" i="1"/>
  <c r="S459" i="1"/>
  <c r="Y459" i="1" s="1"/>
  <c r="Z451" i="1"/>
  <c r="U454" i="1"/>
  <c r="S462" i="1"/>
  <c r="Y462" i="1" s="1"/>
  <c r="S453" i="1"/>
  <c r="S456" i="1"/>
  <c r="T453" i="1"/>
  <c r="T456" i="1"/>
  <c r="T459" i="1"/>
  <c r="Z459" i="1" s="1"/>
  <c r="U462" i="1"/>
  <c r="AA462" i="1" s="1"/>
  <c r="U453" i="1"/>
  <c r="U456" i="1"/>
  <c r="U459" i="1"/>
  <c r="AA459" i="1" s="1"/>
  <c r="Y451" i="1"/>
  <c r="U461" i="1"/>
  <c r="AA461" i="1" s="1"/>
  <c r="AA451" i="1"/>
  <c r="S452" i="1"/>
  <c r="T452" i="1"/>
  <c r="S458" i="1"/>
  <c r="Y458" i="1" s="1"/>
  <c r="U452" i="1"/>
  <c r="U458" i="1"/>
  <c r="AA458" i="1" s="1"/>
  <c r="S454" i="1"/>
  <c r="S460" i="1"/>
  <c r="Y460" i="1" s="1"/>
  <c r="S457" i="1"/>
  <c r="Y457" i="1" s="1"/>
  <c r="T454" i="1"/>
  <c r="S455" i="1"/>
  <c r="T455" i="1"/>
  <c r="U455" i="1"/>
  <c r="T457" i="1"/>
  <c r="Z457" i="1" s="1"/>
  <c r="U460" i="1"/>
  <c r="AA460" i="1" s="1"/>
  <c r="S451" i="1"/>
  <c r="T460" i="1"/>
  <c r="Z460" i="1" s="1"/>
  <c r="S461" i="1"/>
  <c r="Y461" i="1" s="1"/>
  <c r="T461" i="1"/>
  <c r="Z461" i="1" s="1"/>
  <c r="Y243" i="1"/>
  <c r="AA347" i="1"/>
  <c r="Y347" i="1"/>
  <c r="Z347" i="1"/>
  <c r="S86" i="1"/>
  <c r="Y86" i="1" s="1"/>
  <c r="S183" i="1"/>
  <c r="Y183" i="1" s="1"/>
  <c r="S245" i="1"/>
  <c r="Y245" i="1" s="1"/>
  <c r="T243" i="1"/>
  <c r="Z243" i="1" s="1"/>
  <c r="T169" i="1"/>
  <c r="Z169" i="1" s="1"/>
  <c r="U312" i="1"/>
  <c r="S307" i="1"/>
  <c r="S309" i="1"/>
  <c r="I24" i="2"/>
  <c r="Q5" i="2"/>
  <c r="R5" i="2"/>
  <c r="AA5" i="2"/>
  <c r="AB5" i="2"/>
  <c r="E4" i="7" s="1"/>
  <c r="I12" i="7" s="1"/>
  <c r="Z5" i="2"/>
  <c r="G5" i="2"/>
  <c r="H5" i="2"/>
  <c r="F5" i="2"/>
  <c r="P5" i="2"/>
  <c r="C13" i="8" l="1"/>
  <c r="E11" i="8"/>
  <c r="I13" i="7"/>
  <c r="S22" i="7"/>
  <c r="S21" i="7"/>
  <c r="S14" i="7"/>
  <c r="I17" i="7"/>
  <c r="S11" i="7"/>
  <c r="S17" i="7"/>
  <c r="S24" i="7"/>
  <c r="S25" i="7"/>
  <c r="I10" i="7"/>
  <c r="I29" i="7"/>
  <c r="I19" i="7"/>
  <c r="S26" i="7"/>
  <c r="I26" i="7"/>
  <c r="S5" i="7"/>
  <c r="S23" i="7"/>
  <c r="S39" i="7"/>
  <c r="S34" i="7"/>
  <c r="I25" i="7"/>
  <c r="S12" i="7"/>
  <c r="I18" i="7"/>
  <c r="S16" i="7"/>
  <c r="S35" i="7"/>
  <c r="S27" i="7"/>
  <c r="I23" i="7"/>
  <c r="S15" i="7"/>
  <c r="S37" i="7"/>
  <c r="S36" i="7"/>
  <c r="I9" i="7"/>
  <c r="S31" i="7"/>
  <c r="I6" i="7"/>
  <c r="I7" i="7"/>
  <c r="S7" i="7"/>
  <c r="S32" i="7"/>
  <c r="I31" i="7"/>
  <c r="S40" i="7"/>
  <c r="S4" i="7"/>
  <c r="I24" i="7"/>
  <c r="S29" i="7"/>
  <c r="I16" i="7"/>
  <c r="I28" i="7"/>
  <c r="I4" i="7"/>
  <c r="I20" i="7"/>
  <c r="S18" i="7"/>
  <c r="I32" i="7"/>
  <c r="I30" i="7"/>
  <c r="S13" i="7"/>
  <c r="I27" i="7"/>
  <c r="S20" i="7"/>
  <c r="I34" i="7"/>
  <c r="S6" i="7"/>
  <c r="I21" i="7"/>
  <c r="S9" i="7"/>
  <c r="I15" i="7"/>
  <c r="I33" i="7"/>
  <c r="S28" i="7"/>
  <c r="S10" i="7"/>
  <c r="S19" i="7"/>
  <c r="I14" i="7"/>
  <c r="S30" i="7"/>
  <c r="S38" i="7"/>
  <c r="S33" i="7"/>
  <c r="G28" i="7"/>
  <c r="G23" i="7"/>
  <c r="G30" i="7"/>
  <c r="G26" i="7"/>
  <c r="G29" i="7"/>
  <c r="G24" i="7"/>
  <c r="G32" i="7"/>
  <c r="G31" i="7"/>
  <c r="G34" i="7"/>
  <c r="H28" i="7"/>
  <c r="Z225" i="1"/>
  <c r="Z223" i="1"/>
  <c r="AA227" i="1"/>
  <c r="Y223" i="1"/>
  <c r="Y225" i="1"/>
  <c r="Y681" i="1"/>
  <c r="AA225" i="1"/>
  <c r="Z90" i="1"/>
  <c r="S8" i="2" s="1"/>
  <c r="Z685" i="1"/>
  <c r="S49" i="2" s="1"/>
  <c r="AA221" i="1"/>
  <c r="AC16" i="2" s="1"/>
  <c r="AA682" i="1"/>
  <c r="AC46" i="2" s="1"/>
  <c r="Z682" i="1"/>
  <c r="S46" i="2" s="1"/>
  <c r="AA695" i="1"/>
  <c r="AC59" i="2" s="1"/>
  <c r="Y285" i="1"/>
  <c r="Y90" i="1"/>
  <c r="I8" i="2" s="1"/>
  <c r="AA691" i="1"/>
  <c r="AC55" i="2" s="1"/>
  <c r="AA223" i="1"/>
  <c r="AC18" i="2" s="1"/>
  <c r="AA681" i="1"/>
  <c r="Y698" i="1"/>
  <c r="I62" i="2" s="1"/>
  <c r="AA90" i="1"/>
  <c r="AC8" i="2" s="1"/>
  <c r="Z227" i="1"/>
  <c r="Z695" i="1"/>
  <c r="Y226" i="1"/>
  <c r="AA222" i="1"/>
  <c r="AC17" i="2" s="1"/>
  <c r="Z220" i="1"/>
  <c r="S15" i="2" s="1"/>
  <c r="AA220" i="1"/>
  <c r="AC15" i="2" s="1"/>
  <c r="AA685" i="1"/>
  <c r="AC49" i="2" s="1"/>
  <c r="Y224" i="1"/>
  <c r="I19" i="2" s="1"/>
  <c r="Z711" i="1"/>
  <c r="S75" i="2" s="1"/>
  <c r="Y220" i="1"/>
  <c r="I15" i="2" s="1"/>
  <c r="Y221" i="1"/>
  <c r="I16" i="2" s="1"/>
  <c r="Z221" i="1"/>
  <c r="S16" i="2" s="1"/>
  <c r="AA692" i="1"/>
  <c r="Z224" i="1"/>
  <c r="L24" i="2"/>
  <c r="K24" i="2"/>
  <c r="J24" i="2"/>
  <c r="Y711" i="1"/>
  <c r="Y695" i="1"/>
  <c r="I59" i="2" s="1"/>
  <c r="AA694" i="1"/>
  <c r="AC58" i="2" s="1"/>
  <c r="Z708" i="1"/>
  <c r="S72" i="2" s="1"/>
  <c r="Z57" i="1"/>
  <c r="S11" i="2" s="1"/>
  <c r="AA285" i="1"/>
  <c r="AC38" i="2" s="1"/>
  <c r="Z690" i="1"/>
  <c r="S54" i="2" s="1"/>
  <c r="AA224" i="1"/>
  <c r="AC19" i="2" s="1"/>
  <c r="Y696" i="1"/>
  <c r="I60" i="2" s="1"/>
  <c r="Z701" i="1"/>
  <c r="S65" i="2" s="1"/>
  <c r="AA707" i="1"/>
  <c r="AC71" i="2" s="1"/>
  <c r="Z707" i="1"/>
  <c r="S71" i="2" s="1"/>
  <c r="Y692" i="1"/>
  <c r="I56" i="2" s="1"/>
  <c r="Y710" i="1"/>
  <c r="I74" i="2" s="1"/>
  <c r="Z687" i="1"/>
  <c r="S51" i="2" s="1"/>
  <c r="Z684" i="1"/>
  <c r="S48" i="2" s="1"/>
  <c r="Y227" i="1"/>
  <c r="Y682" i="1"/>
  <c r="I46" i="2" s="1"/>
  <c r="Z284" i="1"/>
  <c r="Y284" i="1"/>
  <c r="Z688" i="1"/>
  <c r="S52" i="2" s="1"/>
  <c r="AA701" i="1"/>
  <c r="AC65" i="2" s="1"/>
  <c r="Y693" i="1"/>
  <c r="I57" i="2" s="1"/>
  <c r="Z691" i="1"/>
  <c r="S55" i="2" s="1"/>
  <c r="AA284" i="1"/>
  <c r="AA699" i="1"/>
  <c r="AC63" i="2" s="1"/>
  <c r="Z703" i="1"/>
  <c r="S67" i="2" s="1"/>
  <c r="AA686" i="1"/>
  <c r="AC50" i="2" s="1"/>
  <c r="AA219" i="1"/>
  <c r="AC14" i="2" s="1"/>
  <c r="Z693" i="1"/>
  <c r="S57" i="2" s="1"/>
  <c r="Y700" i="1"/>
  <c r="I64" i="2" s="1"/>
  <c r="Z699" i="1"/>
  <c r="S63" i="2" s="1"/>
  <c r="Z287" i="1"/>
  <c r="Y703" i="1"/>
  <c r="I67" i="2" s="1"/>
  <c r="Z219" i="1"/>
  <c r="S14" i="2" s="1"/>
  <c r="AA55" i="1"/>
  <c r="AA56" i="1"/>
  <c r="AC10" i="2" s="1"/>
  <c r="Y688" i="1"/>
  <c r="I52" i="2" s="1"/>
  <c r="Y701" i="1"/>
  <c r="I65" i="2" s="1"/>
  <c r="AA693" i="1"/>
  <c r="AC57" i="2" s="1"/>
  <c r="Y691" i="1"/>
  <c r="I55" i="2" s="1"/>
  <c r="Y699" i="1"/>
  <c r="I63" i="2" s="1"/>
  <c r="AA708" i="1"/>
  <c r="AC72" i="2" s="1"/>
  <c r="AA687" i="1"/>
  <c r="AC51" i="2" s="1"/>
  <c r="Z704" i="1"/>
  <c r="S68" i="2" s="1"/>
  <c r="Y219" i="1"/>
  <c r="I14" i="2" s="1"/>
  <c r="Z706" i="1"/>
  <c r="S70" i="2" s="1"/>
  <c r="Z692" i="1"/>
  <c r="S56" i="2" s="1"/>
  <c r="AA679" i="1"/>
  <c r="AA680" i="1"/>
  <c r="AC44" i="2" s="1"/>
  <c r="P9" i="7" s="1"/>
  <c r="AA709" i="1"/>
  <c r="AC73" i="2" s="1"/>
  <c r="Z286" i="1"/>
  <c r="Y57" i="1"/>
  <c r="I11" i="2" s="1"/>
  <c r="Y708" i="1"/>
  <c r="I72" i="2" s="1"/>
  <c r="Y687" i="1"/>
  <c r="I51" i="2" s="1"/>
  <c r="AA704" i="1"/>
  <c r="AC68" i="2" s="1"/>
  <c r="Z55" i="1"/>
  <c r="Z56" i="1"/>
  <c r="S10" i="2" s="1"/>
  <c r="Z709" i="1"/>
  <c r="S73" i="2" s="1"/>
  <c r="Y286" i="1"/>
  <c r="I39" i="2" s="1"/>
  <c r="AA57" i="1"/>
  <c r="AA217" i="1"/>
  <c r="AA218" i="1"/>
  <c r="AC13" i="2" s="1"/>
  <c r="Y217" i="1"/>
  <c r="Y218" i="1"/>
  <c r="Y697" i="1"/>
  <c r="I61" i="2" s="1"/>
  <c r="Y684" i="1"/>
  <c r="I48" i="2" s="1"/>
  <c r="Y704" i="1"/>
  <c r="I68" i="2" s="1"/>
  <c r="AA706" i="1"/>
  <c r="AC70" i="2" s="1"/>
  <c r="AA710" i="1"/>
  <c r="AC74" i="2" s="1"/>
  <c r="AA690" i="1"/>
  <c r="AC54" i="2" s="1"/>
  <c r="Z681" i="1"/>
  <c r="S45" i="2" s="1"/>
  <c r="AA226" i="1"/>
  <c r="AC21" i="2" s="1"/>
  <c r="Z222" i="1"/>
  <c r="S17" i="2" s="1"/>
  <c r="Y709" i="1"/>
  <c r="I73" i="2" s="1"/>
  <c r="Z698" i="1"/>
  <c r="S62" i="2" s="1"/>
  <c r="AA700" i="1"/>
  <c r="AC64" i="2" s="1"/>
  <c r="AA697" i="1"/>
  <c r="AC61" i="2" s="1"/>
  <c r="Y707" i="1"/>
  <c r="I71" i="2" s="1"/>
  <c r="Z680" i="1"/>
  <c r="S44" i="2" s="1"/>
  <c r="Z679" i="1"/>
  <c r="Z285" i="1"/>
  <c r="S38" i="2" s="1"/>
  <c r="Z217" i="1"/>
  <c r="Z218" i="1"/>
  <c r="S13" i="2" s="1"/>
  <c r="Z697" i="1"/>
  <c r="S61" i="2" s="1"/>
  <c r="AA286" i="1"/>
  <c r="AC39" i="2" s="1"/>
  <c r="Y706" i="1"/>
  <c r="I70" i="2" s="1"/>
  <c r="Z710" i="1"/>
  <c r="S74" i="2" s="1"/>
  <c r="AA89" i="1"/>
  <c r="AC7" i="2" s="1"/>
  <c r="AA88" i="1"/>
  <c r="Y55" i="1"/>
  <c r="Y56" i="1"/>
  <c r="I10" i="2" s="1"/>
  <c r="Z689" i="1"/>
  <c r="S53" i="2" s="1"/>
  <c r="Y694" i="1"/>
  <c r="I58" i="2" s="1"/>
  <c r="AA698" i="1"/>
  <c r="AC62" i="2" s="1"/>
  <c r="Z700" i="1"/>
  <c r="S64" i="2" s="1"/>
  <c r="AA689" i="1"/>
  <c r="Z686" i="1"/>
  <c r="S50" i="2" s="1"/>
  <c r="AA696" i="1"/>
  <c r="AC60" i="2" s="1"/>
  <c r="Y680" i="1"/>
  <c r="I44" i="2" s="1"/>
  <c r="Y679" i="1"/>
  <c r="Z288" i="1"/>
  <c r="S41" i="2" s="1"/>
  <c r="Y685" i="1"/>
  <c r="I49" i="2" s="1"/>
  <c r="Y689" i="1"/>
  <c r="I53" i="2" s="1"/>
  <c r="Y686" i="1"/>
  <c r="I50" i="2" s="1"/>
  <c r="Y288" i="1"/>
  <c r="I41" i="2" s="1"/>
  <c r="Z89" i="1"/>
  <c r="S7" i="2" s="1"/>
  <c r="Z88" i="1"/>
  <c r="Z702" i="1"/>
  <c r="S66" i="2" s="1"/>
  <c r="AA288" i="1"/>
  <c r="AC41" i="2" s="1"/>
  <c r="Z696" i="1"/>
  <c r="S60" i="2" s="1"/>
  <c r="AA683" i="1"/>
  <c r="AC47" i="2" s="1"/>
  <c r="AA705" i="1"/>
  <c r="AC69" i="2" s="1"/>
  <c r="P34" i="7" s="1"/>
  <c r="AA711" i="1"/>
  <c r="AC75" i="2" s="1"/>
  <c r="P40" i="7" s="1"/>
  <c r="Y89" i="1"/>
  <c r="I7" i="2" s="1"/>
  <c r="Y88" i="1"/>
  <c r="Y690" i="1"/>
  <c r="I54" i="2" s="1"/>
  <c r="Z694" i="1"/>
  <c r="S58" i="2" s="1"/>
  <c r="Y222" i="1"/>
  <c r="I17" i="2" s="1"/>
  <c r="AA688" i="1"/>
  <c r="AC52" i="2" s="1"/>
  <c r="Z683" i="1"/>
  <c r="S47" i="2" s="1"/>
  <c r="Z705" i="1"/>
  <c r="S69" i="2" s="1"/>
  <c r="Z226" i="1"/>
  <c r="S21" i="2" s="1"/>
  <c r="AA684" i="1"/>
  <c r="AC48" i="2" s="1"/>
  <c r="Y702" i="1"/>
  <c r="I66" i="2" s="1"/>
  <c r="AA702" i="1"/>
  <c r="AC66" i="2" s="1"/>
  <c r="Y683" i="1"/>
  <c r="I47" i="2" s="1"/>
  <c r="AA287" i="1"/>
  <c r="AC40" i="2" s="1"/>
  <c r="Y287" i="1"/>
  <c r="I40" i="2" s="1"/>
  <c r="AA703" i="1"/>
  <c r="AC67" i="2" s="1"/>
  <c r="P32" i="7" s="1"/>
  <c r="Y705" i="1"/>
  <c r="I69" i="2" s="1"/>
  <c r="S39" i="2"/>
  <c r="AC56" i="2"/>
  <c r="S18" i="2"/>
  <c r="I75" i="2"/>
  <c r="I21" i="2"/>
  <c r="I45" i="2"/>
  <c r="S22" i="2"/>
  <c r="I13" i="2"/>
  <c r="S59" i="2"/>
  <c r="S19" i="2"/>
  <c r="I18" i="2"/>
  <c r="I38" i="2"/>
  <c r="I20" i="2"/>
  <c r="AC22" i="2"/>
  <c r="AC53" i="2"/>
  <c r="AC20" i="2"/>
  <c r="F19" i="7" s="1"/>
  <c r="S20" i="2"/>
  <c r="I5" i="2"/>
  <c r="AC5" i="2"/>
  <c r="F4" i="7" s="1"/>
  <c r="J30" i="7" s="1"/>
  <c r="AC45" i="2"/>
  <c r="S5" i="2"/>
  <c r="S40" i="2"/>
  <c r="I22" i="2"/>
  <c r="AC11" i="2"/>
  <c r="F7" i="7" l="1"/>
  <c r="H7" i="7" s="1"/>
  <c r="F9" i="7"/>
  <c r="H9" i="7" s="1"/>
  <c r="J4" i="7"/>
  <c r="J25" i="7"/>
  <c r="J27" i="7"/>
  <c r="J33" i="7"/>
  <c r="G4" i="7"/>
  <c r="J26" i="7"/>
  <c r="J23" i="7"/>
  <c r="J28" i="7"/>
  <c r="J32" i="7"/>
  <c r="H4" i="7"/>
  <c r="J24" i="7"/>
  <c r="F6" i="7"/>
  <c r="J29" i="7"/>
  <c r="F10" i="7"/>
  <c r="H10" i="7" s="1"/>
  <c r="J34" i="7"/>
  <c r="J31" i="7"/>
  <c r="E27" i="8"/>
  <c r="E26" i="8"/>
  <c r="E28" i="8"/>
  <c r="C21" i="8"/>
  <c r="E25" i="8"/>
  <c r="C22" i="8"/>
  <c r="E22" i="8" s="1"/>
  <c r="E13" i="8"/>
  <c r="F18" i="7"/>
  <c r="H18" i="7"/>
  <c r="F21" i="7"/>
  <c r="H21" i="7" s="1"/>
  <c r="F16" i="7"/>
  <c r="H16" i="7" s="1"/>
  <c r="F12" i="7"/>
  <c r="H12" i="7" s="1"/>
  <c r="F15" i="7"/>
  <c r="H15" i="7" s="1"/>
  <c r="F13" i="7"/>
  <c r="H13" i="7" s="1"/>
  <c r="H19" i="7"/>
  <c r="G19" i="7"/>
  <c r="J19" i="7"/>
  <c r="F17" i="7"/>
  <c r="F14" i="7"/>
  <c r="H14" i="7" s="1"/>
  <c r="F20" i="7"/>
  <c r="H20" i="7" s="1"/>
  <c r="P37" i="7"/>
  <c r="R37" i="7" s="1"/>
  <c r="P14" i="7"/>
  <c r="R14" i="7"/>
  <c r="P20" i="7"/>
  <c r="R20" i="7" s="1"/>
  <c r="P28" i="7"/>
  <c r="R28" i="7" s="1"/>
  <c r="P17" i="7"/>
  <c r="R17" i="7" s="1"/>
  <c r="P33" i="7"/>
  <c r="R33" i="7" s="1"/>
  <c r="P24" i="7"/>
  <c r="R24" i="7" s="1"/>
  <c r="P39" i="7"/>
  <c r="R39" i="7" s="1"/>
  <c r="P30" i="7"/>
  <c r="R30" i="7" s="1"/>
  <c r="P21" i="7"/>
  <c r="R21" i="7" s="1"/>
  <c r="P23" i="7"/>
  <c r="R23" i="7" s="1"/>
  <c r="P18" i="7"/>
  <c r="R18" i="7" s="1"/>
  <c r="R40" i="7"/>
  <c r="T40" i="7"/>
  <c r="Q40" i="7"/>
  <c r="R34" i="7"/>
  <c r="T34" i="7"/>
  <c r="Q34" i="7"/>
  <c r="P31" i="7"/>
  <c r="R31" i="7" s="1"/>
  <c r="P26" i="7"/>
  <c r="R26" i="7" s="1"/>
  <c r="P29" i="7"/>
  <c r="R29" i="7" s="1"/>
  <c r="P36" i="7"/>
  <c r="R36" i="7" s="1"/>
  <c r="P22" i="7"/>
  <c r="R22" i="7" s="1"/>
  <c r="P10" i="7"/>
  <c r="R10" i="7" s="1"/>
  <c r="P19" i="7"/>
  <c r="R19" i="7" s="1"/>
  <c r="P11" i="7"/>
  <c r="R11" i="7" s="1"/>
  <c r="P35" i="7"/>
  <c r="R35" i="7" s="1"/>
  <c r="P25" i="7"/>
  <c r="R25" i="7" s="1"/>
  <c r="P38" i="7"/>
  <c r="R38" i="7" s="1"/>
  <c r="R32" i="7"/>
  <c r="Q32" i="7"/>
  <c r="T32" i="7"/>
  <c r="R9" i="7"/>
  <c r="Q9" i="7"/>
  <c r="T9" i="7"/>
  <c r="P12" i="7"/>
  <c r="R12" i="7" s="1"/>
  <c r="P27" i="7"/>
  <c r="R27" i="7" s="1"/>
  <c r="P13" i="7"/>
  <c r="R13" i="7" s="1"/>
  <c r="P16" i="7"/>
  <c r="R16" i="7" s="1"/>
  <c r="P15" i="7"/>
  <c r="R15" i="7" s="1"/>
  <c r="P4" i="7"/>
  <c r="R4" i="7" s="1"/>
  <c r="P6" i="7"/>
  <c r="R6" i="7" s="1"/>
  <c r="P5" i="7"/>
  <c r="R5" i="7" s="1"/>
  <c r="P7" i="7"/>
  <c r="R7" i="7" s="1"/>
  <c r="AF68" i="2"/>
  <c r="AE68" i="2"/>
  <c r="AD68" i="2"/>
  <c r="AF40" i="2"/>
  <c r="AE40" i="2"/>
  <c r="AD40" i="2"/>
  <c r="AF47" i="2"/>
  <c r="AE47" i="2"/>
  <c r="AD47" i="2"/>
  <c r="AF46" i="2"/>
  <c r="AE46" i="2"/>
  <c r="AD46" i="2"/>
  <c r="AF58" i="2"/>
  <c r="AE58" i="2"/>
  <c r="AD58" i="2"/>
  <c r="AF51" i="2"/>
  <c r="AE51" i="2"/>
  <c r="AD51" i="2"/>
  <c r="AF50" i="2"/>
  <c r="AE50" i="2"/>
  <c r="AD50" i="2"/>
  <c r="AF72" i="2"/>
  <c r="AE72" i="2"/>
  <c r="AD72" i="2"/>
  <c r="AF55" i="2"/>
  <c r="AE55" i="2"/>
  <c r="AD55" i="2"/>
  <c r="AE70" i="2"/>
  <c r="AD70" i="2"/>
  <c r="AF70" i="2"/>
  <c r="AF63" i="2"/>
  <c r="AE63" i="2"/>
  <c r="AD63" i="2"/>
  <c r="AF69" i="2"/>
  <c r="AE69" i="2"/>
  <c r="AD69" i="2"/>
  <c r="AF61" i="2"/>
  <c r="AE61" i="2"/>
  <c r="AD61" i="2"/>
  <c r="AF75" i="2"/>
  <c r="AE75" i="2"/>
  <c r="AD75" i="2"/>
  <c r="AF64" i="2"/>
  <c r="AE64" i="2"/>
  <c r="AD64" i="2"/>
  <c r="AF38" i="2"/>
  <c r="AD38" i="2"/>
  <c r="AE38" i="2"/>
  <c r="AF53" i="2"/>
  <c r="AE53" i="2"/>
  <c r="AD53" i="2"/>
  <c r="AF73" i="2"/>
  <c r="AE73" i="2"/>
  <c r="AD73" i="2"/>
  <c r="AF52" i="2"/>
  <c r="AE52" i="2"/>
  <c r="AD52" i="2"/>
  <c r="AE67" i="2"/>
  <c r="AD67" i="2"/>
  <c r="AF67" i="2"/>
  <c r="AF62" i="2"/>
  <c r="AD62" i="2"/>
  <c r="AE62" i="2"/>
  <c r="AF66" i="2"/>
  <c r="AE66" i="2"/>
  <c r="AD66" i="2"/>
  <c r="AF56" i="2"/>
  <c r="AE56" i="2"/>
  <c r="AD56" i="2"/>
  <c r="AF57" i="2"/>
  <c r="AE57" i="2"/>
  <c r="AD57" i="2"/>
  <c r="AF71" i="2"/>
  <c r="AE71" i="2"/>
  <c r="AD71" i="2"/>
  <c r="AF44" i="2"/>
  <c r="AE44" i="2"/>
  <c r="AD44" i="2"/>
  <c r="AF48" i="2"/>
  <c r="AE48" i="2"/>
  <c r="AD48" i="2"/>
  <c r="AD49" i="2"/>
  <c r="AF49" i="2"/>
  <c r="AE49" i="2"/>
  <c r="AF74" i="2"/>
  <c r="AE74" i="2"/>
  <c r="AD74" i="2"/>
  <c r="AD65" i="2"/>
  <c r="AF65" i="2"/>
  <c r="AE65" i="2"/>
  <c r="AF45" i="2"/>
  <c r="AE45" i="2"/>
  <c r="AD45" i="2"/>
  <c r="AE54" i="2"/>
  <c r="AD54" i="2"/>
  <c r="AF54" i="2"/>
  <c r="AF39" i="2"/>
  <c r="AE39" i="2"/>
  <c r="AD39" i="2"/>
  <c r="AF59" i="2"/>
  <c r="AE59" i="2"/>
  <c r="AD59" i="2"/>
  <c r="AF41" i="2"/>
  <c r="AE41" i="2"/>
  <c r="AD41" i="2"/>
  <c r="AE60" i="2"/>
  <c r="AD60" i="2"/>
  <c r="AF60" i="2"/>
  <c r="L59" i="2"/>
  <c r="K59" i="2"/>
  <c r="J59" i="2"/>
  <c r="V69" i="2"/>
  <c r="U69" i="2"/>
  <c r="T69" i="2"/>
  <c r="L68" i="2"/>
  <c r="K68" i="2"/>
  <c r="J68" i="2"/>
  <c r="V50" i="2"/>
  <c r="U50" i="2"/>
  <c r="T50" i="2"/>
  <c r="V38" i="2"/>
  <c r="U38" i="2"/>
  <c r="T38" i="2"/>
  <c r="L61" i="2"/>
  <c r="K61" i="2"/>
  <c r="J61" i="2"/>
  <c r="L67" i="2"/>
  <c r="K67" i="2"/>
  <c r="J67" i="2"/>
  <c r="J46" i="2"/>
  <c r="K46" i="2"/>
  <c r="L46" i="2"/>
  <c r="K60" i="2"/>
  <c r="J60" i="2"/>
  <c r="L60" i="2"/>
  <c r="L45" i="2"/>
  <c r="K45" i="2"/>
  <c r="J45" i="2"/>
  <c r="V64" i="2"/>
  <c r="U64" i="2"/>
  <c r="T64" i="2"/>
  <c r="V44" i="2"/>
  <c r="U44" i="2"/>
  <c r="T44" i="2"/>
  <c r="U56" i="2"/>
  <c r="V56" i="2"/>
  <c r="T56" i="2"/>
  <c r="V63" i="2"/>
  <c r="U63" i="2"/>
  <c r="T63" i="2"/>
  <c r="V48" i="2"/>
  <c r="U48" i="2"/>
  <c r="T48" i="2"/>
  <c r="J71" i="2"/>
  <c r="L71" i="2"/>
  <c r="K71" i="2"/>
  <c r="V68" i="2"/>
  <c r="U68" i="2"/>
  <c r="T68" i="2"/>
  <c r="L50" i="2"/>
  <c r="K50" i="2"/>
  <c r="J50" i="2"/>
  <c r="L48" i="2"/>
  <c r="K48" i="2"/>
  <c r="J48" i="2"/>
  <c r="U70" i="2"/>
  <c r="T70" i="2"/>
  <c r="V70" i="2"/>
  <c r="L58" i="2"/>
  <c r="K58" i="2"/>
  <c r="J58" i="2"/>
  <c r="K62" i="2"/>
  <c r="J62" i="2"/>
  <c r="L62" i="2"/>
  <c r="L75" i="2"/>
  <c r="K75" i="2"/>
  <c r="J75" i="2"/>
  <c r="L73" i="2"/>
  <c r="J73" i="2"/>
  <c r="K73" i="2"/>
  <c r="L41" i="2"/>
  <c r="J41" i="2"/>
  <c r="K41" i="2"/>
  <c r="V75" i="2"/>
  <c r="U75" i="2"/>
  <c r="T75" i="2"/>
  <c r="K44" i="2"/>
  <c r="J44" i="2"/>
  <c r="L44" i="2"/>
  <c r="V47" i="2"/>
  <c r="U47" i="2"/>
  <c r="T47" i="2"/>
  <c r="L64" i="2"/>
  <c r="K64" i="2"/>
  <c r="J64" i="2"/>
  <c r="J57" i="2"/>
  <c r="L57" i="2"/>
  <c r="K57" i="2"/>
  <c r="V55" i="2"/>
  <c r="U55" i="2"/>
  <c r="T55" i="2"/>
  <c r="J51" i="2"/>
  <c r="L51" i="2"/>
  <c r="K51" i="2"/>
  <c r="J55" i="2"/>
  <c r="L55" i="2"/>
  <c r="K55" i="2"/>
  <c r="V66" i="2"/>
  <c r="U66" i="2"/>
  <c r="T66" i="2"/>
  <c r="V62" i="2"/>
  <c r="U62" i="2"/>
  <c r="T62" i="2"/>
  <c r="V73" i="2"/>
  <c r="T73" i="2"/>
  <c r="U73" i="2"/>
  <c r="V53" i="2"/>
  <c r="U53" i="2"/>
  <c r="T53" i="2"/>
  <c r="U39" i="2"/>
  <c r="T39" i="2"/>
  <c r="V39" i="2"/>
  <c r="T51" i="2"/>
  <c r="V51" i="2"/>
  <c r="U51" i="2"/>
  <c r="L66" i="2"/>
  <c r="K66" i="2"/>
  <c r="J66" i="2"/>
  <c r="K72" i="2"/>
  <c r="L72" i="2"/>
  <c r="J72" i="2"/>
  <c r="J39" i="2"/>
  <c r="K39" i="2"/>
  <c r="L39" i="2"/>
  <c r="U46" i="2"/>
  <c r="V46" i="2"/>
  <c r="T46" i="2"/>
  <c r="V60" i="2"/>
  <c r="U60" i="2"/>
  <c r="T60" i="2"/>
  <c r="K52" i="2"/>
  <c r="L52" i="2"/>
  <c r="J52" i="2"/>
  <c r="L74" i="2"/>
  <c r="K74" i="2"/>
  <c r="J74" i="2"/>
  <c r="T67" i="2"/>
  <c r="V67" i="2"/>
  <c r="U67" i="2"/>
  <c r="L53" i="2"/>
  <c r="K53" i="2"/>
  <c r="J53" i="2"/>
  <c r="T45" i="2"/>
  <c r="U45" i="2"/>
  <c r="V45" i="2"/>
  <c r="J40" i="2"/>
  <c r="K40" i="2"/>
  <c r="L40" i="2"/>
  <c r="L49" i="2"/>
  <c r="K49" i="2"/>
  <c r="J49" i="2"/>
  <c r="L70" i="2"/>
  <c r="K70" i="2"/>
  <c r="J70" i="2"/>
  <c r="L65" i="2"/>
  <c r="K65" i="2"/>
  <c r="J65" i="2"/>
  <c r="U54" i="2"/>
  <c r="T54" i="2"/>
  <c r="V54" i="2"/>
  <c r="T72" i="2"/>
  <c r="U72" i="2"/>
  <c r="V72" i="2"/>
  <c r="V58" i="2"/>
  <c r="U58" i="2"/>
  <c r="T58" i="2"/>
  <c r="V52" i="2"/>
  <c r="U52" i="2"/>
  <c r="T52" i="2"/>
  <c r="V59" i="2"/>
  <c r="U59" i="2"/>
  <c r="T59" i="2"/>
  <c r="T65" i="2"/>
  <c r="V65" i="2"/>
  <c r="U65" i="2"/>
  <c r="L63" i="2"/>
  <c r="J63" i="2"/>
  <c r="K63" i="2"/>
  <c r="L54" i="2"/>
  <c r="K54" i="2"/>
  <c r="J54" i="2"/>
  <c r="L47" i="2"/>
  <c r="J47" i="2"/>
  <c r="K47" i="2"/>
  <c r="V57" i="2"/>
  <c r="T57" i="2"/>
  <c r="U57" i="2"/>
  <c r="T61" i="2"/>
  <c r="U61" i="2"/>
  <c r="V61" i="2"/>
  <c r="T49" i="2"/>
  <c r="V49" i="2"/>
  <c r="U49" i="2"/>
  <c r="L56" i="2"/>
  <c r="K56" i="2"/>
  <c r="J56" i="2"/>
  <c r="V71" i="2"/>
  <c r="U71" i="2"/>
  <c r="T71" i="2"/>
  <c r="V40" i="2"/>
  <c r="U40" i="2"/>
  <c r="T40" i="2"/>
  <c r="V41" i="2"/>
  <c r="U41" i="2"/>
  <c r="T41" i="2"/>
  <c r="V74" i="2"/>
  <c r="U74" i="2"/>
  <c r="T74" i="2"/>
  <c r="L69" i="2"/>
  <c r="K69" i="2"/>
  <c r="J69" i="2"/>
  <c r="K38" i="2"/>
  <c r="L38" i="2"/>
  <c r="J38" i="2"/>
  <c r="AF5" i="2"/>
  <c r="AD5" i="2"/>
  <c r="AF14" i="2"/>
  <c r="AE14" i="2"/>
  <c r="AD14" i="2"/>
  <c r="AE5" i="2"/>
  <c r="AD8" i="2"/>
  <c r="AF8" i="2"/>
  <c r="AE8" i="2"/>
  <c r="AF21" i="2"/>
  <c r="AE21" i="2"/>
  <c r="AD21" i="2"/>
  <c r="AD20" i="2"/>
  <c r="AF20" i="2"/>
  <c r="AE20" i="2"/>
  <c r="AF17" i="2"/>
  <c r="AE17" i="2"/>
  <c r="AD17" i="2"/>
  <c r="AE10" i="2"/>
  <c r="AF10" i="2"/>
  <c r="AD10" i="2"/>
  <c r="AF18" i="2"/>
  <c r="AE18" i="2"/>
  <c r="AD18" i="2"/>
  <c r="AF11" i="2"/>
  <c r="AE11" i="2"/>
  <c r="AD11" i="2"/>
  <c r="AF15" i="2"/>
  <c r="AD15" i="2"/>
  <c r="AE15" i="2"/>
  <c r="AF19" i="2"/>
  <c r="AE19" i="2"/>
  <c r="AD19" i="2"/>
  <c r="AD22" i="2"/>
  <c r="AF22" i="2"/>
  <c r="AE22" i="2"/>
  <c r="AE13" i="2"/>
  <c r="AD13" i="2"/>
  <c r="AF13" i="2"/>
  <c r="AD16" i="2"/>
  <c r="AF16" i="2"/>
  <c r="AE16" i="2"/>
  <c r="AF7" i="2"/>
  <c r="AE7" i="2"/>
  <c r="AD7" i="2"/>
  <c r="L16" i="2"/>
  <c r="K16" i="2"/>
  <c r="J16" i="2"/>
  <c r="K5" i="2"/>
  <c r="J5" i="2"/>
  <c r="L5" i="2"/>
  <c r="V15" i="2"/>
  <c r="U15" i="2"/>
  <c r="T15" i="2"/>
  <c r="V18" i="2"/>
  <c r="T18" i="2"/>
  <c r="U18" i="2"/>
  <c r="L11" i="2"/>
  <c r="K11" i="2"/>
  <c r="J11" i="2"/>
  <c r="V10" i="2"/>
  <c r="U10" i="2"/>
  <c r="T10" i="2"/>
  <c r="T20" i="2"/>
  <c r="V20" i="2"/>
  <c r="U20" i="2"/>
  <c r="J8" i="2"/>
  <c r="L8" i="2"/>
  <c r="K8" i="2"/>
  <c r="V22" i="2"/>
  <c r="U22" i="2"/>
  <c r="T22" i="2"/>
  <c r="V14" i="2"/>
  <c r="U14" i="2"/>
  <c r="T14" i="2"/>
  <c r="U13" i="2"/>
  <c r="T13" i="2"/>
  <c r="V13" i="2"/>
  <c r="L13" i="2"/>
  <c r="J13" i="2"/>
  <c r="K13" i="2"/>
  <c r="K18" i="2"/>
  <c r="J18" i="2"/>
  <c r="L18" i="2"/>
  <c r="U7" i="2"/>
  <c r="T7" i="2"/>
  <c r="V7" i="2"/>
  <c r="L15" i="2"/>
  <c r="K15" i="2"/>
  <c r="J15" i="2"/>
  <c r="L10" i="2"/>
  <c r="K10" i="2"/>
  <c r="J10" i="2"/>
  <c r="L14" i="2"/>
  <c r="K14" i="2"/>
  <c r="J14" i="2"/>
  <c r="V17" i="2"/>
  <c r="U17" i="2"/>
  <c r="T17" i="2"/>
  <c r="J19" i="2"/>
  <c r="L19" i="2"/>
  <c r="K19" i="2"/>
  <c r="K7" i="2"/>
  <c r="J7" i="2"/>
  <c r="L7" i="2"/>
  <c r="T5" i="2"/>
  <c r="V5" i="2"/>
  <c r="U5" i="2"/>
  <c r="V11" i="2"/>
  <c r="T11" i="2"/>
  <c r="U11" i="2"/>
  <c r="V19" i="2"/>
  <c r="U19" i="2"/>
  <c r="T19" i="2"/>
  <c r="V16" i="2"/>
  <c r="U16" i="2"/>
  <c r="T16" i="2"/>
  <c r="K20" i="2"/>
  <c r="J20" i="2"/>
  <c r="L20" i="2"/>
  <c r="L21" i="2"/>
  <c r="K21" i="2"/>
  <c r="J21" i="2"/>
  <c r="V21" i="2"/>
  <c r="U21" i="2"/>
  <c r="T21" i="2"/>
  <c r="L17" i="2"/>
  <c r="K17" i="2"/>
  <c r="J17" i="2"/>
  <c r="V8" i="2"/>
  <c r="U8" i="2"/>
  <c r="T8" i="2"/>
  <c r="L22" i="2"/>
  <c r="K22" i="2"/>
  <c r="J22" i="2"/>
  <c r="C31" i="8" l="1"/>
  <c r="E21" i="8"/>
  <c r="J6" i="7"/>
  <c r="G6" i="7"/>
  <c r="J10" i="7"/>
  <c r="G10" i="7"/>
  <c r="J9" i="7"/>
  <c r="G9" i="7"/>
  <c r="H6" i="7"/>
  <c r="J7" i="7"/>
  <c r="G7" i="7"/>
  <c r="J17" i="7"/>
  <c r="G17" i="7"/>
  <c r="J15" i="7"/>
  <c r="G15" i="7"/>
  <c r="G13" i="7"/>
  <c r="J13" i="7"/>
  <c r="J12" i="7"/>
  <c r="G12" i="7"/>
  <c r="G16" i="7"/>
  <c r="J16" i="7"/>
  <c r="J20" i="7"/>
  <c r="G20" i="7"/>
  <c r="J21" i="7"/>
  <c r="G21" i="7"/>
  <c r="J14" i="7"/>
  <c r="G14" i="7"/>
  <c r="H17" i="7"/>
  <c r="J18" i="7"/>
  <c r="G18" i="7"/>
  <c r="T13" i="7"/>
  <c r="Q13" i="7"/>
  <c r="Q35" i="7"/>
  <c r="T35" i="7"/>
  <c r="T31" i="7"/>
  <c r="Q31" i="7"/>
  <c r="Q39" i="7"/>
  <c r="T39" i="7"/>
  <c r="Q27" i="7"/>
  <c r="T27" i="7"/>
  <c r="T11" i="7"/>
  <c r="Q11" i="7"/>
  <c r="T24" i="7"/>
  <c r="Q24" i="7"/>
  <c r="T12" i="7"/>
  <c r="Q12" i="7"/>
  <c r="Q17" i="7"/>
  <c r="T17" i="7"/>
  <c r="T19" i="7"/>
  <c r="Q19" i="7"/>
  <c r="Q36" i="7"/>
  <c r="T36" i="7"/>
  <c r="T23" i="7"/>
  <c r="Q23" i="7"/>
  <c r="T20" i="7"/>
  <c r="Q20" i="7"/>
  <c r="T33" i="7"/>
  <c r="Q33" i="7"/>
  <c r="Q22" i="7"/>
  <c r="T22" i="7"/>
  <c r="Q18" i="7"/>
  <c r="T18" i="7"/>
  <c r="Q10" i="7"/>
  <c r="T10" i="7"/>
  <c r="T28" i="7"/>
  <c r="Q28" i="7"/>
  <c r="Q15" i="7"/>
  <c r="T15" i="7"/>
  <c r="T38" i="7"/>
  <c r="Q38" i="7"/>
  <c r="Q29" i="7"/>
  <c r="T29" i="7"/>
  <c r="Q21" i="7"/>
  <c r="T21" i="7"/>
  <c r="T14" i="7"/>
  <c r="Q14" i="7"/>
  <c r="T16" i="7"/>
  <c r="Q16" i="7"/>
  <c r="Q25" i="7"/>
  <c r="T25" i="7"/>
  <c r="T26" i="7"/>
  <c r="Q26" i="7"/>
  <c r="T30" i="7"/>
  <c r="Q30" i="7"/>
  <c r="Q37" i="7"/>
  <c r="T37" i="7"/>
  <c r="Q7" i="7"/>
  <c r="T7" i="7"/>
  <c r="T5" i="7"/>
  <c r="Q5" i="7"/>
  <c r="T6" i="7"/>
  <c r="Q6" i="7"/>
  <c r="T4" i="7"/>
  <c r="Q4" i="7"/>
  <c r="E35" i="8" l="1"/>
  <c r="E31" i="8"/>
  <c r="C32" i="8"/>
  <c r="E32" i="8" s="1"/>
  <c r="C36" i="8" l="1"/>
  <c r="C39" i="8" l="1"/>
  <c r="E36" i="8"/>
  <c r="C40" i="8" l="1"/>
  <c r="E40" i="8" s="1"/>
  <c r="E3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5C3CCB-C11D-4ABE-834D-4042128196BF}" keepAlive="1" name="Query - ACT vs BGT Table" description="Connection to the 'ACT vs BGT Table' query in the workbook." type="5" refreshedVersion="8" background="1">
    <dbPr connection="Provider=Microsoft.Mashup.OleDb.1;Data Source=$Workbook$;Location=&quot;ACT vs BGT Table&quot;;Extended Properties=&quot;&quot;" command="SELECT * FROM [ACT vs BGT Table]"/>
  </connection>
  <connection id="2" xr16:uid="{EDBD9CDA-0C9F-4D2A-89FC-AF2C66C86FC2}" keepAlive="1" name="Query - Actuals" description="Connection to the 'Actuals' query in the workbook." type="5" refreshedVersion="0" background="1">
    <dbPr connection="Provider=Microsoft.Mashup.OleDb.1;Data Source=$Workbook$;Location=Actuals;Extended Properties=&quot;&quot;" command="SELECT * FROM [Actuals]"/>
  </connection>
  <connection id="3" xr16:uid="{67AD3056-2BFD-48F2-8D3E-E90845A39664}" keepAlive="1" name="Query - Actuals and Budget" description="Connection to the 'Actuals and Budget' query in the workbook." type="5" refreshedVersion="8" background="1">
    <dbPr connection="Provider=Microsoft.Mashup.OleDb.1;Data Source=$Workbook$;Location=&quot;Actuals and Budget&quot;;Extended Properties=&quot;&quot;" command="SELECT * FROM [Actuals and Budget]"/>
  </connection>
  <connection id="4" xr16:uid="{30F67084-EDFF-4235-821E-240E88B389D2}" keepAlive="1" name="Query - Budget" description="Connection to the 'Budget' query in the workbook." type="5" refreshedVersion="0" background="1">
    <dbPr connection="Provider=Microsoft.Mashup.OleDb.1;Data Source=$Workbook$;Location=Budget;Extended Properties=&quot;&quot;" command="SELECT * FROM [Budget]"/>
  </connection>
  <connection id="5" xr16:uid="{8FC7EB67-FD58-4E9D-881D-1F29E85FA944}" keepAlive="1" name="Query - dbo_dim_channel" description="Connection to the 'dbo_dim_channel' query in the workbook." type="5" refreshedVersion="0" background="1">
    <dbPr connection="Provider=Microsoft.Mashup.OleDb.1;Data Source=$Workbook$;Location=dbo_dim_channel;Extended Properties=&quot;&quot;" command="SELECT * FROM [dbo_dim_channel]"/>
  </connection>
  <connection id="6" xr16:uid="{BE868799-61FD-41E3-8EFC-9F75D1B94E41}" keepAlive="1" name="Query - dbo_dim_geography" description="Connection to the 'dbo_dim_geography' query in the workbook." type="5" refreshedVersion="0" background="1">
    <dbPr connection="Provider=Microsoft.Mashup.OleDb.1;Data Source=$Workbook$;Location=dbo_dim_geography;Extended Properties=&quot;&quot;" command="SELECT * FROM [dbo_dim_geography]"/>
  </connection>
  <connection id="7" xr16:uid="{F4B0219B-4540-4EE4-A2C5-31C6C2835CFB}" keepAlive="1" name="Query - dbo_fact_boutique_sales" description="Connection to the 'dbo_fact_boutique_sales' query in the workbook." type="5" refreshedVersion="0" background="1">
    <dbPr connection="Provider=Microsoft.Mashup.OleDb.1;Data Source=$Workbook$;Location=dbo_fact_boutique_sales;Extended Properties=&quot;&quot;" command="SELECT * FROM [dbo_fact_boutique_sales]"/>
  </connection>
  <connection id="8" xr16:uid="{F93E4FC2-866D-4448-B4A7-2024351F3DEA}" keepAlive="1" name="Query - dbo_fact_sell_in" description="Connection to the 'dbo_fact_sell_in' query in the workbook." type="5" refreshedVersion="0" background="1">
    <dbPr connection="Provider=Microsoft.Mashup.OleDb.1;Data Source=$Workbook$;Location=dbo_fact_sell_in;Extended Properties=&quot;&quot;" command="SELECT * FROM [dbo_fact_sell_in]"/>
  </connection>
  <connection id="9" xr16:uid="{F40EDE57-3FF2-4149-8DCD-7876AA68D6D1}" keepAlive="1" name="Query - meridiana" description="Connection to the 'meridiana' query in the workbook." type="5" refreshedVersion="0" background="1">
    <dbPr connection="Provider=Microsoft.Mashup.OleDb.1;Data Source=$Workbook$;Location=meridiana;Extended Properties=&quot;&quot;" command="SELECT * FROM [meridiana]"/>
  </connection>
</connections>
</file>

<file path=xl/sharedStrings.xml><?xml version="1.0" encoding="utf-8"?>
<sst xmlns="http://schemas.openxmlformats.org/spreadsheetml/2006/main" count="1097" uniqueCount="166">
  <si>
    <t>Column Labels</t>
  </si>
  <si>
    <t>Grand Total</t>
  </si>
  <si>
    <t>Row Labels</t>
  </si>
  <si>
    <t>Atelier</t>
  </si>
  <si>
    <t>Aventus</t>
  </si>
  <si>
    <t>Celeste</t>
  </si>
  <si>
    <t>Grand Complication</t>
  </si>
  <si>
    <t>Heritage</t>
  </si>
  <si>
    <t>Lumina</t>
  </si>
  <si>
    <t>Meridian Classic</t>
  </si>
  <si>
    <t>Nautique</t>
  </si>
  <si>
    <t>Sportivo</t>
  </si>
  <si>
    <t>Terra</t>
  </si>
  <si>
    <t>Sum of units</t>
  </si>
  <si>
    <t>month</t>
  </si>
  <si>
    <t>Sum of cogs</t>
  </si>
  <si>
    <t>Sum of revenue</t>
  </si>
  <si>
    <t>UNITS</t>
  </si>
  <si>
    <t>COGS</t>
  </si>
  <si>
    <t>REVENUE</t>
  </si>
  <si>
    <t>Online</t>
  </si>
  <si>
    <t>Retail</t>
  </si>
  <si>
    <t>2026 Actuals</t>
  </si>
  <si>
    <t>2026 Budget</t>
  </si>
  <si>
    <t>2025 Actuals</t>
  </si>
  <si>
    <t>MONTHS</t>
  </si>
  <si>
    <t>Values</t>
  </si>
  <si>
    <t>scenario</t>
  </si>
  <si>
    <t>channel_mode</t>
  </si>
  <si>
    <t>MODE</t>
  </si>
  <si>
    <t>TYPE</t>
  </si>
  <si>
    <t>channel_type</t>
  </si>
  <si>
    <t>Boutique</t>
  </si>
  <si>
    <t>Wholesale</t>
  </si>
  <si>
    <t>collection</t>
  </si>
  <si>
    <t>COLLECTION</t>
  </si>
  <si>
    <t>COUNTRY</t>
  </si>
  <si>
    <t>region</t>
  </si>
  <si>
    <t>APAC</t>
  </si>
  <si>
    <t>EMEA</t>
  </si>
  <si>
    <t>LATAM</t>
  </si>
  <si>
    <t>NA</t>
  </si>
  <si>
    <t>country</t>
  </si>
  <si>
    <t>Argentina</t>
  </si>
  <si>
    <t>Australia</t>
  </si>
  <si>
    <t>Austria</t>
  </si>
  <si>
    <t>Belgium</t>
  </si>
  <si>
    <t>Brazil</t>
  </si>
  <si>
    <t>Canada</t>
  </si>
  <si>
    <t>Chile</t>
  </si>
  <si>
    <t>China</t>
  </si>
  <si>
    <t>Colombia</t>
  </si>
  <si>
    <t>Estonia</t>
  </si>
  <si>
    <t>France</t>
  </si>
  <si>
    <t>Germany</t>
  </si>
  <si>
    <t>Greece</t>
  </si>
  <si>
    <t>Hong Kong</t>
  </si>
  <si>
    <t>Italy</t>
  </si>
  <si>
    <t>Japan</t>
  </si>
  <si>
    <t>Malaysia</t>
  </si>
  <si>
    <t>Mexico</t>
  </si>
  <si>
    <t>Netherlands</t>
  </si>
  <si>
    <t>Peru</t>
  </si>
  <si>
    <t>Portugal</t>
  </si>
  <si>
    <t>Saudi Arabia</t>
  </si>
  <si>
    <t>Singapore</t>
  </si>
  <si>
    <t>South Korea</t>
  </si>
  <si>
    <t>Spain</t>
  </si>
  <si>
    <t>Switzerland</t>
  </si>
  <si>
    <t>Taiwan</t>
  </si>
  <si>
    <t>Thailand</t>
  </si>
  <si>
    <t>UAE</t>
  </si>
  <si>
    <t>United Kingdom</t>
  </si>
  <si>
    <t>United States</t>
  </si>
  <si>
    <t>Vietnam</t>
  </si>
  <si>
    <t>REGION</t>
  </si>
  <si>
    <t>TOTAL</t>
  </si>
  <si>
    <t>JAN</t>
  </si>
  <si>
    <t>FEB</t>
  </si>
  <si>
    <t>MAR</t>
  </si>
  <si>
    <t>APR</t>
  </si>
  <si>
    <t>MAY</t>
  </si>
  <si>
    <t>JUN</t>
  </si>
  <si>
    <t>JUL</t>
  </si>
  <si>
    <t>AUG</t>
  </si>
  <si>
    <t>SEP</t>
  </si>
  <si>
    <t>OCT</t>
  </si>
  <si>
    <t>NOV</t>
  </si>
  <si>
    <t>DEC</t>
  </si>
  <si>
    <t>ACTUALS</t>
  </si>
  <si>
    <t>BUDGET</t>
  </si>
  <si>
    <t>FORECAST</t>
  </si>
  <si>
    <t>LY</t>
  </si>
  <si>
    <t>vs LY</t>
  </si>
  <si>
    <t>Actuals</t>
  </si>
  <si>
    <t>Multiplier</t>
  </si>
  <si>
    <t>Forecast</t>
  </si>
  <si>
    <t>Average Delta</t>
  </si>
  <si>
    <t>Units</t>
  </si>
  <si>
    <t>Cogs</t>
  </si>
  <si>
    <t>Revenue</t>
  </si>
  <si>
    <t>vs ACTUALS</t>
  </si>
  <si>
    <t>vs BUDGET</t>
  </si>
  <si>
    <t>Forecast based on Actuals where available and a calculated estimate for subsequent months</t>
  </si>
  <si>
    <t>Non-actuals months are computed based on the effect of the actuals trend on the master budget</t>
  </si>
  <si>
    <t>This workbook plans FY2026 revenue, cost, and margin from the ground up, by country, collection, and channel, starting from actual 2025 performance and letting you adjust the assumptions to plan for the new fiscal year.</t>
  </si>
  <si>
    <t>Data</t>
  </si>
  <si>
    <t>Workbook structure:</t>
  </si>
  <si>
    <t>FY2026 FORECASTS MODEL</t>
  </si>
  <si>
    <r>
      <t xml:space="preserve">Every gray 'Query Data' cell in this workbook was pulled via </t>
    </r>
    <r>
      <rPr>
        <b/>
        <i/>
        <sz val="9"/>
        <color rgb="FF595959"/>
        <rFont val="Calibri"/>
        <family val="2"/>
      </rPr>
      <t>Power Query</t>
    </r>
    <r>
      <rPr>
        <i/>
        <sz val="9"/>
        <color rgb="FF595959"/>
        <rFont val="Calibri"/>
        <family val="2"/>
      </rPr>
      <t xml:space="preserve"> from </t>
    </r>
    <r>
      <rPr>
        <b/>
        <i/>
        <sz val="9"/>
        <color rgb="FF595959"/>
        <rFont val="Calibri"/>
        <family val="2"/>
      </rPr>
      <t>meridian.db / SQL Server</t>
    </r>
    <r>
      <rPr>
        <i/>
        <sz val="9"/>
        <color rgb="FF595959"/>
        <rFont val="Calibri"/>
        <family val="2"/>
      </rPr>
      <t xml:space="preserve"> on 2026-07-20. It is correct as of that date, not live. Two source facts, </t>
    </r>
    <r>
      <rPr>
        <b/>
        <i/>
        <sz val="9"/>
        <color rgb="FF595959"/>
        <rFont val="Calibri"/>
        <family val="2"/>
      </rPr>
      <t>fact_boutique_sales</t>
    </r>
    <r>
      <rPr>
        <i/>
        <sz val="9"/>
        <color rgb="FF595959"/>
        <rFont val="Calibri"/>
        <family val="2"/>
      </rPr>
      <t xml:space="preserve"> (direct/boutique channel) and </t>
    </r>
    <r>
      <rPr>
        <b/>
        <i/>
        <sz val="9"/>
        <color rgb="FF595959"/>
        <rFont val="Calibri"/>
        <family val="2"/>
      </rPr>
      <t>fact_sell_in</t>
    </r>
    <r>
      <rPr>
        <i/>
        <sz val="9"/>
        <color rgb="FF595959"/>
        <rFont val="Calibri"/>
        <family val="2"/>
      </rPr>
      <t xml:space="preserve"> (wholesale shipments), are each merged with their supporting dimensions (store or wholesale customer to geography, SKU to collection, date to month/year), then appended into one consolidated actuals table, tagged by channel. That table is grouped down to Month x Channel x Collection x Country, which is the grain the </t>
    </r>
    <r>
      <rPr>
        <b/>
        <i/>
        <sz val="9"/>
        <color rgb="FF595959"/>
        <rFont val="Calibri"/>
        <family val="2"/>
      </rPr>
      <t>Model tab</t>
    </r>
    <r>
      <rPr>
        <i/>
        <sz val="9"/>
        <color rgb="FF595959"/>
        <rFont val="Calibri"/>
        <family val="2"/>
      </rPr>
      <t xml:space="preserve"> works at.</t>
    </r>
  </si>
  <si>
    <r>
      <t xml:space="preserve">Every editable assumption in one place: </t>
    </r>
    <r>
      <rPr>
        <b/>
        <i/>
        <sz val="9"/>
        <color rgb="FF595959"/>
        <rFont val="Calibri"/>
        <family val="2"/>
      </rPr>
      <t>units per country</t>
    </r>
    <r>
      <rPr>
        <i/>
        <sz val="9"/>
        <color rgb="FF595959"/>
        <rFont val="Calibri"/>
        <family val="2"/>
      </rPr>
      <t xml:space="preserve">, </t>
    </r>
    <r>
      <rPr>
        <b/>
        <i/>
        <sz val="9"/>
        <color rgb="FF595959"/>
        <rFont val="Calibri"/>
        <family val="2"/>
      </rPr>
      <t>price and cost per SKU</t>
    </r>
    <r>
      <rPr>
        <i/>
        <sz val="9"/>
        <color rgb="FF595959"/>
        <rFont val="Calibri"/>
        <family val="2"/>
      </rPr>
      <t xml:space="preserve">, </t>
    </r>
    <r>
      <rPr>
        <b/>
        <i/>
        <sz val="9"/>
        <color rgb="FF595959"/>
        <rFont val="Calibri"/>
        <family val="2"/>
      </rPr>
      <t>collection mix by country</t>
    </r>
    <r>
      <rPr>
        <i/>
        <sz val="9"/>
        <color rgb="FF595959"/>
        <rFont val="Calibri"/>
        <family val="2"/>
      </rPr>
      <t xml:space="preserve">, </t>
    </r>
    <r>
      <rPr>
        <b/>
        <i/>
        <sz val="9"/>
        <color rgb="FF595959"/>
        <rFont val="Calibri"/>
        <family val="2"/>
      </rPr>
      <t>planned new store openings</t>
    </r>
    <r>
      <rPr>
        <i/>
        <sz val="9"/>
        <color rgb="FF595959"/>
        <rFont val="Calibri"/>
        <family val="2"/>
      </rPr>
      <t xml:space="preserve"> for 2026, and the </t>
    </r>
    <r>
      <rPr>
        <b/>
        <i/>
        <sz val="9"/>
        <color rgb="FF595959"/>
        <rFont val="Calibri"/>
        <family val="2"/>
      </rPr>
      <t>Boutique/Wholesale</t>
    </r>
    <r>
      <rPr>
        <i/>
        <sz val="9"/>
        <color rgb="FF595959"/>
        <rFont val="Calibri"/>
        <family val="2"/>
      </rPr>
      <t xml:space="preserve"> and </t>
    </r>
    <r>
      <rPr>
        <b/>
        <i/>
        <sz val="9"/>
        <color rgb="FF595959"/>
        <rFont val="Calibri"/>
        <family val="2"/>
      </rPr>
      <t>Retail/Online</t>
    </r>
    <r>
      <rPr>
        <i/>
        <sz val="9"/>
        <color rgb="FF595959"/>
        <rFont val="Calibri"/>
        <family val="2"/>
      </rPr>
      <t xml:space="preserve"> channel splits. </t>
    </r>
    <r>
      <rPr>
        <b/>
        <i/>
        <sz val="9"/>
        <color rgb="FF595959"/>
        <rFont val="Calibri"/>
        <family val="2"/>
      </rPr>
      <t>Blue</t>
    </r>
    <r>
      <rPr>
        <i/>
        <sz val="9"/>
        <color rgb="FF595959"/>
        <rFont val="Calibri"/>
        <family val="2"/>
      </rPr>
      <t xml:space="preserve"> is input, </t>
    </r>
    <r>
      <rPr>
        <b/>
        <i/>
        <sz val="9"/>
        <color rgb="FF595959"/>
        <rFont val="Calibri"/>
        <family val="2"/>
      </rPr>
      <t>black</t>
    </r>
    <r>
      <rPr>
        <i/>
        <sz val="9"/>
        <color rgb="FF595959"/>
        <rFont val="Calibri"/>
        <family val="2"/>
      </rPr>
      <t xml:space="preserve"> is formula, </t>
    </r>
    <r>
      <rPr>
        <b/>
        <i/>
        <sz val="9"/>
        <color rgb="FF595959"/>
        <rFont val="Calibri"/>
        <family val="2"/>
      </rPr>
      <t>green</t>
    </r>
    <r>
      <rPr>
        <i/>
        <sz val="9"/>
        <color rgb="FF595959"/>
        <rFont val="Calibri"/>
        <family val="2"/>
      </rPr>
      <t xml:space="preserve"> is cross-sheet link.</t>
    </r>
  </si>
  <si>
    <r>
      <t xml:space="preserve">Takes </t>
    </r>
    <r>
      <rPr>
        <b/>
        <i/>
        <sz val="9"/>
        <color rgb="FF595959"/>
        <rFont val="Calibri"/>
        <family val="2"/>
      </rPr>
      <t>2025 actuals and 2026 Inputs assumptions</t>
    </r>
    <r>
      <rPr>
        <i/>
        <sz val="9"/>
        <color rgb="FF595959"/>
        <rFont val="Calibri"/>
        <family val="2"/>
      </rPr>
      <t xml:space="preserve"> and builds FY2026 at </t>
    </r>
    <r>
      <rPr>
        <b/>
        <i/>
        <sz val="9"/>
        <color rgb="FF595959"/>
        <rFont val="Calibri"/>
        <family val="2"/>
      </rPr>
      <t>Type</t>
    </r>
    <r>
      <rPr>
        <i/>
        <sz val="9"/>
        <color rgb="FF595959"/>
        <rFont val="Calibri"/>
        <family val="2"/>
      </rPr>
      <t xml:space="preserve"> x </t>
    </r>
    <r>
      <rPr>
        <b/>
        <i/>
        <sz val="9"/>
        <color rgb="FF595959"/>
        <rFont val="Calibri"/>
        <family val="2"/>
      </rPr>
      <t>Collection</t>
    </r>
    <r>
      <rPr>
        <i/>
        <sz val="9"/>
        <color rgb="FF595959"/>
        <rFont val="Calibri"/>
        <family val="2"/>
      </rPr>
      <t xml:space="preserve"> x </t>
    </r>
    <r>
      <rPr>
        <b/>
        <i/>
        <sz val="9"/>
        <color rgb="FF595959"/>
        <rFont val="Calibri"/>
        <family val="2"/>
      </rPr>
      <t>Country</t>
    </r>
    <r>
      <rPr>
        <i/>
        <sz val="9"/>
        <color rgb="FF595959"/>
        <rFont val="Calibri"/>
        <family val="2"/>
      </rPr>
      <t xml:space="preserve"> x </t>
    </r>
    <r>
      <rPr>
        <b/>
        <i/>
        <sz val="9"/>
        <color rgb="FF595959"/>
        <rFont val="Calibri"/>
        <family val="2"/>
      </rPr>
      <t>Month</t>
    </r>
    <r>
      <rPr>
        <i/>
        <sz val="9"/>
        <color rgb="FF595959"/>
        <rFont val="Calibri"/>
        <family val="2"/>
      </rPr>
      <t xml:space="preserve"> grain: a statistical shape (FORECAST.ETS, floored at zero) blended with your manual overrides, </t>
    </r>
    <r>
      <rPr>
        <b/>
        <i/>
        <sz val="9"/>
        <color rgb="FF595959"/>
        <rFont val="Calibri"/>
        <family val="2"/>
      </rPr>
      <t>priced and costed per SKU</t>
    </r>
    <r>
      <rPr>
        <i/>
        <sz val="9"/>
        <color rgb="FF595959"/>
        <rFont val="Calibri"/>
        <family val="2"/>
      </rPr>
      <t xml:space="preserve">, </t>
    </r>
    <r>
      <rPr>
        <b/>
        <i/>
        <sz val="9"/>
        <color rgb="FF595959"/>
        <rFont val="Calibri"/>
        <family val="2"/>
      </rPr>
      <t>rolled into budgeted units</t>
    </r>
    <r>
      <rPr>
        <i/>
        <sz val="9"/>
        <color rgb="FF595959"/>
        <rFont val="Calibri"/>
        <family val="2"/>
      </rPr>
      <t xml:space="preserve">, </t>
    </r>
    <r>
      <rPr>
        <b/>
        <i/>
        <sz val="9"/>
        <color rgb="FF595959"/>
        <rFont val="Calibri"/>
        <family val="2"/>
      </rPr>
      <t>revenue</t>
    </r>
    <r>
      <rPr>
        <i/>
        <sz val="9"/>
        <color rgb="FF595959"/>
        <rFont val="Calibri"/>
        <family val="2"/>
      </rPr>
      <t xml:space="preserve">, </t>
    </r>
    <r>
      <rPr>
        <b/>
        <i/>
        <sz val="9"/>
        <color rgb="FF595959"/>
        <rFont val="Calibri"/>
        <family val="2"/>
      </rPr>
      <t>COGS</t>
    </r>
    <r>
      <rPr>
        <i/>
        <sz val="9"/>
        <color rgb="FF595959"/>
        <rFont val="Calibri"/>
        <family val="2"/>
      </rPr>
      <t xml:space="preserve">, and </t>
    </r>
    <r>
      <rPr>
        <b/>
        <i/>
        <sz val="9"/>
        <color rgb="FF595959"/>
        <rFont val="Calibri"/>
        <family val="2"/>
      </rPr>
      <t>margin</t>
    </r>
    <r>
      <rPr>
        <i/>
        <sz val="9"/>
        <color rgb="FF595959"/>
        <rFont val="Calibri"/>
        <family val="2"/>
      </rPr>
      <t>.</t>
    </r>
  </si>
  <si>
    <r>
      <t xml:space="preserve">The Model's output </t>
    </r>
    <r>
      <rPr>
        <b/>
        <i/>
        <sz val="9"/>
        <color rgb="FF595959"/>
        <rFont val="Calibri"/>
        <family val="2"/>
      </rPr>
      <t>consolidated into a full P&amp;L</t>
    </r>
    <r>
      <rPr>
        <i/>
        <sz val="9"/>
        <color rgb="FF595959"/>
        <rFont val="Calibri"/>
        <family val="2"/>
      </rPr>
      <t xml:space="preserve">, </t>
    </r>
    <r>
      <rPr>
        <b/>
        <i/>
        <sz val="9"/>
        <color rgb="FF595959"/>
        <rFont val="Calibri"/>
        <family val="2"/>
      </rPr>
      <t>2025 Actual vs 2026 Budget</t>
    </r>
    <r>
      <rPr>
        <i/>
        <sz val="9"/>
        <color rgb="FF595959"/>
        <rFont val="Calibri"/>
        <family val="2"/>
      </rPr>
      <t>, monthly and quarterly, down to net income.</t>
    </r>
  </si>
  <si>
    <r>
      <rPr>
        <b/>
        <i/>
        <sz val="9"/>
        <color rgb="FF595959"/>
        <rFont val="Calibri"/>
        <family val="2"/>
      </rPr>
      <t>Budget sliced interactively by Mode, Collection, Type, Region, and Country.</t>
    </r>
    <r>
      <rPr>
        <i/>
        <sz val="9"/>
        <color rgb="FF595959"/>
        <rFont val="Calibri"/>
        <family val="2"/>
      </rPr>
      <t xml:space="preserve"> Topline or detailed view without touching the Model tab.</t>
    </r>
  </si>
  <si>
    <r>
      <t>The Model's output reshaped to</t>
    </r>
    <r>
      <rPr>
        <b/>
        <i/>
        <sz val="9"/>
        <color rgb="FF595959"/>
        <rFont val="Calibri"/>
        <family val="2"/>
      </rPr>
      <t xml:space="preserve"> match fact_budget's schema exactly</t>
    </r>
    <r>
      <rPr>
        <i/>
        <sz val="9"/>
        <color rgb="FF595959"/>
        <rFont val="Calibri"/>
        <family val="2"/>
      </rPr>
      <t xml:space="preserve">, splitting each row into its four channel_id values (Boutique/Wholesale x Retail/Online) using each Country/Collection's Channel Mix shares. This table is </t>
    </r>
    <r>
      <rPr>
        <b/>
        <i/>
        <sz val="9"/>
        <color rgb="FF595959"/>
        <rFont val="Calibri"/>
        <family val="2"/>
      </rPr>
      <t>used at the end of the process</t>
    </r>
    <r>
      <rPr>
        <i/>
        <sz val="9"/>
        <color rgb="FF595959"/>
        <rFont val="Calibri"/>
        <family val="2"/>
      </rPr>
      <t xml:space="preserve"> to update the Database with the </t>
    </r>
    <r>
      <rPr>
        <b/>
        <i/>
        <sz val="9"/>
        <color rgb="FF595959"/>
        <rFont val="Calibri"/>
        <family val="2"/>
      </rPr>
      <t>Official Budget for 2026</t>
    </r>
  </si>
  <si>
    <t>OVERVIEW</t>
  </si>
  <si>
    <t>Pivot Tables from DB</t>
  </si>
  <si>
    <t>Forecast Model</t>
  </si>
  <si>
    <t>TOPLINE</t>
  </si>
  <si>
    <t>Budget</t>
  </si>
  <si>
    <t>Variance</t>
  </si>
  <si>
    <t>Margin vs BGT</t>
  </si>
  <si>
    <t>Mix Budget</t>
  </si>
  <si>
    <t>Mix Forecast</t>
  </si>
  <si>
    <t>REGIONAL SPLIT</t>
  </si>
  <si>
    <t>Average delta based on available actuals data: actuals variance vs budget computed at channel/country/collection level month after month</t>
  </si>
  <si>
    <t>Pivot tables with consolidated values for Actuals and Budgtet transformed in PowerQuery from the database.
These tables below display LY actuals, TY actuals (YTD) and TY Budget and can be refreshed anytime the Company Database is updated with new data.</t>
  </si>
  <si>
    <t>INCOME STATEMENT</t>
  </si>
  <si>
    <t>2026 BUDGET</t>
  </si>
  <si>
    <t>%</t>
  </si>
  <si>
    <t>Q1</t>
  </si>
  <si>
    <t>Q2</t>
  </si>
  <si>
    <t>Q3</t>
  </si>
  <si>
    <t>Q4</t>
  </si>
  <si>
    <t>Boutique Revenue</t>
  </si>
  <si>
    <t>Wholesale Revenue</t>
  </si>
  <si>
    <t>Total Net Revenue</t>
  </si>
  <si>
    <t>Cost of Goods Sold</t>
  </si>
  <si>
    <t>Boutique COGS</t>
  </si>
  <si>
    <t>Wholesale COGS</t>
  </si>
  <si>
    <t>Total COGS</t>
  </si>
  <si>
    <t>Gross Profit</t>
  </si>
  <si>
    <t>Gross Margin %</t>
  </si>
  <si>
    <t>Operating Expenses</t>
  </si>
  <si>
    <t>Ammortisation &amp; Depreciation</t>
  </si>
  <si>
    <t>Marketing</t>
  </si>
  <si>
    <t>General &amp; Administrative</t>
  </si>
  <si>
    <t>Salaries &amp; Benefits</t>
  </si>
  <si>
    <t>Operating Result</t>
  </si>
  <si>
    <t>Operating Margin %</t>
  </si>
  <si>
    <t>Interests &amp; Taxes</t>
  </si>
  <si>
    <t>Net Interests Expenses</t>
  </si>
  <si>
    <t>Corporate Tax</t>
  </si>
  <si>
    <t>Net Income</t>
  </si>
  <si>
    <t>Net Income Margin %</t>
  </si>
  <si>
    <t>2026 FORECAST</t>
  </si>
  <si>
    <t>Color Convention</t>
  </si>
  <si>
    <t>Blue</t>
  </si>
  <si>
    <t>Black</t>
  </si>
  <si>
    <t>Green</t>
  </si>
  <si>
    <t>Calculated cell</t>
  </si>
  <si>
    <t>Formula that pulls from another tab/used in Income Statement only</t>
  </si>
  <si>
    <t>Manual input/used in Income Statement only</t>
  </si>
  <si>
    <t>EXPENSES COEFFICIENT</t>
  </si>
  <si>
    <t>Represents the manual input designed for this Forecast Model, which applies to Operating, Interests and Tax Expenses as a sourch of additional variation other than the Actuals vs Budget based on Sales</t>
  </si>
  <si>
    <t>Tag for lookups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</si>
</sst>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0.0&quot;pp&quot;"/>
    <numFmt numFmtId="166" formatCode="0.0%"/>
  </numFmts>
  <fonts count="29" x14ac:knownFonts="1">
    <font>
      <sz val="11"/>
      <color theme="1"/>
      <name val="Aptos Narrow"/>
      <family val="2"/>
      <scheme val="minor"/>
    </font>
    <font>
      <sz val="11"/>
      <color theme="1"/>
      <name val="Aptos Narrow"/>
      <family val="2"/>
      <scheme val="minor"/>
    </font>
    <font>
      <u/>
      <sz val="11"/>
      <color theme="10"/>
      <name val="Aptos Narrow"/>
      <family val="2"/>
      <scheme val="minor"/>
    </font>
    <font>
      <b/>
      <sz val="16"/>
      <color rgb="FF1F4E96"/>
      <name val="Calibri"/>
      <family val="2"/>
    </font>
    <font>
      <sz val="11"/>
      <color theme="1"/>
      <name val="Calibri"/>
      <family val="2"/>
    </font>
    <font>
      <i/>
      <sz val="9"/>
      <color rgb="FF595959"/>
      <name val="Calibri"/>
      <family val="2"/>
    </font>
    <font>
      <b/>
      <i/>
      <sz val="9"/>
      <color rgb="FF595959"/>
      <name val="Calibri"/>
      <family val="2"/>
    </font>
    <font>
      <i/>
      <u/>
      <sz val="10"/>
      <color theme="6" tint="-0.499984740745262"/>
      <name val="Calibri"/>
      <family val="2"/>
    </font>
    <font>
      <u/>
      <sz val="10"/>
      <color theme="6" tint="-0.499984740745262"/>
      <name val="Calibri"/>
      <family val="2"/>
    </font>
    <font>
      <b/>
      <sz val="11"/>
      <color theme="1"/>
      <name val="Calibri"/>
      <family val="2"/>
    </font>
    <font>
      <sz val="16"/>
      <color theme="1"/>
      <name val="Tenorite"/>
    </font>
    <font>
      <sz val="11"/>
      <color theme="1"/>
      <name val="Tenorite"/>
    </font>
    <font>
      <b/>
      <sz val="11"/>
      <color theme="1"/>
      <name val="Tenorite"/>
    </font>
    <font>
      <sz val="60"/>
      <color theme="3"/>
      <name val="Tenorite"/>
    </font>
    <font>
      <sz val="9"/>
      <color theme="0" tint="-0.499984740745262"/>
      <name val="Tenorite"/>
    </font>
    <font>
      <b/>
      <sz val="16"/>
      <color theme="1"/>
      <name val="Tenorite"/>
    </font>
    <font>
      <b/>
      <sz val="60"/>
      <color theme="3"/>
      <name val="Tenorite"/>
    </font>
    <font>
      <b/>
      <sz val="16"/>
      <color rgb="FF1F4E96"/>
      <name val="Aptos Narrow"/>
      <family val="2"/>
      <scheme val="minor"/>
    </font>
    <font>
      <b/>
      <sz val="9"/>
      <color rgb="FFFFFFFF"/>
      <name val="Calibri"/>
      <family val="2"/>
    </font>
    <font>
      <b/>
      <sz val="10"/>
      <color rgb="FF1F1F1F"/>
      <name val="Calibri"/>
      <family val="2"/>
    </font>
    <font>
      <sz val="10"/>
      <name val="Calibri"/>
      <family val="2"/>
    </font>
    <font>
      <sz val="10"/>
      <color rgb="FF000000"/>
      <name val="Calibri"/>
      <family val="2"/>
    </font>
    <font>
      <sz val="10"/>
      <color rgb="FF1E7B34"/>
      <name val="Calibri"/>
      <family val="2"/>
    </font>
    <font>
      <b/>
      <sz val="10"/>
      <name val="Calibri"/>
      <family val="2"/>
    </font>
    <font>
      <b/>
      <sz val="10"/>
      <color rgb="FF000000"/>
      <name val="Calibri"/>
      <family val="2"/>
    </font>
    <font>
      <b/>
      <sz val="11"/>
      <name val="Calibri"/>
      <family val="2"/>
    </font>
    <font>
      <sz val="10"/>
      <color rgb="FF1F4E96"/>
      <name val="Calibri"/>
      <family val="2"/>
    </font>
    <font>
      <i/>
      <sz val="10"/>
      <color rgb="FF6B6B6B"/>
      <name val="Calibri"/>
      <family val="2"/>
    </font>
    <font>
      <b/>
      <sz val="10"/>
      <color rgb="FF1E7B34"/>
      <name val="Calibri"/>
      <family val="2"/>
    </font>
  </fonts>
  <fills count="15">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theme="2" tint="-9.9978637043366805E-2"/>
        <bgColor theme="4" tint="0.79998168889431442"/>
      </patternFill>
    </fill>
    <fill>
      <patternFill patternType="solid">
        <fgColor theme="2" tint="-9.9978637043366805E-2"/>
        <bgColor indexed="64"/>
      </patternFill>
    </fill>
    <fill>
      <patternFill patternType="solid">
        <fgColor theme="6" tint="-0.49998474074526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rgb="FFD9D9D9"/>
      </patternFill>
    </fill>
    <fill>
      <patternFill patternType="solid">
        <fgColor theme="5" tint="-0.249977111117893"/>
        <bgColor indexed="64"/>
      </patternFill>
    </fill>
  </fills>
  <borders count="25">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rgb="FFD9D9D9"/>
      </top>
      <bottom style="thin">
        <color rgb="FFD9D9D9"/>
      </bottom>
      <diagonal/>
    </border>
    <border>
      <left/>
      <right/>
      <top style="double">
        <color rgb="FF1F4E96"/>
      </top>
      <bottom/>
      <diagonal/>
    </border>
    <border>
      <left/>
      <right/>
      <top/>
      <bottom style="thin">
        <color rgb="FFD9D9D9"/>
      </bottom>
      <diagonal/>
    </border>
    <border>
      <left/>
      <right/>
      <top style="thin">
        <color theme="4" tint="-0.249977111117893"/>
      </top>
      <bottom/>
      <diagonal/>
    </border>
    <border>
      <left style="thin">
        <color theme="4" tint="-0.249977111117893"/>
      </left>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bottom style="thin">
        <color theme="4" tint="-0.249977111117893"/>
      </bottom>
      <diagonal/>
    </border>
    <border>
      <left/>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top/>
      <bottom/>
      <diagonal/>
    </border>
    <border>
      <left/>
      <right style="thin">
        <color theme="4" tint="-0.249977111117893"/>
      </right>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19" fillId="0" borderId="0">
      <alignment vertical="center"/>
    </xf>
    <xf numFmtId="0" fontId="21" fillId="0" borderId="0">
      <alignment vertical="center"/>
    </xf>
    <xf numFmtId="0" fontId="22" fillId="0" borderId="0">
      <alignment vertical="center"/>
    </xf>
    <xf numFmtId="0" fontId="26" fillId="0" borderId="0">
      <alignment vertical="center"/>
    </xf>
    <xf numFmtId="0" fontId="27" fillId="0" borderId="0">
      <alignment vertical="center"/>
    </xf>
  </cellStyleXfs>
  <cellXfs count="171">
    <xf numFmtId="0" fontId="0" fillId="0" borderId="0" xfId="0"/>
    <xf numFmtId="0" fontId="3" fillId="3" borderId="12" xfId="0" applyFont="1" applyFill="1" applyBorder="1"/>
    <xf numFmtId="0" fontId="4" fillId="3" borderId="13" xfId="0" applyFont="1" applyFill="1" applyBorder="1"/>
    <xf numFmtId="0" fontId="4" fillId="3" borderId="11" xfId="0" applyFont="1" applyFill="1" applyBorder="1"/>
    <xf numFmtId="0" fontId="4" fillId="0" borderId="0" xfId="0" applyFont="1"/>
    <xf numFmtId="0" fontId="6" fillId="4" borderId="6" xfId="0" applyFont="1" applyFill="1" applyBorder="1" applyAlignment="1">
      <alignment horizontal="left" vertical="center" indent="1"/>
    </xf>
    <xf numFmtId="0" fontId="6" fillId="4" borderId="0" xfId="0" applyFont="1" applyFill="1" applyAlignment="1">
      <alignment vertical="center"/>
    </xf>
    <xf numFmtId="0" fontId="4" fillId="4" borderId="0" xfId="0" applyFont="1" applyFill="1"/>
    <xf numFmtId="0" fontId="4" fillId="4" borderId="7" xfId="0" applyFont="1" applyFill="1" applyBorder="1"/>
    <xf numFmtId="0" fontId="5" fillId="4" borderId="0" xfId="0" applyFont="1" applyFill="1" applyAlignment="1">
      <alignment vertical="top" wrapText="1"/>
    </xf>
    <xf numFmtId="0" fontId="5" fillId="4" borderId="7" xfId="0" applyFont="1" applyFill="1" applyBorder="1" applyAlignment="1">
      <alignment vertical="top" wrapText="1"/>
    </xf>
    <xf numFmtId="0" fontId="8" fillId="4" borderId="6" xfId="3" applyFont="1" applyFill="1" applyBorder="1" applyAlignment="1">
      <alignment horizontal="left" vertical="center" wrapText="1" indent="1"/>
    </xf>
    <xf numFmtId="0" fontId="9" fillId="0" borderId="0" xfId="0" applyFont="1"/>
    <xf numFmtId="0" fontId="4" fillId="0" borderId="0" xfId="0" applyFont="1" applyAlignment="1">
      <alignment horizontal="center"/>
    </xf>
    <xf numFmtId="164" fontId="4" fillId="0" borderId="0" xfId="1" applyNumberFormat="1" applyFont="1"/>
    <xf numFmtId="0" fontId="9" fillId="2" borderId="0" xfId="0" applyFont="1" applyFill="1"/>
    <xf numFmtId="0" fontId="9" fillId="2" borderId="1" xfId="0" applyFont="1" applyFill="1" applyBorder="1"/>
    <xf numFmtId="0" fontId="9" fillId="2" borderId="2" xfId="0" applyFont="1" applyFill="1" applyBorder="1" applyAlignment="1">
      <alignment horizontal="left"/>
    </xf>
    <xf numFmtId="164" fontId="9" fillId="2" borderId="2" xfId="1" applyNumberFormat="1" applyFont="1" applyFill="1" applyBorder="1" applyAlignment="1">
      <alignment horizontal="left"/>
    </xf>
    <xf numFmtId="0" fontId="4" fillId="0" borderId="0" xfId="0" pivotButton="1" applyFont="1"/>
    <xf numFmtId="0" fontId="4" fillId="0" borderId="0" xfId="0" applyFont="1" applyAlignment="1">
      <alignment horizontal="left"/>
    </xf>
    <xf numFmtId="164" fontId="4" fillId="0" borderId="0" xfId="0" applyNumberFormat="1" applyFont="1"/>
    <xf numFmtId="9" fontId="4" fillId="0" borderId="3" xfId="2" applyFont="1" applyBorder="1" applyAlignment="1">
      <alignment horizontal="center"/>
    </xf>
    <xf numFmtId="9" fontId="4" fillId="0" borderId="4" xfId="2" applyFont="1" applyBorder="1" applyAlignment="1">
      <alignment horizontal="center"/>
    </xf>
    <xf numFmtId="9" fontId="4" fillId="0" borderId="5" xfId="2" applyFont="1" applyBorder="1" applyAlignment="1">
      <alignment horizontal="center"/>
    </xf>
    <xf numFmtId="9" fontId="4" fillId="0" borderId="6" xfId="2" applyFont="1" applyBorder="1" applyAlignment="1">
      <alignment horizontal="center"/>
    </xf>
    <xf numFmtId="9" fontId="4" fillId="0" borderId="0" xfId="2" applyFont="1" applyBorder="1" applyAlignment="1">
      <alignment horizontal="center"/>
    </xf>
    <xf numFmtId="9" fontId="4" fillId="0" borderId="7" xfId="2" applyFont="1" applyBorder="1" applyAlignment="1">
      <alignment horizontal="center"/>
    </xf>
    <xf numFmtId="9" fontId="4" fillId="0" borderId="8" xfId="2" applyFont="1" applyBorder="1" applyAlignment="1">
      <alignment horizontal="center"/>
    </xf>
    <xf numFmtId="9" fontId="4" fillId="0" borderId="9" xfId="2" applyFont="1" applyBorder="1" applyAlignment="1">
      <alignment horizontal="center"/>
    </xf>
    <xf numFmtId="9" fontId="4" fillId="0" borderId="10" xfId="2" applyFont="1" applyBorder="1" applyAlignment="1">
      <alignment horizontal="center"/>
    </xf>
    <xf numFmtId="9" fontId="4" fillId="0" borderId="0" xfId="2" applyFont="1" applyAlignment="1">
      <alignment horizontal="center"/>
    </xf>
    <xf numFmtId="0" fontId="9" fillId="0" borderId="1" xfId="0" applyFont="1" applyBorder="1"/>
    <xf numFmtId="0" fontId="10" fillId="5" borderId="0" xfId="0" applyFont="1" applyFill="1" applyAlignment="1">
      <alignment horizontal="center" wrapText="1"/>
    </xf>
    <xf numFmtId="0" fontId="11" fillId="0" borderId="0" xfId="0" applyFont="1"/>
    <xf numFmtId="0" fontId="12" fillId="0" borderId="0" xfId="0" applyFont="1"/>
    <xf numFmtId="0" fontId="12" fillId="5" borderId="0" xfId="0" applyFont="1" applyFill="1"/>
    <xf numFmtId="0" fontId="12" fillId="0" borderId="0" xfId="0" applyFont="1" applyAlignment="1">
      <alignment horizontal="center"/>
    </xf>
    <xf numFmtId="0" fontId="11" fillId="5" borderId="0" xfId="0" applyFont="1" applyFill="1"/>
    <xf numFmtId="0" fontId="11" fillId="0" borderId="0" xfId="0" applyFont="1" applyAlignment="1">
      <alignment horizontal="center"/>
    </xf>
    <xf numFmtId="9" fontId="12" fillId="0" borderId="0" xfId="2" applyFont="1"/>
    <xf numFmtId="164" fontId="11" fillId="0" borderId="0" xfId="1" applyNumberFormat="1" applyFont="1"/>
    <xf numFmtId="9" fontId="11" fillId="0" borderId="0" xfId="2" applyFont="1"/>
    <xf numFmtId="0" fontId="13" fillId="0" borderId="0" xfId="0" applyFont="1" applyAlignment="1">
      <alignment vertical="center"/>
    </xf>
    <xf numFmtId="0" fontId="11" fillId="0" borderId="4" xfId="0" applyFont="1" applyBorder="1"/>
    <xf numFmtId="164" fontId="11" fillId="0" borderId="4" xfId="1" applyNumberFormat="1" applyFont="1" applyBorder="1"/>
    <xf numFmtId="9" fontId="11" fillId="0" borderId="4" xfId="2" applyFont="1" applyBorder="1"/>
    <xf numFmtId="9" fontId="11" fillId="0" borderId="5" xfId="2" applyFont="1" applyBorder="1"/>
    <xf numFmtId="0" fontId="11" fillId="0" borderId="9" xfId="0" applyFont="1" applyBorder="1"/>
    <xf numFmtId="164" fontId="11" fillId="0" borderId="9" xfId="1" applyNumberFormat="1" applyFont="1" applyBorder="1"/>
    <xf numFmtId="9" fontId="11" fillId="0" borderId="9" xfId="2" applyFont="1" applyBorder="1"/>
    <xf numFmtId="9" fontId="11" fillId="0" borderId="10" xfId="2" applyFont="1" applyBorder="1"/>
    <xf numFmtId="164" fontId="11" fillId="0" borderId="0" xfId="1" applyNumberFormat="1" applyFont="1" applyBorder="1"/>
    <xf numFmtId="9" fontId="11" fillId="0" borderId="0" xfId="2" applyFont="1" applyBorder="1"/>
    <xf numFmtId="9" fontId="11" fillId="0" borderId="7" xfId="2" applyFont="1" applyBorder="1"/>
    <xf numFmtId="0" fontId="12" fillId="0" borderId="12" xfId="0" applyFont="1" applyBorder="1"/>
    <xf numFmtId="0" fontId="12" fillId="0" borderId="13" xfId="0" applyFont="1" applyBorder="1"/>
    <xf numFmtId="164" fontId="12" fillId="0" borderId="13" xfId="1" applyNumberFormat="1" applyFont="1" applyBorder="1"/>
    <xf numFmtId="9" fontId="12" fillId="0" borderId="13" xfId="2" applyFont="1" applyBorder="1"/>
    <xf numFmtId="9" fontId="12" fillId="0" borderId="11" xfId="2" applyFont="1" applyBorder="1"/>
    <xf numFmtId="164" fontId="12" fillId="0" borderId="12" xfId="1" applyNumberFormat="1" applyFont="1" applyBorder="1"/>
    <xf numFmtId="164" fontId="11" fillId="0" borderId="3" xfId="1" applyNumberFormat="1" applyFont="1" applyBorder="1"/>
    <xf numFmtId="164" fontId="11" fillId="0" borderId="8" xfId="1" applyNumberFormat="1" applyFont="1" applyBorder="1"/>
    <xf numFmtId="164" fontId="11" fillId="0" borderId="6" xfId="1" applyNumberFormat="1" applyFont="1" applyBorder="1"/>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top" wrapText="1"/>
    </xf>
    <xf numFmtId="0" fontId="9" fillId="6" borderId="2" xfId="0" applyFont="1" applyFill="1" applyBorder="1" applyAlignment="1">
      <alignment horizontal="left"/>
    </xf>
    <xf numFmtId="0" fontId="9" fillId="7" borderId="0" xfId="0" applyFont="1" applyFill="1"/>
    <xf numFmtId="0" fontId="9" fillId="8" borderId="0" xfId="0" applyFont="1" applyFill="1" applyAlignment="1">
      <alignment horizontal="left"/>
    </xf>
    <xf numFmtId="0" fontId="9" fillId="8" borderId="1" xfId="0" applyFont="1" applyFill="1" applyBorder="1" applyAlignment="1">
      <alignment horizontal="center"/>
    </xf>
    <xf numFmtId="9" fontId="9" fillId="8" borderId="1" xfId="2" applyFont="1" applyFill="1" applyBorder="1" applyAlignment="1">
      <alignment horizontal="center"/>
    </xf>
    <xf numFmtId="0" fontId="9" fillId="8" borderId="0" xfId="0" applyFont="1" applyFill="1" applyAlignment="1">
      <alignment horizontal="centerContinuous"/>
    </xf>
    <xf numFmtId="164" fontId="9" fillId="8" borderId="2" xfId="0" applyNumberFormat="1" applyFont="1" applyFill="1" applyBorder="1"/>
    <xf numFmtId="0" fontId="4" fillId="9" borderId="0" xfId="0" applyFont="1" applyFill="1"/>
    <xf numFmtId="0" fontId="9" fillId="8" borderId="0" xfId="0" applyFont="1" applyFill="1" applyAlignment="1">
      <alignment horizontal="center"/>
    </xf>
    <xf numFmtId="0" fontId="4" fillId="9" borderId="0" xfId="0" applyFont="1" applyFill="1" applyAlignment="1">
      <alignment horizontal="center"/>
    </xf>
    <xf numFmtId="9" fontId="4" fillId="9" borderId="0" xfId="2" applyFont="1" applyFill="1" applyAlignment="1">
      <alignment horizontal="center"/>
    </xf>
    <xf numFmtId="0" fontId="4" fillId="4" borderId="0" xfId="0" applyFont="1" applyFill="1" applyAlignment="1">
      <alignment vertical="top" wrapText="1"/>
    </xf>
    <xf numFmtId="0" fontId="13" fillId="0" borderId="0" xfId="0" applyFont="1" applyAlignment="1">
      <alignment horizontal="centerContinuous" vertical="center"/>
    </xf>
    <xf numFmtId="0" fontId="14" fillId="0" borderId="0" xfId="0" applyFont="1" applyAlignment="1">
      <alignment horizontal="right" indent="1"/>
    </xf>
    <xf numFmtId="165" fontId="11" fillId="0" borderId="0" xfId="0" applyNumberFormat="1" applyFont="1"/>
    <xf numFmtId="165" fontId="11" fillId="0" borderId="4" xfId="2" applyNumberFormat="1" applyFont="1" applyBorder="1" applyAlignment="1">
      <alignment horizontal="right"/>
    </xf>
    <xf numFmtId="165" fontId="11" fillId="0" borderId="9" xfId="2" applyNumberFormat="1" applyFont="1" applyBorder="1" applyAlignment="1">
      <alignment horizontal="right"/>
    </xf>
    <xf numFmtId="165" fontId="11" fillId="0" borderId="0" xfId="2" applyNumberFormat="1" applyFont="1" applyAlignment="1">
      <alignment horizontal="right"/>
    </xf>
    <xf numFmtId="9" fontId="14" fillId="0" borderId="0" xfId="2" applyFont="1" applyAlignment="1">
      <alignment horizontal="center"/>
    </xf>
    <xf numFmtId="0" fontId="12" fillId="0" borderId="3" xfId="0" applyFont="1" applyBorder="1"/>
    <xf numFmtId="0" fontId="12" fillId="0" borderId="6" xfId="0" applyFont="1" applyBorder="1"/>
    <xf numFmtId="0" fontId="12" fillId="0" borderId="8" xfId="0" applyFont="1" applyBorder="1"/>
    <xf numFmtId="0" fontId="10" fillId="5" borderId="0" xfId="0" applyFont="1" applyFill="1"/>
    <xf numFmtId="0" fontId="10" fillId="0" borderId="0" xfId="0" applyFont="1"/>
    <xf numFmtId="0" fontId="15" fillId="0" borderId="12" xfId="0" applyFont="1" applyBorder="1"/>
    <xf numFmtId="164" fontId="15" fillId="0" borderId="13" xfId="1" applyNumberFormat="1" applyFont="1" applyBorder="1"/>
    <xf numFmtId="9" fontId="15" fillId="0" borderId="13" xfId="2" applyFont="1" applyBorder="1"/>
    <xf numFmtId="165" fontId="15" fillId="0" borderId="13" xfId="2" applyNumberFormat="1" applyFont="1" applyBorder="1" applyAlignment="1">
      <alignment horizontal="right"/>
    </xf>
    <xf numFmtId="0" fontId="16" fillId="0" borderId="0" xfId="0" applyFont="1" applyAlignment="1">
      <alignment horizontal="centerContinuous" vertical="center"/>
    </xf>
    <xf numFmtId="9" fontId="11" fillId="0" borderId="0" xfId="2" applyFont="1" applyAlignment="1">
      <alignment horizontal="centerContinuous"/>
    </xf>
    <xf numFmtId="9" fontId="15" fillId="0" borderId="11" xfId="2" applyFont="1" applyBorder="1" applyAlignment="1">
      <alignment horizontal="right"/>
    </xf>
    <xf numFmtId="9" fontId="11" fillId="0" borderId="7" xfId="2" applyFont="1" applyBorder="1" applyAlignment="1">
      <alignment horizontal="right"/>
    </xf>
    <xf numFmtId="9" fontId="11" fillId="0" borderId="10" xfId="2" applyFont="1" applyBorder="1" applyAlignment="1">
      <alignment horizontal="right"/>
    </xf>
    <xf numFmtId="0" fontId="11" fillId="0" borderId="0" xfId="0" applyFont="1" applyAlignment="1">
      <alignment horizontal="centerContinuous"/>
    </xf>
    <xf numFmtId="0" fontId="17" fillId="3" borderId="12" xfId="0" applyFont="1" applyFill="1" applyBorder="1"/>
    <xf numFmtId="0" fontId="0" fillId="3" borderId="13" xfId="0" applyFill="1" applyBorder="1"/>
    <xf numFmtId="0" fontId="0" fillId="3" borderId="11" xfId="0" applyFill="1" applyBorder="1"/>
    <xf numFmtId="0" fontId="18" fillId="10" borderId="0" xfId="0" applyFont="1" applyFill="1" applyAlignment="1">
      <alignment horizontal="center"/>
    </xf>
    <xf numFmtId="0" fontId="18" fillId="11" borderId="0" xfId="0" applyFont="1" applyFill="1" applyAlignment="1">
      <alignment horizontal="center"/>
    </xf>
    <xf numFmtId="0" fontId="18" fillId="12" borderId="0" xfId="0" applyFont="1" applyFill="1" applyAlignment="1">
      <alignment horizontal="center"/>
    </xf>
    <xf numFmtId="0" fontId="19" fillId="13" borderId="0" xfId="4" applyFill="1">
      <alignment vertical="center"/>
    </xf>
    <xf numFmtId="0" fontId="0" fillId="13" borderId="0" xfId="0" applyFill="1"/>
    <xf numFmtId="0" fontId="20" fillId="0" borderId="0" xfId="0" applyFont="1"/>
    <xf numFmtId="3" fontId="21" fillId="0" borderId="0" xfId="5" applyNumberFormat="1">
      <alignment vertical="center"/>
    </xf>
    <xf numFmtId="9" fontId="21" fillId="0" borderId="0" xfId="2" applyFont="1" applyBorder="1" applyAlignment="1">
      <alignment horizontal="center" vertical="center"/>
    </xf>
    <xf numFmtId="3" fontId="22" fillId="0" borderId="0" xfId="6" applyNumberFormat="1">
      <alignment vertical="center"/>
    </xf>
    <xf numFmtId="0" fontId="23" fillId="0" borderId="0" xfId="0" applyFont="1"/>
    <xf numFmtId="3" fontId="23" fillId="0" borderId="14" xfId="5" applyNumberFormat="1" applyFont="1" applyBorder="1">
      <alignment vertical="center"/>
    </xf>
    <xf numFmtId="9" fontId="23" fillId="0" borderId="14" xfId="2" applyFont="1" applyBorder="1" applyAlignment="1">
      <alignment horizontal="center" vertical="center"/>
    </xf>
    <xf numFmtId="3" fontId="23" fillId="0" borderId="0" xfId="5" applyNumberFormat="1" applyFont="1">
      <alignment vertical="center"/>
    </xf>
    <xf numFmtId="9" fontId="24" fillId="0" borderId="0" xfId="2" applyFont="1" applyBorder="1" applyAlignment="1">
      <alignment horizontal="center" vertical="center"/>
    </xf>
    <xf numFmtId="0" fontId="5" fillId="0" borderId="0" xfId="0" applyFont="1"/>
    <xf numFmtId="166" fontId="21" fillId="0" borderId="0" xfId="5" applyNumberFormat="1">
      <alignment vertical="center"/>
    </xf>
    <xf numFmtId="166" fontId="21" fillId="0" borderId="0" xfId="2" applyNumberFormat="1" applyFont="1" applyBorder="1" applyAlignment="1">
      <alignment horizontal="center" vertical="center"/>
    </xf>
    <xf numFmtId="0" fontId="25" fillId="0" borderId="0" xfId="0" applyFont="1"/>
    <xf numFmtId="3" fontId="23" fillId="0" borderId="15" xfId="5" applyNumberFormat="1" applyFont="1" applyBorder="1">
      <alignment vertical="center"/>
    </xf>
    <xf numFmtId="3" fontId="24" fillId="0" borderId="0" xfId="5" applyNumberFormat="1" applyFont="1">
      <alignment vertical="center"/>
    </xf>
    <xf numFmtId="3" fontId="23" fillId="0" borderId="16" xfId="5" applyNumberFormat="1" applyFont="1" applyBorder="1">
      <alignment vertical="center"/>
    </xf>
    <xf numFmtId="164" fontId="22" fillId="0" borderId="0" xfId="1" applyNumberFormat="1" applyFont="1" applyBorder="1" applyAlignment="1">
      <alignment vertical="center"/>
    </xf>
    <xf numFmtId="0" fontId="19" fillId="13" borderId="3" xfId="4" applyFill="1" applyBorder="1">
      <alignment vertical="center"/>
    </xf>
    <xf numFmtId="0" fontId="4" fillId="13" borderId="4" xfId="0" applyFont="1" applyFill="1" applyBorder="1"/>
    <xf numFmtId="0" fontId="4" fillId="13" borderId="5" xfId="0" applyFont="1" applyFill="1" applyBorder="1"/>
    <xf numFmtId="0" fontId="26" fillId="0" borderId="6" xfId="7" applyBorder="1">
      <alignment vertical="center"/>
    </xf>
    <xf numFmtId="0" fontId="26" fillId="0" borderId="0" xfId="7">
      <alignment vertical="center"/>
    </xf>
    <xf numFmtId="0" fontId="26" fillId="0" borderId="0" xfId="7" applyAlignment="1">
      <alignment horizontal="center" vertical="center"/>
    </xf>
    <xf numFmtId="0" fontId="4" fillId="0" borderId="7" xfId="0" applyFont="1" applyBorder="1"/>
    <xf numFmtId="0" fontId="21" fillId="0" borderId="6" xfId="5" applyBorder="1">
      <alignment vertical="center"/>
    </xf>
    <xf numFmtId="0" fontId="21" fillId="0" borderId="0" xfId="5">
      <alignment vertical="center"/>
    </xf>
    <xf numFmtId="0" fontId="22" fillId="0" borderId="8" xfId="6" applyBorder="1">
      <alignment vertical="center"/>
    </xf>
    <xf numFmtId="0" fontId="22" fillId="0" borderId="9" xfId="6" applyBorder="1">
      <alignment vertical="center"/>
    </xf>
    <xf numFmtId="0" fontId="4" fillId="0" borderId="9" xfId="0" applyFont="1" applyBorder="1"/>
    <xf numFmtId="0" fontId="4" fillId="0" borderId="10" xfId="0" applyFont="1" applyBorder="1"/>
    <xf numFmtId="9" fontId="26" fillId="0" borderId="0" xfId="2" applyFont="1" applyBorder="1" applyAlignment="1">
      <alignment horizontal="center" vertical="center"/>
    </xf>
    <xf numFmtId="164" fontId="28" fillId="0" borderId="0" xfId="1" applyNumberFormat="1" applyFont="1" applyBorder="1" applyAlignment="1">
      <alignment vertical="center"/>
    </xf>
    <xf numFmtId="0" fontId="18" fillId="14" borderId="0" xfId="0" applyFont="1" applyFill="1" applyAlignment="1">
      <alignment horizontal="center"/>
    </xf>
    <xf numFmtId="0" fontId="5" fillId="4" borderId="0" xfId="0" applyFont="1" applyFill="1" applyAlignment="1">
      <alignment horizontal="left" vertical="center" wrapText="1"/>
    </xf>
    <xf numFmtId="0" fontId="5" fillId="4" borderId="7" xfId="0" applyFont="1" applyFill="1" applyBorder="1" applyAlignment="1">
      <alignment horizontal="left" vertical="center" wrapText="1"/>
    </xf>
    <xf numFmtId="0" fontId="7" fillId="4" borderId="6" xfId="3" applyFont="1" applyFill="1" applyBorder="1" applyAlignment="1">
      <alignment horizontal="left" vertical="center" wrapText="1" indent="1"/>
    </xf>
    <xf numFmtId="0" fontId="7" fillId="4" borderId="8" xfId="3" applyFont="1" applyFill="1" applyBorder="1" applyAlignment="1">
      <alignment horizontal="left" vertical="center" wrapText="1" inden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5" fillId="4" borderId="3" xfId="0" applyFont="1" applyFill="1" applyBorder="1" applyAlignment="1">
      <alignment horizontal="left" vertical="top" wrapText="1" indent="1"/>
    </xf>
    <xf numFmtId="0" fontId="5" fillId="4" borderId="4" xfId="0" applyFont="1" applyFill="1" applyBorder="1" applyAlignment="1">
      <alignment horizontal="left" vertical="top" wrapText="1" indent="1"/>
    </xf>
    <xf numFmtId="0" fontId="5" fillId="4" borderId="5" xfId="0" applyFont="1" applyFill="1" applyBorder="1" applyAlignment="1">
      <alignment horizontal="left" vertical="top" wrapText="1" indent="1"/>
    </xf>
    <xf numFmtId="0" fontId="5" fillId="4" borderId="6" xfId="0" applyFont="1" applyFill="1" applyBorder="1" applyAlignment="1">
      <alignment horizontal="left" vertical="top" wrapText="1" indent="1"/>
    </xf>
    <xf numFmtId="0" fontId="5" fillId="4" borderId="0" xfId="0" applyFont="1" applyFill="1" applyAlignment="1">
      <alignment horizontal="left" vertical="top" wrapText="1" indent="1"/>
    </xf>
    <xf numFmtId="0" fontId="5" fillId="4" borderId="7" xfId="0" applyFont="1" applyFill="1" applyBorder="1" applyAlignment="1">
      <alignment horizontal="left" vertical="top" wrapText="1" indent="1"/>
    </xf>
    <xf numFmtId="0" fontId="4" fillId="0" borderId="0" xfId="0" applyFont="1" applyAlignment="1">
      <alignment horizontal="left" vertical="top" wrapText="1"/>
    </xf>
    <xf numFmtId="0" fontId="4" fillId="0" borderId="0" xfId="0" applyFont="1" applyAlignment="1">
      <alignment horizontal="left" vertical="top" wrapText="1" readingOrder="1"/>
    </xf>
    <xf numFmtId="0" fontId="18" fillId="14" borderId="18" xfId="0" applyFont="1" applyFill="1" applyBorder="1" applyAlignment="1">
      <alignment horizontal="center" vertical="center"/>
    </xf>
    <xf numFmtId="0" fontId="18" fillId="14" borderId="19" xfId="0" applyFont="1" applyFill="1" applyBorder="1" applyAlignment="1">
      <alignment horizontal="center" vertical="center"/>
    </xf>
    <xf numFmtId="0" fontId="18" fillId="14" borderId="23" xfId="0" applyFont="1" applyFill="1" applyBorder="1" applyAlignment="1">
      <alignment horizontal="center" vertical="center"/>
    </xf>
    <xf numFmtId="0" fontId="18" fillId="14" borderId="24" xfId="0" applyFont="1" applyFill="1" applyBorder="1" applyAlignment="1">
      <alignment horizontal="center" vertical="center"/>
    </xf>
    <xf numFmtId="0" fontId="18" fillId="14" borderId="20" xfId="0" applyFont="1" applyFill="1" applyBorder="1" applyAlignment="1">
      <alignment horizontal="center" vertical="center"/>
    </xf>
    <xf numFmtId="0" fontId="18" fillId="14" borderId="22" xfId="0" applyFont="1" applyFill="1" applyBorder="1" applyAlignment="1">
      <alignment horizontal="center" vertical="center"/>
    </xf>
    <xf numFmtId="0" fontId="0" fillId="0" borderId="18" xfId="0" applyBorder="1" applyAlignment="1">
      <alignment horizontal="left" vertical="top" wrapText="1"/>
    </xf>
    <xf numFmtId="0" fontId="0" fillId="0" borderId="17" xfId="0" applyBorder="1" applyAlignment="1">
      <alignment horizontal="left" vertical="top" wrapText="1"/>
    </xf>
    <xf numFmtId="0" fontId="0" fillId="0" borderId="19" xfId="0" applyBorder="1" applyAlignment="1">
      <alignment horizontal="left" vertical="top" wrapText="1"/>
    </xf>
    <xf numFmtId="0" fontId="0" fillId="0" borderId="23" xfId="0" applyBorder="1" applyAlignment="1">
      <alignment horizontal="left" vertical="top" wrapText="1"/>
    </xf>
    <xf numFmtId="0" fontId="0" fillId="0" borderId="0" xfId="0" applyAlignment="1">
      <alignment horizontal="left" vertical="top" wrapText="1"/>
    </xf>
    <xf numFmtId="0" fontId="0" fillId="0" borderId="24"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cellXfs>
  <cellStyles count="9">
    <cellStyle name="Comma" xfId="1" builtinId="3"/>
    <cellStyle name="Hyperlink" xfId="3" builtinId="8"/>
    <cellStyle name="Model Formula" xfId="5" xr:uid="{CD7B14ED-54C4-4931-AC85-1871F660F12F}"/>
    <cellStyle name="Model Input" xfId="7" xr:uid="{07E63A01-580A-4D21-916B-8E428A09B0A1}"/>
    <cellStyle name="Model Link" xfId="6" xr:uid="{90C7C347-AFEF-499F-8767-C4A52E54BF1B}"/>
    <cellStyle name="Model Query Data" xfId="8" xr:uid="{D6BC525F-FA0D-41D5-965C-151B6EE77355}"/>
    <cellStyle name="Model Section" xfId="4" xr:uid="{1B9B955E-E036-4752-B69A-E8DA53331879}"/>
    <cellStyle name="Normal" xfId="0" builtinId="0"/>
    <cellStyle name="Percent" xfId="2" builtinId="5"/>
  </cellStyles>
  <dxfs count="1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22</xdr:col>
      <xdr:colOff>152400</xdr:colOff>
      <xdr:row>0</xdr:row>
      <xdr:rowOff>95250</xdr:rowOff>
    </xdr:from>
    <xdr:to>
      <xdr:col>25</xdr:col>
      <xdr:colOff>104775</xdr:colOff>
      <xdr:row>2</xdr:row>
      <xdr:rowOff>333376</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ED508DF9-DB48-452D-9013-6CB44D5CE0C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906625" y="95250"/>
              <a:ext cx="1781175" cy="16097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114300</xdr:colOff>
      <xdr:row>1</xdr:row>
      <xdr:rowOff>47625</xdr:rowOff>
    </xdr:from>
    <xdr:to>
      <xdr:col>16</xdr:col>
      <xdr:colOff>923925</xdr:colOff>
      <xdr:row>1</xdr:row>
      <xdr:rowOff>1057275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460DDA36-73C5-4A0E-88A8-DF454034BB1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19875" y="238125"/>
              <a:ext cx="4581525" cy="1009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lvio Di Rubbo" refreshedDate="46226.72986446759" backgroundQuery="1" createdVersion="8" refreshedVersion="8" minRefreshableVersion="3" recordCount="26206" xr:uid="{4EE82937-E0A5-4F1A-9CFF-F4DAFA207EFE}">
  <cacheSource type="external" connectionId="3"/>
  <cacheFields count="11">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5" maxValue="2026" count="2">
        <n v="2025"/>
        <n v="2026"/>
      </sharedItems>
    </cacheField>
    <cacheField name="collection" numFmtId="0">
      <sharedItems count="10">
        <s v="Atelier"/>
        <s v="Aventus"/>
        <s v="Celeste"/>
        <s v="Grand Complication"/>
        <s v="Heritage"/>
        <s v="Lumina"/>
        <s v="Meridian Classic"/>
        <s v="Nautique"/>
        <s v="Sportivo"/>
        <s v="Terra"/>
      </sharedItems>
    </cacheField>
    <cacheField name="region" numFmtId="0">
      <sharedItems count="4">
        <s v="APAC"/>
        <s v="EMEA"/>
        <s v="LATAM"/>
        <s v="NA"/>
      </sharedItems>
    </cacheField>
    <cacheField name="country" numFmtId="0">
      <sharedItems count="32">
        <s v="Australia"/>
        <s v="China"/>
        <s v="Hong Kong"/>
        <s v="Japan"/>
        <s v="Singapore"/>
        <s v="South Korea"/>
        <s v="Taiwan"/>
        <s v="Thailand"/>
        <s v="Vietnam"/>
        <s v="Belgium"/>
        <s v="France"/>
        <s v="Germany"/>
        <s v="Greece"/>
        <s v="Italy"/>
        <s v="Netherlands"/>
        <s v="Portugal"/>
        <s v="Saudi Arabia"/>
        <s v="Spain"/>
        <s v="Switzerland"/>
        <s v="UAE"/>
        <s v="United Kingdom"/>
        <s v="Argentina"/>
        <s v="Brazil"/>
        <s v="Colombia"/>
        <s v="Peru"/>
        <s v="Canada"/>
        <s v="Mexico"/>
        <s v="United States"/>
        <s v="Malaysia"/>
        <s v="Chile"/>
        <s v="Austria"/>
        <s v="Estonia"/>
      </sharedItems>
    </cacheField>
    <cacheField name="channel_type" numFmtId="0">
      <sharedItems count="2">
        <s v="Boutique"/>
        <s v="Wholesale"/>
      </sharedItems>
    </cacheField>
    <cacheField name="channel_mode" numFmtId="0">
      <sharedItems count="2">
        <s v="Online"/>
        <s v="Retail"/>
      </sharedItems>
    </cacheField>
    <cacheField name="units" numFmtId="0">
      <sharedItems containsSemiMixedTypes="0" containsString="0" containsNumber="1" minValue="0" maxValue="81"/>
    </cacheField>
    <cacheField name="cogs" numFmtId="0">
      <sharedItems containsSemiMixedTypes="0" containsString="0" containsNumber="1" minValue="0" maxValue="424256.45"/>
    </cacheField>
    <cacheField name="revenue" numFmtId="0">
      <sharedItems containsSemiMixedTypes="0" containsString="0" containsNumber="1" minValue="0" maxValue="1286698.6000000001"/>
    </cacheField>
    <cacheField name="scenario" numFmtId="0">
      <sharedItems count="5">
        <s v="2025 Actuals"/>
        <s v="2026 Actuals"/>
        <s v="2026 Budget"/>
        <s v="Actuals" u="1"/>
        <s v="Budget" u="1"/>
      </sharedItems>
    </cacheField>
  </cacheFields>
  <extLst>
    <ext xmlns:x14="http://schemas.microsoft.com/office/spreadsheetml/2009/9/main" uri="{725AE2AE-9491-48be-B2B4-4EB974FC3084}">
      <x14:pivotCacheDefinition pivotCacheId="1358804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06">
  <r>
    <x v="0"/>
    <x v="0"/>
    <x v="0"/>
    <x v="0"/>
    <x v="0"/>
    <x v="0"/>
    <x v="0"/>
    <n v="3"/>
    <n v="22059.93"/>
    <n v="96316.23"/>
    <x v="0"/>
  </r>
  <r>
    <x v="0"/>
    <x v="0"/>
    <x v="0"/>
    <x v="0"/>
    <x v="0"/>
    <x v="1"/>
    <x v="0"/>
    <n v="6"/>
    <n v="43898.48"/>
    <n v="125981.64"/>
    <x v="0"/>
  </r>
  <r>
    <x v="0"/>
    <x v="0"/>
    <x v="0"/>
    <x v="0"/>
    <x v="0"/>
    <x v="1"/>
    <x v="1"/>
    <n v="4"/>
    <n v="25470.5"/>
    <n v="72176.990000000005"/>
    <x v="0"/>
  </r>
  <r>
    <x v="0"/>
    <x v="0"/>
    <x v="0"/>
    <x v="0"/>
    <x v="1"/>
    <x v="0"/>
    <x v="0"/>
    <n v="2"/>
    <n v="12792.01"/>
    <n v="55181.18"/>
    <x v="0"/>
  </r>
  <r>
    <x v="0"/>
    <x v="0"/>
    <x v="0"/>
    <x v="0"/>
    <x v="1"/>
    <x v="0"/>
    <x v="1"/>
    <n v="6"/>
    <n v="36087.18"/>
    <n v="156513.9"/>
    <x v="0"/>
  </r>
  <r>
    <x v="0"/>
    <x v="0"/>
    <x v="0"/>
    <x v="0"/>
    <x v="1"/>
    <x v="1"/>
    <x v="0"/>
    <n v="3"/>
    <n v="15909.17"/>
    <n v="44513.16"/>
    <x v="0"/>
  </r>
  <r>
    <x v="0"/>
    <x v="0"/>
    <x v="0"/>
    <x v="0"/>
    <x v="1"/>
    <x v="1"/>
    <x v="1"/>
    <n v="24"/>
    <n v="146425.48000000001"/>
    <n v="400520.18"/>
    <x v="0"/>
  </r>
  <r>
    <x v="0"/>
    <x v="0"/>
    <x v="0"/>
    <x v="0"/>
    <x v="2"/>
    <x v="0"/>
    <x v="1"/>
    <n v="2"/>
    <n v="12870.54"/>
    <n v="55181.18"/>
    <x v="0"/>
  </r>
  <r>
    <x v="0"/>
    <x v="0"/>
    <x v="0"/>
    <x v="0"/>
    <x v="2"/>
    <x v="1"/>
    <x v="0"/>
    <n v="4"/>
    <n v="26332.79"/>
    <n v="66715.199999999997"/>
    <x v="0"/>
  </r>
  <r>
    <x v="0"/>
    <x v="0"/>
    <x v="0"/>
    <x v="0"/>
    <x v="2"/>
    <x v="1"/>
    <x v="1"/>
    <n v="12"/>
    <n v="78455.41"/>
    <n v="216819.89"/>
    <x v="0"/>
  </r>
  <r>
    <x v="0"/>
    <x v="0"/>
    <x v="0"/>
    <x v="0"/>
    <x v="3"/>
    <x v="0"/>
    <x v="1"/>
    <n v="3"/>
    <n v="20277.48"/>
    <n v="87286.59"/>
    <x v="0"/>
  </r>
  <r>
    <x v="0"/>
    <x v="0"/>
    <x v="0"/>
    <x v="0"/>
    <x v="3"/>
    <x v="1"/>
    <x v="0"/>
    <n v="29"/>
    <n v="183369.99"/>
    <n v="519798.67"/>
    <x v="0"/>
  </r>
  <r>
    <x v="0"/>
    <x v="0"/>
    <x v="0"/>
    <x v="0"/>
    <x v="3"/>
    <x v="1"/>
    <x v="1"/>
    <n v="11"/>
    <n v="71487.509999999995"/>
    <n v="197679.04"/>
    <x v="0"/>
  </r>
  <r>
    <x v="0"/>
    <x v="0"/>
    <x v="0"/>
    <x v="0"/>
    <x v="4"/>
    <x v="0"/>
    <x v="1"/>
    <n v="2"/>
    <n v="10694.81"/>
    <n v="46151.54"/>
    <x v="0"/>
  </r>
  <r>
    <x v="0"/>
    <x v="0"/>
    <x v="0"/>
    <x v="0"/>
    <x v="4"/>
    <x v="1"/>
    <x v="0"/>
    <n v="2"/>
    <n v="14426.78"/>
    <n v="41094.92"/>
    <x v="0"/>
  </r>
  <r>
    <x v="0"/>
    <x v="0"/>
    <x v="0"/>
    <x v="0"/>
    <x v="4"/>
    <x v="1"/>
    <x v="1"/>
    <n v="8"/>
    <n v="56876.87"/>
    <n v="152821.75"/>
    <x v="0"/>
  </r>
  <r>
    <x v="0"/>
    <x v="0"/>
    <x v="0"/>
    <x v="0"/>
    <x v="5"/>
    <x v="0"/>
    <x v="1"/>
    <n v="4"/>
    <n v="25345.18"/>
    <n v="110362.36"/>
    <x v="0"/>
  </r>
  <r>
    <x v="0"/>
    <x v="0"/>
    <x v="0"/>
    <x v="0"/>
    <x v="5"/>
    <x v="1"/>
    <x v="1"/>
    <n v="23"/>
    <n v="156552.03"/>
    <n v="447637.74"/>
    <x v="0"/>
  </r>
  <r>
    <x v="0"/>
    <x v="0"/>
    <x v="0"/>
    <x v="0"/>
    <x v="6"/>
    <x v="0"/>
    <x v="1"/>
    <n v="1"/>
    <n v="7743.07"/>
    <n v="32105.41"/>
    <x v="0"/>
  </r>
  <r>
    <x v="0"/>
    <x v="0"/>
    <x v="0"/>
    <x v="0"/>
    <x v="7"/>
    <x v="1"/>
    <x v="1"/>
    <n v="3"/>
    <n v="16318.65"/>
    <n v="46243.839999999997"/>
    <x v="0"/>
  </r>
  <r>
    <x v="0"/>
    <x v="0"/>
    <x v="0"/>
    <x v="0"/>
    <x v="8"/>
    <x v="1"/>
    <x v="1"/>
    <n v="2"/>
    <n v="10802.58"/>
    <n v="29398.53"/>
    <x v="0"/>
  </r>
  <r>
    <x v="0"/>
    <x v="0"/>
    <x v="0"/>
    <x v="1"/>
    <x v="9"/>
    <x v="1"/>
    <x v="1"/>
    <n v="3"/>
    <n v="20534.39"/>
    <n v="60053.17"/>
    <x v="0"/>
  </r>
  <r>
    <x v="0"/>
    <x v="0"/>
    <x v="0"/>
    <x v="1"/>
    <x v="10"/>
    <x v="0"/>
    <x v="1"/>
    <n v="2"/>
    <n v="12946.52"/>
    <n v="55181.18"/>
    <x v="0"/>
  </r>
  <r>
    <x v="0"/>
    <x v="0"/>
    <x v="0"/>
    <x v="1"/>
    <x v="10"/>
    <x v="1"/>
    <x v="0"/>
    <n v="1"/>
    <n v="7461.16"/>
    <n v="21895.89"/>
    <x v="0"/>
  </r>
  <r>
    <x v="0"/>
    <x v="0"/>
    <x v="0"/>
    <x v="1"/>
    <x v="10"/>
    <x v="1"/>
    <x v="1"/>
    <n v="38"/>
    <n v="245817.28"/>
    <n v="731693.86"/>
    <x v="0"/>
  </r>
  <r>
    <x v="0"/>
    <x v="0"/>
    <x v="0"/>
    <x v="1"/>
    <x v="11"/>
    <x v="0"/>
    <x v="1"/>
    <n v="9"/>
    <n v="61821.120000000003"/>
    <n v="268882.82"/>
    <x v="0"/>
  </r>
  <r>
    <x v="0"/>
    <x v="0"/>
    <x v="0"/>
    <x v="1"/>
    <x v="11"/>
    <x v="1"/>
    <x v="0"/>
    <n v="11"/>
    <n v="63897.43"/>
    <n v="179646.41"/>
    <x v="0"/>
  </r>
  <r>
    <x v="0"/>
    <x v="0"/>
    <x v="0"/>
    <x v="1"/>
    <x v="11"/>
    <x v="1"/>
    <x v="1"/>
    <n v="20"/>
    <n v="138618.35"/>
    <n v="389651.38"/>
    <x v="0"/>
  </r>
  <r>
    <x v="0"/>
    <x v="0"/>
    <x v="0"/>
    <x v="1"/>
    <x v="12"/>
    <x v="1"/>
    <x v="0"/>
    <n v="4"/>
    <n v="30072.46"/>
    <n v="86195.55"/>
    <x v="0"/>
  </r>
  <r>
    <x v="0"/>
    <x v="0"/>
    <x v="0"/>
    <x v="1"/>
    <x v="13"/>
    <x v="0"/>
    <x v="1"/>
    <n v="6"/>
    <n v="42623.47"/>
    <n v="183602.82"/>
    <x v="0"/>
  </r>
  <r>
    <x v="0"/>
    <x v="0"/>
    <x v="0"/>
    <x v="1"/>
    <x v="13"/>
    <x v="1"/>
    <x v="0"/>
    <n v="5"/>
    <n v="26803.64"/>
    <n v="76758.990000000005"/>
    <x v="0"/>
  </r>
  <r>
    <x v="0"/>
    <x v="0"/>
    <x v="0"/>
    <x v="1"/>
    <x v="13"/>
    <x v="1"/>
    <x v="1"/>
    <n v="23"/>
    <n v="146954.09"/>
    <n v="427445.68"/>
    <x v="0"/>
  </r>
  <r>
    <x v="0"/>
    <x v="0"/>
    <x v="0"/>
    <x v="1"/>
    <x v="14"/>
    <x v="0"/>
    <x v="1"/>
    <n v="1"/>
    <n v="7193.89"/>
    <n v="32105.41"/>
    <x v="0"/>
  </r>
  <r>
    <x v="0"/>
    <x v="0"/>
    <x v="0"/>
    <x v="1"/>
    <x v="14"/>
    <x v="1"/>
    <x v="0"/>
    <n v="2"/>
    <n v="13087.43"/>
    <n v="36861.019999999997"/>
    <x v="0"/>
  </r>
  <r>
    <x v="0"/>
    <x v="0"/>
    <x v="0"/>
    <x v="1"/>
    <x v="14"/>
    <x v="1"/>
    <x v="1"/>
    <n v="2"/>
    <n v="15173.14"/>
    <n v="42892.83"/>
    <x v="0"/>
  </r>
  <r>
    <x v="0"/>
    <x v="0"/>
    <x v="0"/>
    <x v="1"/>
    <x v="15"/>
    <x v="1"/>
    <x v="0"/>
    <n v="3"/>
    <n v="19616.189999999999"/>
    <n v="58928.480000000003"/>
    <x v="0"/>
  </r>
  <r>
    <x v="0"/>
    <x v="0"/>
    <x v="0"/>
    <x v="1"/>
    <x v="15"/>
    <x v="1"/>
    <x v="1"/>
    <n v="4"/>
    <n v="23837.05"/>
    <n v="70020.91"/>
    <x v="0"/>
  </r>
  <r>
    <x v="0"/>
    <x v="0"/>
    <x v="0"/>
    <x v="1"/>
    <x v="16"/>
    <x v="0"/>
    <x v="1"/>
    <n v="4"/>
    <n v="26693.33"/>
    <n v="119392"/>
    <x v="0"/>
  </r>
  <r>
    <x v="0"/>
    <x v="0"/>
    <x v="0"/>
    <x v="1"/>
    <x v="16"/>
    <x v="1"/>
    <x v="0"/>
    <n v="8"/>
    <n v="52929.13"/>
    <n v="151178.37"/>
    <x v="0"/>
  </r>
  <r>
    <x v="0"/>
    <x v="0"/>
    <x v="0"/>
    <x v="1"/>
    <x v="16"/>
    <x v="1"/>
    <x v="1"/>
    <n v="11"/>
    <n v="66355.740000000005"/>
    <n v="191448.6"/>
    <x v="0"/>
  </r>
  <r>
    <x v="0"/>
    <x v="0"/>
    <x v="0"/>
    <x v="1"/>
    <x v="17"/>
    <x v="0"/>
    <x v="1"/>
    <n v="3"/>
    <n v="20120.240000000002"/>
    <n v="87286.59"/>
    <x v="0"/>
  </r>
  <r>
    <x v="0"/>
    <x v="0"/>
    <x v="0"/>
    <x v="1"/>
    <x v="17"/>
    <x v="1"/>
    <x v="0"/>
    <n v="7"/>
    <n v="47478.46"/>
    <n v="137234.57999999999"/>
    <x v="0"/>
  </r>
  <r>
    <x v="0"/>
    <x v="0"/>
    <x v="0"/>
    <x v="1"/>
    <x v="17"/>
    <x v="1"/>
    <x v="1"/>
    <n v="2"/>
    <n v="10734.76"/>
    <n v="30644.62"/>
    <x v="0"/>
  </r>
  <r>
    <x v="0"/>
    <x v="0"/>
    <x v="0"/>
    <x v="1"/>
    <x v="18"/>
    <x v="0"/>
    <x v="1"/>
    <n v="7"/>
    <n v="45150.720000000001"/>
    <n v="197648.95"/>
    <x v="0"/>
  </r>
  <r>
    <x v="0"/>
    <x v="0"/>
    <x v="0"/>
    <x v="1"/>
    <x v="18"/>
    <x v="1"/>
    <x v="0"/>
    <n v="3"/>
    <n v="17857.189999999999"/>
    <n v="54388.58"/>
    <x v="0"/>
  </r>
  <r>
    <x v="0"/>
    <x v="0"/>
    <x v="0"/>
    <x v="1"/>
    <x v="18"/>
    <x v="1"/>
    <x v="1"/>
    <n v="12"/>
    <n v="69304.41"/>
    <n v="208613.05"/>
    <x v="0"/>
  </r>
  <r>
    <x v="0"/>
    <x v="0"/>
    <x v="0"/>
    <x v="1"/>
    <x v="19"/>
    <x v="0"/>
    <x v="1"/>
    <n v="2"/>
    <n v="10696.17"/>
    <n v="46151.54"/>
    <x v="0"/>
  </r>
  <r>
    <x v="0"/>
    <x v="0"/>
    <x v="0"/>
    <x v="1"/>
    <x v="19"/>
    <x v="1"/>
    <x v="0"/>
    <n v="10"/>
    <n v="67739.679999999993"/>
    <n v="201513.62"/>
    <x v="0"/>
  </r>
  <r>
    <x v="0"/>
    <x v="0"/>
    <x v="0"/>
    <x v="1"/>
    <x v="19"/>
    <x v="1"/>
    <x v="1"/>
    <n v="2"/>
    <n v="12630.41"/>
    <n v="36522.559999999998"/>
    <x v="0"/>
  </r>
  <r>
    <x v="0"/>
    <x v="0"/>
    <x v="0"/>
    <x v="1"/>
    <x v="20"/>
    <x v="0"/>
    <x v="1"/>
    <n v="13"/>
    <n v="92057.42"/>
    <n v="399311.05"/>
    <x v="0"/>
  </r>
  <r>
    <x v="0"/>
    <x v="0"/>
    <x v="0"/>
    <x v="1"/>
    <x v="20"/>
    <x v="1"/>
    <x v="0"/>
    <n v="6"/>
    <n v="37202.480000000003"/>
    <n v="107094.63"/>
    <x v="0"/>
  </r>
  <r>
    <x v="0"/>
    <x v="0"/>
    <x v="0"/>
    <x v="1"/>
    <x v="20"/>
    <x v="1"/>
    <x v="1"/>
    <n v="23"/>
    <n v="135275.79"/>
    <n v="398445.25"/>
    <x v="0"/>
  </r>
  <r>
    <x v="0"/>
    <x v="0"/>
    <x v="0"/>
    <x v="2"/>
    <x v="21"/>
    <x v="0"/>
    <x v="0"/>
    <n v="3"/>
    <n v="16203.52"/>
    <n v="69227.31"/>
    <x v="0"/>
  </r>
  <r>
    <x v="0"/>
    <x v="0"/>
    <x v="0"/>
    <x v="2"/>
    <x v="22"/>
    <x v="0"/>
    <x v="1"/>
    <n v="4"/>
    <n v="27219.18"/>
    <n v="119392"/>
    <x v="0"/>
  </r>
  <r>
    <x v="0"/>
    <x v="0"/>
    <x v="0"/>
    <x v="2"/>
    <x v="22"/>
    <x v="1"/>
    <x v="0"/>
    <n v="5"/>
    <n v="26907.75"/>
    <n v="70265.72"/>
    <x v="0"/>
  </r>
  <r>
    <x v="0"/>
    <x v="0"/>
    <x v="0"/>
    <x v="2"/>
    <x v="22"/>
    <x v="1"/>
    <x v="1"/>
    <n v="29"/>
    <n v="196686.55"/>
    <n v="517415.71"/>
    <x v="0"/>
  </r>
  <r>
    <x v="0"/>
    <x v="0"/>
    <x v="0"/>
    <x v="2"/>
    <x v="23"/>
    <x v="1"/>
    <x v="1"/>
    <n v="12"/>
    <n v="79366.929999999993"/>
    <n v="215634"/>
    <x v="0"/>
  </r>
  <r>
    <x v="0"/>
    <x v="0"/>
    <x v="0"/>
    <x v="2"/>
    <x v="24"/>
    <x v="0"/>
    <x v="1"/>
    <n v="4"/>
    <n v="24062.2"/>
    <n v="108355.77"/>
    <x v="0"/>
  </r>
  <r>
    <x v="0"/>
    <x v="0"/>
    <x v="0"/>
    <x v="2"/>
    <x v="24"/>
    <x v="1"/>
    <x v="0"/>
    <n v="2"/>
    <n v="15145.42"/>
    <n v="39810.71"/>
    <x v="0"/>
  </r>
  <r>
    <x v="0"/>
    <x v="0"/>
    <x v="0"/>
    <x v="2"/>
    <x v="24"/>
    <x v="1"/>
    <x v="1"/>
    <n v="1"/>
    <n v="7594.57"/>
    <n v="19905.349999999999"/>
    <x v="0"/>
  </r>
  <r>
    <x v="0"/>
    <x v="0"/>
    <x v="0"/>
    <x v="3"/>
    <x v="25"/>
    <x v="1"/>
    <x v="0"/>
    <n v="4"/>
    <n v="27392.1"/>
    <n v="81783.520000000004"/>
    <x v="0"/>
  </r>
  <r>
    <x v="0"/>
    <x v="0"/>
    <x v="0"/>
    <x v="3"/>
    <x v="26"/>
    <x v="0"/>
    <x v="1"/>
    <n v="3"/>
    <n v="18109.78"/>
    <n v="78256.95"/>
    <x v="0"/>
  </r>
  <r>
    <x v="0"/>
    <x v="0"/>
    <x v="0"/>
    <x v="3"/>
    <x v="26"/>
    <x v="1"/>
    <x v="0"/>
    <n v="6"/>
    <n v="40694.92"/>
    <n v="120455.5"/>
    <x v="0"/>
  </r>
  <r>
    <x v="0"/>
    <x v="0"/>
    <x v="0"/>
    <x v="3"/>
    <x v="26"/>
    <x v="1"/>
    <x v="1"/>
    <n v="28"/>
    <n v="199536.4"/>
    <n v="587661.38"/>
    <x v="0"/>
  </r>
  <r>
    <x v="0"/>
    <x v="0"/>
    <x v="0"/>
    <x v="3"/>
    <x v="27"/>
    <x v="0"/>
    <x v="0"/>
    <n v="4"/>
    <n v="23964.46"/>
    <n v="106349.18"/>
    <x v="0"/>
  </r>
  <r>
    <x v="0"/>
    <x v="0"/>
    <x v="0"/>
    <x v="3"/>
    <x v="27"/>
    <x v="0"/>
    <x v="1"/>
    <n v="13"/>
    <n v="89674.54"/>
    <n v="388274.82"/>
    <x v="0"/>
  </r>
  <r>
    <x v="0"/>
    <x v="0"/>
    <x v="0"/>
    <x v="3"/>
    <x v="27"/>
    <x v="1"/>
    <x v="0"/>
    <n v="16"/>
    <n v="91796.46"/>
    <n v="273729.76"/>
    <x v="0"/>
  </r>
  <r>
    <x v="0"/>
    <x v="0"/>
    <x v="0"/>
    <x v="3"/>
    <x v="27"/>
    <x v="1"/>
    <x v="1"/>
    <n v="28"/>
    <n v="188481.29"/>
    <n v="548620.39"/>
    <x v="0"/>
  </r>
  <r>
    <x v="0"/>
    <x v="0"/>
    <x v="1"/>
    <x v="0"/>
    <x v="0"/>
    <x v="1"/>
    <x v="0"/>
    <n v="10"/>
    <n v="27382.799999999999"/>
    <n v="60524.5"/>
    <x v="0"/>
  </r>
  <r>
    <x v="0"/>
    <x v="0"/>
    <x v="1"/>
    <x v="0"/>
    <x v="0"/>
    <x v="1"/>
    <x v="1"/>
    <n v="5"/>
    <n v="15815.35"/>
    <n v="36543.1"/>
    <x v="0"/>
  </r>
  <r>
    <x v="0"/>
    <x v="0"/>
    <x v="1"/>
    <x v="0"/>
    <x v="1"/>
    <x v="0"/>
    <x v="1"/>
    <n v="2"/>
    <n v="6500.63"/>
    <n v="22350.52"/>
    <x v="0"/>
  </r>
  <r>
    <x v="0"/>
    <x v="0"/>
    <x v="1"/>
    <x v="0"/>
    <x v="1"/>
    <x v="1"/>
    <x v="0"/>
    <n v="6"/>
    <n v="13308.47"/>
    <n v="30314.639999999999"/>
    <x v="0"/>
  </r>
  <r>
    <x v="0"/>
    <x v="0"/>
    <x v="1"/>
    <x v="0"/>
    <x v="1"/>
    <x v="1"/>
    <x v="1"/>
    <n v="21"/>
    <n v="52665.17"/>
    <n v="116597.8"/>
    <x v="0"/>
  </r>
  <r>
    <x v="0"/>
    <x v="0"/>
    <x v="1"/>
    <x v="0"/>
    <x v="2"/>
    <x v="0"/>
    <x v="1"/>
    <n v="1"/>
    <n v="3176.55"/>
    <n v="11175.26"/>
    <x v="0"/>
  </r>
  <r>
    <x v="0"/>
    <x v="0"/>
    <x v="1"/>
    <x v="0"/>
    <x v="2"/>
    <x v="1"/>
    <x v="1"/>
    <n v="16"/>
    <n v="43372.28"/>
    <n v="96073.36"/>
    <x v="0"/>
  </r>
  <r>
    <x v="0"/>
    <x v="0"/>
    <x v="1"/>
    <x v="0"/>
    <x v="3"/>
    <x v="0"/>
    <x v="0"/>
    <n v="5"/>
    <n v="14762.72"/>
    <n v="52034.8"/>
    <x v="0"/>
  </r>
  <r>
    <x v="0"/>
    <x v="0"/>
    <x v="1"/>
    <x v="0"/>
    <x v="3"/>
    <x v="1"/>
    <x v="1"/>
    <n v="12"/>
    <n v="31177.71"/>
    <n v="68808.17"/>
    <x v="0"/>
  </r>
  <r>
    <x v="0"/>
    <x v="0"/>
    <x v="1"/>
    <x v="0"/>
    <x v="28"/>
    <x v="1"/>
    <x v="1"/>
    <n v="11"/>
    <n v="28396.37"/>
    <n v="64178.83"/>
    <x v="0"/>
  </r>
  <r>
    <x v="0"/>
    <x v="0"/>
    <x v="1"/>
    <x v="0"/>
    <x v="4"/>
    <x v="0"/>
    <x v="1"/>
    <n v="1"/>
    <n v="1998.05"/>
    <n v="6984.54"/>
    <x v="0"/>
  </r>
  <r>
    <x v="0"/>
    <x v="0"/>
    <x v="1"/>
    <x v="0"/>
    <x v="4"/>
    <x v="1"/>
    <x v="0"/>
    <n v="2"/>
    <n v="6162.74"/>
    <n v="14304.34"/>
    <x v="0"/>
  </r>
  <r>
    <x v="0"/>
    <x v="0"/>
    <x v="1"/>
    <x v="0"/>
    <x v="4"/>
    <x v="1"/>
    <x v="1"/>
    <n v="3"/>
    <n v="9213.9"/>
    <n v="21456.5"/>
    <x v="0"/>
  </r>
  <r>
    <x v="0"/>
    <x v="0"/>
    <x v="1"/>
    <x v="0"/>
    <x v="5"/>
    <x v="0"/>
    <x v="1"/>
    <n v="2"/>
    <n v="4262.18"/>
    <n v="14667.52"/>
    <x v="0"/>
  </r>
  <r>
    <x v="0"/>
    <x v="0"/>
    <x v="1"/>
    <x v="0"/>
    <x v="5"/>
    <x v="1"/>
    <x v="1"/>
    <n v="13"/>
    <n v="33093.07"/>
    <n v="75486.070000000007"/>
    <x v="0"/>
  </r>
  <r>
    <x v="0"/>
    <x v="0"/>
    <x v="1"/>
    <x v="0"/>
    <x v="7"/>
    <x v="1"/>
    <x v="1"/>
    <n v="2"/>
    <n v="4118.54"/>
    <n v="9260.0300000000007"/>
    <x v="0"/>
  </r>
  <r>
    <x v="0"/>
    <x v="0"/>
    <x v="1"/>
    <x v="1"/>
    <x v="10"/>
    <x v="1"/>
    <x v="0"/>
    <n v="6"/>
    <n v="15157.06"/>
    <n v="34822.54"/>
    <x v="0"/>
  </r>
  <r>
    <x v="0"/>
    <x v="0"/>
    <x v="1"/>
    <x v="1"/>
    <x v="10"/>
    <x v="1"/>
    <x v="1"/>
    <n v="16"/>
    <n v="39318.629999999997"/>
    <n v="93889.74"/>
    <x v="0"/>
  </r>
  <r>
    <x v="0"/>
    <x v="0"/>
    <x v="1"/>
    <x v="1"/>
    <x v="11"/>
    <x v="0"/>
    <x v="1"/>
    <n v="1"/>
    <n v="3159.42"/>
    <n v="11175.26"/>
    <x v="0"/>
  </r>
  <r>
    <x v="0"/>
    <x v="0"/>
    <x v="1"/>
    <x v="1"/>
    <x v="11"/>
    <x v="1"/>
    <x v="0"/>
    <n v="5"/>
    <n v="10239.200000000001"/>
    <n v="23834.720000000001"/>
    <x v="0"/>
  </r>
  <r>
    <x v="0"/>
    <x v="0"/>
    <x v="1"/>
    <x v="1"/>
    <x v="11"/>
    <x v="1"/>
    <x v="1"/>
    <n v="6"/>
    <n v="16992.78"/>
    <n v="38589.57"/>
    <x v="0"/>
  </r>
  <r>
    <x v="0"/>
    <x v="0"/>
    <x v="1"/>
    <x v="1"/>
    <x v="12"/>
    <x v="1"/>
    <x v="0"/>
    <n v="2"/>
    <n v="4048.92"/>
    <n v="9511.36"/>
    <x v="0"/>
  </r>
  <r>
    <x v="0"/>
    <x v="0"/>
    <x v="1"/>
    <x v="1"/>
    <x v="13"/>
    <x v="0"/>
    <x v="1"/>
    <n v="4"/>
    <n v="9006.9500000000007"/>
    <n v="32478.1"/>
    <x v="0"/>
  </r>
  <r>
    <x v="0"/>
    <x v="0"/>
    <x v="1"/>
    <x v="1"/>
    <x v="13"/>
    <x v="1"/>
    <x v="1"/>
    <n v="1"/>
    <n v="3273.77"/>
    <n v="7610.35"/>
    <x v="0"/>
  </r>
  <r>
    <x v="0"/>
    <x v="0"/>
    <x v="1"/>
    <x v="1"/>
    <x v="14"/>
    <x v="0"/>
    <x v="1"/>
    <n v="1"/>
    <n v="3057.12"/>
    <n v="11175.26"/>
    <x v="0"/>
  </r>
  <r>
    <x v="0"/>
    <x v="0"/>
    <x v="1"/>
    <x v="1"/>
    <x v="14"/>
    <x v="1"/>
    <x v="0"/>
    <n v="14"/>
    <n v="39443.71"/>
    <n v="91680.42"/>
    <x v="0"/>
  </r>
  <r>
    <x v="0"/>
    <x v="0"/>
    <x v="1"/>
    <x v="1"/>
    <x v="14"/>
    <x v="1"/>
    <x v="1"/>
    <n v="3"/>
    <n v="6075.67"/>
    <n v="14463.57"/>
    <x v="0"/>
  </r>
  <r>
    <x v="0"/>
    <x v="0"/>
    <x v="1"/>
    <x v="1"/>
    <x v="15"/>
    <x v="1"/>
    <x v="0"/>
    <n v="1"/>
    <n v="3222.44"/>
    <n v="7722.1"/>
    <x v="0"/>
  </r>
  <r>
    <x v="0"/>
    <x v="0"/>
    <x v="1"/>
    <x v="1"/>
    <x v="15"/>
    <x v="1"/>
    <x v="1"/>
    <n v="14"/>
    <n v="44177.84"/>
    <n v="108109.46"/>
    <x v="0"/>
  </r>
  <r>
    <x v="0"/>
    <x v="0"/>
    <x v="1"/>
    <x v="1"/>
    <x v="16"/>
    <x v="1"/>
    <x v="0"/>
    <n v="1"/>
    <n v="3212.17"/>
    <n v="7353.32"/>
    <x v="0"/>
  </r>
  <r>
    <x v="0"/>
    <x v="0"/>
    <x v="1"/>
    <x v="1"/>
    <x v="16"/>
    <x v="1"/>
    <x v="1"/>
    <n v="7"/>
    <n v="14448.8"/>
    <n v="33779.300000000003"/>
    <x v="0"/>
  </r>
  <r>
    <x v="0"/>
    <x v="0"/>
    <x v="1"/>
    <x v="1"/>
    <x v="17"/>
    <x v="1"/>
    <x v="0"/>
    <n v="3"/>
    <n v="5931.3"/>
    <n v="13913.2"/>
    <x v="0"/>
  </r>
  <r>
    <x v="0"/>
    <x v="0"/>
    <x v="1"/>
    <x v="1"/>
    <x v="17"/>
    <x v="1"/>
    <x v="1"/>
    <n v="5"/>
    <n v="16061.9"/>
    <n v="37101.870000000003"/>
    <x v="0"/>
  </r>
  <r>
    <x v="0"/>
    <x v="0"/>
    <x v="1"/>
    <x v="1"/>
    <x v="18"/>
    <x v="0"/>
    <x v="1"/>
    <n v="6"/>
    <n v="15523.94"/>
    <n v="54479.4"/>
    <x v="0"/>
  </r>
  <r>
    <x v="0"/>
    <x v="0"/>
    <x v="1"/>
    <x v="1"/>
    <x v="18"/>
    <x v="1"/>
    <x v="0"/>
    <n v="1"/>
    <n v="2022.44"/>
    <n v="5096.96"/>
    <x v="0"/>
  </r>
  <r>
    <x v="0"/>
    <x v="0"/>
    <x v="1"/>
    <x v="1"/>
    <x v="18"/>
    <x v="1"/>
    <x v="1"/>
    <n v="13"/>
    <n v="34343.64"/>
    <n v="84949.42"/>
    <x v="0"/>
  </r>
  <r>
    <x v="0"/>
    <x v="0"/>
    <x v="1"/>
    <x v="1"/>
    <x v="19"/>
    <x v="0"/>
    <x v="1"/>
    <n v="3"/>
    <n v="9782.44"/>
    <n v="33525.78"/>
    <x v="0"/>
  </r>
  <r>
    <x v="0"/>
    <x v="0"/>
    <x v="1"/>
    <x v="1"/>
    <x v="19"/>
    <x v="1"/>
    <x v="0"/>
    <n v="2"/>
    <n v="5146.96"/>
    <n v="12239.71"/>
    <x v="0"/>
  </r>
  <r>
    <x v="0"/>
    <x v="0"/>
    <x v="1"/>
    <x v="1"/>
    <x v="19"/>
    <x v="1"/>
    <x v="1"/>
    <n v="13"/>
    <n v="34173.56"/>
    <n v="82116.28"/>
    <x v="0"/>
  </r>
  <r>
    <x v="0"/>
    <x v="0"/>
    <x v="1"/>
    <x v="1"/>
    <x v="20"/>
    <x v="0"/>
    <x v="0"/>
    <n v="1"/>
    <n v="3278.53"/>
    <n v="11175.26"/>
    <x v="0"/>
  </r>
  <r>
    <x v="0"/>
    <x v="0"/>
    <x v="1"/>
    <x v="1"/>
    <x v="20"/>
    <x v="0"/>
    <x v="1"/>
    <n v="6"/>
    <n v="16770.09"/>
    <n v="59019.34"/>
    <x v="0"/>
  </r>
  <r>
    <x v="0"/>
    <x v="0"/>
    <x v="1"/>
    <x v="1"/>
    <x v="20"/>
    <x v="1"/>
    <x v="0"/>
    <n v="6"/>
    <n v="19048.099999999999"/>
    <n v="44455.19"/>
    <x v="0"/>
  </r>
  <r>
    <x v="0"/>
    <x v="0"/>
    <x v="1"/>
    <x v="1"/>
    <x v="20"/>
    <x v="1"/>
    <x v="1"/>
    <n v="17"/>
    <n v="46084.11"/>
    <n v="105240.02"/>
    <x v="0"/>
  </r>
  <r>
    <x v="0"/>
    <x v="0"/>
    <x v="1"/>
    <x v="2"/>
    <x v="21"/>
    <x v="0"/>
    <x v="0"/>
    <n v="3"/>
    <n v="8743.84"/>
    <n v="29684.28"/>
    <x v="0"/>
  </r>
  <r>
    <x v="0"/>
    <x v="0"/>
    <x v="1"/>
    <x v="2"/>
    <x v="22"/>
    <x v="0"/>
    <x v="1"/>
    <n v="1"/>
    <n v="2142.56"/>
    <n v="7333.76"/>
    <x v="0"/>
  </r>
  <r>
    <x v="0"/>
    <x v="0"/>
    <x v="1"/>
    <x v="2"/>
    <x v="22"/>
    <x v="1"/>
    <x v="0"/>
    <n v="3"/>
    <n v="7100.46"/>
    <n v="15312.9"/>
    <x v="0"/>
  </r>
  <r>
    <x v="0"/>
    <x v="0"/>
    <x v="1"/>
    <x v="2"/>
    <x v="22"/>
    <x v="1"/>
    <x v="1"/>
    <n v="16"/>
    <n v="49335.82"/>
    <n v="101873.32"/>
    <x v="0"/>
  </r>
  <r>
    <x v="0"/>
    <x v="0"/>
    <x v="1"/>
    <x v="2"/>
    <x v="29"/>
    <x v="0"/>
    <x v="1"/>
    <n v="2"/>
    <n v="5226.2700000000004"/>
    <n v="18509.02"/>
    <x v="0"/>
  </r>
  <r>
    <x v="0"/>
    <x v="0"/>
    <x v="1"/>
    <x v="2"/>
    <x v="29"/>
    <x v="1"/>
    <x v="1"/>
    <n v="8"/>
    <n v="21842.38"/>
    <n v="47901.35"/>
    <x v="0"/>
  </r>
  <r>
    <x v="0"/>
    <x v="0"/>
    <x v="1"/>
    <x v="2"/>
    <x v="24"/>
    <x v="1"/>
    <x v="0"/>
    <n v="5"/>
    <n v="9754.1"/>
    <n v="21652.07"/>
    <x v="0"/>
  </r>
  <r>
    <x v="0"/>
    <x v="0"/>
    <x v="1"/>
    <x v="3"/>
    <x v="25"/>
    <x v="1"/>
    <x v="0"/>
    <n v="3"/>
    <n v="9405.66"/>
    <n v="22316.91"/>
    <x v="0"/>
  </r>
  <r>
    <x v="0"/>
    <x v="0"/>
    <x v="1"/>
    <x v="3"/>
    <x v="25"/>
    <x v="1"/>
    <x v="1"/>
    <n v="8"/>
    <n v="19752.84"/>
    <n v="47831.62"/>
    <x v="0"/>
  </r>
  <r>
    <x v="0"/>
    <x v="0"/>
    <x v="1"/>
    <x v="3"/>
    <x v="26"/>
    <x v="0"/>
    <x v="1"/>
    <n v="1"/>
    <n v="3206.75"/>
    <n v="11175.26"/>
    <x v="0"/>
  </r>
  <r>
    <x v="0"/>
    <x v="0"/>
    <x v="1"/>
    <x v="3"/>
    <x v="26"/>
    <x v="1"/>
    <x v="1"/>
    <n v="6"/>
    <n v="17106.32"/>
    <n v="40964.31"/>
    <x v="0"/>
  </r>
  <r>
    <x v="0"/>
    <x v="0"/>
    <x v="1"/>
    <x v="3"/>
    <x v="27"/>
    <x v="0"/>
    <x v="0"/>
    <n v="4"/>
    <n v="11540.72"/>
    <n v="40859.54"/>
    <x v="0"/>
  </r>
  <r>
    <x v="0"/>
    <x v="0"/>
    <x v="1"/>
    <x v="3"/>
    <x v="27"/>
    <x v="0"/>
    <x v="1"/>
    <n v="2"/>
    <n v="4096.79"/>
    <n v="14318.3"/>
    <x v="0"/>
  </r>
  <r>
    <x v="0"/>
    <x v="0"/>
    <x v="1"/>
    <x v="3"/>
    <x v="27"/>
    <x v="1"/>
    <x v="0"/>
    <n v="6"/>
    <n v="16830.78"/>
    <n v="40192.51"/>
    <x v="0"/>
  </r>
  <r>
    <x v="0"/>
    <x v="0"/>
    <x v="1"/>
    <x v="3"/>
    <x v="27"/>
    <x v="1"/>
    <x v="1"/>
    <n v="7"/>
    <n v="22263.26"/>
    <n v="52959.55"/>
    <x v="0"/>
  </r>
  <r>
    <x v="0"/>
    <x v="0"/>
    <x v="2"/>
    <x v="0"/>
    <x v="0"/>
    <x v="0"/>
    <x v="0"/>
    <n v="4"/>
    <n v="19855.88"/>
    <n v="87413.89"/>
    <x v="0"/>
  </r>
  <r>
    <x v="0"/>
    <x v="0"/>
    <x v="2"/>
    <x v="0"/>
    <x v="0"/>
    <x v="0"/>
    <x v="1"/>
    <n v="4"/>
    <n v="26239.74"/>
    <n v="111167.66"/>
    <x v="0"/>
  </r>
  <r>
    <x v="0"/>
    <x v="0"/>
    <x v="2"/>
    <x v="0"/>
    <x v="0"/>
    <x v="1"/>
    <x v="0"/>
    <n v="3"/>
    <n v="12715.41"/>
    <n v="35373.35"/>
    <x v="0"/>
  </r>
  <r>
    <x v="0"/>
    <x v="0"/>
    <x v="2"/>
    <x v="0"/>
    <x v="0"/>
    <x v="1"/>
    <x v="1"/>
    <n v="11"/>
    <n v="64775.7"/>
    <n v="183116.52"/>
    <x v="0"/>
  </r>
  <r>
    <x v="0"/>
    <x v="0"/>
    <x v="2"/>
    <x v="0"/>
    <x v="1"/>
    <x v="0"/>
    <x v="1"/>
    <n v="3"/>
    <n v="18933.419999999998"/>
    <n v="80762.83"/>
    <x v="0"/>
  </r>
  <r>
    <x v="0"/>
    <x v="0"/>
    <x v="2"/>
    <x v="0"/>
    <x v="1"/>
    <x v="1"/>
    <x v="0"/>
    <n v="9"/>
    <n v="55416.08"/>
    <n v="150190.56"/>
    <x v="0"/>
  </r>
  <r>
    <x v="0"/>
    <x v="0"/>
    <x v="2"/>
    <x v="0"/>
    <x v="1"/>
    <x v="1"/>
    <x v="1"/>
    <n v="19"/>
    <n v="103088.76"/>
    <n v="277418.99"/>
    <x v="0"/>
  </r>
  <r>
    <x v="0"/>
    <x v="0"/>
    <x v="2"/>
    <x v="0"/>
    <x v="2"/>
    <x v="0"/>
    <x v="1"/>
    <n v="4"/>
    <n v="22522.33"/>
    <n v="98815.7"/>
    <x v="0"/>
  </r>
  <r>
    <x v="0"/>
    <x v="0"/>
    <x v="2"/>
    <x v="0"/>
    <x v="2"/>
    <x v="1"/>
    <x v="0"/>
    <n v="6"/>
    <n v="27752.65"/>
    <n v="74345.509999999995"/>
    <x v="0"/>
  </r>
  <r>
    <x v="0"/>
    <x v="0"/>
    <x v="2"/>
    <x v="0"/>
    <x v="2"/>
    <x v="1"/>
    <x v="1"/>
    <n v="13"/>
    <n v="73468.89"/>
    <n v="192805"/>
    <x v="0"/>
  </r>
  <r>
    <x v="0"/>
    <x v="0"/>
    <x v="2"/>
    <x v="0"/>
    <x v="3"/>
    <x v="0"/>
    <x v="1"/>
    <n v="4"/>
    <n v="21846.39"/>
    <n v="94064.94"/>
    <x v="0"/>
  </r>
  <r>
    <x v="0"/>
    <x v="0"/>
    <x v="2"/>
    <x v="0"/>
    <x v="3"/>
    <x v="1"/>
    <x v="0"/>
    <n v="9"/>
    <n v="45824.45"/>
    <n v="123373.29"/>
    <x v="0"/>
  </r>
  <r>
    <x v="0"/>
    <x v="0"/>
    <x v="2"/>
    <x v="0"/>
    <x v="3"/>
    <x v="1"/>
    <x v="1"/>
    <n v="31"/>
    <n v="168662.05"/>
    <n v="467713.69"/>
    <x v="0"/>
  </r>
  <r>
    <x v="0"/>
    <x v="0"/>
    <x v="2"/>
    <x v="0"/>
    <x v="28"/>
    <x v="1"/>
    <x v="1"/>
    <n v="2"/>
    <n v="9809.6200000000008"/>
    <n v="26720.15"/>
    <x v="0"/>
  </r>
  <r>
    <x v="0"/>
    <x v="0"/>
    <x v="2"/>
    <x v="0"/>
    <x v="4"/>
    <x v="0"/>
    <x v="1"/>
    <n v="3"/>
    <n v="15965.29"/>
    <n v="69361.02"/>
    <x v="0"/>
  </r>
  <r>
    <x v="0"/>
    <x v="0"/>
    <x v="2"/>
    <x v="0"/>
    <x v="4"/>
    <x v="1"/>
    <x v="0"/>
    <n v="3"/>
    <n v="12772.68"/>
    <n v="36485.800000000003"/>
    <x v="0"/>
  </r>
  <r>
    <x v="0"/>
    <x v="0"/>
    <x v="2"/>
    <x v="0"/>
    <x v="4"/>
    <x v="1"/>
    <x v="1"/>
    <n v="2"/>
    <n v="10718.88"/>
    <n v="27972.44"/>
    <x v="0"/>
  </r>
  <r>
    <x v="0"/>
    <x v="0"/>
    <x v="2"/>
    <x v="0"/>
    <x v="5"/>
    <x v="0"/>
    <x v="1"/>
    <n v="9"/>
    <n v="45693.96"/>
    <n v="194780.94"/>
    <x v="0"/>
  </r>
  <r>
    <x v="0"/>
    <x v="0"/>
    <x v="2"/>
    <x v="0"/>
    <x v="5"/>
    <x v="1"/>
    <x v="1"/>
    <n v="13"/>
    <n v="67395.03"/>
    <n v="186602.23"/>
    <x v="0"/>
  </r>
  <r>
    <x v="0"/>
    <x v="0"/>
    <x v="2"/>
    <x v="0"/>
    <x v="6"/>
    <x v="0"/>
    <x v="1"/>
    <n v="2"/>
    <n v="9506.27"/>
    <n v="41806.639999999999"/>
    <x v="0"/>
  </r>
  <r>
    <x v="0"/>
    <x v="0"/>
    <x v="2"/>
    <x v="0"/>
    <x v="6"/>
    <x v="1"/>
    <x v="1"/>
    <n v="2"/>
    <n v="9003.8799999999992"/>
    <n v="26218.47"/>
    <x v="0"/>
  </r>
  <r>
    <x v="0"/>
    <x v="0"/>
    <x v="2"/>
    <x v="0"/>
    <x v="7"/>
    <x v="1"/>
    <x v="1"/>
    <n v="1"/>
    <n v="5291.86"/>
    <n v="14598.12"/>
    <x v="0"/>
  </r>
  <r>
    <x v="0"/>
    <x v="0"/>
    <x v="2"/>
    <x v="0"/>
    <x v="8"/>
    <x v="0"/>
    <x v="1"/>
    <n v="2"/>
    <n v="11500.67"/>
    <n v="49407.85"/>
    <x v="0"/>
  </r>
  <r>
    <x v="0"/>
    <x v="0"/>
    <x v="2"/>
    <x v="0"/>
    <x v="8"/>
    <x v="1"/>
    <x v="1"/>
    <n v="1"/>
    <n v="4732.49"/>
    <n v="12710.17"/>
    <x v="0"/>
  </r>
  <r>
    <x v="0"/>
    <x v="0"/>
    <x v="2"/>
    <x v="1"/>
    <x v="30"/>
    <x v="1"/>
    <x v="0"/>
    <n v="1"/>
    <n v="4328.24"/>
    <n v="13093.08"/>
    <x v="0"/>
  </r>
  <r>
    <x v="0"/>
    <x v="0"/>
    <x v="2"/>
    <x v="1"/>
    <x v="9"/>
    <x v="1"/>
    <x v="1"/>
    <n v="2"/>
    <n v="11877.94"/>
    <n v="35953.71"/>
    <x v="0"/>
  </r>
  <r>
    <x v="0"/>
    <x v="0"/>
    <x v="2"/>
    <x v="1"/>
    <x v="10"/>
    <x v="0"/>
    <x v="0"/>
    <n v="1"/>
    <n v="4650.8"/>
    <n v="19953.169999999998"/>
    <x v="0"/>
  </r>
  <r>
    <x v="0"/>
    <x v="0"/>
    <x v="2"/>
    <x v="1"/>
    <x v="10"/>
    <x v="0"/>
    <x v="1"/>
    <n v="4"/>
    <n v="17865.52"/>
    <n v="76962.23"/>
    <x v="0"/>
  </r>
  <r>
    <x v="0"/>
    <x v="0"/>
    <x v="2"/>
    <x v="1"/>
    <x v="10"/>
    <x v="1"/>
    <x v="0"/>
    <n v="12"/>
    <n v="60619.58"/>
    <n v="178848.82"/>
    <x v="0"/>
  </r>
  <r>
    <x v="0"/>
    <x v="0"/>
    <x v="2"/>
    <x v="1"/>
    <x v="10"/>
    <x v="1"/>
    <x v="1"/>
    <n v="37"/>
    <n v="212383.53"/>
    <n v="623378.81000000006"/>
    <x v="0"/>
  </r>
  <r>
    <x v="0"/>
    <x v="0"/>
    <x v="2"/>
    <x v="1"/>
    <x v="11"/>
    <x v="0"/>
    <x v="1"/>
    <n v="6"/>
    <n v="30747.41"/>
    <n v="133971.28"/>
    <x v="0"/>
  </r>
  <r>
    <x v="0"/>
    <x v="0"/>
    <x v="2"/>
    <x v="1"/>
    <x v="11"/>
    <x v="1"/>
    <x v="0"/>
    <n v="5"/>
    <n v="31681.09"/>
    <n v="87046.89"/>
    <x v="0"/>
  </r>
  <r>
    <x v="0"/>
    <x v="0"/>
    <x v="2"/>
    <x v="1"/>
    <x v="11"/>
    <x v="1"/>
    <x v="1"/>
    <n v="20"/>
    <n v="113197.47"/>
    <n v="311083.75"/>
    <x v="0"/>
  </r>
  <r>
    <x v="0"/>
    <x v="0"/>
    <x v="2"/>
    <x v="1"/>
    <x v="12"/>
    <x v="1"/>
    <x v="1"/>
    <n v="1"/>
    <n v="4515.47"/>
    <n v="13647.97"/>
    <x v="0"/>
  </r>
  <r>
    <x v="0"/>
    <x v="0"/>
    <x v="2"/>
    <x v="1"/>
    <x v="13"/>
    <x v="0"/>
    <x v="1"/>
    <n v="2"/>
    <n v="14255.66"/>
    <n v="60809.66"/>
    <x v="0"/>
  </r>
  <r>
    <x v="0"/>
    <x v="0"/>
    <x v="2"/>
    <x v="1"/>
    <x v="13"/>
    <x v="1"/>
    <x v="1"/>
    <n v="11"/>
    <n v="57852.77"/>
    <n v="167586.67000000001"/>
    <x v="0"/>
  </r>
  <r>
    <x v="0"/>
    <x v="0"/>
    <x v="2"/>
    <x v="1"/>
    <x v="14"/>
    <x v="1"/>
    <x v="0"/>
    <n v="24"/>
    <n v="143028.01999999999"/>
    <n v="414265.43"/>
    <x v="0"/>
  </r>
  <r>
    <x v="0"/>
    <x v="0"/>
    <x v="2"/>
    <x v="1"/>
    <x v="14"/>
    <x v="1"/>
    <x v="1"/>
    <n v="5"/>
    <n v="22818.07"/>
    <n v="67278.289999999994"/>
    <x v="0"/>
  </r>
  <r>
    <x v="0"/>
    <x v="0"/>
    <x v="2"/>
    <x v="1"/>
    <x v="16"/>
    <x v="0"/>
    <x v="1"/>
    <n v="3"/>
    <n v="16713.84"/>
    <n v="71261.320000000007"/>
    <x v="0"/>
  </r>
  <r>
    <x v="0"/>
    <x v="0"/>
    <x v="2"/>
    <x v="1"/>
    <x v="16"/>
    <x v="1"/>
    <x v="0"/>
    <n v="1"/>
    <n v="5165.1099999999997"/>
    <n v="14379.58"/>
    <x v="0"/>
  </r>
  <r>
    <x v="0"/>
    <x v="0"/>
    <x v="2"/>
    <x v="1"/>
    <x v="16"/>
    <x v="1"/>
    <x v="1"/>
    <n v="11"/>
    <n v="52175.94"/>
    <n v="145285.25"/>
    <x v="0"/>
  </r>
  <r>
    <x v="0"/>
    <x v="0"/>
    <x v="2"/>
    <x v="1"/>
    <x v="17"/>
    <x v="0"/>
    <x v="1"/>
    <n v="1"/>
    <n v="4889.72"/>
    <n v="21853.47"/>
    <x v="0"/>
  </r>
  <r>
    <x v="0"/>
    <x v="0"/>
    <x v="2"/>
    <x v="1"/>
    <x v="17"/>
    <x v="1"/>
    <x v="0"/>
    <n v="6"/>
    <n v="35116.639999999999"/>
    <n v="98420.44"/>
    <x v="0"/>
  </r>
  <r>
    <x v="0"/>
    <x v="0"/>
    <x v="2"/>
    <x v="1"/>
    <x v="17"/>
    <x v="1"/>
    <x v="1"/>
    <n v="7"/>
    <n v="48769.08"/>
    <n v="141321.65"/>
    <x v="0"/>
  </r>
  <r>
    <x v="0"/>
    <x v="0"/>
    <x v="2"/>
    <x v="1"/>
    <x v="18"/>
    <x v="0"/>
    <x v="1"/>
    <n v="6"/>
    <n v="35905.760000000002"/>
    <n v="154874.6"/>
    <x v="0"/>
  </r>
  <r>
    <x v="0"/>
    <x v="0"/>
    <x v="2"/>
    <x v="1"/>
    <x v="18"/>
    <x v="1"/>
    <x v="0"/>
    <n v="4"/>
    <n v="19553.7"/>
    <n v="58771.58"/>
    <x v="0"/>
  </r>
  <r>
    <x v="0"/>
    <x v="0"/>
    <x v="2"/>
    <x v="1"/>
    <x v="18"/>
    <x v="1"/>
    <x v="1"/>
    <n v="36"/>
    <n v="196424.58"/>
    <n v="579334.18000000005"/>
    <x v="0"/>
  </r>
  <r>
    <x v="0"/>
    <x v="0"/>
    <x v="2"/>
    <x v="1"/>
    <x v="19"/>
    <x v="0"/>
    <x v="1"/>
    <n v="2"/>
    <n v="10366.799999999999"/>
    <n v="43706.94"/>
    <x v="0"/>
  </r>
  <r>
    <x v="0"/>
    <x v="0"/>
    <x v="2"/>
    <x v="1"/>
    <x v="19"/>
    <x v="1"/>
    <x v="0"/>
    <n v="16"/>
    <n v="89546.12"/>
    <n v="256976.84"/>
    <x v="0"/>
  </r>
  <r>
    <x v="0"/>
    <x v="0"/>
    <x v="2"/>
    <x v="1"/>
    <x v="19"/>
    <x v="1"/>
    <x v="1"/>
    <n v="6"/>
    <n v="38208.239999999998"/>
    <n v="109508.71"/>
    <x v="0"/>
  </r>
  <r>
    <x v="0"/>
    <x v="0"/>
    <x v="2"/>
    <x v="1"/>
    <x v="20"/>
    <x v="0"/>
    <x v="0"/>
    <n v="1"/>
    <n v="4340.2"/>
    <n v="19003.02"/>
    <x v="0"/>
  </r>
  <r>
    <x v="0"/>
    <x v="0"/>
    <x v="2"/>
    <x v="1"/>
    <x v="20"/>
    <x v="0"/>
    <x v="1"/>
    <n v="11"/>
    <n v="57302.91"/>
    <n v="244188.79"/>
    <x v="0"/>
  </r>
  <r>
    <x v="0"/>
    <x v="0"/>
    <x v="2"/>
    <x v="1"/>
    <x v="20"/>
    <x v="1"/>
    <x v="0"/>
    <n v="8"/>
    <n v="44449.25"/>
    <n v="124777.88"/>
    <x v="0"/>
  </r>
  <r>
    <x v="0"/>
    <x v="0"/>
    <x v="2"/>
    <x v="1"/>
    <x v="20"/>
    <x v="1"/>
    <x v="1"/>
    <n v="22"/>
    <n v="110803.35"/>
    <n v="310746.46999999997"/>
    <x v="0"/>
  </r>
  <r>
    <x v="0"/>
    <x v="0"/>
    <x v="2"/>
    <x v="2"/>
    <x v="21"/>
    <x v="0"/>
    <x v="0"/>
    <n v="1"/>
    <n v="6906.72"/>
    <n v="30404.83"/>
    <x v="0"/>
  </r>
  <r>
    <x v="0"/>
    <x v="0"/>
    <x v="2"/>
    <x v="2"/>
    <x v="22"/>
    <x v="0"/>
    <x v="1"/>
    <n v="3"/>
    <n v="18667.669999999998"/>
    <n v="79812.679999999993"/>
    <x v="0"/>
  </r>
  <r>
    <x v="0"/>
    <x v="0"/>
    <x v="2"/>
    <x v="2"/>
    <x v="22"/>
    <x v="1"/>
    <x v="0"/>
    <n v="10"/>
    <n v="44712.35"/>
    <n v="116138.32"/>
    <x v="0"/>
  </r>
  <r>
    <x v="0"/>
    <x v="0"/>
    <x v="2"/>
    <x v="2"/>
    <x v="22"/>
    <x v="1"/>
    <x v="1"/>
    <n v="10"/>
    <n v="49304.65"/>
    <n v="125253.22"/>
    <x v="0"/>
  </r>
  <r>
    <x v="0"/>
    <x v="0"/>
    <x v="2"/>
    <x v="2"/>
    <x v="29"/>
    <x v="0"/>
    <x v="1"/>
    <n v="4"/>
    <n v="24065.94"/>
    <n v="102616.3"/>
    <x v="0"/>
  </r>
  <r>
    <x v="0"/>
    <x v="0"/>
    <x v="2"/>
    <x v="2"/>
    <x v="29"/>
    <x v="1"/>
    <x v="1"/>
    <n v="5"/>
    <n v="26739.25"/>
    <n v="70695.98"/>
    <x v="0"/>
  </r>
  <r>
    <x v="0"/>
    <x v="0"/>
    <x v="2"/>
    <x v="2"/>
    <x v="23"/>
    <x v="1"/>
    <x v="1"/>
    <n v="2"/>
    <n v="14378.96"/>
    <n v="38553.32"/>
    <x v="0"/>
  </r>
  <r>
    <x v="0"/>
    <x v="0"/>
    <x v="2"/>
    <x v="2"/>
    <x v="24"/>
    <x v="0"/>
    <x v="1"/>
    <n v="4"/>
    <n v="19306.71"/>
    <n v="82663.13"/>
    <x v="0"/>
  </r>
  <r>
    <x v="0"/>
    <x v="0"/>
    <x v="2"/>
    <x v="2"/>
    <x v="24"/>
    <x v="1"/>
    <x v="0"/>
    <n v="11"/>
    <n v="51926.23"/>
    <n v="138968.32000000001"/>
    <x v="0"/>
  </r>
  <r>
    <x v="0"/>
    <x v="0"/>
    <x v="2"/>
    <x v="2"/>
    <x v="24"/>
    <x v="1"/>
    <x v="1"/>
    <n v="5"/>
    <n v="22362.48"/>
    <n v="60087.55"/>
    <x v="0"/>
  </r>
  <r>
    <x v="0"/>
    <x v="0"/>
    <x v="2"/>
    <x v="3"/>
    <x v="25"/>
    <x v="0"/>
    <x v="1"/>
    <n v="1"/>
    <n v="6825.81"/>
    <n v="30404.83"/>
    <x v="0"/>
  </r>
  <r>
    <x v="0"/>
    <x v="0"/>
    <x v="2"/>
    <x v="3"/>
    <x v="25"/>
    <x v="1"/>
    <x v="0"/>
    <n v="2"/>
    <n v="8885.7199999999993"/>
    <n v="26034.14"/>
    <x v="0"/>
  </r>
  <r>
    <x v="0"/>
    <x v="0"/>
    <x v="2"/>
    <x v="3"/>
    <x v="26"/>
    <x v="0"/>
    <x v="0"/>
    <n v="3"/>
    <n v="15281.59"/>
    <n v="65560.41"/>
    <x v="0"/>
  </r>
  <r>
    <x v="0"/>
    <x v="0"/>
    <x v="2"/>
    <x v="3"/>
    <x v="26"/>
    <x v="0"/>
    <x v="1"/>
    <n v="1"/>
    <n v="7148.04"/>
    <n v="30404.83"/>
    <x v="0"/>
  </r>
  <r>
    <x v="0"/>
    <x v="0"/>
    <x v="2"/>
    <x v="3"/>
    <x v="26"/>
    <x v="1"/>
    <x v="0"/>
    <n v="7"/>
    <n v="37052.839999999997"/>
    <n v="108231.32"/>
    <x v="0"/>
  </r>
  <r>
    <x v="0"/>
    <x v="0"/>
    <x v="2"/>
    <x v="3"/>
    <x v="26"/>
    <x v="1"/>
    <x v="1"/>
    <n v="10"/>
    <n v="51895.87"/>
    <n v="154722.57999999999"/>
    <x v="0"/>
  </r>
  <r>
    <x v="0"/>
    <x v="0"/>
    <x v="2"/>
    <x v="3"/>
    <x v="27"/>
    <x v="0"/>
    <x v="0"/>
    <n v="2"/>
    <n v="8959.84"/>
    <n v="38006.04"/>
    <x v="0"/>
  </r>
  <r>
    <x v="0"/>
    <x v="0"/>
    <x v="2"/>
    <x v="3"/>
    <x v="27"/>
    <x v="0"/>
    <x v="1"/>
    <n v="8"/>
    <n v="47227.28"/>
    <n v="203332.3"/>
    <x v="0"/>
  </r>
  <r>
    <x v="0"/>
    <x v="0"/>
    <x v="2"/>
    <x v="3"/>
    <x v="27"/>
    <x v="1"/>
    <x v="0"/>
    <n v="22"/>
    <n v="124047.33"/>
    <n v="358291.47"/>
    <x v="0"/>
  </r>
  <r>
    <x v="0"/>
    <x v="0"/>
    <x v="2"/>
    <x v="3"/>
    <x v="27"/>
    <x v="1"/>
    <x v="1"/>
    <n v="21"/>
    <n v="99339.51"/>
    <n v="286247.21000000002"/>
    <x v="0"/>
  </r>
  <r>
    <x v="0"/>
    <x v="0"/>
    <x v="3"/>
    <x v="0"/>
    <x v="0"/>
    <x v="0"/>
    <x v="0"/>
    <n v="1"/>
    <n v="5609.21"/>
    <n v="25060.18"/>
    <x v="0"/>
  </r>
  <r>
    <x v="0"/>
    <x v="0"/>
    <x v="3"/>
    <x v="0"/>
    <x v="0"/>
    <x v="0"/>
    <x v="1"/>
    <n v="1"/>
    <n v="4896.8100000000004"/>
    <n v="21791.46"/>
    <x v="0"/>
  </r>
  <r>
    <x v="0"/>
    <x v="0"/>
    <x v="3"/>
    <x v="0"/>
    <x v="0"/>
    <x v="1"/>
    <x v="0"/>
    <n v="6"/>
    <n v="39423.160000000003"/>
    <n v="113848.94"/>
    <x v="0"/>
  </r>
  <r>
    <x v="0"/>
    <x v="0"/>
    <x v="3"/>
    <x v="0"/>
    <x v="0"/>
    <x v="1"/>
    <x v="1"/>
    <n v="2"/>
    <n v="10920.28"/>
    <n v="32778.720000000001"/>
    <x v="0"/>
  </r>
  <r>
    <x v="0"/>
    <x v="0"/>
    <x v="3"/>
    <x v="0"/>
    <x v="1"/>
    <x v="0"/>
    <x v="1"/>
    <n v="4"/>
    <n v="23613.68"/>
    <n v="105556.25"/>
    <x v="0"/>
  </r>
  <r>
    <x v="0"/>
    <x v="0"/>
    <x v="3"/>
    <x v="0"/>
    <x v="1"/>
    <x v="1"/>
    <x v="0"/>
    <n v="3"/>
    <n v="14628.66"/>
    <n v="42035.73"/>
    <x v="0"/>
  </r>
  <r>
    <x v="0"/>
    <x v="0"/>
    <x v="3"/>
    <x v="0"/>
    <x v="1"/>
    <x v="1"/>
    <x v="1"/>
    <n v="17"/>
    <n v="110998.45"/>
    <n v="321508.11"/>
    <x v="0"/>
  </r>
  <r>
    <x v="0"/>
    <x v="0"/>
    <x v="3"/>
    <x v="0"/>
    <x v="2"/>
    <x v="0"/>
    <x v="1"/>
    <n v="3"/>
    <n v="15839.74"/>
    <n v="73001.39"/>
    <x v="0"/>
  </r>
  <r>
    <x v="0"/>
    <x v="0"/>
    <x v="3"/>
    <x v="0"/>
    <x v="2"/>
    <x v="1"/>
    <x v="1"/>
    <n v="10"/>
    <n v="59135.87"/>
    <n v="165133.49"/>
    <x v="0"/>
  </r>
  <r>
    <x v="0"/>
    <x v="0"/>
    <x v="3"/>
    <x v="0"/>
    <x v="3"/>
    <x v="0"/>
    <x v="1"/>
    <n v="7"/>
    <n v="45257.52"/>
    <n v="204310.39"/>
    <x v="0"/>
  </r>
  <r>
    <x v="0"/>
    <x v="0"/>
    <x v="3"/>
    <x v="0"/>
    <x v="3"/>
    <x v="1"/>
    <x v="0"/>
    <n v="4"/>
    <n v="23688.99"/>
    <n v="70300.94"/>
    <x v="0"/>
  </r>
  <r>
    <x v="0"/>
    <x v="0"/>
    <x v="3"/>
    <x v="0"/>
    <x v="3"/>
    <x v="1"/>
    <x v="1"/>
    <n v="21"/>
    <n v="121097.45"/>
    <n v="348775.95"/>
    <x v="0"/>
  </r>
  <r>
    <x v="0"/>
    <x v="0"/>
    <x v="3"/>
    <x v="0"/>
    <x v="4"/>
    <x v="0"/>
    <x v="1"/>
    <n v="2"/>
    <n v="10538.94"/>
    <n v="46851.64"/>
    <x v="0"/>
  </r>
  <r>
    <x v="0"/>
    <x v="0"/>
    <x v="3"/>
    <x v="0"/>
    <x v="4"/>
    <x v="1"/>
    <x v="0"/>
    <n v="5"/>
    <n v="27801.9"/>
    <n v="80192.58"/>
    <x v="0"/>
  </r>
  <r>
    <x v="0"/>
    <x v="0"/>
    <x v="3"/>
    <x v="0"/>
    <x v="4"/>
    <x v="1"/>
    <x v="1"/>
    <n v="5"/>
    <n v="28502.46"/>
    <n v="84291.85"/>
    <x v="0"/>
  </r>
  <r>
    <x v="0"/>
    <x v="0"/>
    <x v="3"/>
    <x v="0"/>
    <x v="5"/>
    <x v="0"/>
    <x v="1"/>
    <n v="4"/>
    <n v="25133.69"/>
    <n v="115230.07"/>
    <x v="0"/>
  </r>
  <r>
    <x v="0"/>
    <x v="0"/>
    <x v="3"/>
    <x v="0"/>
    <x v="5"/>
    <x v="1"/>
    <x v="1"/>
    <n v="19"/>
    <n v="104122.48"/>
    <n v="311875.09000000003"/>
    <x v="0"/>
  </r>
  <r>
    <x v="0"/>
    <x v="0"/>
    <x v="3"/>
    <x v="0"/>
    <x v="6"/>
    <x v="0"/>
    <x v="1"/>
    <n v="3"/>
    <n v="16669.36"/>
    <n v="75180.539999999994"/>
    <x v="0"/>
  </r>
  <r>
    <x v="0"/>
    <x v="0"/>
    <x v="3"/>
    <x v="0"/>
    <x v="7"/>
    <x v="1"/>
    <x v="1"/>
    <n v="3"/>
    <n v="18536"/>
    <n v="55954.879999999997"/>
    <x v="0"/>
  </r>
  <r>
    <x v="0"/>
    <x v="0"/>
    <x v="3"/>
    <x v="0"/>
    <x v="8"/>
    <x v="0"/>
    <x v="1"/>
    <n v="1"/>
    <n v="7445.4"/>
    <n v="33644.43"/>
    <x v="0"/>
  </r>
  <r>
    <x v="0"/>
    <x v="0"/>
    <x v="3"/>
    <x v="0"/>
    <x v="8"/>
    <x v="1"/>
    <x v="1"/>
    <n v="6"/>
    <n v="43256.25"/>
    <n v="118585.29"/>
    <x v="0"/>
  </r>
  <r>
    <x v="0"/>
    <x v="0"/>
    <x v="3"/>
    <x v="1"/>
    <x v="30"/>
    <x v="1"/>
    <x v="0"/>
    <n v="4"/>
    <n v="26069.279999999999"/>
    <n v="79256.320000000007"/>
    <x v="0"/>
  </r>
  <r>
    <x v="0"/>
    <x v="0"/>
    <x v="3"/>
    <x v="1"/>
    <x v="9"/>
    <x v="1"/>
    <x v="1"/>
    <n v="1"/>
    <n v="5454.32"/>
    <n v="17241.400000000001"/>
    <x v="0"/>
  </r>
  <r>
    <x v="0"/>
    <x v="0"/>
    <x v="3"/>
    <x v="1"/>
    <x v="10"/>
    <x v="1"/>
    <x v="0"/>
    <n v="3"/>
    <n v="15311.76"/>
    <n v="46814.59"/>
    <x v="0"/>
  </r>
  <r>
    <x v="0"/>
    <x v="0"/>
    <x v="3"/>
    <x v="1"/>
    <x v="10"/>
    <x v="1"/>
    <x v="1"/>
    <n v="27"/>
    <n v="156974.23000000001"/>
    <n v="469985.68"/>
    <x v="0"/>
  </r>
  <r>
    <x v="0"/>
    <x v="0"/>
    <x v="3"/>
    <x v="1"/>
    <x v="11"/>
    <x v="0"/>
    <x v="1"/>
    <n v="7"/>
    <n v="40112.949999999997"/>
    <n v="184005.51"/>
    <x v="0"/>
  </r>
  <r>
    <x v="0"/>
    <x v="0"/>
    <x v="3"/>
    <x v="1"/>
    <x v="11"/>
    <x v="1"/>
    <x v="0"/>
    <n v="11"/>
    <n v="62665.29"/>
    <n v="184760.05"/>
    <x v="0"/>
  </r>
  <r>
    <x v="0"/>
    <x v="0"/>
    <x v="3"/>
    <x v="1"/>
    <x v="11"/>
    <x v="1"/>
    <x v="1"/>
    <n v="23"/>
    <n v="136702.07"/>
    <n v="405831.55"/>
    <x v="0"/>
  </r>
  <r>
    <x v="0"/>
    <x v="0"/>
    <x v="3"/>
    <x v="1"/>
    <x v="12"/>
    <x v="1"/>
    <x v="0"/>
    <n v="3"/>
    <n v="21460.26"/>
    <n v="65960.160000000003"/>
    <x v="0"/>
  </r>
  <r>
    <x v="0"/>
    <x v="0"/>
    <x v="3"/>
    <x v="1"/>
    <x v="12"/>
    <x v="1"/>
    <x v="1"/>
    <n v="10"/>
    <n v="53369.85"/>
    <n v="163958.94"/>
    <x v="0"/>
  </r>
  <r>
    <x v="0"/>
    <x v="0"/>
    <x v="3"/>
    <x v="1"/>
    <x v="13"/>
    <x v="0"/>
    <x v="1"/>
    <n v="3"/>
    <n v="17974.89"/>
    <n v="81585.64"/>
    <x v="0"/>
  </r>
  <r>
    <x v="0"/>
    <x v="0"/>
    <x v="3"/>
    <x v="1"/>
    <x v="13"/>
    <x v="1"/>
    <x v="1"/>
    <n v="9"/>
    <n v="58034.97"/>
    <n v="176977.34"/>
    <x v="0"/>
  </r>
  <r>
    <x v="0"/>
    <x v="0"/>
    <x v="3"/>
    <x v="1"/>
    <x v="14"/>
    <x v="0"/>
    <x v="1"/>
    <n v="1"/>
    <n v="4776.18"/>
    <n v="21791.46"/>
    <x v="0"/>
  </r>
  <r>
    <x v="0"/>
    <x v="0"/>
    <x v="3"/>
    <x v="1"/>
    <x v="14"/>
    <x v="1"/>
    <x v="0"/>
    <n v="8"/>
    <n v="43955.23"/>
    <n v="128641.22"/>
    <x v="0"/>
  </r>
  <r>
    <x v="0"/>
    <x v="0"/>
    <x v="3"/>
    <x v="1"/>
    <x v="14"/>
    <x v="1"/>
    <x v="1"/>
    <n v="4"/>
    <n v="20909.86"/>
    <n v="62593.79"/>
    <x v="0"/>
  </r>
  <r>
    <x v="0"/>
    <x v="0"/>
    <x v="3"/>
    <x v="1"/>
    <x v="15"/>
    <x v="1"/>
    <x v="0"/>
    <n v="4"/>
    <n v="23180.02"/>
    <n v="70680.679999999993"/>
    <x v="0"/>
  </r>
  <r>
    <x v="0"/>
    <x v="0"/>
    <x v="3"/>
    <x v="1"/>
    <x v="15"/>
    <x v="1"/>
    <x v="1"/>
    <n v="3"/>
    <n v="16188.9"/>
    <n v="51949.75"/>
    <x v="0"/>
  </r>
  <r>
    <x v="0"/>
    <x v="0"/>
    <x v="3"/>
    <x v="1"/>
    <x v="16"/>
    <x v="0"/>
    <x v="1"/>
    <n v="2"/>
    <n v="11157.48"/>
    <n v="50120.36"/>
    <x v="0"/>
  </r>
  <r>
    <x v="0"/>
    <x v="0"/>
    <x v="3"/>
    <x v="1"/>
    <x v="16"/>
    <x v="1"/>
    <x v="0"/>
    <n v="8"/>
    <n v="50041.62"/>
    <n v="150255.13"/>
    <x v="0"/>
  </r>
  <r>
    <x v="0"/>
    <x v="0"/>
    <x v="3"/>
    <x v="1"/>
    <x v="16"/>
    <x v="1"/>
    <x v="1"/>
    <n v="8"/>
    <n v="57083.25"/>
    <n v="166116.15"/>
    <x v="0"/>
  </r>
  <r>
    <x v="0"/>
    <x v="0"/>
    <x v="3"/>
    <x v="1"/>
    <x v="17"/>
    <x v="0"/>
    <x v="1"/>
    <n v="2"/>
    <n v="10801.18"/>
    <n v="50120.36"/>
    <x v="0"/>
  </r>
  <r>
    <x v="0"/>
    <x v="0"/>
    <x v="3"/>
    <x v="1"/>
    <x v="17"/>
    <x v="1"/>
    <x v="0"/>
    <n v="1"/>
    <n v="5793.96"/>
    <n v="16639.96"/>
    <x v="0"/>
  </r>
  <r>
    <x v="0"/>
    <x v="0"/>
    <x v="3"/>
    <x v="1"/>
    <x v="17"/>
    <x v="1"/>
    <x v="1"/>
    <n v="3"/>
    <n v="20408.77"/>
    <n v="61319.76"/>
    <x v="0"/>
  </r>
  <r>
    <x v="0"/>
    <x v="0"/>
    <x v="3"/>
    <x v="1"/>
    <x v="18"/>
    <x v="0"/>
    <x v="1"/>
    <n v="12"/>
    <n v="66631.92"/>
    <n v="297321.09999999998"/>
    <x v="0"/>
  </r>
  <r>
    <x v="0"/>
    <x v="0"/>
    <x v="3"/>
    <x v="1"/>
    <x v="18"/>
    <x v="1"/>
    <x v="1"/>
    <n v="24"/>
    <n v="128917.99"/>
    <n v="407126.33"/>
    <x v="0"/>
  </r>
  <r>
    <x v="0"/>
    <x v="0"/>
    <x v="3"/>
    <x v="1"/>
    <x v="19"/>
    <x v="0"/>
    <x v="1"/>
    <n v="6"/>
    <n v="32445.96"/>
    <n v="146960.01999999999"/>
    <x v="0"/>
  </r>
  <r>
    <x v="0"/>
    <x v="0"/>
    <x v="3"/>
    <x v="1"/>
    <x v="19"/>
    <x v="1"/>
    <x v="0"/>
    <n v="9"/>
    <n v="54056.67"/>
    <n v="161547.74"/>
    <x v="0"/>
  </r>
  <r>
    <x v="0"/>
    <x v="0"/>
    <x v="3"/>
    <x v="1"/>
    <x v="19"/>
    <x v="1"/>
    <x v="1"/>
    <n v="14"/>
    <n v="70840.92"/>
    <n v="213613.12"/>
    <x v="0"/>
  </r>
  <r>
    <x v="0"/>
    <x v="0"/>
    <x v="3"/>
    <x v="1"/>
    <x v="20"/>
    <x v="0"/>
    <x v="0"/>
    <n v="3"/>
    <n v="18821.47"/>
    <n v="83764.789999999994"/>
    <x v="0"/>
  </r>
  <r>
    <x v="0"/>
    <x v="0"/>
    <x v="3"/>
    <x v="1"/>
    <x v="20"/>
    <x v="0"/>
    <x v="1"/>
    <n v="7"/>
    <n v="42991.9"/>
    <n v="194636.56"/>
    <x v="0"/>
  </r>
  <r>
    <x v="0"/>
    <x v="0"/>
    <x v="3"/>
    <x v="1"/>
    <x v="20"/>
    <x v="1"/>
    <x v="0"/>
    <n v="6"/>
    <n v="29429.96"/>
    <n v="87984.6"/>
    <x v="0"/>
  </r>
  <r>
    <x v="0"/>
    <x v="0"/>
    <x v="3"/>
    <x v="1"/>
    <x v="20"/>
    <x v="1"/>
    <x v="1"/>
    <n v="26"/>
    <n v="146619.1"/>
    <n v="441760.66"/>
    <x v="0"/>
  </r>
  <r>
    <x v="0"/>
    <x v="0"/>
    <x v="3"/>
    <x v="2"/>
    <x v="21"/>
    <x v="0"/>
    <x v="0"/>
    <n v="4"/>
    <n v="21346.18"/>
    <n v="93703.28"/>
    <x v="0"/>
  </r>
  <r>
    <x v="0"/>
    <x v="0"/>
    <x v="3"/>
    <x v="2"/>
    <x v="22"/>
    <x v="0"/>
    <x v="1"/>
    <n v="2"/>
    <n v="10484.76"/>
    <n v="47941.21"/>
    <x v="0"/>
  </r>
  <r>
    <x v="0"/>
    <x v="0"/>
    <x v="3"/>
    <x v="2"/>
    <x v="22"/>
    <x v="1"/>
    <x v="0"/>
    <n v="9"/>
    <n v="53094.76"/>
    <n v="145819.82"/>
    <x v="0"/>
  </r>
  <r>
    <x v="0"/>
    <x v="0"/>
    <x v="3"/>
    <x v="2"/>
    <x v="22"/>
    <x v="1"/>
    <x v="1"/>
    <n v="3"/>
    <n v="17464.02"/>
    <n v="45784.95"/>
    <x v="0"/>
  </r>
  <r>
    <x v="0"/>
    <x v="0"/>
    <x v="3"/>
    <x v="2"/>
    <x v="29"/>
    <x v="0"/>
    <x v="1"/>
    <n v="5"/>
    <n v="32482.83"/>
    <n v="148874.5"/>
    <x v="0"/>
  </r>
  <r>
    <x v="0"/>
    <x v="0"/>
    <x v="3"/>
    <x v="2"/>
    <x v="29"/>
    <x v="1"/>
    <x v="1"/>
    <n v="4"/>
    <n v="22189.78"/>
    <n v="64855.74"/>
    <x v="0"/>
  </r>
  <r>
    <x v="0"/>
    <x v="0"/>
    <x v="3"/>
    <x v="2"/>
    <x v="23"/>
    <x v="1"/>
    <x v="1"/>
    <n v="3"/>
    <n v="14798.18"/>
    <n v="42138.14"/>
    <x v="0"/>
  </r>
  <r>
    <x v="0"/>
    <x v="0"/>
    <x v="3"/>
    <x v="2"/>
    <x v="24"/>
    <x v="0"/>
    <x v="1"/>
    <n v="1"/>
    <n v="7363.52"/>
    <n v="33644.43"/>
    <x v="0"/>
  </r>
  <r>
    <x v="0"/>
    <x v="0"/>
    <x v="3"/>
    <x v="2"/>
    <x v="24"/>
    <x v="1"/>
    <x v="0"/>
    <n v="1"/>
    <n v="5747.06"/>
    <n v="15537.31"/>
    <x v="0"/>
  </r>
  <r>
    <x v="0"/>
    <x v="0"/>
    <x v="3"/>
    <x v="2"/>
    <x v="24"/>
    <x v="1"/>
    <x v="1"/>
    <n v="1"/>
    <n v="4935.47"/>
    <n v="14186.24"/>
    <x v="0"/>
  </r>
  <r>
    <x v="0"/>
    <x v="0"/>
    <x v="3"/>
    <x v="3"/>
    <x v="25"/>
    <x v="0"/>
    <x v="1"/>
    <n v="1"/>
    <n v="4912.92"/>
    <n v="21791.46"/>
    <x v="0"/>
  </r>
  <r>
    <x v="0"/>
    <x v="0"/>
    <x v="3"/>
    <x v="3"/>
    <x v="25"/>
    <x v="1"/>
    <x v="0"/>
    <n v="7"/>
    <n v="38623.5"/>
    <n v="120163.57"/>
    <x v="0"/>
  </r>
  <r>
    <x v="0"/>
    <x v="0"/>
    <x v="3"/>
    <x v="3"/>
    <x v="25"/>
    <x v="1"/>
    <x v="1"/>
    <n v="7"/>
    <n v="41423.31"/>
    <n v="126043.77"/>
    <x v="0"/>
  </r>
  <r>
    <x v="0"/>
    <x v="0"/>
    <x v="3"/>
    <x v="3"/>
    <x v="26"/>
    <x v="0"/>
    <x v="1"/>
    <n v="1"/>
    <n v="7357.48"/>
    <n v="33644.43"/>
    <x v="0"/>
  </r>
  <r>
    <x v="0"/>
    <x v="0"/>
    <x v="3"/>
    <x v="3"/>
    <x v="26"/>
    <x v="1"/>
    <x v="0"/>
    <n v="8"/>
    <n v="51206.57"/>
    <n v="156101.59"/>
    <x v="0"/>
  </r>
  <r>
    <x v="0"/>
    <x v="0"/>
    <x v="3"/>
    <x v="3"/>
    <x v="26"/>
    <x v="1"/>
    <x v="1"/>
    <n v="20"/>
    <n v="123550.25"/>
    <n v="373464.56"/>
    <x v="0"/>
  </r>
  <r>
    <x v="0"/>
    <x v="0"/>
    <x v="3"/>
    <x v="3"/>
    <x v="27"/>
    <x v="0"/>
    <x v="0"/>
    <n v="1"/>
    <n v="5531.64"/>
    <n v="25060.18"/>
    <x v="0"/>
  </r>
  <r>
    <x v="0"/>
    <x v="0"/>
    <x v="3"/>
    <x v="3"/>
    <x v="27"/>
    <x v="0"/>
    <x v="1"/>
    <n v="5"/>
    <n v="26664.02"/>
    <n v="118763.46"/>
    <x v="0"/>
  </r>
  <r>
    <x v="0"/>
    <x v="0"/>
    <x v="3"/>
    <x v="3"/>
    <x v="27"/>
    <x v="1"/>
    <x v="0"/>
    <n v="17"/>
    <n v="107121.08"/>
    <n v="323619.25"/>
    <x v="0"/>
  </r>
  <r>
    <x v="0"/>
    <x v="0"/>
    <x v="3"/>
    <x v="3"/>
    <x v="27"/>
    <x v="1"/>
    <x v="1"/>
    <n v="20"/>
    <n v="115227.49"/>
    <n v="355333.43"/>
    <x v="0"/>
  </r>
  <r>
    <x v="0"/>
    <x v="0"/>
    <x v="4"/>
    <x v="0"/>
    <x v="0"/>
    <x v="0"/>
    <x v="0"/>
    <n v="2"/>
    <n v="11748.35"/>
    <n v="54194.78"/>
    <x v="0"/>
  </r>
  <r>
    <x v="0"/>
    <x v="0"/>
    <x v="4"/>
    <x v="0"/>
    <x v="0"/>
    <x v="0"/>
    <x v="1"/>
    <n v="3"/>
    <n v="15684.97"/>
    <n v="72558.87"/>
    <x v="0"/>
  </r>
  <r>
    <x v="0"/>
    <x v="0"/>
    <x v="4"/>
    <x v="0"/>
    <x v="0"/>
    <x v="1"/>
    <x v="0"/>
    <n v="3"/>
    <n v="14060.06"/>
    <n v="42495.66"/>
    <x v="0"/>
  </r>
  <r>
    <x v="0"/>
    <x v="0"/>
    <x v="4"/>
    <x v="0"/>
    <x v="0"/>
    <x v="1"/>
    <x v="1"/>
    <n v="6"/>
    <n v="30695.06"/>
    <n v="87116.12"/>
    <x v="0"/>
  </r>
  <r>
    <x v="0"/>
    <x v="0"/>
    <x v="4"/>
    <x v="0"/>
    <x v="1"/>
    <x v="0"/>
    <x v="0"/>
    <n v="3"/>
    <n v="15056.1"/>
    <n v="69309.960000000006"/>
    <x v="0"/>
  </r>
  <r>
    <x v="0"/>
    <x v="0"/>
    <x v="4"/>
    <x v="0"/>
    <x v="1"/>
    <x v="0"/>
    <x v="1"/>
    <n v="6"/>
    <n v="31098.11"/>
    <n v="140832.22"/>
    <x v="0"/>
  </r>
  <r>
    <x v="0"/>
    <x v="0"/>
    <x v="4"/>
    <x v="0"/>
    <x v="1"/>
    <x v="1"/>
    <x v="0"/>
    <n v="7"/>
    <n v="35301.620000000003"/>
    <n v="104482.1"/>
    <x v="0"/>
  </r>
  <r>
    <x v="0"/>
    <x v="0"/>
    <x v="4"/>
    <x v="0"/>
    <x v="1"/>
    <x v="1"/>
    <x v="1"/>
    <n v="20"/>
    <n v="106524.51"/>
    <n v="313620.26"/>
    <x v="0"/>
  </r>
  <r>
    <x v="0"/>
    <x v="0"/>
    <x v="4"/>
    <x v="0"/>
    <x v="2"/>
    <x v="0"/>
    <x v="1"/>
    <n v="5"/>
    <n v="26601.87"/>
    <n v="124541.35"/>
    <x v="0"/>
  </r>
  <r>
    <x v="0"/>
    <x v="0"/>
    <x v="4"/>
    <x v="0"/>
    <x v="2"/>
    <x v="1"/>
    <x v="1"/>
    <n v="12"/>
    <n v="58215.54"/>
    <n v="164398.21"/>
    <x v="0"/>
  </r>
  <r>
    <x v="0"/>
    <x v="0"/>
    <x v="4"/>
    <x v="0"/>
    <x v="3"/>
    <x v="0"/>
    <x v="0"/>
    <n v="1"/>
    <n v="4736.62"/>
    <n v="21659.360000000001"/>
    <x v="0"/>
  </r>
  <r>
    <x v="0"/>
    <x v="0"/>
    <x v="4"/>
    <x v="0"/>
    <x v="3"/>
    <x v="0"/>
    <x v="1"/>
    <n v="1"/>
    <n v="5247.22"/>
    <n v="24908.27"/>
    <x v="0"/>
  </r>
  <r>
    <x v="0"/>
    <x v="0"/>
    <x v="4"/>
    <x v="0"/>
    <x v="3"/>
    <x v="1"/>
    <x v="0"/>
    <n v="2"/>
    <n v="10275.33"/>
    <n v="30082.69"/>
    <x v="0"/>
  </r>
  <r>
    <x v="0"/>
    <x v="0"/>
    <x v="4"/>
    <x v="0"/>
    <x v="3"/>
    <x v="1"/>
    <x v="1"/>
    <n v="21"/>
    <n v="105395.04"/>
    <n v="315518.45"/>
    <x v="0"/>
  </r>
  <r>
    <x v="0"/>
    <x v="0"/>
    <x v="4"/>
    <x v="0"/>
    <x v="28"/>
    <x v="1"/>
    <x v="1"/>
    <n v="1"/>
    <n v="5026.51"/>
    <n v="14165.22"/>
    <x v="0"/>
  </r>
  <r>
    <x v="0"/>
    <x v="0"/>
    <x v="4"/>
    <x v="0"/>
    <x v="4"/>
    <x v="1"/>
    <x v="0"/>
    <n v="5"/>
    <n v="23727.8"/>
    <n v="69309.95"/>
    <x v="0"/>
  </r>
  <r>
    <x v="0"/>
    <x v="0"/>
    <x v="4"/>
    <x v="0"/>
    <x v="4"/>
    <x v="1"/>
    <x v="1"/>
    <n v="11"/>
    <n v="57767.81"/>
    <n v="169116.31"/>
    <x v="0"/>
  </r>
  <r>
    <x v="0"/>
    <x v="0"/>
    <x v="4"/>
    <x v="0"/>
    <x v="5"/>
    <x v="0"/>
    <x v="1"/>
    <n v="3"/>
    <n v="16802.11"/>
    <n v="76937.11"/>
    <x v="0"/>
  </r>
  <r>
    <x v="0"/>
    <x v="0"/>
    <x v="4"/>
    <x v="0"/>
    <x v="5"/>
    <x v="1"/>
    <x v="0"/>
    <n v="4"/>
    <n v="25474.39"/>
    <n v="78596.05"/>
    <x v="0"/>
  </r>
  <r>
    <x v="0"/>
    <x v="0"/>
    <x v="4"/>
    <x v="0"/>
    <x v="5"/>
    <x v="1"/>
    <x v="1"/>
    <n v="34"/>
    <n v="183465.18"/>
    <n v="554987.39"/>
    <x v="0"/>
  </r>
  <r>
    <x v="0"/>
    <x v="0"/>
    <x v="4"/>
    <x v="0"/>
    <x v="6"/>
    <x v="0"/>
    <x v="1"/>
    <n v="2"/>
    <n v="11779.88"/>
    <n v="54194.78"/>
    <x v="0"/>
  </r>
  <r>
    <x v="0"/>
    <x v="0"/>
    <x v="4"/>
    <x v="0"/>
    <x v="6"/>
    <x v="1"/>
    <x v="1"/>
    <n v="3"/>
    <n v="14424.76"/>
    <n v="42690.6"/>
    <x v="0"/>
  </r>
  <r>
    <x v="0"/>
    <x v="0"/>
    <x v="4"/>
    <x v="0"/>
    <x v="7"/>
    <x v="1"/>
    <x v="1"/>
    <n v="1"/>
    <n v="4652.66"/>
    <n v="14468.45"/>
    <x v="0"/>
  </r>
  <r>
    <x v="0"/>
    <x v="0"/>
    <x v="4"/>
    <x v="0"/>
    <x v="8"/>
    <x v="1"/>
    <x v="1"/>
    <n v="4"/>
    <n v="19424.66"/>
    <n v="56567.75"/>
    <x v="0"/>
  </r>
  <r>
    <x v="0"/>
    <x v="0"/>
    <x v="4"/>
    <x v="1"/>
    <x v="9"/>
    <x v="1"/>
    <x v="1"/>
    <n v="3"/>
    <n v="14644.68"/>
    <n v="44704.92"/>
    <x v="0"/>
  </r>
  <r>
    <x v="0"/>
    <x v="0"/>
    <x v="4"/>
    <x v="1"/>
    <x v="10"/>
    <x v="0"/>
    <x v="0"/>
    <n v="1"/>
    <n v="5514.45"/>
    <n v="24908.27"/>
    <x v="0"/>
  </r>
  <r>
    <x v="0"/>
    <x v="0"/>
    <x v="4"/>
    <x v="1"/>
    <x v="10"/>
    <x v="1"/>
    <x v="0"/>
    <n v="14"/>
    <n v="83079.61"/>
    <n v="264417.31"/>
    <x v="0"/>
  </r>
  <r>
    <x v="0"/>
    <x v="0"/>
    <x v="4"/>
    <x v="1"/>
    <x v="10"/>
    <x v="1"/>
    <x v="1"/>
    <n v="16"/>
    <n v="82117.67"/>
    <n v="257872.76"/>
    <x v="0"/>
  </r>
  <r>
    <x v="0"/>
    <x v="0"/>
    <x v="4"/>
    <x v="1"/>
    <x v="11"/>
    <x v="0"/>
    <x v="1"/>
    <n v="3"/>
    <n v="14874.77"/>
    <n v="68226.990000000005"/>
    <x v="0"/>
  </r>
  <r>
    <x v="0"/>
    <x v="0"/>
    <x v="4"/>
    <x v="1"/>
    <x v="11"/>
    <x v="1"/>
    <x v="0"/>
    <n v="3"/>
    <n v="14399.59"/>
    <n v="42939.68"/>
    <x v="0"/>
  </r>
  <r>
    <x v="0"/>
    <x v="0"/>
    <x v="4"/>
    <x v="1"/>
    <x v="11"/>
    <x v="1"/>
    <x v="1"/>
    <n v="24"/>
    <n v="121767.81"/>
    <n v="357085.25"/>
    <x v="0"/>
  </r>
  <r>
    <x v="0"/>
    <x v="0"/>
    <x v="4"/>
    <x v="1"/>
    <x v="12"/>
    <x v="1"/>
    <x v="0"/>
    <n v="3"/>
    <n v="14561.64"/>
    <n v="44445.01"/>
    <x v="0"/>
  </r>
  <r>
    <x v="0"/>
    <x v="0"/>
    <x v="4"/>
    <x v="1"/>
    <x v="12"/>
    <x v="1"/>
    <x v="1"/>
    <n v="1"/>
    <n v="4660.6000000000004"/>
    <n v="14815"/>
    <x v="0"/>
  </r>
  <r>
    <x v="0"/>
    <x v="0"/>
    <x v="4"/>
    <x v="1"/>
    <x v="13"/>
    <x v="0"/>
    <x v="1"/>
    <n v="3"/>
    <n v="16562.71"/>
    <n v="75854.14"/>
    <x v="0"/>
  </r>
  <r>
    <x v="0"/>
    <x v="0"/>
    <x v="4"/>
    <x v="1"/>
    <x v="13"/>
    <x v="1"/>
    <x v="1"/>
    <n v="10"/>
    <n v="47382"/>
    <n v="148237.74"/>
    <x v="0"/>
  </r>
  <r>
    <x v="0"/>
    <x v="0"/>
    <x v="4"/>
    <x v="1"/>
    <x v="14"/>
    <x v="0"/>
    <x v="1"/>
    <n v="3"/>
    <n v="14885.45"/>
    <n v="68226.990000000005"/>
    <x v="0"/>
  </r>
  <r>
    <x v="0"/>
    <x v="0"/>
    <x v="4"/>
    <x v="1"/>
    <x v="14"/>
    <x v="1"/>
    <x v="0"/>
    <n v="11"/>
    <n v="58619.85"/>
    <n v="179447.78"/>
    <x v="0"/>
  </r>
  <r>
    <x v="0"/>
    <x v="0"/>
    <x v="4"/>
    <x v="1"/>
    <x v="14"/>
    <x v="1"/>
    <x v="1"/>
    <n v="6"/>
    <n v="29599.05"/>
    <n v="86810.71"/>
    <x v="0"/>
  </r>
  <r>
    <x v="0"/>
    <x v="0"/>
    <x v="4"/>
    <x v="1"/>
    <x v="16"/>
    <x v="0"/>
    <x v="1"/>
    <n v="1"/>
    <n v="7041.44"/>
    <n v="32535.42"/>
    <x v="0"/>
  </r>
  <r>
    <x v="0"/>
    <x v="0"/>
    <x v="4"/>
    <x v="1"/>
    <x v="16"/>
    <x v="1"/>
    <x v="0"/>
    <n v="11"/>
    <n v="52062.05"/>
    <n v="158908.23000000001"/>
    <x v="0"/>
  </r>
  <r>
    <x v="0"/>
    <x v="0"/>
    <x v="4"/>
    <x v="1"/>
    <x v="16"/>
    <x v="1"/>
    <x v="1"/>
    <n v="15"/>
    <n v="83143.789999999994"/>
    <n v="245721.25"/>
    <x v="0"/>
  </r>
  <r>
    <x v="0"/>
    <x v="0"/>
    <x v="4"/>
    <x v="1"/>
    <x v="17"/>
    <x v="0"/>
    <x v="1"/>
    <n v="1"/>
    <n v="7027.72"/>
    <n v="32535.42"/>
    <x v="0"/>
  </r>
  <r>
    <x v="0"/>
    <x v="0"/>
    <x v="4"/>
    <x v="1"/>
    <x v="17"/>
    <x v="1"/>
    <x v="0"/>
    <n v="10"/>
    <n v="58255.48"/>
    <n v="179926.68"/>
    <x v="0"/>
  </r>
  <r>
    <x v="0"/>
    <x v="0"/>
    <x v="4"/>
    <x v="1"/>
    <x v="17"/>
    <x v="1"/>
    <x v="1"/>
    <n v="4"/>
    <n v="19828.73"/>
    <n v="59684.54"/>
    <x v="0"/>
  </r>
  <r>
    <x v="0"/>
    <x v="0"/>
    <x v="4"/>
    <x v="1"/>
    <x v="18"/>
    <x v="0"/>
    <x v="1"/>
    <n v="7"/>
    <n v="36016.080000000002"/>
    <n v="162445.22"/>
    <x v="0"/>
  </r>
  <r>
    <x v="0"/>
    <x v="0"/>
    <x v="4"/>
    <x v="1"/>
    <x v="18"/>
    <x v="1"/>
    <x v="1"/>
    <n v="33"/>
    <n v="166066.17000000001"/>
    <n v="527577.61"/>
    <x v="0"/>
  </r>
  <r>
    <x v="0"/>
    <x v="0"/>
    <x v="4"/>
    <x v="1"/>
    <x v="19"/>
    <x v="0"/>
    <x v="1"/>
    <n v="5"/>
    <n v="25753.11"/>
    <n v="119126.5"/>
    <x v="0"/>
  </r>
  <r>
    <x v="0"/>
    <x v="0"/>
    <x v="4"/>
    <x v="1"/>
    <x v="19"/>
    <x v="1"/>
    <x v="0"/>
    <n v="10"/>
    <n v="48589.99"/>
    <n v="148753.98000000001"/>
    <x v="0"/>
  </r>
  <r>
    <x v="0"/>
    <x v="0"/>
    <x v="4"/>
    <x v="1"/>
    <x v="19"/>
    <x v="1"/>
    <x v="1"/>
    <n v="12"/>
    <n v="81264.539999999994"/>
    <n v="253393.6"/>
    <x v="0"/>
  </r>
  <r>
    <x v="0"/>
    <x v="0"/>
    <x v="4"/>
    <x v="1"/>
    <x v="20"/>
    <x v="0"/>
    <x v="0"/>
    <n v="1"/>
    <n v="6993"/>
    <n v="32535.42"/>
    <x v="0"/>
  </r>
  <r>
    <x v="0"/>
    <x v="0"/>
    <x v="4"/>
    <x v="1"/>
    <x v="20"/>
    <x v="0"/>
    <x v="1"/>
    <n v="8"/>
    <n v="42504.63"/>
    <n v="194980.64"/>
    <x v="0"/>
  </r>
  <r>
    <x v="0"/>
    <x v="0"/>
    <x v="4"/>
    <x v="1"/>
    <x v="20"/>
    <x v="1"/>
    <x v="0"/>
    <n v="16"/>
    <n v="79405.350000000006"/>
    <n v="240468.76"/>
    <x v="0"/>
  </r>
  <r>
    <x v="0"/>
    <x v="0"/>
    <x v="4"/>
    <x v="1"/>
    <x v="20"/>
    <x v="1"/>
    <x v="1"/>
    <n v="14"/>
    <n v="77039.039999999994"/>
    <n v="233414.07"/>
    <x v="0"/>
  </r>
  <r>
    <x v="0"/>
    <x v="0"/>
    <x v="4"/>
    <x v="2"/>
    <x v="21"/>
    <x v="0"/>
    <x v="0"/>
    <n v="1"/>
    <n v="4760.92"/>
    <n v="22742.33"/>
    <x v="0"/>
  </r>
  <r>
    <x v="0"/>
    <x v="0"/>
    <x v="4"/>
    <x v="2"/>
    <x v="22"/>
    <x v="1"/>
    <x v="0"/>
    <n v="7"/>
    <n v="34103.24"/>
    <n v="92333.85"/>
    <x v="0"/>
  </r>
  <r>
    <x v="0"/>
    <x v="0"/>
    <x v="4"/>
    <x v="2"/>
    <x v="22"/>
    <x v="1"/>
    <x v="1"/>
    <n v="15"/>
    <n v="83317.63"/>
    <n v="232954.44"/>
    <x v="0"/>
  </r>
  <r>
    <x v="0"/>
    <x v="0"/>
    <x v="4"/>
    <x v="2"/>
    <x v="29"/>
    <x v="0"/>
    <x v="1"/>
    <n v="1"/>
    <n v="4745.71"/>
    <n v="22742.33"/>
    <x v="0"/>
  </r>
  <r>
    <x v="0"/>
    <x v="0"/>
    <x v="4"/>
    <x v="2"/>
    <x v="23"/>
    <x v="1"/>
    <x v="1"/>
    <n v="4"/>
    <n v="23543.62"/>
    <n v="70092.179999999993"/>
    <x v="0"/>
  </r>
  <r>
    <x v="0"/>
    <x v="0"/>
    <x v="4"/>
    <x v="2"/>
    <x v="24"/>
    <x v="0"/>
    <x v="1"/>
    <n v="3"/>
    <n v="14218"/>
    <n v="66061.05"/>
    <x v="0"/>
  </r>
  <r>
    <x v="0"/>
    <x v="0"/>
    <x v="4"/>
    <x v="2"/>
    <x v="24"/>
    <x v="1"/>
    <x v="1"/>
    <n v="2"/>
    <n v="9293.73"/>
    <n v="26857.599999999999"/>
    <x v="0"/>
  </r>
  <r>
    <x v="0"/>
    <x v="0"/>
    <x v="4"/>
    <x v="3"/>
    <x v="25"/>
    <x v="0"/>
    <x v="1"/>
    <n v="1"/>
    <n v="4715.42"/>
    <n v="21659.360000000001"/>
    <x v="0"/>
  </r>
  <r>
    <x v="0"/>
    <x v="0"/>
    <x v="4"/>
    <x v="3"/>
    <x v="25"/>
    <x v="1"/>
    <x v="0"/>
    <n v="4"/>
    <n v="19663.54"/>
    <n v="59346.64"/>
    <x v="0"/>
  </r>
  <r>
    <x v="0"/>
    <x v="0"/>
    <x v="4"/>
    <x v="3"/>
    <x v="25"/>
    <x v="1"/>
    <x v="1"/>
    <n v="16"/>
    <n v="87462.34"/>
    <n v="274637.08"/>
    <x v="0"/>
  </r>
  <r>
    <x v="0"/>
    <x v="0"/>
    <x v="4"/>
    <x v="3"/>
    <x v="26"/>
    <x v="0"/>
    <x v="1"/>
    <n v="1"/>
    <n v="4596.43"/>
    <n v="21659.360000000001"/>
    <x v="0"/>
  </r>
  <r>
    <x v="0"/>
    <x v="0"/>
    <x v="4"/>
    <x v="3"/>
    <x v="26"/>
    <x v="1"/>
    <x v="0"/>
    <n v="2"/>
    <n v="10081.379999999999"/>
    <n v="32131.67"/>
    <x v="0"/>
  </r>
  <r>
    <x v="0"/>
    <x v="0"/>
    <x v="4"/>
    <x v="3"/>
    <x v="26"/>
    <x v="1"/>
    <x v="1"/>
    <n v="17"/>
    <n v="86527.55"/>
    <n v="269477.43"/>
    <x v="0"/>
  </r>
  <r>
    <x v="0"/>
    <x v="0"/>
    <x v="4"/>
    <x v="3"/>
    <x v="27"/>
    <x v="0"/>
    <x v="0"/>
    <n v="1"/>
    <n v="4919.18"/>
    <n v="21659.360000000001"/>
    <x v="0"/>
  </r>
  <r>
    <x v="0"/>
    <x v="0"/>
    <x v="4"/>
    <x v="3"/>
    <x v="27"/>
    <x v="0"/>
    <x v="1"/>
    <n v="5"/>
    <n v="24322.880000000001"/>
    <n v="110462.74"/>
    <x v="0"/>
  </r>
  <r>
    <x v="0"/>
    <x v="0"/>
    <x v="4"/>
    <x v="3"/>
    <x v="27"/>
    <x v="1"/>
    <x v="0"/>
    <n v="12"/>
    <n v="61372.91"/>
    <n v="184848.18"/>
    <x v="0"/>
  </r>
  <r>
    <x v="0"/>
    <x v="0"/>
    <x v="4"/>
    <x v="3"/>
    <x v="27"/>
    <x v="1"/>
    <x v="1"/>
    <n v="23"/>
    <n v="116451.84"/>
    <n v="354885.37"/>
    <x v="0"/>
  </r>
  <r>
    <x v="0"/>
    <x v="0"/>
    <x v="5"/>
    <x v="0"/>
    <x v="0"/>
    <x v="0"/>
    <x v="0"/>
    <n v="2"/>
    <n v="12678"/>
    <n v="52734.080000000002"/>
    <x v="0"/>
  </r>
  <r>
    <x v="0"/>
    <x v="0"/>
    <x v="5"/>
    <x v="0"/>
    <x v="0"/>
    <x v="0"/>
    <x v="1"/>
    <n v="1"/>
    <n v="6220.23"/>
    <n v="26367.040000000001"/>
    <x v="0"/>
  </r>
  <r>
    <x v="0"/>
    <x v="0"/>
    <x v="5"/>
    <x v="0"/>
    <x v="0"/>
    <x v="1"/>
    <x v="1"/>
    <n v="2"/>
    <n v="13306.44"/>
    <n v="34488.089999999997"/>
    <x v="0"/>
  </r>
  <r>
    <x v="0"/>
    <x v="0"/>
    <x v="5"/>
    <x v="0"/>
    <x v="1"/>
    <x v="0"/>
    <x v="0"/>
    <n v="4"/>
    <n v="23398.66"/>
    <n v="96404.49"/>
    <x v="0"/>
  </r>
  <r>
    <x v="0"/>
    <x v="0"/>
    <x v="5"/>
    <x v="0"/>
    <x v="1"/>
    <x v="0"/>
    <x v="1"/>
    <n v="5"/>
    <n v="28926.880000000001"/>
    <n v="117003.74"/>
    <x v="0"/>
  </r>
  <r>
    <x v="0"/>
    <x v="0"/>
    <x v="5"/>
    <x v="0"/>
    <x v="1"/>
    <x v="1"/>
    <x v="0"/>
    <n v="3"/>
    <n v="19719.78"/>
    <n v="50862.02"/>
    <x v="0"/>
  </r>
  <r>
    <x v="0"/>
    <x v="0"/>
    <x v="5"/>
    <x v="0"/>
    <x v="1"/>
    <x v="1"/>
    <x v="1"/>
    <n v="11"/>
    <n v="61623.74"/>
    <n v="161340.59"/>
    <x v="0"/>
  </r>
  <r>
    <x v="0"/>
    <x v="0"/>
    <x v="5"/>
    <x v="0"/>
    <x v="2"/>
    <x v="0"/>
    <x v="1"/>
    <n v="3"/>
    <n v="19127.95"/>
    <n v="79101.119999999995"/>
    <x v="0"/>
  </r>
  <r>
    <x v="0"/>
    <x v="0"/>
    <x v="5"/>
    <x v="0"/>
    <x v="2"/>
    <x v="1"/>
    <x v="0"/>
    <n v="1"/>
    <n v="6280.65"/>
    <n v="16373.93"/>
    <x v="0"/>
  </r>
  <r>
    <x v="0"/>
    <x v="0"/>
    <x v="5"/>
    <x v="0"/>
    <x v="2"/>
    <x v="1"/>
    <x v="1"/>
    <n v="13"/>
    <n v="71953.03"/>
    <n v="176019.76"/>
    <x v="0"/>
  </r>
  <r>
    <x v="0"/>
    <x v="0"/>
    <x v="5"/>
    <x v="0"/>
    <x v="3"/>
    <x v="0"/>
    <x v="0"/>
    <n v="2"/>
    <n v="13070.34"/>
    <n v="52734.080000000002"/>
    <x v="0"/>
  </r>
  <r>
    <x v="0"/>
    <x v="0"/>
    <x v="5"/>
    <x v="0"/>
    <x v="3"/>
    <x v="0"/>
    <x v="1"/>
    <n v="3"/>
    <n v="19792.48"/>
    <n v="79101.119999999995"/>
    <x v="0"/>
  </r>
  <r>
    <x v="0"/>
    <x v="0"/>
    <x v="5"/>
    <x v="0"/>
    <x v="3"/>
    <x v="1"/>
    <x v="0"/>
    <n v="11"/>
    <n v="58200.22"/>
    <n v="153297.99"/>
    <x v="0"/>
  </r>
  <r>
    <x v="0"/>
    <x v="0"/>
    <x v="5"/>
    <x v="0"/>
    <x v="3"/>
    <x v="1"/>
    <x v="1"/>
    <n v="23"/>
    <n v="128719.09"/>
    <n v="335339.32"/>
    <x v="0"/>
  </r>
  <r>
    <x v="0"/>
    <x v="0"/>
    <x v="5"/>
    <x v="0"/>
    <x v="4"/>
    <x v="0"/>
    <x v="1"/>
    <n v="1"/>
    <n v="4404.88"/>
    <n v="17303.37"/>
    <x v="0"/>
  </r>
  <r>
    <x v="0"/>
    <x v="0"/>
    <x v="5"/>
    <x v="0"/>
    <x v="4"/>
    <x v="1"/>
    <x v="0"/>
    <n v="6"/>
    <n v="27485.67"/>
    <n v="72773.03"/>
    <x v="0"/>
  </r>
  <r>
    <x v="0"/>
    <x v="0"/>
    <x v="5"/>
    <x v="0"/>
    <x v="4"/>
    <x v="1"/>
    <x v="1"/>
    <n v="2"/>
    <n v="13175.96"/>
    <n v="31836.98"/>
    <x v="0"/>
  </r>
  <r>
    <x v="0"/>
    <x v="0"/>
    <x v="5"/>
    <x v="0"/>
    <x v="5"/>
    <x v="0"/>
    <x v="1"/>
    <n v="4"/>
    <n v="18421.61"/>
    <n v="74157.3"/>
    <x v="0"/>
  </r>
  <r>
    <x v="0"/>
    <x v="0"/>
    <x v="5"/>
    <x v="0"/>
    <x v="5"/>
    <x v="1"/>
    <x v="0"/>
    <n v="1"/>
    <n v="4153.8999999999996"/>
    <n v="11402.92"/>
    <x v="0"/>
  </r>
  <r>
    <x v="0"/>
    <x v="0"/>
    <x v="5"/>
    <x v="0"/>
    <x v="5"/>
    <x v="1"/>
    <x v="1"/>
    <n v="19"/>
    <n v="107424.49"/>
    <n v="285994.68"/>
    <x v="0"/>
  </r>
  <r>
    <x v="0"/>
    <x v="0"/>
    <x v="5"/>
    <x v="0"/>
    <x v="7"/>
    <x v="1"/>
    <x v="1"/>
    <n v="12"/>
    <n v="56201.24"/>
    <n v="151363.29999999999"/>
    <x v="0"/>
  </r>
  <r>
    <x v="0"/>
    <x v="0"/>
    <x v="5"/>
    <x v="0"/>
    <x v="8"/>
    <x v="0"/>
    <x v="1"/>
    <n v="1"/>
    <n v="6555.4"/>
    <n v="26367.040000000001"/>
    <x v="0"/>
  </r>
  <r>
    <x v="0"/>
    <x v="0"/>
    <x v="5"/>
    <x v="0"/>
    <x v="8"/>
    <x v="1"/>
    <x v="1"/>
    <n v="1"/>
    <n v="6319.18"/>
    <n v="16795.8"/>
    <x v="0"/>
  </r>
  <r>
    <x v="0"/>
    <x v="0"/>
    <x v="5"/>
    <x v="1"/>
    <x v="30"/>
    <x v="1"/>
    <x v="0"/>
    <n v="5"/>
    <n v="24013.200000000001"/>
    <n v="63881.11"/>
    <x v="0"/>
  </r>
  <r>
    <x v="0"/>
    <x v="0"/>
    <x v="5"/>
    <x v="1"/>
    <x v="9"/>
    <x v="1"/>
    <x v="1"/>
    <n v="1"/>
    <n v="4777.6499999999996"/>
    <n v="13038.5"/>
    <x v="0"/>
  </r>
  <r>
    <x v="0"/>
    <x v="0"/>
    <x v="5"/>
    <x v="1"/>
    <x v="10"/>
    <x v="0"/>
    <x v="0"/>
    <n v="2"/>
    <n v="9519.08"/>
    <n v="37902.620000000003"/>
    <x v="0"/>
  </r>
  <r>
    <x v="0"/>
    <x v="0"/>
    <x v="5"/>
    <x v="1"/>
    <x v="10"/>
    <x v="0"/>
    <x v="1"/>
    <n v="1"/>
    <n v="6754.07"/>
    <n v="26367.040000000001"/>
    <x v="0"/>
  </r>
  <r>
    <x v="0"/>
    <x v="0"/>
    <x v="5"/>
    <x v="1"/>
    <x v="10"/>
    <x v="1"/>
    <x v="0"/>
    <n v="1"/>
    <n v="4581.4399999999996"/>
    <n v="12924.79"/>
    <x v="0"/>
  </r>
  <r>
    <x v="0"/>
    <x v="0"/>
    <x v="5"/>
    <x v="1"/>
    <x v="10"/>
    <x v="1"/>
    <x v="1"/>
    <n v="12"/>
    <n v="77216.179999999993"/>
    <n v="208071.3"/>
    <x v="0"/>
  </r>
  <r>
    <x v="0"/>
    <x v="0"/>
    <x v="5"/>
    <x v="1"/>
    <x v="11"/>
    <x v="0"/>
    <x v="1"/>
    <n v="5"/>
    <n v="28159.73"/>
    <n v="115355.8"/>
    <x v="0"/>
  </r>
  <r>
    <x v="0"/>
    <x v="0"/>
    <x v="5"/>
    <x v="1"/>
    <x v="11"/>
    <x v="1"/>
    <x v="0"/>
    <n v="13"/>
    <n v="64135.67"/>
    <n v="165432.59"/>
    <x v="0"/>
  </r>
  <r>
    <x v="0"/>
    <x v="0"/>
    <x v="5"/>
    <x v="1"/>
    <x v="11"/>
    <x v="1"/>
    <x v="1"/>
    <n v="10"/>
    <n v="54062.52"/>
    <n v="141238.63"/>
    <x v="0"/>
  </r>
  <r>
    <x v="0"/>
    <x v="0"/>
    <x v="5"/>
    <x v="1"/>
    <x v="13"/>
    <x v="0"/>
    <x v="1"/>
    <n v="3"/>
    <n v="17374.490000000002"/>
    <n v="70037.45"/>
    <x v="0"/>
  </r>
  <r>
    <x v="0"/>
    <x v="0"/>
    <x v="5"/>
    <x v="1"/>
    <x v="13"/>
    <x v="1"/>
    <x v="1"/>
    <n v="4"/>
    <n v="17844.009999999998"/>
    <n v="47884.98"/>
    <x v="0"/>
  </r>
  <r>
    <x v="0"/>
    <x v="0"/>
    <x v="5"/>
    <x v="1"/>
    <x v="14"/>
    <x v="0"/>
    <x v="1"/>
    <n v="1"/>
    <n v="4402.05"/>
    <n v="17303.37"/>
    <x v="0"/>
  </r>
  <r>
    <x v="0"/>
    <x v="0"/>
    <x v="5"/>
    <x v="1"/>
    <x v="14"/>
    <x v="1"/>
    <x v="0"/>
    <n v="4"/>
    <n v="22143.56"/>
    <n v="59444.5"/>
    <x v="0"/>
  </r>
  <r>
    <x v="0"/>
    <x v="0"/>
    <x v="5"/>
    <x v="1"/>
    <x v="14"/>
    <x v="1"/>
    <x v="1"/>
    <n v="2"/>
    <n v="12617.02"/>
    <n v="35226.370000000003"/>
    <x v="0"/>
  </r>
  <r>
    <x v="0"/>
    <x v="0"/>
    <x v="5"/>
    <x v="1"/>
    <x v="16"/>
    <x v="0"/>
    <x v="1"/>
    <n v="2"/>
    <n v="12437.4"/>
    <n v="52734.080000000002"/>
    <x v="0"/>
  </r>
  <r>
    <x v="0"/>
    <x v="0"/>
    <x v="5"/>
    <x v="1"/>
    <x v="16"/>
    <x v="1"/>
    <x v="0"/>
    <n v="4"/>
    <n v="20776.78"/>
    <n v="54759.4"/>
    <x v="0"/>
  </r>
  <r>
    <x v="0"/>
    <x v="0"/>
    <x v="5"/>
    <x v="1"/>
    <x v="16"/>
    <x v="1"/>
    <x v="1"/>
    <n v="12"/>
    <n v="53589.72"/>
    <n v="142049.13"/>
    <x v="0"/>
  </r>
  <r>
    <x v="0"/>
    <x v="0"/>
    <x v="5"/>
    <x v="1"/>
    <x v="17"/>
    <x v="0"/>
    <x v="1"/>
    <n v="1"/>
    <n v="6398.16"/>
    <n v="26367.040000000001"/>
    <x v="0"/>
  </r>
  <r>
    <x v="0"/>
    <x v="0"/>
    <x v="5"/>
    <x v="1"/>
    <x v="17"/>
    <x v="1"/>
    <x v="1"/>
    <n v="7"/>
    <n v="40918.730000000003"/>
    <n v="111611.68"/>
    <x v="0"/>
  </r>
  <r>
    <x v="0"/>
    <x v="0"/>
    <x v="5"/>
    <x v="1"/>
    <x v="18"/>
    <x v="0"/>
    <x v="1"/>
    <n v="8"/>
    <n v="40556.01"/>
    <n v="167265.91"/>
    <x v="0"/>
  </r>
  <r>
    <x v="0"/>
    <x v="0"/>
    <x v="5"/>
    <x v="1"/>
    <x v="18"/>
    <x v="1"/>
    <x v="1"/>
    <n v="15"/>
    <n v="87411.82"/>
    <n v="245670.77"/>
    <x v="0"/>
  </r>
  <r>
    <x v="0"/>
    <x v="0"/>
    <x v="5"/>
    <x v="1"/>
    <x v="19"/>
    <x v="0"/>
    <x v="1"/>
    <n v="1"/>
    <n v="6201.25"/>
    <n v="26367.040000000001"/>
    <x v="0"/>
  </r>
  <r>
    <x v="0"/>
    <x v="0"/>
    <x v="5"/>
    <x v="1"/>
    <x v="19"/>
    <x v="1"/>
    <x v="0"/>
    <n v="8"/>
    <n v="34021.1"/>
    <n v="93299.77"/>
    <x v="0"/>
  </r>
  <r>
    <x v="0"/>
    <x v="0"/>
    <x v="5"/>
    <x v="1"/>
    <x v="19"/>
    <x v="1"/>
    <x v="1"/>
    <n v="1"/>
    <n v="6261.75"/>
    <n v="17771.38"/>
    <x v="0"/>
  </r>
  <r>
    <x v="0"/>
    <x v="0"/>
    <x v="5"/>
    <x v="1"/>
    <x v="20"/>
    <x v="0"/>
    <x v="1"/>
    <n v="11"/>
    <n v="59019.13"/>
    <n v="238951.3"/>
    <x v="0"/>
  </r>
  <r>
    <x v="0"/>
    <x v="0"/>
    <x v="5"/>
    <x v="1"/>
    <x v="20"/>
    <x v="1"/>
    <x v="0"/>
    <n v="6"/>
    <n v="31173.66"/>
    <n v="84128.99"/>
    <x v="0"/>
  </r>
  <r>
    <x v="0"/>
    <x v="0"/>
    <x v="5"/>
    <x v="1"/>
    <x v="20"/>
    <x v="1"/>
    <x v="1"/>
    <n v="16"/>
    <n v="84234.49"/>
    <n v="225618.64"/>
    <x v="0"/>
  </r>
  <r>
    <x v="0"/>
    <x v="0"/>
    <x v="5"/>
    <x v="2"/>
    <x v="21"/>
    <x v="0"/>
    <x v="0"/>
    <n v="3"/>
    <n v="17701.400000000001"/>
    <n v="71685.39"/>
    <x v="0"/>
  </r>
  <r>
    <x v="0"/>
    <x v="0"/>
    <x v="5"/>
    <x v="2"/>
    <x v="22"/>
    <x v="0"/>
    <x v="1"/>
    <n v="1"/>
    <n v="6655.91"/>
    <n v="26367.040000000001"/>
    <x v="0"/>
  </r>
  <r>
    <x v="0"/>
    <x v="0"/>
    <x v="5"/>
    <x v="2"/>
    <x v="22"/>
    <x v="1"/>
    <x v="0"/>
    <n v="5"/>
    <n v="20685.05"/>
    <n v="50792.7"/>
    <x v="0"/>
  </r>
  <r>
    <x v="0"/>
    <x v="0"/>
    <x v="5"/>
    <x v="2"/>
    <x v="22"/>
    <x v="1"/>
    <x v="1"/>
    <n v="14"/>
    <n v="81293.97"/>
    <n v="197044.54"/>
    <x v="0"/>
  </r>
  <r>
    <x v="0"/>
    <x v="0"/>
    <x v="5"/>
    <x v="2"/>
    <x v="24"/>
    <x v="0"/>
    <x v="1"/>
    <n v="2"/>
    <n v="10906.42"/>
    <n v="45318.35"/>
    <x v="0"/>
  </r>
  <r>
    <x v="0"/>
    <x v="0"/>
    <x v="5"/>
    <x v="3"/>
    <x v="25"/>
    <x v="1"/>
    <x v="0"/>
    <n v="6"/>
    <n v="38949.839999999997"/>
    <n v="108368.53"/>
    <x v="0"/>
  </r>
  <r>
    <x v="0"/>
    <x v="0"/>
    <x v="5"/>
    <x v="3"/>
    <x v="25"/>
    <x v="1"/>
    <x v="1"/>
    <n v="4"/>
    <n v="19040.3"/>
    <n v="53619.85"/>
    <x v="0"/>
  </r>
  <r>
    <x v="0"/>
    <x v="0"/>
    <x v="5"/>
    <x v="3"/>
    <x v="26"/>
    <x v="0"/>
    <x v="1"/>
    <n v="1"/>
    <n v="6426.61"/>
    <n v="26367.040000000001"/>
    <x v="0"/>
  </r>
  <r>
    <x v="0"/>
    <x v="0"/>
    <x v="5"/>
    <x v="3"/>
    <x v="26"/>
    <x v="1"/>
    <x v="0"/>
    <n v="3"/>
    <n v="19277.97"/>
    <n v="54579.77"/>
    <x v="0"/>
  </r>
  <r>
    <x v="0"/>
    <x v="0"/>
    <x v="5"/>
    <x v="3"/>
    <x v="26"/>
    <x v="1"/>
    <x v="1"/>
    <n v="13"/>
    <n v="77976.56"/>
    <n v="224004.49"/>
    <x v="0"/>
  </r>
  <r>
    <x v="0"/>
    <x v="0"/>
    <x v="5"/>
    <x v="3"/>
    <x v="27"/>
    <x v="0"/>
    <x v="0"/>
    <n v="2"/>
    <n v="8824.0499999999993"/>
    <n v="34606.74"/>
    <x v="0"/>
  </r>
  <r>
    <x v="0"/>
    <x v="0"/>
    <x v="5"/>
    <x v="3"/>
    <x v="27"/>
    <x v="0"/>
    <x v="1"/>
    <n v="5"/>
    <n v="28374.27"/>
    <n v="115355.8"/>
    <x v="0"/>
  </r>
  <r>
    <x v="0"/>
    <x v="0"/>
    <x v="5"/>
    <x v="3"/>
    <x v="27"/>
    <x v="1"/>
    <x v="0"/>
    <n v="6"/>
    <n v="25763.52"/>
    <n v="71401.94"/>
    <x v="0"/>
  </r>
  <r>
    <x v="0"/>
    <x v="0"/>
    <x v="5"/>
    <x v="3"/>
    <x v="27"/>
    <x v="1"/>
    <x v="1"/>
    <n v="16"/>
    <n v="82770.320000000007"/>
    <n v="226744.28"/>
    <x v="0"/>
  </r>
  <r>
    <x v="0"/>
    <x v="0"/>
    <x v="6"/>
    <x v="0"/>
    <x v="0"/>
    <x v="0"/>
    <x v="0"/>
    <n v="1"/>
    <n v="2129.3000000000002"/>
    <n v="7414.4"/>
    <x v="0"/>
  </r>
  <r>
    <x v="0"/>
    <x v="0"/>
    <x v="6"/>
    <x v="0"/>
    <x v="0"/>
    <x v="1"/>
    <x v="1"/>
    <n v="2"/>
    <n v="3683.68"/>
    <n v="8433.07"/>
    <x v="0"/>
  </r>
  <r>
    <x v="0"/>
    <x v="0"/>
    <x v="6"/>
    <x v="0"/>
    <x v="1"/>
    <x v="0"/>
    <x v="0"/>
    <n v="1"/>
    <n v="2088.16"/>
    <n v="7414.4"/>
    <x v="0"/>
  </r>
  <r>
    <x v="0"/>
    <x v="0"/>
    <x v="6"/>
    <x v="0"/>
    <x v="1"/>
    <x v="0"/>
    <x v="1"/>
    <n v="8"/>
    <n v="22104.27"/>
    <n v="76722.880000000005"/>
    <x v="0"/>
  </r>
  <r>
    <x v="0"/>
    <x v="0"/>
    <x v="6"/>
    <x v="0"/>
    <x v="1"/>
    <x v="1"/>
    <x v="0"/>
    <n v="5"/>
    <n v="12423.32"/>
    <n v="28190.17"/>
    <x v="0"/>
  </r>
  <r>
    <x v="0"/>
    <x v="0"/>
    <x v="6"/>
    <x v="0"/>
    <x v="1"/>
    <x v="1"/>
    <x v="1"/>
    <n v="21"/>
    <n v="56528.94"/>
    <n v="126233.96"/>
    <x v="0"/>
  </r>
  <r>
    <x v="0"/>
    <x v="0"/>
    <x v="6"/>
    <x v="0"/>
    <x v="2"/>
    <x v="0"/>
    <x v="1"/>
    <n v="3"/>
    <n v="7599.56"/>
    <n v="27078.66"/>
    <x v="0"/>
  </r>
  <r>
    <x v="0"/>
    <x v="0"/>
    <x v="6"/>
    <x v="0"/>
    <x v="2"/>
    <x v="1"/>
    <x v="1"/>
    <n v="15"/>
    <n v="35048.26"/>
    <n v="75532.479999999996"/>
    <x v="0"/>
  </r>
  <r>
    <x v="0"/>
    <x v="0"/>
    <x v="6"/>
    <x v="0"/>
    <x v="3"/>
    <x v="0"/>
    <x v="0"/>
    <n v="2"/>
    <n v="6134.7"/>
    <n v="20631.36"/>
    <x v="0"/>
  </r>
  <r>
    <x v="0"/>
    <x v="0"/>
    <x v="6"/>
    <x v="0"/>
    <x v="3"/>
    <x v="0"/>
    <x v="1"/>
    <n v="3"/>
    <n v="5770.15"/>
    <n v="20309"/>
    <x v="0"/>
  </r>
  <r>
    <x v="0"/>
    <x v="0"/>
    <x v="6"/>
    <x v="0"/>
    <x v="3"/>
    <x v="1"/>
    <x v="1"/>
    <n v="11"/>
    <n v="25904.57"/>
    <n v="58649.05"/>
    <x v="0"/>
  </r>
  <r>
    <x v="0"/>
    <x v="0"/>
    <x v="6"/>
    <x v="0"/>
    <x v="28"/>
    <x v="1"/>
    <x v="1"/>
    <n v="4"/>
    <n v="11823.27"/>
    <n v="26985.81"/>
    <x v="0"/>
  </r>
  <r>
    <x v="0"/>
    <x v="0"/>
    <x v="6"/>
    <x v="0"/>
    <x v="4"/>
    <x v="1"/>
    <x v="0"/>
    <n v="1"/>
    <n v="2067.4299999999998"/>
    <n v="4745.22"/>
    <x v="0"/>
  </r>
  <r>
    <x v="0"/>
    <x v="0"/>
    <x v="6"/>
    <x v="0"/>
    <x v="4"/>
    <x v="1"/>
    <x v="1"/>
    <n v="7"/>
    <n v="17700.48"/>
    <n v="38786.980000000003"/>
    <x v="0"/>
  </r>
  <r>
    <x v="0"/>
    <x v="0"/>
    <x v="6"/>
    <x v="0"/>
    <x v="5"/>
    <x v="0"/>
    <x v="1"/>
    <n v="2"/>
    <n v="5020.37"/>
    <n v="17730.080000000002"/>
    <x v="0"/>
  </r>
  <r>
    <x v="0"/>
    <x v="0"/>
    <x v="6"/>
    <x v="0"/>
    <x v="5"/>
    <x v="1"/>
    <x v="0"/>
    <n v="5"/>
    <n v="10354.450000000001"/>
    <n v="24430.45"/>
    <x v="0"/>
  </r>
  <r>
    <x v="0"/>
    <x v="0"/>
    <x v="6"/>
    <x v="0"/>
    <x v="5"/>
    <x v="1"/>
    <x v="1"/>
    <n v="14"/>
    <n v="33877.86"/>
    <n v="77659.679999999993"/>
    <x v="0"/>
  </r>
  <r>
    <x v="0"/>
    <x v="0"/>
    <x v="6"/>
    <x v="0"/>
    <x v="7"/>
    <x v="1"/>
    <x v="1"/>
    <n v="1"/>
    <n v="2903.39"/>
    <n v="6890.87"/>
    <x v="0"/>
  </r>
  <r>
    <x v="0"/>
    <x v="0"/>
    <x v="6"/>
    <x v="0"/>
    <x v="8"/>
    <x v="1"/>
    <x v="1"/>
    <n v="9"/>
    <n v="22495.51"/>
    <n v="49899.21"/>
    <x v="0"/>
  </r>
  <r>
    <x v="0"/>
    <x v="0"/>
    <x v="6"/>
    <x v="1"/>
    <x v="9"/>
    <x v="1"/>
    <x v="1"/>
    <n v="3"/>
    <n v="6305.82"/>
    <n v="15303.32"/>
    <x v="0"/>
  </r>
  <r>
    <x v="0"/>
    <x v="0"/>
    <x v="6"/>
    <x v="1"/>
    <x v="10"/>
    <x v="0"/>
    <x v="0"/>
    <n v="1"/>
    <n v="2886.69"/>
    <n v="10315.68"/>
    <x v="0"/>
  </r>
  <r>
    <x v="0"/>
    <x v="0"/>
    <x v="6"/>
    <x v="1"/>
    <x v="10"/>
    <x v="0"/>
    <x v="1"/>
    <n v="1"/>
    <n v="2092.84"/>
    <n v="7414.4"/>
    <x v="0"/>
  </r>
  <r>
    <x v="0"/>
    <x v="0"/>
    <x v="6"/>
    <x v="1"/>
    <x v="10"/>
    <x v="1"/>
    <x v="0"/>
    <n v="10"/>
    <n v="22548.68"/>
    <n v="54523.55"/>
    <x v="0"/>
  </r>
  <r>
    <x v="0"/>
    <x v="0"/>
    <x v="6"/>
    <x v="1"/>
    <x v="10"/>
    <x v="1"/>
    <x v="1"/>
    <n v="21"/>
    <n v="60075.39"/>
    <n v="140486.03"/>
    <x v="0"/>
  </r>
  <r>
    <x v="0"/>
    <x v="0"/>
    <x v="6"/>
    <x v="1"/>
    <x v="11"/>
    <x v="0"/>
    <x v="1"/>
    <n v="10"/>
    <n v="25489.46"/>
    <n v="89617.48"/>
    <x v="0"/>
  </r>
  <r>
    <x v="0"/>
    <x v="0"/>
    <x v="6"/>
    <x v="1"/>
    <x v="11"/>
    <x v="1"/>
    <x v="0"/>
    <n v="8"/>
    <n v="19040.810000000001"/>
    <n v="43815.38"/>
    <x v="0"/>
  </r>
  <r>
    <x v="0"/>
    <x v="0"/>
    <x v="6"/>
    <x v="1"/>
    <x v="11"/>
    <x v="1"/>
    <x v="1"/>
    <n v="28"/>
    <n v="72441.070000000007"/>
    <n v="163692.76"/>
    <x v="0"/>
  </r>
  <r>
    <x v="0"/>
    <x v="0"/>
    <x v="6"/>
    <x v="1"/>
    <x v="12"/>
    <x v="1"/>
    <x v="0"/>
    <n v="6"/>
    <n v="17956"/>
    <n v="42335.56"/>
    <x v="0"/>
  </r>
  <r>
    <x v="0"/>
    <x v="0"/>
    <x v="6"/>
    <x v="1"/>
    <x v="12"/>
    <x v="1"/>
    <x v="1"/>
    <n v="1"/>
    <n v="3008.19"/>
    <n v="7055.93"/>
    <x v="0"/>
  </r>
  <r>
    <x v="0"/>
    <x v="0"/>
    <x v="6"/>
    <x v="1"/>
    <x v="13"/>
    <x v="0"/>
    <x v="1"/>
    <n v="3"/>
    <n v="7842.44"/>
    <n v="27078.66"/>
    <x v="0"/>
  </r>
  <r>
    <x v="0"/>
    <x v="0"/>
    <x v="6"/>
    <x v="1"/>
    <x v="13"/>
    <x v="1"/>
    <x v="0"/>
    <n v="6"/>
    <n v="12103.33"/>
    <n v="28978.04"/>
    <x v="0"/>
  </r>
  <r>
    <x v="0"/>
    <x v="0"/>
    <x v="6"/>
    <x v="1"/>
    <x v="13"/>
    <x v="1"/>
    <x v="1"/>
    <n v="10"/>
    <n v="19549.57"/>
    <n v="46655.8"/>
    <x v="0"/>
  </r>
  <r>
    <x v="0"/>
    <x v="0"/>
    <x v="6"/>
    <x v="1"/>
    <x v="14"/>
    <x v="0"/>
    <x v="1"/>
    <n v="2"/>
    <n v="4907.9399999999996"/>
    <n v="16762.98"/>
    <x v="0"/>
  </r>
  <r>
    <x v="0"/>
    <x v="0"/>
    <x v="6"/>
    <x v="1"/>
    <x v="14"/>
    <x v="1"/>
    <x v="0"/>
    <n v="9"/>
    <n v="25546.81"/>
    <n v="59433.79"/>
    <x v="0"/>
  </r>
  <r>
    <x v="0"/>
    <x v="0"/>
    <x v="6"/>
    <x v="1"/>
    <x v="14"/>
    <x v="1"/>
    <x v="1"/>
    <n v="11"/>
    <n v="26525.98"/>
    <n v="61461.99"/>
    <x v="0"/>
  </r>
  <r>
    <x v="0"/>
    <x v="0"/>
    <x v="6"/>
    <x v="1"/>
    <x v="15"/>
    <x v="1"/>
    <x v="0"/>
    <n v="3"/>
    <n v="8045.55"/>
    <n v="19379.62"/>
    <x v="0"/>
  </r>
  <r>
    <x v="0"/>
    <x v="0"/>
    <x v="6"/>
    <x v="1"/>
    <x v="16"/>
    <x v="1"/>
    <x v="0"/>
    <n v="3"/>
    <n v="7858.77"/>
    <n v="17817.75"/>
    <x v="0"/>
  </r>
  <r>
    <x v="0"/>
    <x v="0"/>
    <x v="6"/>
    <x v="1"/>
    <x v="16"/>
    <x v="1"/>
    <x v="1"/>
    <n v="4"/>
    <n v="9513.1299999999992"/>
    <n v="22060.09"/>
    <x v="0"/>
  </r>
  <r>
    <x v="0"/>
    <x v="0"/>
    <x v="6"/>
    <x v="1"/>
    <x v="17"/>
    <x v="0"/>
    <x v="1"/>
    <n v="1"/>
    <n v="2921.12"/>
    <n v="10315.68"/>
    <x v="0"/>
  </r>
  <r>
    <x v="0"/>
    <x v="0"/>
    <x v="6"/>
    <x v="1"/>
    <x v="17"/>
    <x v="1"/>
    <x v="0"/>
    <n v="3"/>
    <n v="8740.5300000000007"/>
    <n v="20548.830000000002"/>
    <x v="0"/>
  </r>
  <r>
    <x v="0"/>
    <x v="0"/>
    <x v="6"/>
    <x v="1"/>
    <x v="18"/>
    <x v="0"/>
    <x v="1"/>
    <n v="9"/>
    <n v="22672.15"/>
    <n v="79301.8"/>
    <x v="0"/>
  </r>
  <r>
    <x v="0"/>
    <x v="0"/>
    <x v="6"/>
    <x v="1"/>
    <x v="18"/>
    <x v="1"/>
    <x v="0"/>
    <n v="2"/>
    <n v="6091.7"/>
    <n v="14338.8"/>
    <x v="0"/>
  </r>
  <r>
    <x v="0"/>
    <x v="0"/>
    <x v="6"/>
    <x v="1"/>
    <x v="18"/>
    <x v="1"/>
    <x v="1"/>
    <n v="24"/>
    <n v="69741.14"/>
    <n v="165344.25"/>
    <x v="0"/>
  </r>
  <r>
    <x v="0"/>
    <x v="0"/>
    <x v="6"/>
    <x v="1"/>
    <x v="19"/>
    <x v="1"/>
    <x v="0"/>
    <n v="8"/>
    <n v="23783.919999999998"/>
    <n v="55005.24"/>
    <x v="0"/>
  </r>
  <r>
    <x v="0"/>
    <x v="0"/>
    <x v="6"/>
    <x v="1"/>
    <x v="19"/>
    <x v="1"/>
    <x v="1"/>
    <n v="12"/>
    <n v="28653.51"/>
    <n v="67539.92"/>
    <x v="0"/>
  </r>
  <r>
    <x v="0"/>
    <x v="0"/>
    <x v="6"/>
    <x v="1"/>
    <x v="20"/>
    <x v="0"/>
    <x v="1"/>
    <n v="3"/>
    <n v="7702.17"/>
    <n v="27078.66"/>
    <x v="0"/>
  </r>
  <r>
    <x v="0"/>
    <x v="0"/>
    <x v="6"/>
    <x v="1"/>
    <x v="20"/>
    <x v="1"/>
    <x v="0"/>
    <n v="9"/>
    <n v="23127.65"/>
    <n v="53859.48"/>
    <x v="0"/>
  </r>
  <r>
    <x v="0"/>
    <x v="0"/>
    <x v="6"/>
    <x v="1"/>
    <x v="20"/>
    <x v="1"/>
    <x v="1"/>
    <n v="19"/>
    <n v="51888.6"/>
    <n v="119687.69"/>
    <x v="0"/>
  </r>
  <r>
    <x v="0"/>
    <x v="0"/>
    <x v="6"/>
    <x v="2"/>
    <x v="21"/>
    <x v="0"/>
    <x v="0"/>
    <n v="1"/>
    <n v="1778.34"/>
    <n v="6447.3"/>
    <x v="0"/>
  </r>
  <r>
    <x v="0"/>
    <x v="0"/>
    <x v="6"/>
    <x v="2"/>
    <x v="22"/>
    <x v="1"/>
    <x v="1"/>
    <n v="5"/>
    <n v="10805.63"/>
    <n v="23165.8"/>
    <x v="0"/>
  </r>
  <r>
    <x v="0"/>
    <x v="0"/>
    <x v="6"/>
    <x v="2"/>
    <x v="29"/>
    <x v="0"/>
    <x v="1"/>
    <n v="1"/>
    <n v="2996.8"/>
    <n v="10315.68"/>
    <x v="0"/>
  </r>
  <r>
    <x v="0"/>
    <x v="0"/>
    <x v="6"/>
    <x v="2"/>
    <x v="24"/>
    <x v="0"/>
    <x v="1"/>
    <n v="1"/>
    <n v="2079.77"/>
    <n v="7414.4"/>
    <x v="0"/>
  </r>
  <r>
    <x v="0"/>
    <x v="0"/>
    <x v="6"/>
    <x v="3"/>
    <x v="25"/>
    <x v="0"/>
    <x v="1"/>
    <n v="3"/>
    <n v="7740.22"/>
    <n v="27078.66"/>
    <x v="0"/>
  </r>
  <r>
    <x v="0"/>
    <x v="0"/>
    <x v="6"/>
    <x v="3"/>
    <x v="25"/>
    <x v="1"/>
    <x v="1"/>
    <n v="5"/>
    <n v="12220.98"/>
    <n v="29369.07"/>
    <x v="0"/>
  </r>
  <r>
    <x v="0"/>
    <x v="0"/>
    <x v="6"/>
    <x v="3"/>
    <x v="26"/>
    <x v="1"/>
    <x v="0"/>
    <n v="8"/>
    <n v="23837.06"/>
    <n v="56942.559999999998"/>
    <x v="0"/>
  </r>
  <r>
    <x v="0"/>
    <x v="0"/>
    <x v="6"/>
    <x v="3"/>
    <x v="26"/>
    <x v="1"/>
    <x v="1"/>
    <n v="12"/>
    <n v="31693.03"/>
    <n v="75083.3"/>
    <x v="0"/>
  </r>
  <r>
    <x v="0"/>
    <x v="0"/>
    <x v="6"/>
    <x v="3"/>
    <x v="27"/>
    <x v="0"/>
    <x v="1"/>
    <n v="9"/>
    <n v="24321.57"/>
    <n v="84137.279999999999"/>
    <x v="0"/>
  </r>
  <r>
    <x v="0"/>
    <x v="0"/>
    <x v="6"/>
    <x v="3"/>
    <x v="27"/>
    <x v="1"/>
    <x v="0"/>
    <n v="6"/>
    <n v="16134.28"/>
    <n v="37973.97"/>
    <x v="0"/>
  </r>
  <r>
    <x v="0"/>
    <x v="0"/>
    <x v="6"/>
    <x v="3"/>
    <x v="27"/>
    <x v="1"/>
    <x v="1"/>
    <n v="28"/>
    <n v="77259.78"/>
    <n v="181894.39999999999"/>
    <x v="0"/>
  </r>
  <r>
    <x v="0"/>
    <x v="0"/>
    <x v="7"/>
    <x v="0"/>
    <x v="0"/>
    <x v="1"/>
    <x v="0"/>
    <n v="5"/>
    <n v="28495.95"/>
    <n v="70850.240000000005"/>
    <x v="0"/>
  </r>
  <r>
    <x v="0"/>
    <x v="0"/>
    <x v="7"/>
    <x v="0"/>
    <x v="0"/>
    <x v="1"/>
    <x v="1"/>
    <n v="9"/>
    <n v="41550.26"/>
    <n v="102107.62"/>
    <x v="0"/>
  </r>
  <r>
    <x v="0"/>
    <x v="0"/>
    <x v="7"/>
    <x v="0"/>
    <x v="1"/>
    <x v="0"/>
    <x v="0"/>
    <n v="1"/>
    <n v="5758.84"/>
    <n v="21666.74"/>
    <x v="0"/>
  </r>
  <r>
    <x v="0"/>
    <x v="0"/>
    <x v="7"/>
    <x v="0"/>
    <x v="1"/>
    <x v="0"/>
    <x v="1"/>
    <n v="1"/>
    <n v="5386.67"/>
    <n v="21666.74"/>
    <x v="0"/>
  </r>
  <r>
    <x v="0"/>
    <x v="0"/>
    <x v="7"/>
    <x v="0"/>
    <x v="1"/>
    <x v="1"/>
    <x v="0"/>
    <n v="12"/>
    <n v="67794.179999999993"/>
    <n v="163230.76"/>
    <x v="0"/>
  </r>
  <r>
    <x v="0"/>
    <x v="0"/>
    <x v="7"/>
    <x v="0"/>
    <x v="1"/>
    <x v="1"/>
    <x v="1"/>
    <n v="31"/>
    <n v="165562.92000000001"/>
    <n v="407502.64"/>
    <x v="0"/>
  </r>
  <r>
    <x v="0"/>
    <x v="0"/>
    <x v="7"/>
    <x v="0"/>
    <x v="2"/>
    <x v="0"/>
    <x v="1"/>
    <n v="2"/>
    <n v="7212.34"/>
    <n v="28437.599999999999"/>
    <x v="0"/>
  </r>
  <r>
    <x v="0"/>
    <x v="0"/>
    <x v="7"/>
    <x v="0"/>
    <x v="2"/>
    <x v="1"/>
    <x v="0"/>
    <n v="3"/>
    <n v="11482.03"/>
    <n v="27330.560000000001"/>
    <x v="0"/>
  </r>
  <r>
    <x v="0"/>
    <x v="0"/>
    <x v="7"/>
    <x v="0"/>
    <x v="2"/>
    <x v="1"/>
    <x v="1"/>
    <n v="1"/>
    <n v="3410.37"/>
    <n v="8409.4"/>
    <x v="0"/>
  </r>
  <r>
    <x v="0"/>
    <x v="0"/>
    <x v="7"/>
    <x v="0"/>
    <x v="3"/>
    <x v="0"/>
    <x v="1"/>
    <n v="10"/>
    <n v="51675.25"/>
    <n v="201771.51999999999"/>
    <x v="0"/>
  </r>
  <r>
    <x v="0"/>
    <x v="0"/>
    <x v="7"/>
    <x v="0"/>
    <x v="3"/>
    <x v="1"/>
    <x v="0"/>
    <n v="9"/>
    <n v="48627.85"/>
    <n v="121159.03999999999"/>
    <x v="0"/>
  </r>
  <r>
    <x v="0"/>
    <x v="0"/>
    <x v="7"/>
    <x v="0"/>
    <x v="3"/>
    <x v="1"/>
    <x v="1"/>
    <n v="14"/>
    <n v="72241.600000000006"/>
    <n v="180211.82"/>
    <x v="0"/>
  </r>
  <r>
    <x v="0"/>
    <x v="0"/>
    <x v="7"/>
    <x v="0"/>
    <x v="28"/>
    <x v="1"/>
    <x v="1"/>
    <n v="3"/>
    <n v="10812.72"/>
    <n v="27897.29"/>
    <x v="0"/>
  </r>
  <r>
    <x v="0"/>
    <x v="0"/>
    <x v="7"/>
    <x v="0"/>
    <x v="4"/>
    <x v="0"/>
    <x v="1"/>
    <n v="3"/>
    <n v="14734.08"/>
    <n v="57552.28"/>
    <x v="0"/>
  </r>
  <r>
    <x v="0"/>
    <x v="0"/>
    <x v="7"/>
    <x v="0"/>
    <x v="4"/>
    <x v="1"/>
    <x v="0"/>
    <n v="4"/>
    <n v="22202"/>
    <n v="55466.86"/>
    <x v="0"/>
  </r>
  <r>
    <x v="0"/>
    <x v="0"/>
    <x v="7"/>
    <x v="0"/>
    <x v="5"/>
    <x v="1"/>
    <x v="0"/>
    <n v="3"/>
    <n v="10761.57"/>
    <n v="28110.57"/>
    <x v="0"/>
  </r>
  <r>
    <x v="0"/>
    <x v="0"/>
    <x v="7"/>
    <x v="0"/>
    <x v="5"/>
    <x v="1"/>
    <x v="1"/>
    <n v="21"/>
    <n v="103283.54"/>
    <n v="263665.13"/>
    <x v="0"/>
  </r>
  <r>
    <x v="0"/>
    <x v="0"/>
    <x v="7"/>
    <x v="0"/>
    <x v="6"/>
    <x v="0"/>
    <x v="1"/>
    <n v="1"/>
    <n v="5460.46"/>
    <n v="21666.74"/>
    <x v="0"/>
  </r>
  <r>
    <x v="0"/>
    <x v="0"/>
    <x v="7"/>
    <x v="0"/>
    <x v="6"/>
    <x v="1"/>
    <x v="1"/>
    <n v="2"/>
    <n v="9368.59"/>
    <n v="23576.799999999999"/>
    <x v="0"/>
  </r>
  <r>
    <x v="0"/>
    <x v="0"/>
    <x v="7"/>
    <x v="0"/>
    <x v="7"/>
    <x v="1"/>
    <x v="1"/>
    <n v="1"/>
    <n v="3732.43"/>
    <n v="9498.16"/>
    <x v="0"/>
  </r>
  <r>
    <x v="0"/>
    <x v="0"/>
    <x v="7"/>
    <x v="0"/>
    <x v="8"/>
    <x v="1"/>
    <x v="1"/>
    <n v="3"/>
    <n v="12881.05"/>
    <n v="31916.46"/>
    <x v="0"/>
  </r>
  <r>
    <x v="0"/>
    <x v="0"/>
    <x v="7"/>
    <x v="1"/>
    <x v="9"/>
    <x v="1"/>
    <x v="1"/>
    <n v="4"/>
    <n v="22920.25"/>
    <n v="56968.99"/>
    <x v="0"/>
  </r>
  <r>
    <x v="0"/>
    <x v="0"/>
    <x v="7"/>
    <x v="1"/>
    <x v="31"/>
    <x v="1"/>
    <x v="0"/>
    <n v="5"/>
    <n v="28899.8"/>
    <n v="75291.92"/>
    <x v="0"/>
  </r>
  <r>
    <x v="0"/>
    <x v="0"/>
    <x v="7"/>
    <x v="1"/>
    <x v="10"/>
    <x v="0"/>
    <x v="1"/>
    <n v="2"/>
    <n v="8900.66"/>
    <n v="35208.449999999997"/>
    <x v="0"/>
  </r>
  <r>
    <x v="0"/>
    <x v="0"/>
    <x v="7"/>
    <x v="1"/>
    <x v="10"/>
    <x v="1"/>
    <x v="0"/>
    <n v="2"/>
    <n v="11680.58"/>
    <n v="29553.43"/>
    <x v="0"/>
  </r>
  <r>
    <x v="0"/>
    <x v="0"/>
    <x v="7"/>
    <x v="1"/>
    <x v="10"/>
    <x v="1"/>
    <x v="1"/>
    <n v="8"/>
    <n v="32594.58"/>
    <n v="87736.75"/>
    <x v="0"/>
  </r>
  <r>
    <x v="0"/>
    <x v="0"/>
    <x v="7"/>
    <x v="1"/>
    <x v="11"/>
    <x v="0"/>
    <x v="1"/>
    <n v="11"/>
    <n v="54431.49"/>
    <n v="208542.38"/>
    <x v="0"/>
  </r>
  <r>
    <x v="0"/>
    <x v="0"/>
    <x v="7"/>
    <x v="1"/>
    <x v="11"/>
    <x v="1"/>
    <x v="0"/>
    <n v="1"/>
    <n v="3446.26"/>
    <n v="8802.11"/>
    <x v="0"/>
  </r>
  <r>
    <x v="0"/>
    <x v="0"/>
    <x v="7"/>
    <x v="1"/>
    <x v="11"/>
    <x v="1"/>
    <x v="1"/>
    <n v="19"/>
    <n v="91636.27"/>
    <n v="230412.17"/>
    <x v="0"/>
  </r>
  <r>
    <x v="0"/>
    <x v="0"/>
    <x v="7"/>
    <x v="1"/>
    <x v="12"/>
    <x v="1"/>
    <x v="0"/>
    <n v="2"/>
    <n v="7225.34"/>
    <n v="19451.32"/>
    <x v="0"/>
  </r>
  <r>
    <x v="0"/>
    <x v="0"/>
    <x v="7"/>
    <x v="1"/>
    <x v="13"/>
    <x v="0"/>
    <x v="1"/>
    <n v="1"/>
    <n v="5861.31"/>
    <n v="21666.74"/>
    <x v="0"/>
  </r>
  <r>
    <x v="0"/>
    <x v="0"/>
    <x v="7"/>
    <x v="1"/>
    <x v="13"/>
    <x v="1"/>
    <x v="1"/>
    <n v="8"/>
    <n v="29298.799999999999"/>
    <n v="77464.02"/>
    <x v="0"/>
  </r>
  <r>
    <x v="0"/>
    <x v="0"/>
    <x v="7"/>
    <x v="1"/>
    <x v="14"/>
    <x v="0"/>
    <x v="1"/>
    <n v="1"/>
    <n v="5728.13"/>
    <n v="21666.74"/>
    <x v="0"/>
  </r>
  <r>
    <x v="0"/>
    <x v="0"/>
    <x v="7"/>
    <x v="1"/>
    <x v="14"/>
    <x v="1"/>
    <x v="0"/>
    <n v="12"/>
    <n v="46549.69"/>
    <n v="119722"/>
    <x v="0"/>
  </r>
  <r>
    <x v="0"/>
    <x v="0"/>
    <x v="7"/>
    <x v="1"/>
    <x v="14"/>
    <x v="1"/>
    <x v="1"/>
    <n v="10"/>
    <n v="48835.25"/>
    <n v="129808.15"/>
    <x v="0"/>
  </r>
  <r>
    <x v="0"/>
    <x v="0"/>
    <x v="7"/>
    <x v="1"/>
    <x v="15"/>
    <x v="1"/>
    <x v="0"/>
    <n v="5"/>
    <n v="27074.2"/>
    <n v="70837.69"/>
    <x v="0"/>
  </r>
  <r>
    <x v="0"/>
    <x v="0"/>
    <x v="7"/>
    <x v="1"/>
    <x v="15"/>
    <x v="1"/>
    <x v="1"/>
    <n v="1"/>
    <n v="3606.3"/>
    <n v="9825.19"/>
    <x v="0"/>
  </r>
  <r>
    <x v="0"/>
    <x v="0"/>
    <x v="7"/>
    <x v="1"/>
    <x v="16"/>
    <x v="0"/>
    <x v="1"/>
    <n v="1"/>
    <n v="5694.59"/>
    <n v="21666.74"/>
    <x v="0"/>
  </r>
  <r>
    <x v="0"/>
    <x v="0"/>
    <x v="7"/>
    <x v="1"/>
    <x v="16"/>
    <x v="1"/>
    <x v="0"/>
    <n v="1"/>
    <n v="5739.91"/>
    <n v="14256.71"/>
    <x v="0"/>
  </r>
  <r>
    <x v="0"/>
    <x v="0"/>
    <x v="7"/>
    <x v="1"/>
    <x v="16"/>
    <x v="1"/>
    <x v="1"/>
    <n v="7"/>
    <n v="36999.42"/>
    <n v="89995.51"/>
    <x v="0"/>
  </r>
  <r>
    <x v="0"/>
    <x v="0"/>
    <x v="7"/>
    <x v="1"/>
    <x v="17"/>
    <x v="0"/>
    <x v="1"/>
    <n v="3"/>
    <n v="16952.599999999999"/>
    <n v="65000.22"/>
    <x v="0"/>
  </r>
  <r>
    <x v="0"/>
    <x v="0"/>
    <x v="7"/>
    <x v="1"/>
    <x v="17"/>
    <x v="1"/>
    <x v="0"/>
    <n v="1"/>
    <n v="5743.58"/>
    <n v="14386.72"/>
    <x v="0"/>
  </r>
  <r>
    <x v="0"/>
    <x v="0"/>
    <x v="7"/>
    <x v="1"/>
    <x v="17"/>
    <x v="1"/>
    <x v="1"/>
    <n v="4"/>
    <n v="19510.7"/>
    <n v="49454.33"/>
    <x v="0"/>
  </r>
  <r>
    <x v="0"/>
    <x v="0"/>
    <x v="7"/>
    <x v="1"/>
    <x v="18"/>
    <x v="0"/>
    <x v="1"/>
    <n v="4"/>
    <n v="20588.53"/>
    <n v="79219.02"/>
    <x v="0"/>
  </r>
  <r>
    <x v="0"/>
    <x v="0"/>
    <x v="7"/>
    <x v="1"/>
    <x v="18"/>
    <x v="1"/>
    <x v="0"/>
    <n v="1"/>
    <n v="5822.84"/>
    <n v="14319.83"/>
    <x v="0"/>
  </r>
  <r>
    <x v="0"/>
    <x v="0"/>
    <x v="7"/>
    <x v="1"/>
    <x v="18"/>
    <x v="1"/>
    <x v="1"/>
    <n v="17"/>
    <n v="88553.82"/>
    <n v="231953.55"/>
    <x v="0"/>
  </r>
  <r>
    <x v="0"/>
    <x v="0"/>
    <x v="7"/>
    <x v="1"/>
    <x v="19"/>
    <x v="0"/>
    <x v="1"/>
    <n v="2"/>
    <n v="11278.29"/>
    <n v="43333.48"/>
    <x v="0"/>
  </r>
  <r>
    <x v="0"/>
    <x v="0"/>
    <x v="7"/>
    <x v="1"/>
    <x v="19"/>
    <x v="1"/>
    <x v="0"/>
    <n v="6"/>
    <n v="28699.52"/>
    <n v="74385.98"/>
    <x v="0"/>
  </r>
  <r>
    <x v="0"/>
    <x v="0"/>
    <x v="7"/>
    <x v="1"/>
    <x v="19"/>
    <x v="1"/>
    <x v="1"/>
    <n v="13"/>
    <n v="61790.7"/>
    <n v="160886.16"/>
    <x v="0"/>
  </r>
  <r>
    <x v="0"/>
    <x v="0"/>
    <x v="7"/>
    <x v="1"/>
    <x v="20"/>
    <x v="0"/>
    <x v="0"/>
    <n v="1"/>
    <n v="5458.32"/>
    <n v="21666.74"/>
    <x v="0"/>
  </r>
  <r>
    <x v="0"/>
    <x v="0"/>
    <x v="7"/>
    <x v="1"/>
    <x v="20"/>
    <x v="0"/>
    <x v="1"/>
    <n v="4"/>
    <n v="19340.98"/>
    <n v="74479.42"/>
    <x v="0"/>
  </r>
  <r>
    <x v="0"/>
    <x v="0"/>
    <x v="7"/>
    <x v="1"/>
    <x v="20"/>
    <x v="1"/>
    <x v="0"/>
    <n v="3"/>
    <n v="11189.28"/>
    <n v="28281.19"/>
    <x v="0"/>
  </r>
  <r>
    <x v="0"/>
    <x v="0"/>
    <x v="7"/>
    <x v="1"/>
    <x v="20"/>
    <x v="1"/>
    <x v="1"/>
    <n v="17"/>
    <n v="78345.5"/>
    <n v="202961.16"/>
    <x v="0"/>
  </r>
  <r>
    <x v="0"/>
    <x v="0"/>
    <x v="7"/>
    <x v="2"/>
    <x v="21"/>
    <x v="1"/>
    <x v="1"/>
    <n v="3"/>
    <n v="11315.58"/>
    <n v="25977.75"/>
    <x v="0"/>
  </r>
  <r>
    <x v="0"/>
    <x v="0"/>
    <x v="7"/>
    <x v="2"/>
    <x v="22"/>
    <x v="1"/>
    <x v="1"/>
    <n v="8"/>
    <n v="41567.160000000003"/>
    <n v="95840.27"/>
    <x v="0"/>
  </r>
  <r>
    <x v="0"/>
    <x v="0"/>
    <x v="7"/>
    <x v="2"/>
    <x v="29"/>
    <x v="1"/>
    <x v="1"/>
    <n v="2"/>
    <n v="10650.36"/>
    <n v="26740.39"/>
    <x v="0"/>
  </r>
  <r>
    <x v="0"/>
    <x v="0"/>
    <x v="7"/>
    <x v="2"/>
    <x v="23"/>
    <x v="1"/>
    <x v="1"/>
    <n v="5"/>
    <n v="18219.599999999999"/>
    <n v="45073.599999999999"/>
    <x v="0"/>
  </r>
  <r>
    <x v="0"/>
    <x v="0"/>
    <x v="7"/>
    <x v="2"/>
    <x v="24"/>
    <x v="1"/>
    <x v="1"/>
    <n v="7"/>
    <n v="27823.86"/>
    <n v="65907.520000000004"/>
    <x v="0"/>
  </r>
  <r>
    <x v="0"/>
    <x v="0"/>
    <x v="7"/>
    <x v="3"/>
    <x v="25"/>
    <x v="1"/>
    <x v="0"/>
    <n v="1"/>
    <n v="5593.48"/>
    <n v="14841.72"/>
    <x v="0"/>
  </r>
  <r>
    <x v="0"/>
    <x v="0"/>
    <x v="7"/>
    <x v="3"/>
    <x v="26"/>
    <x v="0"/>
    <x v="1"/>
    <n v="1"/>
    <n v="3689.34"/>
    <n v="14218.8"/>
    <x v="0"/>
  </r>
  <r>
    <x v="0"/>
    <x v="0"/>
    <x v="7"/>
    <x v="3"/>
    <x v="26"/>
    <x v="1"/>
    <x v="1"/>
    <n v="12"/>
    <n v="54725.59"/>
    <n v="146230.17000000001"/>
    <x v="0"/>
  </r>
  <r>
    <x v="0"/>
    <x v="0"/>
    <x v="7"/>
    <x v="3"/>
    <x v="27"/>
    <x v="0"/>
    <x v="0"/>
    <n v="4"/>
    <n v="16938.11"/>
    <n v="65677.31"/>
    <x v="0"/>
  </r>
  <r>
    <x v="0"/>
    <x v="0"/>
    <x v="7"/>
    <x v="3"/>
    <x v="27"/>
    <x v="0"/>
    <x v="1"/>
    <n v="1"/>
    <n v="3690.55"/>
    <n v="14218.8"/>
    <x v="0"/>
  </r>
  <r>
    <x v="0"/>
    <x v="0"/>
    <x v="7"/>
    <x v="3"/>
    <x v="27"/>
    <x v="1"/>
    <x v="0"/>
    <n v="18"/>
    <n v="95264.45"/>
    <n v="243403.48"/>
    <x v="0"/>
  </r>
  <r>
    <x v="0"/>
    <x v="0"/>
    <x v="7"/>
    <x v="3"/>
    <x v="27"/>
    <x v="1"/>
    <x v="1"/>
    <n v="19"/>
    <n v="91094.13"/>
    <n v="239587.58"/>
    <x v="0"/>
  </r>
  <r>
    <x v="0"/>
    <x v="0"/>
    <x v="8"/>
    <x v="0"/>
    <x v="0"/>
    <x v="0"/>
    <x v="0"/>
    <n v="3"/>
    <n v="10770.78"/>
    <n v="37242.120000000003"/>
    <x v="0"/>
  </r>
  <r>
    <x v="0"/>
    <x v="0"/>
    <x v="8"/>
    <x v="0"/>
    <x v="0"/>
    <x v="0"/>
    <x v="1"/>
    <n v="1"/>
    <n v="3988.94"/>
    <n v="13698.25"/>
    <x v="0"/>
  </r>
  <r>
    <x v="0"/>
    <x v="0"/>
    <x v="8"/>
    <x v="0"/>
    <x v="0"/>
    <x v="1"/>
    <x v="0"/>
    <n v="2"/>
    <n v="5057.84"/>
    <n v="11758.24"/>
    <x v="0"/>
  </r>
  <r>
    <x v="0"/>
    <x v="0"/>
    <x v="8"/>
    <x v="0"/>
    <x v="0"/>
    <x v="1"/>
    <x v="1"/>
    <n v="6"/>
    <n v="18769.63"/>
    <n v="42833.59"/>
    <x v="0"/>
  </r>
  <r>
    <x v="0"/>
    <x v="0"/>
    <x v="8"/>
    <x v="0"/>
    <x v="1"/>
    <x v="0"/>
    <x v="0"/>
    <n v="7"/>
    <n v="23706.19"/>
    <n v="84329.86"/>
    <x v="0"/>
  </r>
  <r>
    <x v="0"/>
    <x v="0"/>
    <x v="8"/>
    <x v="0"/>
    <x v="1"/>
    <x v="0"/>
    <x v="1"/>
    <n v="5"/>
    <n v="15480.39"/>
    <n v="56077.22"/>
    <x v="0"/>
  </r>
  <r>
    <x v="0"/>
    <x v="0"/>
    <x v="8"/>
    <x v="0"/>
    <x v="1"/>
    <x v="1"/>
    <x v="0"/>
    <n v="20"/>
    <n v="65893.62"/>
    <n v="149185.09"/>
    <x v="0"/>
  </r>
  <r>
    <x v="0"/>
    <x v="0"/>
    <x v="8"/>
    <x v="0"/>
    <x v="1"/>
    <x v="1"/>
    <x v="1"/>
    <n v="22"/>
    <n v="66893.070000000007"/>
    <n v="152763.34"/>
    <x v="0"/>
  </r>
  <r>
    <x v="0"/>
    <x v="0"/>
    <x v="8"/>
    <x v="0"/>
    <x v="2"/>
    <x v="0"/>
    <x v="1"/>
    <n v="1"/>
    <n v="2517.42"/>
    <n v="8989.48"/>
    <x v="0"/>
  </r>
  <r>
    <x v="0"/>
    <x v="0"/>
    <x v="8"/>
    <x v="0"/>
    <x v="2"/>
    <x v="1"/>
    <x v="0"/>
    <n v="1"/>
    <n v="2809.86"/>
    <n v="6114.13"/>
    <x v="0"/>
  </r>
  <r>
    <x v="0"/>
    <x v="0"/>
    <x v="8"/>
    <x v="0"/>
    <x v="2"/>
    <x v="1"/>
    <x v="1"/>
    <n v="20"/>
    <n v="69505.23"/>
    <n v="153786.54999999999"/>
    <x v="0"/>
  </r>
  <r>
    <x v="0"/>
    <x v="0"/>
    <x v="8"/>
    <x v="0"/>
    <x v="3"/>
    <x v="0"/>
    <x v="0"/>
    <n v="3"/>
    <n v="10711.2"/>
    <n v="37242.120000000003"/>
    <x v="0"/>
  </r>
  <r>
    <x v="0"/>
    <x v="0"/>
    <x v="8"/>
    <x v="0"/>
    <x v="3"/>
    <x v="0"/>
    <x v="1"/>
    <n v="8"/>
    <n v="28284.720000000001"/>
    <n v="99312.320000000007"/>
    <x v="0"/>
  </r>
  <r>
    <x v="0"/>
    <x v="0"/>
    <x v="8"/>
    <x v="0"/>
    <x v="3"/>
    <x v="1"/>
    <x v="0"/>
    <n v="7"/>
    <n v="22334.48"/>
    <n v="50438.52"/>
    <x v="0"/>
  </r>
  <r>
    <x v="0"/>
    <x v="0"/>
    <x v="8"/>
    <x v="0"/>
    <x v="3"/>
    <x v="1"/>
    <x v="1"/>
    <n v="41"/>
    <n v="126691.78"/>
    <n v="291707.73"/>
    <x v="0"/>
  </r>
  <r>
    <x v="0"/>
    <x v="0"/>
    <x v="8"/>
    <x v="0"/>
    <x v="28"/>
    <x v="1"/>
    <x v="1"/>
    <n v="1"/>
    <n v="2494.85"/>
    <n v="5599.16"/>
    <x v="0"/>
  </r>
  <r>
    <x v="0"/>
    <x v="0"/>
    <x v="8"/>
    <x v="0"/>
    <x v="4"/>
    <x v="0"/>
    <x v="1"/>
    <n v="4"/>
    <n v="14219.74"/>
    <n v="50940.37"/>
    <x v="0"/>
  </r>
  <r>
    <x v="0"/>
    <x v="0"/>
    <x v="8"/>
    <x v="0"/>
    <x v="4"/>
    <x v="1"/>
    <x v="0"/>
    <n v="4"/>
    <n v="15333.25"/>
    <n v="35067.519999999997"/>
    <x v="0"/>
  </r>
  <r>
    <x v="0"/>
    <x v="0"/>
    <x v="8"/>
    <x v="0"/>
    <x v="4"/>
    <x v="1"/>
    <x v="1"/>
    <n v="7"/>
    <n v="27421.89"/>
    <n v="61368.160000000003"/>
    <x v="0"/>
  </r>
  <r>
    <x v="0"/>
    <x v="0"/>
    <x v="8"/>
    <x v="0"/>
    <x v="5"/>
    <x v="0"/>
    <x v="1"/>
    <n v="7"/>
    <n v="20825.12"/>
    <n v="74484.25"/>
    <x v="0"/>
  </r>
  <r>
    <x v="0"/>
    <x v="0"/>
    <x v="8"/>
    <x v="0"/>
    <x v="5"/>
    <x v="1"/>
    <x v="1"/>
    <n v="29"/>
    <n v="98273.36"/>
    <n v="227935.47"/>
    <x v="0"/>
  </r>
  <r>
    <x v="0"/>
    <x v="0"/>
    <x v="8"/>
    <x v="0"/>
    <x v="6"/>
    <x v="0"/>
    <x v="1"/>
    <n v="3"/>
    <n v="9550"/>
    <n v="33389.49"/>
    <x v="0"/>
  </r>
  <r>
    <x v="0"/>
    <x v="0"/>
    <x v="8"/>
    <x v="0"/>
    <x v="7"/>
    <x v="1"/>
    <x v="1"/>
    <n v="4"/>
    <n v="10649.12"/>
    <n v="25449.64"/>
    <x v="0"/>
  </r>
  <r>
    <x v="0"/>
    <x v="0"/>
    <x v="8"/>
    <x v="0"/>
    <x v="8"/>
    <x v="0"/>
    <x v="1"/>
    <n v="2"/>
    <n v="7937.2"/>
    <n v="27396.5"/>
    <x v="0"/>
  </r>
  <r>
    <x v="0"/>
    <x v="0"/>
    <x v="8"/>
    <x v="0"/>
    <x v="8"/>
    <x v="1"/>
    <x v="1"/>
    <n v="3"/>
    <n v="8932.09"/>
    <n v="20178.39"/>
    <x v="0"/>
  </r>
  <r>
    <x v="0"/>
    <x v="0"/>
    <x v="8"/>
    <x v="1"/>
    <x v="30"/>
    <x v="1"/>
    <x v="0"/>
    <n v="3"/>
    <n v="10742.48"/>
    <n v="25659.82"/>
    <x v="0"/>
  </r>
  <r>
    <x v="0"/>
    <x v="0"/>
    <x v="8"/>
    <x v="1"/>
    <x v="9"/>
    <x v="1"/>
    <x v="1"/>
    <n v="4"/>
    <n v="14082.82"/>
    <n v="34457.949999999997"/>
    <x v="0"/>
  </r>
  <r>
    <x v="0"/>
    <x v="0"/>
    <x v="8"/>
    <x v="1"/>
    <x v="31"/>
    <x v="1"/>
    <x v="0"/>
    <n v="5"/>
    <n v="19579.349999999999"/>
    <n v="47601.42"/>
    <x v="0"/>
  </r>
  <r>
    <x v="0"/>
    <x v="0"/>
    <x v="8"/>
    <x v="1"/>
    <x v="10"/>
    <x v="0"/>
    <x v="0"/>
    <n v="1"/>
    <n v="3822.36"/>
    <n v="13698.25"/>
    <x v="0"/>
  </r>
  <r>
    <x v="0"/>
    <x v="0"/>
    <x v="8"/>
    <x v="1"/>
    <x v="10"/>
    <x v="0"/>
    <x v="1"/>
    <n v="2"/>
    <n v="5266.1"/>
    <n v="18835.099999999999"/>
    <x v="0"/>
  </r>
  <r>
    <x v="0"/>
    <x v="0"/>
    <x v="8"/>
    <x v="1"/>
    <x v="10"/>
    <x v="1"/>
    <x v="0"/>
    <n v="6"/>
    <n v="22249.78"/>
    <n v="52549.91"/>
    <x v="0"/>
  </r>
  <r>
    <x v="0"/>
    <x v="0"/>
    <x v="8"/>
    <x v="1"/>
    <x v="10"/>
    <x v="1"/>
    <x v="1"/>
    <n v="19"/>
    <n v="73347.509999999995"/>
    <n v="176814.29"/>
    <x v="0"/>
  </r>
  <r>
    <x v="0"/>
    <x v="0"/>
    <x v="8"/>
    <x v="1"/>
    <x v="11"/>
    <x v="0"/>
    <x v="1"/>
    <n v="11"/>
    <n v="38892.99"/>
    <n v="138266.72"/>
    <x v="0"/>
  </r>
  <r>
    <x v="0"/>
    <x v="0"/>
    <x v="8"/>
    <x v="1"/>
    <x v="11"/>
    <x v="1"/>
    <x v="0"/>
    <n v="5"/>
    <n v="18456.11"/>
    <n v="40771.39"/>
    <x v="0"/>
  </r>
  <r>
    <x v="0"/>
    <x v="0"/>
    <x v="8"/>
    <x v="1"/>
    <x v="11"/>
    <x v="1"/>
    <x v="1"/>
    <n v="14"/>
    <n v="48139.63"/>
    <n v="110463.55"/>
    <x v="0"/>
  </r>
  <r>
    <x v="0"/>
    <x v="0"/>
    <x v="8"/>
    <x v="1"/>
    <x v="12"/>
    <x v="1"/>
    <x v="1"/>
    <n v="4"/>
    <n v="10351.4"/>
    <n v="25180.81"/>
    <x v="0"/>
  </r>
  <r>
    <x v="0"/>
    <x v="0"/>
    <x v="8"/>
    <x v="1"/>
    <x v="13"/>
    <x v="0"/>
    <x v="1"/>
    <n v="4"/>
    <n v="15616.03"/>
    <n v="54793"/>
    <x v="0"/>
  </r>
  <r>
    <x v="0"/>
    <x v="0"/>
    <x v="8"/>
    <x v="1"/>
    <x v="13"/>
    <x v="1"/>
    <x v="1"/>
    <n v="3"/>
    <n v="10577.34"/>
    <n v="25361.89"/>
    <x v="0"/>
  </r>
  <r>
    <x v="0"/>
    <x v="0"/>
    <x v="8"/>
    <x v="1"/>
    <x v="14"/>
    <x v="0"/>
    <x v="1"/>
    <n v="5"/>
    <n v="15965.12"/>
    <n v="56933.36"/>
    <x v="0"/>
  </r>
  <r>
    <x v="0"/>
    <x v="0"/>
    <x v="8"/>
    <x v="1"/>
    <x v="14"/>
    <x v="1"/>
    <x v="0"/>
    <n v="10"/>
    <n v="30955.439999999999"/>
    <n v="75205.11"/>
    <x v="0"/>
  </r>
  <r>
    <x v="0"/>
    <x v="0"/>
    <x v="8"/>
    <x v="1"/>
    <x v="14"/>
    <x v="1"/>
    <x v="1"/>
    <n v="2"/>
    <n v="7744.84"/>
    <n v="18300.86"/>
    <x v="0"/>
  </r>
  <r>
    <x v="0"/>
    <x v="0"/>
    <x v="8"/>
    <x v="1"/>
    <x v="15"/>
    <x v="1"/>
    <x v="1"/>
    <n v="2"/>
    <n v="5389.9"/>
    <n v="13606.65"/>
    <x v="0"/>
  </r>
  <r>
    <x v="0"/>
    <x v="0"/>
    <x v="8"/>
    <x v="1"/>
    <x v="16"/>
    <x v="0"/>
    <x v="1"/>
    <n v="2"/>
    <n v="7741.84"/>
    <n v="27396.5"/>
    <x v="0"/>
  </r>
  <r>
    <x v="0"/>
    <x v="0"/>
    <x v="8"/>
    <x v="1"/>
    <x v="16"/>
    <x v="1"/>
    <x v="0"/>
    <n v="15"/>
    <n v="51537.21"/>
    <n v="118301.54"/>
    <x v="0"/>
  </r>
  <r>
    <x v="0"/>
    <x v="0"/>
    <x v="8"/>
    <x v="1"/>
    <x v="16"/>
    <x v="1"/>
    <x v="1"/>
    <n v="3"/>
    <n v="7873.18"/>
    <n v="18026.91"/>
    <x v="0"/>
  </r>
  <r>
    <x v="0"/>
    <x v="0"/>
    <x v="8"/>
    <x v="1"/>
    <x v="17"/>
    <x v="0"/>
    <x v="1"/>
    <n v="2"/>
    <n v="6854.96"/>
    <n v="23543.87"/>
    <x v="0"/>
  </r>
  <r>
    <x v="0"/>
    <x v="0"/>
    <x v="8"/>
    <x v="1"/>
    <x v="17"/>
    <x v="1"/>
    <x v="0"/>
    <n v="1"/>
    <n v="3964.55"/>
    <n v="9095.64"/>
    <x v="0"/>
  </r>
  <r>
    <x v="0"/>
    <x v="0"/>
    <x v="8"/>
    <x v="1"/>
    <x v="17"/>
    <x v="1"/>
    <x v="1"/>
    <n v="3"/>
    <n v="7889.92"/>
    <n v="18759.759999999998"/>
    <x v="0"/>
  </r>
  <r>
    <x v="0"/>
    <x v="0"/>
    <x v="8"/>
    <x v="1"/>
    <x v="18"/>
    <x v="0"/>
    <x v="1"/>
    <n v="7"/>
    <n v="23320.11"/>
    <n v="82617.58"/>
    <x v="0"/>
  </r>
  <r>
    <x v="0"/>
    <x v="0"/>
    <x v="8"/>
    <x v="1"/>
    <x v="18"/>
    <x v="1"/>
    <x v="0"/>
    <n v="6"/>
    <n v="21761.58"/>
    <n v="54444.13"/>
    <x v="0"/>
  </r>
  <r>
    <x v="0"/>
    <x v="0"/>
    <x v="8"/>
    <x v="1"/>
    <x v="18"/>
    <x v="1"/>
    <x v="1"/>
    <n v="26"/>
    <n v="90770.33"/>
    <n v="222282.01"/>
    <x v="0"/>
  </r>
  <r>
    <x v="0"/>
    <x v="0"/>
    <x v="8"/>
    <x v="1"/>
    <x v="19"/>
    <x v="0"/>
    <x v="1"/>
    <n v="5"/>
    <n v="18016.96"/>
    <n v="63782.48"/>
    <x v="0"/>
  </r>
  <r>
    <x v="0"/>
    <x v="0"/>
    <x v="8"/>
    <x v="1"/>
    <x v="19"/>
    <x v="1"/>
    <x v="0"/>
    <n v="13"/>
    <n v="50221.18"/>
    <n v="120024.06"/>
    <x v="0"/>
  </r>
  <r>
    <x v="0"/>
    <x v="0"/>
    <x v="8"/>
    <x v="1"/>
    <x v="19"/>
    <x v="1"/>
    <x v="1"/>
    <n v="20"/>
    <n v="76269.179999999993"/>
    <n v="184652.4"/>
    <x v="0"/>
  </r>
  <r>
    <x v="0"/>
    <x v="0"/>
    <x v="8"/>
    <x v="1"/>
    <x v="20"/>
    <x v="0"/>
    <x v="0"/>
    <n v="1"/>
    <n v="3853.62"/>
    <n v="13698.25"/>
    <x v="0"/>
  </r>
  <r>
    <x v="0"/>
    <x v="0"/>
    <x v="8"/>
    <x v="1"/>
    <x v="20"/>
    <x v="0"/>
    <x v="1"/>
    <n v="11"/>
    <n v="36625.269999999997"/>
    <n v="130561.46"/>
    <x v="0"/>
  </r>
  <r>
    <x v="0"/>
    <x v="0"/>
    <x v="8"/>
    <x v="1"/>
    <x v="20"/>
    <x v="1"/>
    <x v="0"/>
    <n v="14"/>
    <n v="42670.46"/>
    <n v="97824.92"/>
    <x v="0"/>
  </r>
  <r>
    <x v="0"/>
    <x v="0"/>
    <x v="8"/>
    <x v="1"/>
    <x v="20"/>
    <x v="1"/>
    <x v="1"/>
    <n v="25"/>
    <n v="81515.520000000004"/>
    <n v="190928.75"/>
    <x v="0"/>
  </r>
  <r>
    <x v="0"/>
    <x v="0"/>
    <x v="8"/>
    <x v="2"/>
    <x v="22"/>
    <x v="0"/>
    <x v="1"/>
    <n v="3"/>
    <n v="11497.58"/>
    <n v="41094.75"/>
    <x v="0"/>
  </r>
  <r>
    <x v="0"/>
    <x v="0"/>
    <x v="8"/>
    <x v="2"/>
    <x v="22"/>
    <x v="1"/>
    <x v="0"/>
    <n v="8"/>
    <n v="28421.55"/>
    <n v="62045.37"/>
    <x v="0"/>
  </r>
  <r>
    <x v="0"/>
    <x v="0"/>
    <x v="8"/>
    <x v="2"/>
    <x v="22"/>
    <x v="1"/>
    <x v="1"/>
    <n v="7"/>
    <n v="22913.74"/>
    <n v="49010.64"/>
    <x v="0"/>
  </r>
  <r>
    <x v="0"/>
    <x v="0"/>
    <x v="8"/>
    <x v="2"/>
    <x v="29"/>
    <x v="0"/>
    <x v="1"/>
    <n v="4"/>
    <n v="13109.39"/>
    <n v="47087.74"/>
    <x v="0"/>
  </r>
  <r>
    <x v="0"/>
    <x v="0"/>
    <x v="8"/>
    <x v="2"/>
    <x v="23"/>
    <x v="1"/>
    <x v="1"/>
    <n v="3"/>
    <n v="7301.94"/>
    <n v="17097.990000000002"/>
    <x v="0"/>
  </r>
  <r>
    <x v="0"/>
    <x v="0"/>
    <x v="8"/>
    <x v="2"/>
    <x v="24"/>
    <x v="0"/>
    <x v="1"/>
    <n v="3"/>
    <n v="11685.91"/>
    <n v="41094.75"/>
    <x v="0"/>
  </r>
  <r>
    <x v="0"/>
    <x v="0"/>
    <x v="8"/>
    <x v="2"/>
    <x v="24"/>
    <x v="1"/>
    <x v="0"/>
    <n v="2"/>
    <n v="7819.12"/>
    <n v="16985.82"/>
    <x v="0"/>
  </r>
  <r>
    <x v="0"/>
    <x v="0"/>
    <x v="8"/>
    <x v="2"/>
    <x v="24"/>
    <x v="1"/>
    <x v="1"/>
    <n v="2"/>
    <n v="7782.38"/>
    <n v="16985.830000000002"/>
    <x v="0"/>
  </r>
  <r>
    <x v="0"/>
    <x v="0"/>
    <x v="8"/>
    <x v="3"/>
    <x v="25"/>
    <x v="0"/>
    <x v="1"/>
    <n v="3"/>
    <n v="7952.93"/>
    <n v="28680.720000000001"/>
    <x v="0"/>
  </r>
  <r>
    <x v="0"/>
    <x v="0"/>
    <x v="8"/>
    <x v="3"/>
    <x v="25"/>
    <x v="1"/>
    <x v="0"/>
    <n v="4"/>
    <n v="13731.44"/>
    <n v="31912.04"/>
    <x v="0"/>
  </r>
  <r>
    <x v="0"/>
    <x v="0"/>
    <x v="8"/>
    <x v="3"/>
    <x v="25"/>
    <x v="1"/>
    <x v="1"/>
    <n v="4"/>
    <n v="13708.14"/>
    <n v="34894.15"/>
    <x v="0"/>
  </r>
  <r>
    <x v="0"/>
    <x v="0"/>
    <x v="8"/>
    <x v="3"/>
    <x v="26"/>
    <x v="0"/>
    <x v="0"/>
    <n v="1"/>
    <n v="3915.24"/>
    <n v="13698.25"/>
    <x v="0"/>
  </r>
  <r>
    <x v="0"/>
    <x v="0"/>
    <x v="8"/>
    <x v="3"/>
    <x v="26"/>
    <x v="0"/>
    <x v="1"/>
    <n v="2"/>
    <n v="6685.7"/>
    <n v="23543.87"/>
    <x v="0"/>
  </r>
  <r>
    <x v="0"/>
    <x v="0"/>
    <x v="8"/>
    <x v="3"/>
    <x v="26"/>
    <x v="1"/>
    <x v="0"/>
    <n v="7"/>
    <n v="25280.07"/>
    <n v="62618.12"/>
    <x v="0"/>
  </r>
  <r>
    <x v="0"/>
    <x v="0"/>
    <x v="8"/>
    <x v="3"/>
    <x v="26"/>
    <x v="1"/>
    <x v="1"/>
    <n v="18"/>
    <n v="63936.23"/>
    <n v="156385.04999999999"/>
    <x v="0"/>
  </r>
  <r>
    <x v="0"/>
    <x v="0"/>
    <x v="8"/>
    <x v="3"/>
    <x v="27"/>
    <x v="0"/>
    <x v="0"/>
    <n v="3"/>
    <n v="9214.69"/>
    <n v="33389.49"/>
    <x v="0"/>
  </r>
  <r>
    <x v="0"/>
    <x v="0"/>
    <x v="8"/>
    <x v="3"/>
    <x v="27"/>
    <x v="0"/>
    <x v="1"/>
    <n v="11"/>
    <n v="29959.16"/>
    <n v="107873.75"/>
    <x v="0"/>
  </r>
  <r>
    <x v="0"/>
    <x v="0"/>
    <x v="8"/>
    <x v="3"/>
    <x v="27"/>
    <x v="1"/>
    <x v="0"/>
    <n v="15"/>
    <n v="55549.279999999999"/>
    <n v="133889.28"/>
    <x v="0"/>
  </r>
  <r>
    <x v="0"/>
    <x v="0"/>
    <x v="8"/>
    <x v="3"/>
    <x v="27"/>
    <x v="1"/>
    <x v="1"/>
    <n v="20"/>
    <n v="67369.919999999998"/>
    <n v="161710.44"/>
    <x v="0"/>
  </r>
  <r>
    <x v="0"/>
    <x v="0"/>
    <x v="9"/>
    <x v="0"/>
    <x v="0"/>
    <x v="0"/>
    <x v="0"/>
    <n v="6"/>
    <n v="14571.97"/>
    <n v="49835.24"/>
    <x v="0"/>
  </r>
  <r>
    <x v="0"/>
    <x v="0"/>
    <x v="9"/>
    <x v="0"/>
    <x v="0"/>
    <x v="1"/>
    <x v="0"/>
    <n v="3"/>
    <n v="8696.77"/>
    <n v="19667.830000000002"/>
    <x v="0"/>
  </r>
  <r>
    <x v="0"/>
    <x v="0"/>
    <x v="9"/>
    <x v="0"/>
    <x v="0"/>
    <x v="1"/>
    <x v="1"/>
    <n v="13"/>
    <n v="34391.32"/>
    <n v="76204.88"/>
    <x v="0"/>
  </r>
  <r>
    <x v="0"/>
    <x v="0"/>
    <x v="9"/>
    <x v="0"/>
    <x v="1"/>
    <x v="0"/>
    <x v="1"/>
    <n v="4"/>
    <n v="9850.66"/>
    <n v="33343"/>
    <x v="0"/>
  </r>
  <r>
    <x v="0"/>
    <x v="0"/>
    <x v="9"/>
    <x v="0"/>
    <x v="1"/>
    <x v="1"/>
    <x v="0"/>
    <n v="9"/>
    <n v="22074.26"/>
    <n v="48794.16"/>
    <x v="0"/>
  </r>
  <r>
    <x v="0"/>
    <x v="0"/>
    <x v="9"/>
    <x v="0"/>
    <x v="1"/>
    <x v="1"/>
    <x v="1"/>
    <n v="20"/>
    <n v="60883.29"/>
    <n v="133701.42000000001"/>
    <x v="0"/>
  </r>
  <r>
    <x v="0"/>
    <x v="0"/>
    <x v="9"/>
    <x v="0"/>
    <x v="2"/>
    <x v="0"/>
    <x v="1"/>
    <n v="4"/>
    <n v="9700.51"/>
    <n v="33343"/>
    <x v="0"/>
  </r>
  <r>
    <x v="0"/>
    <x v="0"/>
    <x v="9"/>
    <x v="0"/>
    <x v="2"/>
    <x v="1"/>
    <x v="1"/>
    <n v="10"/>
    <n v="25692.33"/>
    <n v="55526.25"/>
    <x v="0"/>
  </r>
  <r>
    <x v="0"/>
    <x v="0"/>
    <x v="9"/>
    <x v="0"/>
    <x v="3"/>
    <x v="0"/>
    <x v="0"/>
    <n v="2"/>
    <n v="6702.74"/>
    <n v="22945.72"/>
    <x v="0"/>
  </r>
  <r>
    <x v="0"/>
    <x v="0"/>
    <x v="9"/>
    <x v="0"/>
    <x v="3"/>
    <x v="0"/>
    <x v="1"/>
    <n v="5"/>
    <n v="11872.56"/>
    <n v="40872.06"/>
    <x v="0"/>
  </r>
  <r>
    <x v="0"/>
    <x v="0"/>
    <x v="9"/>
    <x v="0"/>
    <x v="3"/>
    <x v="1"/>
    <x v="0"/>
    <n v="5"/>
    <n v="11449.3"/>
    <n v="25229.72"/>
    <x v="0"/>
  </r>
  <r>
    <x v="0"/>
    <x v="0"/>
    <x v="9"/>
    <x v="0"/>
    <x v="3"/>
    <x v="1"/>
    <x v="1"/>
    <n v="5"/>
    <n v="12192.47"/>
    <n v="27329.8"/>
    <x v="0"/>
  </r>
  <r>
    <x v="0"/>
    <x v="0"/>
    <x v="9"/>
    <x v="0"/>
    <x v="28"/>
    <x v="1"/>
    <x v="1"/>
    <n v="1"/>
    <n v="3384.49"/>
    <n v="7503.25"/>
    <x v="0"/>
  </r>
  <r>
    <x v="0"/>
    <x v="0"/>
    <x v="9"/>
    <x v="0"/>
    <x v="4"/>
    <x v="0"/>
    <x v="1"/>
    <n v="2"/>
    <n v="4319.3599999999997"/>
    <n v="15058.12"/>
    <x v="0"/>
  </r>
  <r>
    <x v="0"/>
    <x v="0"/>
    <x v="9"/>
    <x v="0"/>
    <x v="4"/>
    <x v="1"/>
    <x v="0"/>
    <n v="7"/>
    <n v="21192.85"/>
    <n v="46350.35"/>
    <x v="0"/>
  </r>
  <r>
    <x v="0"/>
    <x v="0"/>
    <x v="9"/>
    <x v="0"/>
    <x v="5"/>
    <x v="0"/>
    <x v="1"/>
    <n v="7"/>
    <n v="20291.38"/>
    <n v="69912.740000000005"/>
    <x v="0"/>
  </r>
  <r>
    <x v="0"/>
    <x v="0"/>
    <x v="9"/>
    <x v="0"/>
    <x v="5"/>
    <x v="1"/>
    <x v="0"/>
    <n v="5"/>
    <n v="10025.549999999999"/>
    <n v="23626.93"/>
    <x v="0"/>
  </r>
  <r>
    <x v="0"/>
    <x v="0"/>
    <x v="9"/>
    <x v="0"/>
    <x v="5"/>
    <x v="1"/>
    <x v="1"/>
    <n v="16"/>
    <n v="40624.660000000003"/>
    <n v="91908.74"/>
    <x v="0"/>
  </r>
  <r>
    <x v="0"/>
    <x v="0"/>
    <x v="9"/>
    <x v="0"/>
    <x v="6"/>
    <x v="0"/>
    <x v="1"/>
    <n v="1"/>
    <n v="2093.1"/>
    <n v="7529.06"/>
    <x v="0"/>
  </r>
  <r>
    <x v="0"/>
    <x v="0"/>
    <x v="9"/>
    <x v="0"/>
    <x v="6"/>
    <x v="1"/>
    <x v="1"/>
    <n v="9"/>
    <n v="21647.93"/>
    <n v="48523.73"/>
    <x v="0"/>
  </r>
  <r>
    <x v="0"/>
    <x v="0"/>
    <x v="9"/>
    <x v="0"/>
    <x v="7"/>
    <x v="1"/>
    <x v="1"/>
    <n v="2"/>
    <n v="6630.88"/>
    <n v="15327.74"/>
    <x v="0"/>
  </r>
  <r>
    <x v="0"/>
    <x v="0"/>
    <x v="9"/>
    <x v="0"/>
    <x v="8"/>
    <x v="0"/>
    <x v="1"/>
    <n v="2"/>
    <n v="6534.91"/>
    <n v="22945.72"/>
    <x v="0"/>
  </r>
  <r>
    <x v="0"/>
    <x v="0"/>
    <x v="9"/>
    <x v="1"/>
    <x v="9"/>
    <x v="1"/>
    <x v="1"/>
    <n v="1"/>
    <n v="2052.04"/>
    <n v="4933.33"/>
    <x v="0"/>
  </r>
  <r>
    <x v="0"/>
    <x v="0"/>
    <x v="9"/>
    <x v="1"/>
    <x v="10"/>
    <x v="0"/>
    <x v="0"/>
    <n v="1"/>
    <n v="1996.74"/>
    <n v="7170.54"/>
    <x v="0"/>
  </r>
  <r>
    <x v="0"/>
    <x v="0"/>
    <x v="9"/>
    <x v="1"/>
    <x v="10"/>
    <x v="0"/>
    <x v="1"/>
    <n v="3"/>
    <n v="10228.040000000001"/>
    <n v="34418.58"/>
    <x v="0"/>
  </r>
  <r>
    <x v="0"/>
    <x v="0"/>
    <x v="9"/>
    <x v="1"/>
    <x v="10"/>
    <x v="1"/>
    <x v="0"/>
    <n v="10"/>
    <n v="27149.75"/>
    <n v="63745.14"/>
    <x v="0"/>
  </r>
  <r>
    <x v="0"/>
    <x v="0"/>
    <x v="9"/>
    <x v="1"/>
    <x v="10"/>
    <x v="1"/>
    <x v="1"/>
    <n v="32"/>
    <n v="94940.56"/>
    <n v="221751.03"/>
    <x v="0"/>
  </r>
  <r>
    <x v="0"/>
    <x v="0"/>
    <x v="9"/>
    <x v="1"/>
    <x v="11"/>
    <x v="0"/>
    <x v="1"/>
    <n v="8"/>
    <n v="23368.42"/>
    <n v="80310.02"/>
    <x v="0"/>
  </r>
  <r>
    <x v="0"/>
    <x v="0"/>
    <x v="9"/>
    <x v="1"/>
    <x v="11"/>
    <x v="1"/>
    <x v="0"/>
    <n v="11"/>
    <n v="31894.39"/>
    <n v="70380.429999999993"/>
    <x v="0"/>
  </r>
  <r>
    <x v="0"/>
    <x v="0"/>
    <x v="9"/>
    <x v="1"/>
    <x v="11"/>
    <x v="1"/>
    <x v="1"/>
    <n v="50"/>
    <n v="127664.74"/>
    <n v="284504.09000000003"/>
    <x v="0"/>
  </r>
  <r>
    <x v="0"/>
    <x v="0"/>
    <x v="9"/>
    <x v="1"/>
    <x v="13"/>
    <x v="0"/>
    <x v="1"/>
    <n v="3"/>
    <n v="8902.4"/>
    <n v="30474.78"/>
    <x v="0"/>
  </r>
  <r>
    <x v="0"/>
    <x v="0"/>
    <x v="9"/>
    <x v="1"/>
    <x v="14"/>
    <x v="1"/>
    <x v="0"/>
    <n v="9"/>
    <n v="22408.65"/>
    <n v="51731.13"/>
    <x v="0"/>
  </r>
  <r>
    <x v="0"/>
    <x v="0"/>
    <x v="9"/>
    <x v="1"/>
    <x v="14"/>
    <x v="1"/>
    <x v="1"/>
    <n v="5"/>
    <n v="15258.51"/>
    <n v="35684.89"/>
    <x v="0"/>
  </r>
  <r>
    <x v="0"/>
    <x v="0"/>
    <x v="9"/>
    <x v="1"/>
    <x v="15"/>
    <x v="1"/>
    <x v="0"/>
    <n v="1"/>
    <n v="3316.1"/>
    <n v="7927.75"/>
    <x v="0"/>
  </r>
  <r>
    <x v="0"/>
    <x v="0"/>
    <x v="9"/>
    <x v="1"/>
    <x v="15"/>
    <x v="1"/>
    <x v="1"/>
    <n v="10"/>
    <n v="24319.66"/>
    <n v="58467.15"/>
    <x v="0"/>
  </r>
  <r>
    <x v="0"/>
    <x v="0"/>
    <x v="9"/>
    <x v="1"/>
    <x v="16"/>
    <x v="1"/>
    <x v="0"/>
    <n v="7"/>
    <n v="13990.19"/>
    <n v="33027.51"/>
    <x v="0"/>
  </r>
  <r>
    <x v="0"/>
    <x v="0"/>
    <x v="9"/>
    <x v="1"/>
    <x v="16"/>
    <x v="1"/>
    <x v="1"/>
    <n v="7"/>
    <n v="17450.27"/>
    <n v="38689.360000000001"/>
    <x v="0"/>
  </r>
  <r>
    <x v="0"/>
    <x v="0"/>
    <x v="9"/>
    <x v="1"/>
    <x v="17"/>
    <x v="0"/>
    <x v="1"/>
    <n v="2"/>
    <n v="4173.07"/>
    <n v="14341.08"/>
    <x v="0"/>
  </r>
  <r>
    <x v="0"/>
    <x v="0"/>
    <x v="9"/>
    <x v="1"/>
    <x v="17"/>
    <x v="1"/>
    <x v="0"/>
    <n v="6"/>
    <n v="15241.1"/>
    <n v="35709.269999999997"/>
    <x v="0"/>
  </r>
  <r>
    <x v="0"/>
    <x v="0"/>
    <x v="9"/>
    <x v="1"/>
    <x v="17"/>
    <x v="1"/>
    <x v="1"/>
    <n v="5"/>
    <n v="14574.95"/>
    <n v="32852.53"/>
    <x v="0"/>
  </r>
  <r>
    <x v="0"/>
    <x v="0"/>
    <x v="9"/>
    <x v="1"/>
    <x v="18"/>
    <x v="0"/>
    <x v="1"/>
    <n v="10"/>
    <n v="27722.78"/>
    <n v="95726.68"/>
    <x v="0"/>
  </r>
  <r>
    <x v="0"/>
    <x v="0"/>
    <x v="9"/>
    <x v="1"/>
    <x v="18"/>
    <x v="1"/>
    <x v="0"/>
    <n v="4"/>
    <n v="13468.32"/>
    <n v="31894.55"/>
    <x v="0"/>
  </r>
  <r>
    <x v="0"/>
    <x v="0"/>
    <x v="9"/>
    <x v="1"/>
    <x v="18"/>
    <x v="1"/>
    <x v="1"/>
    <n v="21"/>
    <n v="57922.33"/>
    <n v="135066.28"/>
    <x v="0"/>
  </r>
  <r>
    <x v="0"/>
    <x v="0"/>
    <x v="9"/>
    <x v="1"/>
    <x v="19"/>
    <x v="0"/>
    <x v="1"/>
    <n v="3"/>
    <n v="7591.48"/>
    <n v="26172.46"/>
    <x v="0"/>
  </r>
  <r>
    <x v="0"/>
    <x v="0"/>
    <x v="9"/>
    <x v="1"/>
    <x v="19"/>
    <x v="1"/>
    <x v="0"/>
    <n v="10"/>
    <n v="28897.55"/>
    <n v="66452.960000000006"/>
    <x v="0"/>
  </r>
  <r>
    <x v="0"/>
    <x v="0"/>
    <x v="9"/>
    <x v="1"/>
    <x v="19"/>
    <x v="1"/>
    <x v="1"/>
    <n v="6"/>
    <n v="16480.509999999998"/>
    <n v="38007.629999999997"/>
    <x v="0"/>
  </r>
  <r>
    <x v="0"/>
    <x v="0"/>
    <x v="9"/>
    <x v="1"/>
    <x v="20"/>
    <x v="0"/>
    <x v="0"/>
    <n v="3"/>
    <n v="7874.7"/>
    <n v="27248.04"/>
    <x v="0"/>
  </r>
  <r>
    <x v="0"/>
    <x v="0"/>
    <x v="9"/>
    <x v="1"/>
    <x v="20"/>
    <x v="0"/>
    <x v="1"/>
    <n v="6"/>
    <n v="15157.03"/>
    <n v="52344.92"/>
    <x v="0"/>
  </r>
  <r>
    <x v="0"/>
    <x v="0"/>
    <x v="9"/>
    <x v="1"/>
    <x v="20"/>
    <x v="1"/>
    <x v="0"/>
    <n v="3"/>
    <n v="7735.7"/>
    <n v="17590.05"/>
    <x v="0"/>
  </r>
  <r>
    <x v="0"/>
    <x v="0"/>
    <x v="9"/>
    <x v="1"/>
    <x v="20"/>
    <x v="1"/>
    <x v="1"/>
    <n v="22"/>
    <n v="55164.27"/>
    <n v="125823.27"/>
    <x v="0"/>
  </r>
  <r>
    <x v="0"/>
    <x v="0"/>
    <x v="9"/>
    <x v="2"/>
    <x v="21"/>
    <x v="0"/>
    <x v="0"/>
    <n v="5"/>
    <n v="10618.38"/>
    <n v="37286.800000000003"/>
    <x v="0"/>
  </r>
  <r>
    <x v="0"/>
    <x v="0"/>
    <x v="9"/>
    <x v="2"/>
    <x v="22"/>
    <x v="0"/>
    <x v="1"/>
    <n v="1"/>
    <n v="3401.87"/>
    <n v="11472.86"/>
    <x v="0"/>
  </r>
  <r>
    <x v="0"/>
    <x v="0"/>
    <x v="9"/>
    <x v="2"/>
    <x v="22"/>
    <x v="1"/>
    <x v="0"/>
    <n v="8"/>
    <n v="25676.12"/>
    <n v="53275.66"/>
    <x v="0"/>
  </r>
  <r>
    <x v="0"/>
    <x v="0"/>
    <x v="9"/>
    <x v="2"/>
    <x v="22"/>
    <x v="1"/>
    <x v="1"/>
    <n v="5"/>
    <n v="11237.16"/>
    <n v="23542.7"/>
    <x v="0"/>
  </r>
  <r>
    <x v="0"/>
    <x v="0"/>
    <x v="9"/>
    <x v="2"/>
    <x v="29"/>
    <x v="1"/>
    <x v="1"/>
    <n v="3"/>
    <n v="6142.84"/>
    <n v="14149.98"/>
    <x v="0"/>
  </r>
  <r>
    <x v="0"/>
    <x v="0"/>
    <x v="9"/>
    <x v="2"/>
    <x v="23"/>
    <x v="1"/>
    <x v="1"/>
    <n v="6"/>
    <n v="16451.64"/>
    <n v="35459.75"/>
    <x v="0"/>
  </r>
  <r>
    <x v="0"/>
    <x v="0"/>
    <x v="9"/>
    <x v="2"/>
    <x v="24"/>
    <x v="0"/>
    <x v="1"/>
    <n v="1"/>
    <n v="3398.47"/>
    <n v="11472.86"/>
    <x v="0"/>
  </r>
  <r>
    <x v="0"/>
    <x v="0"/>
    <x v="9"/>
    <x v="2"/>
    <x v="24"/>
    <x v="1"/>
    <x v="0"/>
    <n v="7"/>
    <n v="19119.52"/>
    <n v="40456.18"/>
    <x v="0"/>
  </r>
  <r>
    <x v="0"/>
    <x v="0"/>
    <x v="9"/>
    <x v="3"/>
    <x v="25"/>
    <x v="0"/>
    <x v="1"/>
    <n v="2"/>
    <n v="4162.75"/>
    <n v="14699.6"/>
    <x v="0"/>
  </r>
  <r>
    <x v="0"/>
    <x v="0"/>
    <x v="9"/>
    <x v="3"/>
    <x v="25"/>
    <x v="1"/>
    <x v="0"/>
    <n v="5"/>
    <n v="14518.97"/>
    <n v="33400.370000000003"/>
    <x v="0"/>
  </r>
  <r>
    <x v="0"/>
    <x v="0"/>
    <x v="9"/>
    <x v="3"/>
    <x v="25"/>
    <x v="1"/>
    <x v="1"/>
    <n v="7"/>
    <n v="19500.330000000002"/>
    <n v="45641.72"/>
    <x v="0"/>
  </r>
  <r>
    <x v="0"/>
    <x v="0"/>
    <x v="9"/>
    <x v="3"/>
    <x v="26"/>
    <x v="1"/>
    <x v="0"/>
    <n v="4"/>
    <n v="8907.1"/>
    <n v="21275"/>
    <x v="0"/>
  </r>
  <r>
    <x v="0"/>
    <x v="0"/>
    <x v="9"/>
    <x v="3"/>
    <x v="26"/>
    <x v="1"/>
    <x v="1"/>
    <n v="5"/>
    <n v="11143.85"/>
    <n v="25138.89"/>
    <x v="0"/>
  </r>
  <r>
    <x v="0"/>
    <x v="0"/>
    <x v="9"/>
    <x v="3"/>
    <x v="27"/>
    <x v="0"/>
    <x v="0"/>
    <n v="4"/>
    <n v="10883.61"/>
    <n v="37286.800000000003"/>
    <x v="0"/>
  </r>
  <r>
    <x v="0"/>
    <x v="0"/>
    <x v="9"/>
    <x v="3"/>
    <x v="27"/>
    <x v="0"/>
    <x v="1"/>
    <n v="6"/>
    <n v="13200.18"/>
    <n v="45174.400000000001"/>
    <x v="0"/>
  </r>
  <r>
    <x v="0"/>
    <x v="0"/>
    <x v="9"/>
    <x v="3"/>
    <x v="27"/>
    <x v="1"/>
    <x v="0"/>
    <n v="14"/>
    <n v="34749.4"/>
    <n v="79991.850000000006"/>
    <x v="0"/>
  </r>
  <r>
    <x v="0"/>
    <x v="0"/>
    <x v="9"/>
    <x v="3"/>
    <x v="27"/>
    <x v="1"/>
    <x v="1"/>
    <n v="25"/>
    <n v="73360.41"/>
    <n v="169177.72"/>
    <x v="0"/>
  </r>
  <r>
    <x v="0"/>
    <x v="1"/>
    <x v="0"/>
    <x v="0"/>
    <x v="0"/>
    <x v="0"/>
    <x v="0"/>
    <n v="3"/>
    <n v="23376.5"/>
    <n v="101355.86"/>
    <x v="1"/>
  </r>
  <r>
    <x v="0"/>
    <x v="1"/>
    <x v="0"/>
    <x v="0"/>
    <x v="0"/>
    <x v="1"/>
    <x v="0"/>
    <n v="7"/>
    <n v="54474.59"/>
    <n v="154552.82999999999"/>
    <x v="1"/>
  </r>
  <r>
    <x v="0"/>
    <x v="1"/>
    <x v="0"/>
    <x v="0"/>
    <x v="0"/>
    <x v="1"/>
    <x v="1"/>
    <n v="4"/>
    <n v="26955.84"/>
    <n v="76208.86"/>
    <x v="1"/>
  </r>
  <r>
    <x v="0"/>
    <x v="1"/>
    <x v="0"/>
    <x v="0"/>
    <x v="1"/>
    <x v="0"/>
    <x v="0"/>
    <n v="2"/>
    <n v="13566.4"/>
    <n v="58151.24"/>
    <x v="1"/>
  </r>
  <r>
    <x v="0"/>
    <x v="1"/>
    <x v="0"/>
    <x v="0"/>
    <x v="1"/>
    <x v="0"/>
    <x v="1"/>
    <n v="10"/>
    <n v="61288.89"/>
    <n v="261519.14"/>
    <x v="1"/>
  </r>
  <r>
    <x v="0"/>
    <x v="1"/>
    <x v="0"/>
    <x v="0"/>
    <x v="1"/>
    <x v="1"/>
    <x v="0"/>
    <n v="3"/>
    <n v="16566.32"/>
    <n v="46925.760000000002"/>
    <x v="1"/>
  </r>
  <r>
    <x v="0"/>
    <x v="1"/>
    <x v="0"/>
    <x v="0"/>
    <x v="1"/>
    <x v="1"/>
    <x v="1"/>
    <n v="26"/>
    <n v="168803.69"/>
    <n v="453373.76"/>
    <x v="1"/>
  </r>
  <r>
    <x v="0"/>
    <x v="1"/>
    <x v="0"/>
    <x v="0"/>
    <x v="2"/>
    <x v="0"/>
    <x v="1"/>
    <n v="2"/>
    <n v="13642.58"/>
    <n v="58197.43"/>
    <x v="1"/>
  </r>
  <r>
    <x v="0"/>
    <x v="1"/>
    <x v="0"/>
    <x v="0"/>
    <x v="2"/>
    <x v="1"/>
    <x v="0"/>
    <n v="4"/>
    <n v="28736.36"/>
    <n v="69645.100000000006"/>
    <x v="1"/>
  </r>
  <r>
    <x v="0"/>
    <x v="1"/>
    <x v="0"/>
    <x v="0"/>
    <x v="2"/>
    <x v="1"/>
    <x v="1"/>
    <n v="12"/>
    <n v="82040.710000000006"/>
    <n v="227382.95"/>
    <x v="1"/>
  </r>
  <r>
    <x v="0"/>
    <x v="1"/>
    <x v="0"/>
    <x v="0"/>
    <x v="3"/>
    <x v="0"/>
    <x v="1"/>
    <n v="5"/>
    <n v="35213.24"/>
    <n v="146992.28"/>
    <x v="1"/>
  </r>
  <r>
    <x v="0"/>
    <x v="1"/>
    <x v="0"/>
    <x v="0"/>
    <x v="3"/>
    <x v="1"/>
    <x v="0"/>
    <n v="29"/>
    <n v="191316.01"/>
    <n v="537917.32999999996"/>
    <x v="1"/>
  </r>
  <r>
    <x v="0"/>
    <x v="1"/>
    <x v="0"/>
    <x v="0"/>
    <x v="3"/>
    <x v="1"/>
    <x v="1"/>
    <n v="10"/>
    <n v="68958.28"/>
    <n v="182746.06"/>
    <x v="1"/>
  </r>
  <r>
    <x v="0"/>
    <x v="1"/>
    <x v="0"/>
    <x v="0"/>
    <x v="4"/>
    <x v="0"/>
    <x v="1"/>
    <n v="3"/>
    <n v="17018.98"/>
    <n v="73065.210000000006"/>
    <x v="1"/>
  </r>
  <r>
    <x v="0"/>
    <x v="1"/>
    <x v="0"/>
    <x v="0"/>
    <x v="4"/>
    <x v="1"/>
    <x v="0"/>
    <n v="2"/>
    <n v="15160.1"/>
    <n v="43102.49"/>
    <x v="1"/>
  </r>
  <r>
    <x v="0"/>
    <x v="1"/>
    <x v="0"/>
    <x v="0"/>
    <x v="4"/>
    <x v="1"/>
    <x v="1"/>
    <n v="8"/>
    <n v="61739.46"/>
    <n v="160716.96"/>
    <x v="1"/>
  </r>
  <r>
    <x v="0"/>
    <x v="1"/>
    <x v="0"/>
    <x v="0"/>
    <x v="5"/>
    <x v="0"/>
    <x v="1"/>
    <n v="4"/>
    <n v="26348.33"/>
    <n v="116029.17"/>
    <x v="1"/>
  </r>
  <r>
    <x v="0"/>
    <x v="1"/>
    <x v="0"/>
    <x v="0"/>
    <x v="5"/>
    <x v="1"/>
    <x v="1"/>
    <n v="25"/>
    <n v="182503.27"/>
    <n v="515576.21"/>
    <x v="1"/>
  </r>
  <r>
    <x v="0"/>
    <x v="1"/>
    <x v="0"/>
    <x v="0"/>
    <x v="6"/>
    <x v="0"/>
    <x v="1"/>
    <n v="1"/>
    <n v="8467.6299999999992"/>
    <n v="33872.480000000003"/>
    <x v="1"/>
  </r>
  <r>
    <x v="0"/>
    <x v="1"/>
    <x v="0"/>
    <x v="0"/>
    <x v="7"/>
    <x v="1"/>
    <x v="1"/>
    <n v="3"/>
    <n v="18146.849999999999"/>
    <n v="48433.18"/>
    <x v="1"/>
  </r>
  <r>
    <x v="0"/>
    <x v="1"/>
    <x v="0"/>
    <x v="0"/>
    <x v="8"/>
    <x v="1"/>
    <x v="1"/>
    <n v="2"/>
    <n v="12012.8"/>
    <n v="31157.11"/>
    <x v="1"/>
  </r>
  <r>
    <x v="0"/>
    <x v="1"/>
    <x v="0"/>
    <x v="1"/>
    <x v="9"/>
    <x v="1"/>
    <x v="1"/>
    <n v="3"/>
    <n v="22457.26"/>
    <n v="63552.15"/>
    <x v="1"/>
  </r>
  <r>
    <x v="0"/>
    <x v="1"/>
    <x v="0"/>
    <x v="1"/>
    <x v="10"/>
    <x v="0"/>
    <x v="1"/>
    <n v="3"/>
    <n v="19897.13"/>
    <n v="82578.38"/>
    <x v="1"/>
  </r>
  <r>
    <x v="0"/>
    <x v="1"/>
    <x v="0"/>
    <x v="1"/>
    <x v="10"/>
    <x v="1"/>
    <x v="0"/>
    <n v="1"/>
    <n v="7786.85"/>
    <n v="23085.82"/>
    <x v="1"/>
  </r>
  <r>
    <x v="0"/>
    <x v="1"/>
    <x v="0"/>
    <x v="1"/>
    <x v="10"/>
    <x v="1"/>
    <x v="1"/>
    <n v="37"/>
    <n v="253675.72"/>
    <n v="756801.77"/>
    <x v="1"/>
  </r>
  <r>
    <x v="0"/>
    <x v="1"/>
    <x v="0"/>
    <x v="1"/>
    <x v="11"/>
    <x v="0"/>
    <x v="1"/>
    <n v="10"/>
    <n v="70384.160000000003"/>
    <n v="308133.62"/>
    <x v="1"/>
  </r>
  <r>
    <x v="0"/>
    <x v="1"/>
    <x v="0"/>
    <x v="1"/>
    <x v="11"/>
    <x v="1"/>
    <x v="0"/>
    <n v="12"/>
    <n v="72628.17"/>
    <n v="205045.73"/>
    <x v="1"/>
  </r>
  <r>
    <x v="0"/>
    <x v="1"/>
    <x v="0"/>
    <x v="1"/>
    <x v="11"/>
    <x v="1"/>
    <x v="1"/>
    <n v="20"/>
    <n v="146459.82999999999"/>
    <n v="411701.88"/>
    <x v="1"/>
  </r>
  <r>
    <x v="0"/>
    <x v="1"/>
    <x v="0"/>
    <x v="1"/>
    <x v="12"/>
    <x v="1"/>
    <x v="0"/>
    <n v="4"/>
    <n v="32266.18"/>
    <n v="91260.97"/>
    <x v="1"/>
  </r>
  <r>
    <x v="0"/>
    <x v="1"/>
    <x v="0"/>
    <x v="1"/>
    <x v="13"/>
    <x v="0"/>
    <x v="1"/>
    <n v="8"/>
    <n v="61249.120000000003"/>
    <n v="261933.7"/>
    <x v="1"/>
  </r>
  <r>
    <x v="0"/>
    <x v="1"/>
    <x v="0"/>
    <x v="1"/>
    <x v="13"/>
    <x v="1"/>
    <x v="0"/>
    <n v="5"/>
    <n v="28847.67"/>
    <n v="80871.509999999995"/>
    <x v="1"/>
  </r>
  <r>
    <x v="0"/>
    <x v="1"/>
    <x v="0"/>
    <x v="1"/>
    <x v="13"/>
    <x v="1"/>
    <x v="1"/>
    <n v="25"/>
    <n v="165149.03"/>
    <n v="484554.73"/>
    <x v="1"/>
  </r>
  <r>
    <x v="0"/>
    <x v="1"/>
    <x v="0"/>
    <x v="1"/>
    <x v="14"/>
    <x v="0"/>
    <x v="1"/>
    <n v="1"/>
    <n v="7600.46"/>
    <n v="33858.339999999997"/>
    <x v="1"/>
  </r>
  <r>
    <x v="0"/>
    <x v="1"/>
    <x v="0"/>
    <x v="1"/>
    <x v="14"/>
    <x v="1"/>
    <x v="0"/>
    <n v="2"/>
    <n v="13921.08"/>
    <n v="38937.949999999997"/>
    <x v="1"/>
  </r>
  <r>
    <x v="0"/>
    <x v="1"/>
    <x v="0"/>
    <x v="1"/>
    <x v="14"/>
    <x v="1"/>
    <x v="1"/>
    <n v="2"/>
    <n v="16490.68"/>
    <n v="45442.65"/>
    <x v="1"/>
  </r>
  <r>
    <x v="0"/>
    <x v="1"/>
    <x v="0"/>
    <x v="1"/>
    <x v="15"/>
    <x v="1"/>
    <x v="0"/>
    <n v="3"/>
    <n v="20459.68"/>
    <n v="62236.03"/>
    <x v="1"/>
  </r>
  <r>
    <x v="0"/>
    <x v="1"/>
    <x v="0"/>
    <x v="1"/>
    <x v="15"/>
    <x v="1"/>
    <x v="1"/>
    <n v="4"/>
    <n v="25199.040000000001"/>
    <n v="73874.880000000005"/>
    <x v="1"/>
  </r>
  <r>
    <x v="0"/>
    <x v="1"/>
    <x v="0"/>
    <x v="1"/>
    <x v="16"/>
    <x v="0"/>
    <x v="1"/>
    <n v="4"/>
    <n v="28183.97"/>
    <n v="125734.16"/>
    <x v="1"/>
  </r>
  <r>
    <x v="0"/>
    <x v="1"/>
    <x v="0"/>
    <x v="1"/>
    <x v="16"/>
    <x v="1"/>
    <x v="0"/>
    <n v="8"/>
    <n v="54730.61"/>
    <n v="153637.09"/>
    <x v="1"/>
  </r>
  <r>
    <x v="0"/>
    <x v="1"/>
    <x v="0"/>
    <x v="1"/>
    <x v="16"/>
    <x v="1"/>
    <x v="1"/>
    <n v="12"/>
    <n v="77683.429999999993"/>
    <n v="223578.22"/>
    <x v="1"/>
  </r>
  <r>
    <x v="0"/>
    <x v="1"/>
    <x v="0"/>
    <x v="1"/>
    <x v="17"/>
    <x v="0"/>
    <x v="1"/>
    <n v="3"/>
    <n v="21159.46"/>
    <n v="92070.89"/>
    <x v="1"/>
  </r>
  <r>
    <x v="0"/>
    <x v="1"/>
    <x v="0"/>
    <x v="1"/>
    <x v="17"/>
    <x v="1"/>
    <x v="0"/>
    <n v="7"/>
    <n v="50446"/>
    <n v="145385.68"/>
    <x v="1"/>
  </r>
  <r>
    <x v="0"/>
    <x v="1"/>
    <x v="0"/>
    <x v="1"/>
    <x v="17"/>
    <x v="1"/>
    <x v="1"/>
    <n v="2"/>
    <n v="10928.14"/>
    <n v="32311.71"/>
    <x v="1"/>
  </r>
  <r>
    <x v="0"/>
    <x v="1"/>
    <x v="0"/>
    <x v="1"/>
    <x v="18"/>
    <x v="0"/>
    <x v="1"/>
    <n v="7"/>
    <n v="47212.57"/>
    <n v="203262.07"/>
    <x v="1"/>
  </r>
  <r>
    <x v="0"/>
    <x v="1"/>
    <x v="0"/>
    <x v="1"/>
    <x v="18"/>
    <x v="1"/>
    <x v="0"/>
    <n v="3"/>
    <n v="18465.12"/>
    <n v="56138.74"/>
    <x v="1"/>
  </r>
  <r>
    <x v="0"/>
    <x v="1"/>
    <x v="0"/>
    <x v="1"/>
    <x v="18"/>
    <x v="1"/>
    <x v="1"/>
    <n v="12"/>
    <n v="72426.559999999998"/>
    <n v="213795.39"/>
    <x v="1"/>
  </r>
  <r>
    <x v="0"/>
    <x v="1"/>
    <x v="0"/>
    <x v="1"/>
    <x v="19"/>
    <x v="0"/>
    <x v="1"/>
    <n v="3"/>
    <n v="17027.95"/>
    <n v="72574.39"/>
    <x v="1"/>
  </r>
  <r>
    <x v="0"/>
    <x v="1"/>
    <x v="0"/>
    <x v="1"/>
    <x v="19"/>
    <x v="1"/>
    <x v="0"/>
    <n v="10"/>
    <n v="72064.350000000006"/>
    <n v="211640.56"/>
    <x v="1"/>
  </r>
  <r>
    <x v="0"/>
    <x v="1"/>
    <x v="0"/>
    <x v="1"/>
    <x v="19"/>
    <x v="1"/>
    <x v="1"/>
    <n v="2"/>
    <n v="13604.46"/>
    <n v="38393.42"/>
    <x v="1"/>
  </r>
  <r>
    <x v="0"/>
    <x v="1"/>
    <x v="0"/>
    <x v="1"/>
    <x v="20"/>
    <x v="0"/>
    <x v="1"/>
    <n v="15"/>
    <n v="111307.55"/>
    <n v="479459.89"/>
    <x v="1"/>
  </r>
  <r>
    <x v="0"/>
    <x v="1"/>
    <x v="0"/>
    <x v="1"/>
    <x v="20"/>
    <x v="1"/>
    <x v="0"/>
    <n v="6"/>
    <n v="40149.11"/>
    <n v="113134.55"/>
    <x v="1"/>
  </r>
  <r>
    <x v="0"/>
    <x v="1"/>
    <x v="0"/>
    <x v="1"/>
    <x v="20"/>
    <x v="1"/>
    <x v="1"/>
    <n v="23"/>
    <n v="141133.89000000001"/>
    <n v="420773.01"/>
    <x v="1"/>
  </r>
  <r>
    <x v="0"/>
    <x v="1"/>
    <x v="0"/>
    <x v="2"/>
    <x v="21"/>
    <x v="0"/>
    <x v="0"/>
    <n v="4"/>
    <n v="23465.08"/>
    <n v="97415.26"/>
    <x v="1"/>
  </r>
  <r>
    <x v="0"/>
    <x v="1"/>
    <x v="0"/>
    <x v="2"/>
    <x v="22"/>
    <x v="0"/>
    <x v="1"/>
    <n v="5"/>
    <n v="36276.050000000003"/>
    <n v="159086.34"/>
    <x v="1"/>
  </r>
  <r>
    <x v="0"/>
    <x v="1"/>
    <x v="0"/>
    <x v="2"/>
    <x v="22"/>
    <x v="1"/>
    <x v="0"/>
    <n v="5"/>
    <n v="29142.5"/>
    <n v="73158.98"/>
    <x v="1"/>
  </r>
  <r>
    <x v="0"/>
    <x v="1"/>
    <x v="0"/>
    <x v="2"/>
    <x v="22"/>
    <x v="1"/>
    <x v="1"/>
    <n v="30"/>
    <n v="213179.03"/>
    <n v="558364.44999999995"/>
    <x v="1"/>
  </r>
  <r>
    <x v="0"/>
    <x v="1"/>
    <x v="0"/>
    <x v="2"/>
    <x v="23"/>
    <x v="1"/>
    <x v="1"/>
    <n v="11"/>
    <n v="77961.710000000006"/>
    <n v="204302.07"/>
    <x v="1"/>
  </r>
  <r>
    <x v="0"/>
    <x v="1"/>
    <x v="0"/>
    <x v="2"/>
    <x v="24"/>
    <x v="0"/>
    <x v="1"/>
    <n v="5"/>
    <n v="32517.52"/>
    <n v="147543.19"/>
    <x v="1"/>
  </r>
  <r>
    <x v="0"/>
    <x v="1"/>
    <x v="0"/>
    <x v="2"/>
    <x v="24"/>
    <x v="1"/>
    <x v="0"/>
    <n v="2"/>
    <n v="16460.54"/>
    <n v="41672.300000000003"/>
    <x v="1"/>
  </r>
  <r>
    <x v="0"/>
    <x v="1"/>
    <x v="0"/>
    <x v="2"/>
    <x v="24"/>
    <x v="1"/>
    <x v="1"/>
    <n v="1"/>
    <n v="8305.24"/>
    <n v="20889.939999999999"/>
    <x v="1"/>
  </r>
  <r>
    <x v="0"/>
    <x v="1"/>
    <x v="0"/>
    <x v="3"/>
    <x v="25"/>
    <x v="1"/>
    <x v="0"/>
    <n v="4"/>
    <n v="28451.72"/>
    <n v="86008.01"/>
    <x v="1"/>
  </r>
  <r>
    <x v="0"/>
    <x v="1"/>
    <x v="0"/>
    <x v="3"/>
    <x v="26"/>
    <x v="0"/>
    <x v="1"/>
    <n v="3"/>
    <n v="19072.259999999998"/>
    <n v="82209.08"/>
    <x v="1"/>
  </r>
  <r>
    <x v="0"/>
    <x v="1"/>
    <x v="0"/>
    <x v="3"/>
    <x v="26"/>
    <x v="1"/>
    <x v="0"/>
    <n v="8"/>
    <n v="58719.81"/>
    <n v="174464.72"/>
    <x v="1"/>
  </r>
  <r>
    <x v="0"/>
    <x v="1"/>
    <x v="0"/>
    <x v="3"/>
    <x v="26"/>
    <x v="1"/>
    <x v="1"/>
    <n v="28"/>
    <n v="213004.9"/>
    <n v="616814.30000000005"/>
    <x v="1"/>
  </r>
  <r>
    <x v="0"/>
    <x v="1"/>
    <x v="0"/>
    <x v="3"/>
    <x v="27"/>
    <x v="0"/>
    <x v="0"/>
    <n v="4"/>
    <n v="25096.46"/>
    <n v="111676.87"/>
    <x v="1"/>
  </r>
  <r>
    <x v="0"/>
    <x v="1"/>
    <x v="0"/>
    <x v="3"/>
    <x v="27"/>
    <x v="0"/>
    <x v="1"/>
    <n v="14"/>
    <n v="104234.97"/>
    <n v="440897.3"/>
    <x v="1"/>
  </r>
  <r>
    <x v="0"/>
    <x v="1"/>
    <x v="0"/>
    <x v="3"/>
    <x v="27"/>
    <x v="1"/>
    <x v="0"/>
    <n v="18"/>
    <n v="108565.45"/>
    <n v="325365.78000000003"/>
    <x v="1"/>
  </r>
  <r>
    <x v="0"/>
    <x v="1"/>
    <x v="0"/>
    <x v="3"/>
    <x v="27"/>
    <x v="1"/>
    <x v="1"/>
    <n v="30"/>
    <n v="216316.23"/>
    <n v="612931.36"/>
    <x v="1"/>
  </r>
  <r>
    <x v="0"/>
    <x v="1"/>
    <x v="1"/>
    <x v="0"/>
    <x v="0"/>
    <x v="1"/>
    <x v="0"/>
    <n v="10"/>
    <n v="29382.85"/>
    <n v="64030.77"/>
    <x v="1"/>
  </r>
  <r>
    <x v="0"/>
    <x v="1"/>
    <x v="1"/>
    <x v="0"/>
    <x v="0"/>
    <x v="1"/>
    <x v="1"/>
    <n v="5"/>
    <n v="16415.55"/>
    <n v="38591.370000000003"/>
    <x v="1"/>
  </r>
  <r>
    <x v="0"/>
    <x v="1"/>
    <x v="1"/>
    <x v="0"/>
    <x v="1"/>
    <x v="0"/>
    <x v="1"/>
    <n v="2"/>
    <n v="6890.97"/>
    <n v="23621.94"/>
    <x v="1"/>
  </r>
  <r>
    <x v="0"/>
    <x v="1"/>
    <x v="1"/>
    <x v="0"/>
    <x v="1"/>
    <x v="1"/>
    <x v="0"/>
    <n v="7"/>
    <n v="15675.26"/>
    <n v="36778.85"/>
    <x v="1"/>
  </r>
  <r>
    <x v="0"/>
    <x v="1"/>
    <x v="1"/>
    <x v="0"/>
    <x v="1"/>
    <x v="1"/>
    <x v="1"/>
    <n v="22"/>
    <n v="58411.58"/>
    <n v="130627.3"/>
    <x v="1"/>
  </r>
  <r>
    <x v="0"/>
    <x v="1"/>
    <x v="1"/>
    <x v="0"/>
    <x v="2"/>
    <x v="0"/>
    <x v="1"/>
    <n v="1"/>
    <n v="3320.85"/>
    <n v="11770.21"/>
    <x v="1"/>
  </r>
  <r>
    <x v="0"/>
    <x v="1"/>
    <x v="1"/>
    <x v="0"/>
    <x v="2"/>
    <x v="1"/>
    <x v="1"/>
    <n v="16"/>
    <n v="45231.5"/>
    <n v="101579.7"/>
    <x v="1"/>
  </r>
  <r>
    <x v="0"/>
    <x v="1"/>
    <x v="1"/>
    <x v="0"/>
    <x v="3"/>
    <x v="0"/>
    <x v="0"/>
    <n v="6"/>
    <n v="18630.61"/>
    <n v="65227.6"/>
    <x v="1"/>
  </r>
  <r>
    <x v="0"/>
    <x v="1"/>
    <x v="1"/>
    <x v="0"/>
    <x v="3"/>
    <x v="1"/>
    <x v="1"/>
    <n v="13"/>
    <n v="36316.160000000003"/>
    <n v="78596.41"/>
    <x v="1"/>
  </r>
  <r>
    <x v="0"/>
    <x v="1"/>
    <x v="1"/>
    <x v="0"/>
    <x v="28"/>
    <x v="1"/>
    <x v="1"/>
    <n v="11"/>
    <n v="29697.83"/>
    <n v="67807.7"/>
    <x v="1"/>
  </r>
  <r>
    <x v="0"/>
    <x v="1"/>
    <x v="1"/>
    <x v="0"/>
    <x v="4"/>
    <x v="0"/>
    <x v="1"/>
    <n v="1"/>
    <n v="1996.83"/>
    <n v="7352.07"/>
    <x v="1"/>
  </r>
  <r>
    <x v="0"/>
    <x v="1"/>
    <x v="1"/>
    <x v="0"/>
    <x v="4"/>
    <x v="1"/>
    <x v="0"/>
    <n v="2"/>
    <n v="6442.68"/>
    <n v="15004.36"/>
    <x v="1"/>
  </r>
  <r>
    <x v="0"/>
    <x v="1"/>
    <x v="1"/>
    <x v="0"/>
    <x v="4"/>
    <x v="1"/>
    <x v="1"/>
    <n v="3"/>
    <n v="9632.4599999999991"/>
    <n v="22612"/>
    <x v="1"/>
  </r>
  <r>
    <x v="0"/>
    <x v="1"/>
    <x v="1"/>
    <x v="0"/>
    <x v="5"/>
    <x v="0"/>
    <x v="1"/>
    <n v="2"/>
    <n v="4568.84"/>
    <n v="15453.65"/>
    <x v="1"/>
  </r>
  <r>
    <x v="0"/>
    <x v="1"/>
    <x v="1"/>
    <x v="0"/>
    <x v="5"/>
    <x v="1"/>
    <x v="1"/>
    <n v="13"/>
    <n v="34891.550000000003"/>
    <n v="79384.210000000006"/>
    <x v="1"/>
  </r>
  <r>
    <x v="0"/>
    <x v="1"/>
    <x v="1"/>
    <x v="0"/>
    <x v="7"/>
    <x v="1"/>
    <x v="1"/>
    <n v="2"/>
    <n v="4264.68"/>
    <n v="9708.24"/>
    <x v="1"/>
  </r>
  <r>
    <x v="0"/>
    <x v="1"/>
    <x v="1"/>
    <x v="1"/>
    <x v="10"/>
    <x v="1"/>
    <x v="0"/>
    <n v="4"/>
    <n v="10302.44"/>
    <n v="23652.46"/>
    <x v="1"/>
  </r>
  <r>
    <x v="0"/>
    <x v="1"/>
    <x v="1"/>
    <x v="1"/>
    <x v="10"/>
    <x v="1"/>
    <x v="1"/>
    <n v="16"/>
    <n v="40198.050000000003"/>
    <n v="99565.36"/>
    <x v="1"/>
  </r>
  <r>
    <x v="0"/>
    <x v="1"/>
    <x v="1"/>
    <x v="1"/>
    <x v="11"/>
    <x v="0"/>
    <x v="1"/>
    <n v="1"/>
    <n v="3302.94"/>
    <n v="11810.17"/>
    <x v="1"/>
  </r>
  <r>
    <x v="0"/>
    <x v="1"/>
    <x v="1"/>
    <x v="1"/>
    <x v="11"/>
    <x v="1"/>
    <x v="0"/>
    <n v="5"/>
    <n v="10287.31"/>
    <n v="25200.97"/>
    <x v="1"/>
  </r>
  <r>
    <x v="0"/>
    <x v="1"/>
    <x v="1"/>
    <x v="1"/>
    <x v="11"/>
    <x v="1"/>
    <x v="1"/>
    <n v="6"/>
    <n v="17734.330000000002"/>
    <n v="40836.82"/>
    <x v="1"/>
  </r>
  <r>
    <x v="0"/>
    <x v="1"/>
    <x v="1"/>
    <x v="1"/>
    <x v="12"/>
    <x v="1"/>
    <x v="0"/>
    <n v="2"/>
    <n v="4067.94"/>
    <n v="10118.48"/>
    <x v="1"/>
  </r>
  <r>
    <x v="0"/>
    <x v="1"/>
    <x v="1"/>
    <x v="1"/>
    <x v="13"/>
    <x v="0"/>
    <x v="1"/>
    <n v="5"/>
    <n v="11165.78"/>
    <n v="41826.339999999997"/>
    <x v="1"/>
  </r>
  <r>
    <x v="0"/>
    <x v="1"/>
    <x v="1"/>
    <x v="1"/>
    <x v="13"/>
    <x v="1"/>
    <x v="1"/>
    <n v="1"/>
    <n v="3515.3"/>
    <n v="8042.72"/>
    <x v="1"/>
  </r>
  <r>
    <x v="0"/>
    <x v="1"/>
    <x v="1"/>
    <x v="1"/>
    <x v="14"/>
    <x v="0"/>
    <x v="1"/>
    <n v="1"/>
    <n v="3195.99"/>
    <n v="11812.07"/>
    <x v="1"/>
  </r>
  <r>
    <x v="0"/>
    <x v="1"/>
    <x v="1"/>
    <x v="1"/>
    <x v="14"/>
    <x v="1"/>
    <x v="0"/>
    <n v="15"/>
    <n v="43698.14"/>
    <n v="102149.35"/>
    <x v="1"/>
  </r>
  <r>
    <x v="0"/>
    <x v="1"/>
    <x v="1"/>
    <x v="1"/>
    <x v="14"/>
    <x v="1"/>
    <x v="1"/>
    <n v="3"/>
    <n v="6093.74"/>
    <n v="15303.27"/>
    <x v="1"/>
  </r>
  <r>
    <x v="0"/>
    <x v="1"/>
    <x v="1"/>
    <x v="1"/>
    <x v="15"/>
    <x v="1"/>
    <x v="0"/>
    <n v="2"/>
    <n v="6909"/>
    <n v="16357.57"/>
    <x v="1"/>
  </r>
  <r>
    <x v="0"/>
    <x v="1"/>
    <x v="1"/>
    <x v="1"/>
    <x v="15"/>
    <x v="1"/>
    <x v="1"/>
    <n v="14"/>
    <n v="45854.43"/>
    <n v="114476.54"/>
    <x v="1"/>
  </r>
  <r>
    <x v="0"/>
    <x v="1"/>
    <x v="1"/>
    <x v="1"/>
    <x v="16"/>
    <x v="1"/>
    <x v="0"/>
    <n v="1"/>
    <n v="3443.49"/>
    <n v="7728.82"/>
    <x v="1"/>
  </r>
  <r>
    <x v="0"/>
    <x v="1"/>
    <x v="1"/>
    <x v="1"/>
    <x v="16"/>
    <x v="1"/>
    <x v="1"/>
    <n v="8"/>
    <n v="16851.84"/>
    <n v="40499.64"/>
    <x v="1"/>
  </r>
  <r>
    <x v="0"/>
    <x v="1"/>
    <x v="1"/>
    <x v="1"/>
    <x v="17"/>
    <x v="1"/>
    <x v="0"/>
    <n v="3"/>
    <n v="5927.67"/>
    <n v="14801.32"/>
    <x v="1"/>
  </r>
  <r>
    <x v="0"/>
    <x v="1"/>
    <x v="1"/>
    <x v="1"/>
    <x v="17"/>
    <x v="1"/>
    <x v="1"/>
    <n v="5"/>
    <n v="16979.43"/>
    <n v="39281.870000000003"/>
    <x v="1"/>
  </r>
  <r>
    <x v="0"/>
    <x v="1"/>
    <x v="1"/>
    <x v="1"/>
    <x v="18"/>
    <x v="0"/>
    <x v="1"/>
    <n v="6"/>
    <n v="16022"/>
    <n v="55736.44"/>
    <x v="1"/>
  </r>
  <r>
    <x v="0"/>
    <x v="1"/>
    <x v="1"/>
    <x v="1"/>
    <x v="18"/>
    <x v="1"/>
    <x v="0"/>
    <n v="1"/>
    <n v="2094.1999999999998"/>
    <n v="5216.1099999999997"/>
    <x v="1"/>
  </r>
  <r>
    <x v="0"/>
    <x v="1"/>
    <x v="1"/>
    <x v="1"/>
    <x v="18"/>
    <x v="1"/>
    <x v="1"/>
    <n v="13"/>
    <n v="35543.550000000003"/>
    <n v="87798.35"/>
    <x v="1"/>
  </r>
  <r>
    <x v="0"/>
    <x v="1"/>
    <x v="1"/>
    <x v="1"/>
    <x v="19"/>
    <x v="0"/>
    <x v="1"/>
    <n v="3"/>
    <n v="10504.17"/>
    <n v="35251.22"/>
    <x v="1"/>
  </r>
  <r>
    <x v="0"/>
    <x v="1"/>
    <x v="1"/>
    <x v="1"/>
    <x v="19"/>
    <x v="1"/>
    <x v="0"/>
    <n v="2"/>
    <n v="5265.85"/>
    <n v="12904.34"/>
    <x v="1"/>
  </r>
  <r>
    <x v="0"/>
    <x v="1"/>
    <x v="1"/>
    <x v="1"/>
    <x v="19"/>
    <x v="1"/>
    <x v="1"/>
    <n v="14"/>
    <n v="37760.089999999997"/>
    <n v="91604.96"/>
    <x v="1"/>
  </r>
  <r>
    <x v="0"/>
    <x v="1"/>
    <x v="1"/>
    <x v="1"/>
    <x v="20"/>
    <x v="0"/>
    <x v="0"/>
    <n v="1"/>
    <n v="3520.41"/>
    <n v="11832.02"/>
    <x v="1"/>
  </r>
  <r>
    <x v="0"/>
    <x v="1"/>
    <x v="1"/>
    <x v="1"/>
    <x v="20"/>
    <x v="0"/>
    <x v="1"/>
    <n v="7"/>
    <n v="20797.73"/>
    <n v="74343.88"/>
    <x v="1"/>
  </r>
  <r>
    <x v="0"/>
    <x v="1"/>
    <x v="1"/>
    <x v="1"/>
    <x v="20"/>
    <x v="1"/>
    <x v="0"/>
    <n v="6"/>
    <n v="19999.919999999998"/>
    <n v="46951.67"/>
    <x v="1"/>
  </r>
  <r>
    <x v="0"/>
    <x v="1"/>
    <x v="1"/>
    <x v="1"/>
    <x v="20"/>
    <x v="1"/>
    <x v="1"/>
    <n v="16"/>
    <n v="46212.38"/>
    <n v="106751.66"/>
    <x v="1"/>
  </r>
  <r>
    <x v="0"/>
    <x v="1"/>
    <x v="1"/>
    <x v="2"/>
    <x v="21"/>
    <x v="0"/>
    <x v="0"/>
    <n v="3"/>
    <n v="9231.8700000000008"/>
    <n v="31294.11"/>
    <x v="1"/>
  </r>
  <r>
    <x v="0"/>
    <x v="1"/>
    <x v="1"/>
    <x v="2"/>
    <x v="22"/>
    <x v="0"/>
    <x v="1"/>
    <n v="1"/>
    <n v="2296.71"/>
    <n v="7697.08"/>
    <x v="1"/>
  </r>
  <r>
    <x v="0"/>
    <x v="1"/>
    <x v="1"/>
    <x v="2"/>
    <x v="22"/>
    <x v="1"/>
    <x v="0"/>
    <n v="3"/>
    <n v="7328.16"/>
    <n v="16038.16"/>
    <x v="1"/>
  </r>
  <r>
    <x v="0"/>
    <x v="1"/>
    <x v="1"/>
    <x v="2"/>
    <x v="22"/>
    <x v="1"/>
    <x v="1"/>
    <n v="16"/>
    <n v="52736.78"/>
    <n v="107715.54"/>
    <x v="1"/>
  </r>
  <r>
    <x v="0"/>
    <x v="1"/>
    <x v="1"/>
    <x v="2"/>
    <x v="29"/>
    <x v="0"/>
    <x v="1"/>
    <n v="2"/>
    <n v="5465.91"/>
    <n v="19594"/>
    <x v="1"/>
  </r>
  <r>
    <x v="0"/>
    <x v="1"/>
    <x v="1"/>
    <x v="2"/>
    <x v="29"/>
    <x v="1"/>
    <x v="1"/>
    <n v="8"/>
    <n v="23414.77"/>
    <n v="50600.5"/>
    <x v="1"/>
  </r>
  <r>
    <x v="0"/>
    <x v="1"/>
    <x v="1"/>
    <x v="2"/>
    <x v="24"/>
    <x v="1"/>
    <x v="0"/>
    <n v="5"/>
    <n v="9748.15"/>
    <n v="22665.85"/>
    <x v="1"/>
  </r>
  <r>
    <x v="0"/>
    <x v="1"/>
    <x v="1"/>
    <x v="3"/>
    <x v="25"/>
    <x v="1"/>
    <x v="0"/>
    <n v="3"/>
    <n v="9762.6"/>
    <n v="23677.14"/>
    <x v="1"/>
  </r>
  <r>
    <x v="0"/>
    <x v="1"/>
    <x v="1"/>
    <x v="3"/>
    <x v="25"/>
    <x v="1"/>
    <x v="1"/>
    <n v="7"/>
    <n v="18380.39"/>
    <n v="44839.02"/>
    <x v="1"/>
  </r>
  <r>
    <x v="0"/>
    <x v="1"/>
    <x v="1"/>
    <x v="3"/>
    <x v="26"/>
    <x v="0"/>
    <x v="1"/>
    <n v="1"/>
    <n v="3328.45"/>
    <n v="11771.54"/>
    <x v="1"/>
  </r>
  <r>
    <x v="0"/>
    <x v="1"/>
    <x v="1"/>
    <x v="3"/>
    <x v="26"/>
    <x v="1"/>
    <x v="1"/>
    <n v="6"/>
    <n v="18180.939999999999"/>
    <n v="42996.77"/>
    <x v="1"/>
  </r>
  <r>
    <x v="0"/>
    <x v="1"/>
    <x v="1"/>
    <x v="3"/>
    <x v="27"/>
    <x v="0"/>
    <x v="0"/>
    <n v="4"/>
    <n v="11933"/>
    <n v="43049.2"/>
    <x v="1"/>
  </r>
  <r>
    <x v="0"/>
    <x v="1"/>
    <x v="1"/>
    <x v="3"/>
    <x v="27"/>
    <x v="0"/>
    <x v="1"/>
    <n v="2"/>
    <n v="4105.38"/>
    <n v="15057.93"/>
    <x v="1"/>
  </r>
  <r>
    <x v="0"/>
    <x v="1"/>
    <x v="1"/>
    <x v="3"/>
    <x v="27"/>
    <x v="1"/>
    <x v="0"/>
    <n v="7"/>
    <n v="20740.849999999999"/>
    <n v="50525.51"/>
    <x v="1"/>
  </r>
  <r>
    <x v="0"/>
    <x v="1"/>
    <x v="1"/>
    <x v="3"/>
    <x v="27"/>
    <x v="1"/>
    <x v="1"/>
    <n v="7"/>
    <n v="23393.17"/>
    <n v="55680.04"/>
    <x v="1"/>
  </r>
  <r>
    <x v="0"/>
    <x v="1"/>
    <x v="2"/>
    <x v="0"/>
    <x v="0"/>
    <x v="0"/>
    <x v="0"/>
    <n v="4"/>
    <n v="19785.080000000002"/>
    <n v="91956.31"/>
    <x v="1"/>
  </r>
  <r>
    <x v="0"/>
    <x v="1"/>
    <x v="2"/>
    <x v="0"/>
    <x v="0"/>
    <x v="0"/>
    <x v="1"/>
    <n v="4"/>
    <n v="27145.84"/>
    <n v="116985.4"/>
    <x v="1"/>
  </r>
  <r>
    <x v="0"/>
    <x v="1"/>
    <x v="2"/>
    <x v="0"/>
    <x v="0"/>
    <x v="1"/>
    <x v="0"/>
    <n v="3"/>
    <n v="12548.61"/>
    <n v="36808.79"/>
    <x v="1"/>
  </r>
  <r>
    <x v="0"/>
    <x v="1"/>
    <x v="2"/>
    <x v="0"/>
    <x v="0"/>
    <x v="1"/>
    <x v="1"/>
    <n v="12"/>
    <n v="72347.19"/>
    <n v="212819.74"/>
    <x v="1"/>
  </r>
  <r>
    <x v="0"/>
    <x v="1"/>
    <x v="2"/>
    <x v="0"/>
    <x v="1"/>
    <x v="0"/>
    <x v="1"/>
    <n v="3"/>
    <n v="19311.71"/>
    <n v="84818.5"/>
    <x v="1"/>
  </r>
  <r>
    <x v="0"/>
    <x v="1"/>
    <x v="2"/>
    <x v="0"/>
    <x v="1"/>
    <x v="1"/>
    <x v="0"/>
    <n v="9"/>
    <n v="56529.22"/>
    <n v="157733.06"/>
    <x v="1"/>
  </r>
  <r>
    <x v="0"/>
    <x v="1"/>
    <x v="2"/>
    <x v="0"/>
    <x v="1"/>
    <x v="1"/>
    <x v="1"/>
    <n v="21"/>
    <n v="120997.94"/>
    <n v="316833.48"/>
    <x v="1"/>
  </r>
  <r>
    <x v="0"/>
    <x v="1"/>
    <x v="2"/>
    <x v="0"/>
    <x v="2"/>
    <x v="0"/>
    <x v="1"/>
    <n v="4"/>
    <n v="22834.639999999999"/>
    <n v="104130.8"/>
    <x v="1"/>
  </r>
  <r>
    <x v="0"/>
    <x v="1"/>
    <x v="2"/>
    <x v="0"/>
    <x v="2"/>
    <x v="1"/>
    <x v="0"/>
    <n v="6"/>
    <n v="30172.880000000001"/>
    <n v="77978.2"/>
    <x v="1"/>
  </r>
  <r>
    <x v="0"/>
    <x v="1"/>
    <x v="2"/>
    <x v="0"/>
    <x v="2"/>
    <x v="1"/>
    <x v="1"/>
    <n v="13"/>
    <n v="76593.679999999993"/>
    <n v="203557.18"/>
    <x v="1"/>
  </r>
  <r>
    <x v="0"/>
    <x v="1"/>
    <x v="2"/>
    <x v="0"/>
    <x v="3"/>
    <x v="0"/>
    <x v="1"/>
    <n v="6"/>
    <n v="32379.27"/>
    <n v="142192.79"/>
    <x v="1"/>
  </r>
  <r>
    <x v="0"/>
    <x v="1"/>
    <x v="2"/>
    <x v="0"/>
    <x v="3"/>
    <x v="1"/>
    <x v="0"/>
    <n v="9"/>
    <n v="48601.08"/>
    <n v="127675.99"/>
    <x v="1"/>
  </r>
  <r>
    <x v="0"/>
    <x v="1"/>
    <x v="2"/>
    <x v="0"/>
    <x v="3"/>
    <x v="1"/>
    <x v="1"/>
    <n v="33"/>
    <n v="188421.21"/>
    <n v="514793.39"/>
    <x v="1"/>
  </r>
  <r>
    <x v="0"/>
    <x v="1"/>
    <x v="2"/>
    <x v="0"/>
    <x v="28"/>
    <x v="1"/>
    <x v="1"/>
    <n v="2"/>
    <n v="10652.25"/>
    <n v="28049.82"/>
    <x v="1"/>
  </r>
  <r>
    <x v="0"/>
    <x v="1"/>
    <x v="2"/>
    <x v="0"/>
    <x v="4"/>
    <x v="0"/>
    <x v="1"/>
    <n v="3"/>
    <n v="16678.28"/>
    <n v="72932.570000000007"/>
    <x v="1"/>
  </r>
  <r>
    <x v="0"/>
    <x v="1"/>
    <x v="2"/>
    <x v="0"/>
    <x v="4"/>
    <x v="1"/>
    <x v="0"/>
    <n v="4"/>
    <n v="16806.84"/>
    <n v="50789.69"/>
    <x v="1"/>
  </r>
  <r>
    <x v="0"/>
    <x v="1"/>
    <x v="2"/>
    <x v="0"/>
    <x v="4"/>
    <x v="1"/>
    <x v="1"/>
    <n v="2"/>
    <n v="11561.86"/>
    <n v="29322.43"/>
    <x v="1"/>
  </r>
  <r>
    <x v="0"/>
    <x v="1"/>
    <x v="2"/>
    <x v="0"/>
    <x v="5"/>
    <x v="0"/>
    <x v="1"/>
    <n v="10"/>
    <n v="52877.66"/>
    <n v="225582.04"/>
    <x v="1"/>
  </r>
  <r>
    <x v="0"/>
    <x v="1"/>
    <x v="2"/>
    <x v="0"/>
    <x v="5"/>
    <x v="1"/>
    <x v="1"/>
    <n v="13"/>
    <n v="70687.13"/>
    <n v="195283.87"/>
    <x v="1"/>
  </r>
  <r>
    <x v="0"/>
    <x v="1"/>
    <x v="2"/>
    <x v="0"/>
    <x v="6"/>
    <x v="0"/>
    <x v="1"/>
    <n v="3"/>
    <n v="14355.39"/>
    <n v="64756.7"/>
    <x v="1"/>
  </r>
  <r>
    <x v="0"/>
    <x v="1"/>
    <x v="2"/>
    <x v="0"/>
    <x v="6"/>
    <x v="1"/>
    <x v="1"/>
    <n v="2"/>
    <n v="9355.82"/>
    <n v="27742.3"/>
    <x v="1"/>
  </r>
  <r>
    <x v="0"/>
    <x v="1"/>
    <x v="2"/>
    <x v="0"/>
    <x v="7"/>
    <x v="1"/>
    <x v="1"/>
    <n v="1"/>
    <n v="5898.16"/>
    <n v="15263.87"/>
    <x v="1"/>
  </r>
  <r>
    <x v="0"/>
    <x v="1"/>
    <x v="2"/>
    <x v="0"/>
    <x v="8"/>
    <x v="0"/>
    <x v="1"/>
    <n v="3"/>
    <n v="16097.26"/>
    <n v="71971.759999999995"/>
    <x v="1"/>
  </r>
  <r>
    <x v="0"/>
    <x v="1"/>
    <x v="2"/>
    <x v="0"/>
    <x v="8"/>
    <x v="1"/>
    <x v="1"/>
    <n v="1"/>
    <n v="5182.2"/>
    <n v="13331.21"/>
    <x v="1"/>
  </r>
  <r>
    <x v="0"/>
    <x v="1"/>
    <x v="2"/>
    <x v="1"/>
    <x v="30"/>
    <x v="1"/>
    <x v="0"/>
    <n v="1"/>
    <n v="4271.46"/>
    <n v="13793.06"/>
    <x v="1"/>
  </r>
  <r>
    <x v="0"/>
    <x v="1"/>
    <x v="2"/>
    <x v="1"/>
    <x v="9"/>
    <x v="1"/>
    <x v="1"/>
    <n v="2"/>
    <n v="11741.02"/>
    <n v="37945.17"/>
    <x v="1"/>
  </r>
  <r>
    <x v="0"/>
    <x v="1"/>
    <x v="2"/>
    <x v="1"/>
    <x v="10"/>
    <x v="0"/>
    <x v="0"/>
    <n v="1"/>
    <n v="5092.75"/>
    <n v="21051.49"/>
    <x v="1"/>
  </r>
  <r>
    <x v="0"/>
    <x v="1"/>
    <x v="2"/>
    <x v="1"/>
    <x v="10"/>
    <x v="0"/>
    <x v="1"/>
    <n v="5"/>
    <n v="22775.4"/>
    <n v="101327"/>
    <x v="1"/>
  </r>
  <r>
    <x v="0"/>
    <x v="1"/>
    <x v="2"/>
    <x v="1"/>
    <x v="10"/>
    <x v="1"/>
    <x v="0"/>
    <n v="12"/>
    <n v="63185.25"/>
    <n v="188520.75"/>
    <x v="1"/>
  </r>
  <r>
    <x v="0"/>
    <x v="1"/>
    <x v="2"/>
    <x v="1"/>
    <x v="10"/>
    <x v="1"/>
    <x v="1"/>
    <n v="38"/>
    <n v="226838.52"/>
    <n v="685570.19"/>
    <x v="1"/>
  </r>
  <r>
    <x v="0"/>
    <x v="1"/>
    <x v="2"/>
    <x v="1"/>
    <x v="11"/>
    <x v="0"/>
    <x v="1"/>
    <n v="6"/>
    <n v="30399.03"/>
    <n v="141350.29999999999"/>
    <x v="1"/>
  </r>
  <r>
    <x v="0"/>
    <x v="1"/>
    <x v="2"/>
    <x v="1"/>
    <x v="11"/>
    <x v="1"/>
    <x v="0"/>
    <n v="5"/>
    <n v="32643.95"/>
    <n v="91982.66"/>
    <x v="1"/>
  </r>
  <r>
    <x v="0"/>
    <x v="1"/>
    <x v="2"/>
    <x v="1"/>
    <x v="11"/>
    <x v="1"/>
    <x v="1"/>
    <n v="20"/>
    <n v="119713.26"/>
    <n v="328412.23"/>
    <x v="1"/>
  </r>
  <r>
    <x v="0"/>
    <x v="1"/>
    <x v="2"/>
    <x v="1"/>
    <x v="12"/>
    <x v="1"/>
    <x v="1"/>
    <n v="1"/>
    <n v="4691.97"/>
    <n v="14387.22"/>
    <x v="1"/>
  </r>
  <r>
    <x v="0"/>
    <x v="1"/>
    <x v="2"/>
    <x v="1"/>
    <x v="13"/>
    <x v="0"/>
    <x v="1"/>
    <n v="2"/>
    <n v="15212.82"/>
    <n v="64405.97"/>
    <x v="1"/>
  </r>
  <r>
    <x v="0"/>
    <x v="1"/>
    <x v="2"/>
    <x v="1"/>
    <x v="13"/>
    <x v="1"/>
    <x v="1"/>
    <n v="11"/>
    <n v="61418.73"/>
    <n v="176935.32"/>
    <x v="1"/>
  </r>
  <r>
    <x v="0"/>
    <x v="1"/>
    <x v="2"/>
    <x v="1"/>
    <x v="14"/>
    <x v="1"/>
    <x v="0"/>
    <n v="23"/>
    <n v="137752.03"/>
    <n v="415606.22"/>
    <x v="1"/>
  </r>
  <r>
    <x v="0"/>
    <x v="1"/>
    <x v="2"/>
    <x v="1"/>
    <x v="14"/>
    <x v="1"/>
    <x v="1"/>
    <n v="4"/>
    <n v="18356.84"/>
    <n v="57544.4"/>
    <x v="1"/>
  </r>
  <r>
    <x v="0"/>
    <x v="1"/>
    <x v="2"/>
    <x v="1"/>
    <x v="16"/>
    <x v="0"/>
    <x v="1"/>
    <n v="3"/>
    <n v="17437.849999999999"/>
    <n v="75193.84"/>
    <x v="1"/>
  </r>
  <r>
    <x v="0"/>
    <x v="1"/>
    <x v="2"/>
    <x v="1"/>
    <x v="16"/>
    <x v="1"/>
    <x v="0"/>
    <n v="1"/>
    <n v="5571.32"/>
    <n v="15104.32"/>
    <x v="1"/>
  </r>
  <r>
    <x v="0"/>
    <x v="1"/>
    <x v="2"/>
    <x v="1"/>
    <x v="16"/>
    <x v="1"/>
    <x v="1"/>
    <n v="11"/>
    <n v="53133.67"/>
    <n v="152835.32999999999"/>
    <x v="1"/>
  </r>
  <r>
    <x v="0"/>
    <x v="1"/>
    <x v="2"/>
    <x v="1"/>
    <x v="17"/>
    <x v="0"/>
    <x v="1"/>
    <n v="1"/>
    <n v="4803.8100000000004"/>
    <n v="22991.43"/>
    <x v="1"/>
  </r>
  <r>
    <x v="0"/>
    <x v="1"/>
    <x v="2"/>
    <x v="1"/>
    <x v="17"/>
    <x v="1"/>
    <x v="0"/>
    <n v="6"/>
    <n v="36644.050000000003"/>
    <n v="104215.08"/>
    <x v="1"/>
  </r>
  <r>
    <x v="0"/>
    <x v="1"/>
    <x v="2"/>
    <x v="1"/>
    <x v="17"/>
    <x v="1"/>
    <x v="1"/>
    <n v="7"/>
    <n v="49165.279999999999"/>
    <n v="149040.38"/>
    <x v="1"/>
  </r>
  <r>
    <x v="0"/>
    <x v="1"/>
    <x v="2"/>
    <x v="1"/>
    <x v="18"/>
    <x v="0"/>
    <x v="1"/>
    <n v="6"/>
    <n v="36685.120000000003"/>
    <n v="159072.15"/>
    <x v="1"/>
  </r>
  <r>
    <x v="0"/>
    <x v="1"/>
    <x v="2"/>
    <x v="1"/>
    <x v="18"/>
    <x v="1"/>
    <x v="0"/>
    <n v="5"/>
    <n v="24858.880000000001"/>
    <n v="73676.06"/>
    <x v="1"/>
  </r>
  <r>
    <x v="0"/>
    <x v="1"/>
    <x v="2"/>
    <x v="1"/>
    <x v="18"/>
    <x v="1"/>
    <x v="1"/>
    <n v="39"/>
    <n v="223886.66"/>
    <n v="645976.25"/>
    <x v="1"/>
  </r>
  <r>
    <x v="0"/>
    <x v="1"/>
    <x v="2"/>
    <x v="1"/>
    <x v="19"/>
    <x v="0"/>
    <x v="1"/>
    <n v="3"/>
    <n v="17331.810000000001"/>
    <n v="69442.33"/>
    <x v="1"/>
  </r>
  <r>
    <x v="0"/>
    <x v="1"/>
    <x v="2"/>
    <x v="1"/>
    <x v="19"/>
    <x v="1"/>
    <x v="0"/>
    <n v="15"/>
    <n v="87378.76"/>
    <n v="253960.07"/>
    <x v="1"/>
  </r>
  <r>
    <x v="0"/>
    <x v="1"/>
    <x v="2"/>
    <x v="1"/>
    <x v="19"/>
    <x v="1"/>
    <x v="1"/>
    <n v="6"/>
    <n v="39955.82"/>
    <n v="115034.4"/>
    <x v="1"/>
  </r>
  <r>
    <x v="0"/>
    <x v="1"/>
    <x v="2"/>
    <x v="1"/>
    <x v="20"/>
    <x v="0"/>
    <x v="0"/>
    <n v="1"/>
    <n v="4363.4799999999996"/>
    <n v="20114.84"/>
    <x v="1"/>
  </r>
  <r>
    <x v="0"/>
    <x v="1"/>
    <x v="2"/>
    <x v="1"/>
    <x v="20"/>
    <x v="0"/>
    <x v="1"/>
    <n v="13"/>
    <n v="70297.820000000007"/>
    <n v="300577.52"/>
    <x v="1"/>
  </r>
  <r>
    <x v="0"/>
    <x v="1"/>
    <x v="2"/>
    <x v="1"/>
    <x v="20"/>
    <x v="1"/>
    <x v="0"/>
    <n v="8"/>
    <n v="46690.71"/>
    <n v="131924.54999999999"/>
    <x v="1"/>
  </r>
  <r>
    <x v="0"/>
    <x v="1"/>
    <x v="2"/>
    <x v="1"/>
    <x v="20"/>
    <x v="1"/>
    <x v="1"/>
    <n v="23"/>
    <n v="120675.62"/>
    <n v="342415.23"/>
    <x v="1"/>
  </r>
  <r>
    <x v="0"/>
    <x v="1"/>
    <x v="2"/>
    <x v="2"/>
    <x v="21"/>
    <x v="0"/>
    <x v="0"/>
    <n v="1"/>
    <n v="6857.44"/>
    <n v="31938.99"/>
    <x v="1"/>
  </r>
  <r>
    <x v="0"/>
    <x v="1"/>
    <x v="2"/>
    <x v="2"/>
    <x v="22"/>
    <x v="0"/>
    <x v="1"/>
    <n v="3"/>
    <n v="18661.669999999998"/>
    <n v="84319.16"/>
    <x v="1"/>
  </r>
  <r>
    <x v="0"/>
    <x v="1"/>
    <x v="2"/>
    <x v="2"/>
    <x v="22"/>
    <x v="1"/>
    <x v="0"/>
    <n v="11"/>
    <n v="50666.78"/>
    <n v="135177.92000000001"/>
    <x v="1"/>
  </r>
  <r>
    <x v="0"/>
    <x v="1"/>
    <x v="2"/>
    <x v="2"/>
    <x v="22"/>
    <x v="1"/>
    <x v="1"/>
    <n v="10"/>
    <n v="51572.84"/>
    <n v="129481.03"/>
    <x v="1"/>
  </r>
  <r>
    <x v="0"/>
    <x v="1"/>
    <x v="2"/>
    <x v="2"/>
    <x v="29"/>
    <x v="0"/>
    <x v="1"/>
    <n v="4"/>
    <n v="25047.89"/>
    <n v="107755.94"/>
    <x v="1"/>
  </r>
  <r>
    <x v="0"/>
    <x v="1"/>
    <x v="2"/>
    <x v="2"/>
    <x v="29"/>
    <x v="1"/>
    <x v="1"/>
    <n v="5"/>
    <n v="28842.15"/>
    <n v="74459.429999999993"/>
    <x v="1"/>
  </r>
  <r>
    <x v="0"/>
    <x v="1"/>
    <x v="2"/>
    <x v="2"/>
    <x v="23"/>
    <x v="1"/>
    <x v="1"/>
    <n v="2"/>
    <n v="15344.4"/>
    <n v="40794.07"/>
    <x v="1"/>
  </r>
  <r>
    <x v="0"/>
    <x v="1"/>
    <x v="2"/>
    <x v="2"/>
    <x v="24"/>
    <x v="0"/>
    <x v="1"/>
    <n v="4"/>
    <n v="20293.98"/>
    <n v="86472.56"/>
    <x v="1"/>
  </r>
  <r>
    <x v="0"/>
    <x v="1"/>
    <x v="2"/>
    <x v="2"/>
    <x v="24"/>
    <x v="1"/>
    <x v="0"/>
    <n v="12"/>
    <n v="60107.68"/>
    <n v="158335.38"/>
    <x v="1"/>
  </r>
  <r>
    <x v="0"/>
    <x v="1"/>
    <x v="2"/>
    <x v="2"/>
    <x v="24"/>
    <x v="1"/>
    <x v="1"/>
    <n v="5"/>
    <n v="22587.37"/>
    <n v="63122.73"/>
    <x v="1"/>
  </r>
  <r>
    <x v="0"/>
    <x v="1"/>
    <x v="2"/>
    <x v="3"/>
    <x v="25"/>
    <x v="0"/>
    <x v="1"/>
    <n v="1"/>
    <n v="6777.11"/>
    <n v="32059.919999999998"/>
    <x v="1"/>
  </r>
  <r>
    <x v="0"/>
    <x v="1"/>
    <x v="2"/>
    <x v="3"/>
    <x v="25"/>
    <x v="1"/>
    <x v="0"/>
    <n v="2"/>
    <n v="8933.3799999999992"/>
    <n v="27363.01"/>
    <x v="1"/>
  </r>
  <r>
    <x v="0"/>
    <x v="1"/>
    <x v="2"/>
    <x v="3"/>
    <x v="26"/>
    <x v="0"/>
    <x v="0"/>
    <n v="4"/>
    <n v="20406.97"/>
    <n v="91579.48"/>
    <x v="1"/>
  </r>
  <r>
    <x v="0"/>
    <x v="1"/>
    <x v="2"/>
    <x v="3"/>
    <x v="26"/>
    <x v="0"/>
    <x v="1"/>
    <n v="1"/>
    <n v="7248.15"/>
    <n v="31941.74"/>
    <x v="1"/>
  </r>
  <r>
    <x v="0"/>
    <x v="1"/>
    <x v="2"/>
    <x v="3"/>
    <x v="26"/>
    <x v="1"/>
    <x v="0"/>
    <n v="7"/>
    <n v="37916.83"/>
    <n v="113677.95"/>
    <x v="1"/>
  </r>
  <r>
    <x v="0"/>
    <x v="1"/>
    <x v="2"/>
    <x v="3"/>
    <x v="26"/>
    <x v="1"/>
    <x v="1"/>
    <n v="10"/>
    <n v="53890.74"/>
    <n v="162129.35999999999"/>
    <x v="1"/>
  </r>
  <r>
    <x v="0"/>
    <x v="1"/>
    <x v="2"/>
    <x v="3"/>
    <x v="27"/>
    <x v="0"/>
    <x v="0"/>
    <n v="3"/>
    <n v="13796.72"/>
    <n v="59883.99"/>
    <x v="1"/>
  </r>
  <r>
    <x v="0"/>
    <x v="1"/>
    <x v="2"/>
    <x v="3"/>
    <x v="27"/>
    <x v="0"/>
    <x v="1"/>
    <n v="9"/>
    <n v="55207.22"/>
    <n v="245153.64"/>
    <x v="1"/>
  </r>
  <r>
    <x v="0"/>
    <x v="1"/>
    <x v="2"/>
    <x v="3"/>
    <x v="27"/>
    <x v="1"/>
    <x v="0"/>
    <n v="22"/>
    <n v="130884.7"/>
    <n v="383267.37"/>
    <x v="1"/>
  </r>
  <r>
    <x v="0"/>
    <x v="1"/>
    <x v="2"/>
    <x v="3"/>
    <x v="27"/>
    <x v="1"/>
    <x v="1"/>
    <n v="20"/>
    <n v="99478.06"/>
    <n v="286466.24"/>
    <x v="1"/>
  </r>
  <r>
    <x v="0"/>
    <x v="1"/>
    <x v="3"/>
    <x v="0"/>
    <x v="0"/>
    <x v="0"/>
    <x v="0"/>
    <n v="1"/>
    <n v="5809.85"/>
    <n v="26509.89"/>
    <x v="1"/>
  </r>
  <r>
    <x v="0"/>
    <x v="1"/>
    <x v="3"/>
    <x v="0"/>
    <x v="0"/>
    <x v="0"/>
    <x v="1"/>
    <n v="1"/>
    <n v="5001.24"/>
    <n v="23159.64"/>
    <x v="1"/>
  </r>
  <r>
    <x v="0"/>
    <x v="1"/>
    <x v="3"/>
    <x v="0"/>
    <x v="0"/>
    <x v="1"/>
    <x v="0"/>
    <n v="6"/>
    <n v="41945.72"/>
    <n v="120874.36"/>
    <x v="1"/>
  </r>
  <r>
    <x v="0"/>
    <x v="1"/>
    <x v="3"/>
    <x v="0"/>
    <x v="0"/>
    <x v="1"/>
    <x v="1"/>
    <n v="2"/>
    <n v="11419.24"/>
    <n v="34817.339999999997"/>
    <x v="1"/>
  </r>
  <r>
    <x v="0"/>
    <x v="1"/>
    <x v="3"/>
    <x v="0"/>
    <x v="1"/>
    <x v="0"/>
    <x v="1"/>
    <n v="4"/>
    <n v="24750.57"/>
    <n v="111947.1"/>
    <x v="1"/>
  </r>
  <r>
    <x v="0"/>
    <x v="1"/>
    <x v="3"/>
    <x v="0"/>
    <x v="1"/>
    <x v="1"/>
    <x v="0"/>
    <n v="3"/>
    <n v="14940.62"/>
    <n v="44647.4"/>
    <x v="1"/>
  </r>
  <r>
    <x v="0"/>
    <x v="1"/>
    <x v="3"/>
    <x v="0"/>
    <x v="1"/>
    <x v="1"/>
    <x v="1"/>
    <n v="17"/>
    <n v="120768.42"/>
    <n v="347527.12"/>
    <x v="1"/>
  </r>
  <r>
    <x v="0"/>
    <x v="1"/>
    <x v="3"/>
    <x v="0"/>
    <x v="2"/>
    <x v="0"/>
    <x v="1"/>
    <n v="3"/>
    <n v="16355.57"/>
    <n v="77362.080000000002"/>
    <x v="1"/>
  </r>
  <r>
    <x v="0"/>
    <x v="1"/>
    <x v="3"/>
    <x v="0"/>
    <x v="2"/>
    <x v="1"/>
    <x v="1"/>
    <n v="10"/>
    <n v="61139.6"/>
    <n v="175123.72"/>
    <x v="1"/>
  </r>
  <r>
    <x v="0"/>
    <x v="1"/>
    <x v="3"/>
    <x v="0"/>
    <x v="3"/>
    <x v="0"/>
    <x v="1"/>
    <n v="9"/>
    <n v="60996.44"/>
    <n v="271216.05"/>
    <x v="1"/>
  </r>
  <r>
    <x v="0"/>
    <x v="1"/>
    <x v="3"/>
    <x v="0"/>
    <x v="3"/>
    <x v="1"/>
    <x v="0"/>
    <n v="4"/>
    <n v="24971.439999999999"/>
    <n v="73389.789999999994"/>
    <x v="1"/>
  </r>
  <r>
    <x v="0"/>
    <x v="1"/>
    <x v="3"/>
    <x v="0"/>
    <x v="3"/>
    <x v="1"/>
    <x v="1"/>
    <n v="21"/>
    <n v="125321.21"/>
    <n v="363471.18"/>
    <x v="1"/>
  </r>
  <r>
    <x v="0"/>
    <x v="1"/>
    <x v="3"/>
    <x v="0"/>
    <x v="4"/>
    <x v="0"/>
    <x v="1"/>
    <n v="2"/>
    <n v="11245.02"/>
    <n v="49759.17"/>
    <x v="1"/>
  </r>
  <r>
    <x v="0"/>
    <x v="1"/>
    <x v="3"/>
    <x v="0"/>
    <x v="4"/>
    <x v="1"/>
    <x v="0"/>
    <n v="6"/>
    <n v="34886.639999999999"/>
    <n v="102144.02"/>
    <x v="1"/>
  </r>
  <r>
    <x v="0"/>
    <x v="1"/>
    <x v="3"/>
    <x v="0"/>
    <x v="4"/>
    <x v="1"/>
    <x v="1"/>
    <n v="5"/>
    <n v="29324"/>
    <n v="89926.97"/>
    <x v="1"/>
  </r>
  <r>
    <x v="0"/>
    <x v="1"/>
    <x v="3"/>
    <x v="0"/>
    <x v="5"/>
    <x v="0"/>
    <x v="1"/>
    <n v="4"/>
    <n v="25583.86"/>
    <n v="121888.12"/>
    <x v="1"/>
  </r>
  <r>
    <x v="0"/>
    <x v="1"/>
    <x v="3"/>
    <x v="0"/>
    <x v="5"/>
    <x v="1"/>
    <x v="1"/>
    <n v="20"/>
    <n v="113058.32"/>
    <n v="349213.45"/>
    <x v="1"/>
  </r>
  <r>
    <x v="0"/>
    <x v="1"/>
    <x v="3"/>
    <x v="0"/>
    <x v="6"/>
    <x v="0"/>
    <x v="1"/>
    <n v="3"/>
    <n v="17375.22"/>
    <n v="79724.639999999999"/>
    <x v="1"/>
  </r>
  <r>
    <x v="0"/>
    <x v="1"/>
    <x v="3"/>
    <x v="0"/>
    <x v="7"/>
    <x v="1"/>
    <x v="1"/>
    <n v="4"/>
    <n v="27815.24"/>
    <n v="83086.61"/>
    <x v="1"/>
  </r>
  <r>
    <x v="0"/>
    <x v="1"/>
    <x v="3"/>
    <x v="0"/>
    <x v="8"/>
    <x v="0"/>
    <x v="1"/>
    <n v="2"/>
    <n v="16161.06"/>
    <n v="72069.37"/>
    <x v="1"/>
  </r>
  <r>
    <x v="0"/>
    <x v="1"/>
    <x v="3"/>
    <x v="0"/>
    <x v="8"/>
    <x v="1"/>
    <x v="1"/>
    <n v="5"/>
    <n v="37987.65"/>
    <n v="104606.11"/>
    <x v="1"/>
  </r>
  <r>
    <x v="0"/>
    <x v="1"/>
    <x v="3"/>
    <x v="1"/>
    <x v="30"/>
    <x v="1"/>
    <x v="0"/>
    <n v="4"/>
    <n v="27645.38"/>
    <n v="84513.56"/>
    <x v="1"/>
  </r>
  <r>
    <x v="0"/>
    <x v="1"/>
    <x v="3"/>
    <x v="1"/>
    <x v="9"/>
    <x v="1"/>
    <x v="1"/>
    <n v="1"/>
    <n v="5676.5"/>
    <n v="18412.439999999999"/>
    <x v="1"/>
  </r>
  <r>
    <x v="0"/>
    <x v="1"/>
    <x v="3"/>
    <x v="1"/>
    <x v="10"/>
    <x v="1"/>
    <x v="0"/>
    <n v="3"/>
    <n v="15585.12"/>
    <n v="50239.360000000001"/>
    <x v="1"/>
  </r>
  <r>
    <x v="0"/>
    <x v="1"/>
    <x v="3"/>
    <x v="1"/>
    <x v="10"/>
    <x v="1"/>
    <x v="1"/>
    <n v="30"/>
    <n v="181799.06"/>
    <n v="546988.77"/>
    <x v="1"/>
  </r>
  <r>
    <x v="0"/>
    <x v="1"/>
    <x v="3"/>
    <x v="1"/>
    <x v="11"/>
    <x v="0"/>
    <x v="1"/>
    <n v="8"/>
    <n v="47299.29"/>
    <n v="223053.33"/>
    <x v="1"/>
  </r>
  <r>
    <x v="0"/>
    <x v="1"/>
    <x v="3"/>
    <x v="1"/>
    <x v="11"/>
    <x v="1"/>
    <x v="0"/>
    <n v="11"/>
    <n v="65640.45"/>
    <n v="197652.85"/>
    <x v="1"/>
  </r>
  <r>
    <x v="0"/>
    <x v="1"/>
    <x v="3"/>
    <x v="1"/>
    <x v="11"/>
    <x v="1"/>
    <x v="1"/>
    <n v="24"/>
    <n v="147651.78"/>
    <n v="450363.15"/>
    <x v="1"/>
  </r>
  <r>
    <x v="0"/>
    <x v="1"/>
    <x v="3"/>
    <x v="1"/>
    <x v="12"/>
    <x v="1"/>
    <x v="0"/>
    <n v="2"/>
    <n v="14441.1"/>
    <n v="47190.38"/>
    <x v="1"/>
  </r>
  <r>
    <x v="0"/>
    <x v="1"/>
    <x v="3"/>
    <x v="1"/>
    <x v="12"/>
    <x v="1"/>
    <x v="1"/>
    <n v="11"/>
    <n v="60283.02"/>
    <n v="191217.32"/>
    <x v="1"/>
  </r>
  <r>
    <x v="0"/>
    <x v="1"/>
    <x v="3"/>
    <x v="1"/>
    <x v="13"/>
    <x v="0"/>
    <x v="1"/>
    <n v="3"/>
    <n v="18854.29"/>
    <n v="86860.95"/>
    <x v="1"/>
  </r>
  <r>
    <x v="0"/>
    <x v="1"/>
    <x v="3"/>
    <x v="1"/>
    <x v="13"/>
    <x v="1"/>
    <x v="1"/>
    <n v="9"/>
    <n v="59839.96"/>
    <n v="188833.37"/>
    <x v="1"/>
  </r>
  <r>
    <x v="0"/>
    <x v="1"/>
    <x v="3"/>
    <x v="1"/>
    <x v="14"/>
    <x v="0"/>
    <x v="1"/>
    <n v="1"/>
    <n v="4908.78"/>
    <n v="23253.96"/>
    <x v="1"/>
  </r>
  <r>
    <x v="0"/>
    <x v="1"/>
    <x v="3"/>
    <x v="1"/>
    <x v="14"/>
    <x v="1"/>
    <x v="0"/>
    <n v="10"/>
    <n v="59151.89"/>
    <n v="173007.8"/>
    <x v="1"/>
  </r>
  <r>
    <x v="0"/>
    <x v="1"/>
    <x v="3"/>
    <x v="1"/>
    <x v="14"/>
    <x v="1"/>
    <x v="1"/>
    <n v="4"/>
    <n v="21558.16"/>
    <n v="66725.490000000005"/>
    <x v="1"/>
  </r>
  <r>
    <x v="0"/>
    <x v="1"/>
    <x v="3"/>
    <x v="1"/>
    <x v="15"/>
    <x v="1"/>
    <x v="0"/>
    <n v="4"/>
    <n v="24641.19"/>
    <n v="75449.87"/>
    <x v="1"/>
  </r>
  <r>
    <x v="0"/>
    <x v="1"/>
    <x v="3"/>
    <x v="1"/>
    <x v="15"/>
    <x v="1"/>
    <x v="1"/>
    <n v="2"/>
    <n v="11285.72"/>
    <n v="36911"/>
    <x v="1"/>
  </r>
  <r>
    <x v="0"/>
    <x v="1"/>
    <x v="3"/>
    <x v="1"/>
    <x v="16"/>
    <x v="0"/>
    <x v="1"/>
    <n v="2"/>
    <n v="11632.39"/>
    <n v="53343.89"/>
    <x v="1"/>
  </r>
  <r>
    <x v="0"/>
    <x v="1"/>
    <x v="3"/>
    <x v="1"/>
    <x v="16"/>
    <x v="1"/>
    <x v="0"/>
    <n v="10"/>
    <n v="62762.67"/>
    <n v="192964.08"/>
    <x v="1"/>
  </r>
  <r>
    <x v="0"/>
    <x v="1"/>
    <x v="3"/>
    <x v="1"/>
    <x v="16"/>
    <x v="1"/>
    <x v="1"/>
    <n v="8"/>
    <n v="60157.99"/>
    <n v="175471.51"/>
    <x v="1"/>
  </r>
  <r>
    <x v="0"/>
    <x v="1"/>
    <x v="3"/>
    <x v="1"/>
    <x v="17"/>
    <x v="0"/>
    <x v="1"/>
    <n v="2"/>
    <n v="11294.68"/>
    <n v="53565.72"/>
    <x v="1"/>
  </r>
  <r>
    <x v="0"/>
    <x v="1"/>
    <x v="3"/>
    <x v="1"/>
    <x v="17"/>
    <x v="1"/>
    <x v="0"/>
    <n v="1"/>
    <n v="6396.99"/>
    <n v="17852.16"/>
    <x v="1"/>
  </r>
  <r>
    <x v="0"/>
    <x v="1"/>
    <x v="3"/>
    <x v="1"/>
    <x v="17"/>
    <x v="1"/>
    <x v="1"/>
    <n v="3"/>
    <n v="22259.82"/>
    <n v="65650.039999999994"/>
    <x v="1"/>
  </r>
  <r>
    <x v="0"/>
    <x v="1"/>
    <x v="3"/>
    <x v="1"/>
    <x v="18"/>
    <x v="0"/>
    <x v="1"/>
    <n v="13"/>
    <n v="75946.070000000007"/>
    <n v="334531.56"/>
    <x v="1"/>
  </r>
  <r>
    <x v="0"/>
    <x v="1"/>
    <x v="3"/>
    <x v="1"/>
    <x v="18"/>
    <x v="1"/>
    <x v="1"/>
    <n v="24"/>
    <n v="132848.15"/>
    <n v="422250.71"/>
    <x v="1"/>
  </r>
  <r>
    <x v="0"/>
    <x v="1"/>
    <x v="3"/>
    <x v="1"/>
    <x v="19"/>
    <x v="0"/>
    <x v="1"/>
    <n v="6"/>
    <n v="33791.25"/>
    <n v="156011.26999999999"/>
    <x v="1"/>
  </r>
  <r>
    <x v="0"/>
    <x v="1"/>
    <x v="3"/>
    <x v="1"/>
    <x v="19"/>
    <x v="1"/>
    <x v="0"/>
    <n v="9"/>
    <n v="56943.12"/>
    <n v="171734.21"/>
    <x v="1"/>
  </r>
  <r>
    <x v="0"/>
    <x v="1"/>
    <x v="3"/>
    <x v="1"/>
    <x v="19"/>
    <x v="1"/>
    <x v="1"/>
    <n v="14"/>
    <n v="73168.960000000006"/>
    <n v="226513.37"/>
    <x v="1"/>
  </r>
  <r>
    <x v="0"/>
    <x v="1"/>
    <x v="3"/>
    <x v="1"/>
    <x v="20"/>
    <x v="0"/>
    <x v="0"/>
    <n v="3"/>
    <n v="19826.43"/>
    <n v="89268.49"/>
    <x v="1"/>
  </r>
  <r>
    <x v="0"/>
    <x v="1"/>
    <x v="3"/>
    <x v="1"/>
    <x v="20"/>
    <x v="0"/>
    <x v="1"/>
    <n v="8"/>
    <n v="50545.05"/>
    <n v="234754.91"/>
    <x v="1"/>
  </r>
  <r>
    <x v="0"/>
    <x v="1"/>
    <x v="3"/>
    <x v="1"/>
    <x v="20"/>
    <x v="1"/>
    <x v="0"/>
    <n v="6"/>
    <n v="30311.99"/>
    <n v="93832.34"/>
    <x v="1"/>
  </r>
  <r>
    <x v="0"/>
    <x v="1"/>
    <x v="3"/>
    <x v="1"/>
    <x v="20"/>
    <x v="1"/>
    <x v="1"/>
    <n v="26"/>
    <n v="152728.01999999999"/>
    <n v="471511.39"/>
    <x v="1"/>
  </r>
  <r>
    <x v="0"/>
    <x v="1"/>
    <x v="3"/>
    <x v="2"/>
    <x v="21"/>
    <x v="0"/>
    <x v="0"/>
    <n v="4"/>
    <n v="22775.96"/>
    <n v="99705.14"/>
    <x v="1"/>
  </r>
  <r>
    <x v="0"/>
    <x v="1"/>
    <x v="3"/>
    <x v="2"/>
    <x v="22"/>
    <x v="0"/>
    <x v="1"/>
    <n v="2"/>
    <n v="10791.05"/>
    <n v="51053.09"/>
    <x v="1"/>
  </r>
  <r>
    <x v="0"/>
    <x v="1"/>
    <x v="3"/>
    <x v="2"/>
    <x v="22"/>
    <x v="1"/>
    <x v="0"/>
    <n v="9"/>
    <n v="56226.82"/>
    <n v="154029.45000000001"/>
    <x v="1"/>
  </r>
  <r>
    <x v="0"/>
    <x v="1"/>
    <x v="3"/>
    <x v="2"/>
    <x v="22"/>
    <x v="1"/>
    <x v="1"/>
    <n v="3"/>
    <n v="19281.66"/>
    <n v="48816.92"/>
    <x v="1"/>
  </r>
  <r>
    <x v="0"/>
    <x v="1"/>
    <x v="3"/>
    <x v="2"/>
    <x v="29"/>
    <x v="0"/>
    <x v="1"/>
    <n v="6"/>
    <n v="38097.440000000002"/>
    <n v="182508.88"/>
    <x v="1"/>
  </r>
  <r>
    <x v="0"/>
    <x v="1"/>
    <x v="3"/>
    <x v="2"/>
    <x v="29"/>
    <x v="1"/>
    <x v="1"/>
    <n v="4"/>
    <n v="23133.66"/>
    <n v="68769.62"/>
    <x v="1"/>
  </r>
  <r>
    <x v="0"/>
    <x v="1"/>
    <x v="3"/>
    <x v="2"/>
    <x v="23"/>
    <x v="1"/>
    <x v="1"/>
    <n v="2"/>
    <n v="10107.25"/>
    <n v="30090.240000000002"/>
    <x v="1"/>
  </r>
  <r>
    <x v="0"/>
    <x v="1"/>
    <x v="3"/>
    <x v="2"/>
    <x v="24"/>
    <x v="0"/>
    <x v="1"/>
    <n v="1"/>
    <n v="7991.67"/>
    <n v="35661.82"/>
    <x v="1"/>
  </r>
  <r>
    <x v="0"/>
    <x v="1"/>
    <x v="3"/>
    <x v="2"/>
    <x v="24"/>
    <x v="1"/>
    <x v="0"/>
    <n v="1"/>
    <n v="6345.21"/>
    <n v="16468.97"/>
    <x v="1"/>
  </r>
  <r>
    <x v="0"/>
    <x v="1"/>
    <x v="3"/>
    <x v="2"/>
    <x v="24"/>
    <x v="1"/>
    <x v="1"/>
    <n v="1"/>
    <n v="5023.59"/>
    <n v="15076.92"/>
    <x v="1"/>
  </r>
  <r>
    <x v="0"/>
    <x v="1"/>
    <x v="3"/>
    <x v="3"/>
    <x v="25"/>
    <x v="0"/>
    <x v="1"/>
    <n v="1"/>
    <n v="5017.6899999999996"/>
    <n v="23145.48"/>
    <x v="1"/>
  </r>
  <r>
    <x v="0"/>
    <x v="1"/>
    <x v="3"/>
    <x v="3"/>
    <x v="25"/>
    <x v="1"/>
    <x v="0"/>
    <n v="7"/>
    <n v="40146.910000000003"/>
    <n v="127609.74"/>
    <x v="1"/>
  </r>
  <r>
    <x v="0"/>
    <x v="1"/>
    <x v="3"/>
    <x v="3"/>
    <x v="25"/>
    <x v="1"/>
    <x v="1"/>
    <n v="7"/>
    <n v="43709.99"/>
    <n v="132944.88"/>
    <x v="1"/>
  </r>
  <r>
    <x v="0"/>
    <x v="1"/>
    <x v="3"/>
    <x v="3"/>
    <x v="26"/>
    <x v="0"/>
    <x v="1"/>
    <n v="1"/>
    <n v="7426.53"/>
    <n v="35739.97"/>
    <x v="1"/>
  </r>
  <r>
    <x v="0"/>
    <x v="1"/>
    <x v="3"/>
    <x v="3"/>
    <x v="26"/>
    <x v="1"/>
    <x v="0"/>
    <n v="9"/>
    <n v="62105.42"/>
    <n v="189948.26"/>
    <x v="1"/>
  </r>
  <r>
    <x v="0"/>
    <x v="1"/>
    <x v="3"/>
    <x v="3"/>
    <x v="26"/>
    <x v="1"/>
    <x v="1"/>
    <n v="21"/>
    <n v="135009.66"/>
    <n v="412074.27"/>
    <x v="1"/>
  </r>
  <r>
    <x v="0"/>
    <x v="1"/>
    <x v="3"/>
    <x v="3"/>
    <x v="27"/>
    <x v="0"/>
    <x v="0"/>
    <n v="1"/>
    <n v="5784.38"/>
    <n v="26719.55"/>
    <x v="1"/>
  </r>
  <r>
    <x v="0"/>
    <x v="1"/>
    <x v="3"/>
    <x v="3"/>
    <x v="27"/>
    <x v="0"/>
    <x v="1"/>
    <n v="5"/>
    <n v="28378.76"/>
    <n v="125951.9"/>
    <x v="1"/>
  </r>
  <r>
    <x v="0"/>
    <x v="1"/>
    <x v="3"/>
    <x v="3"/>
    <x v="27"/>
    <x v="1"/>
    <x v="0"/>
    <n v="18"/>
    <n v="116839.58"/>
    <n v="368482.16"/>
    <x v="1"/>
  </r>
  <r>
    <x v="0"/>
    <x v="1"/>
    <x v="3"/>
    <x v="3"/>
    <x v="27"/>
    <x v="1"/>
    <x v="1"/>
    <n v="21"/>
    <n v="124396.21"/>
    <n v="395430.33"/>
    <x v="1"/>
  </r>
  <r>
    <x v="0"/>
    <x v="1"/>
    <x v="4"/>
    <x v="0"/>
    <x v="0"/>
    <x v="0"/>
    <x v="0"/>
    <n v="3"/>
    <n v="16402.740000000002"/>
    <n v="79021.850000000006"/>
    <x v="1"/>
  </r>
  <r>
    <x v="0"/>
    <x v="1"/>
    <x v="4"/>
    <x v="0"/>
    <x v="0"/>
    <x v="0"/>
    <x v="1"/>
    <n v="3"/>
    <n v="15509.52"/>
    <n v="75812.53"/>
    <x v="1"/>
  </r>
  <r>
    <x v="0"/>
    <x v="1"/>
    <x v="4"/>
    <x v="0"/>
    <x v="0"/>
    <x v="1"/>
    <x v="0"/>
    <n v="3"/>
    <n v="14272.54"/>
    <n v="44495.88"/>
    <x v="1"/>
  </r>
  <r>
    <x v="0"/>
    <x v="1"/>
    <x v="4"/>
    <x v="0"/>
    <x v="0"/>
    <x v="1"/>
    <x v="1"/>
    <n v="7"/>
    <n v="38995.93"/>
    <n v="106514.37"/>
    <x v="1"/>
  </r>
  <r>
    <x v="0"/>
    <x v="1"/>
    <x v="4"/>
    <x v="0"/>
    <x v="1"/>
    <x v="0"/>
    <x v="0"/>
    <n v="4"/>
    <n v="20295.599999999999"/>
    <n v="94377.95"/>
    <x v="1"/>
  </r>
  <r>
    <x v="0"/>
    <x v="1"/>
    <x v="4"/>
    <x v="0"/>
    <x v="1"/>
    <x v="0"/>
    <x v="1"/>
    <n v="7"/>
    <n v="37467.550000000003"/>
    <n v="169773.89"/>
    <x v="1"/>
  </r>
  <r>
    <x v="0"/>
    <x v="1"/>
    <x v="4"/>
    <x v="0"/>
    <x v="1"/>
    <x v="1"/>
    <x v="0"/>
    <n v="7"/>
    <n v="36811.410000000003"/>
    <n v="109226.36"/>
    <x v="1"/>
  </r>
  <r>
    <x v="0"/>
    <x v="1"/>
    <x v="4"/>
    <x v="0"/>
    <x v="1"/>
    <x v="1"/>
    <x v="1"/>
    <n v="23"/>
    <n v="126005.32"/>
    <n v="378758.77"/>
    <x v="1"/>
  </r>
  <r>
    <x v="0"/>
    <x v="1"/>
    <x v="4"/>
    <x v="0"/>
    <x v="2"/>
    <x v="0"/>
    <x v="1"/>
    <n v="5"/>
    <n v="26186.54"/>
    <n v="130301.48"/>
    <x v="1"/>
  </r>
  <r>
    <x v="0"/>
    <x v="1"/>
    <x v="4"/>
    <x v="0"/>
    <x v="2"/>
    <x v="1"/>
    <x v="1"/>
    <n v="12"/>
    <n v="60335.8"/>
    <n v="172044.25"/>
    <x v="1"/>
  </r>
  <r>
    <x v="0"/>
    <x v="1"/>
    <x v="4"/>
    <x v="0"/>
    <x v="3"/>
    <x v="0"/>
    <x v="0"/>
    <n v="1"/>
    <n v="5044.87"/>
    <n v="22107.82"/>
    <x v="1"/>
  </r>
  <r>
    <x v="0"/>
    <x v="1"/>
    <x v="4"/>
    <x v="0"/>
    <x v="3"/>
    <x v="0"/>
    <x v="1"/>
    <n v="1"/>
    <n v="5137.72"/>
    <n v="25523.84"/>
    <x v="1"/>
  </r>
  <r>
    <x v="0"/>
    <x v="1"/>
    <x v="4"/>
    <x v="0"/>
    <x v="3"/>
    <x v="1"/>
    <x v="0"/>
    <n v="2"/>
    <n v="10613.78"/>
    <n v="30775.46"/>
    <x v="1"/>
  </r>
  <r>
    <x v="0"/>
    <x v="1"/>
    <x v="4"/>
    <x v="0"/>
    <x v="3"/>
    <x v="1"/>
    <x v="1"/>
    <n v="21"/>
    <n v="105803.28"/>
    <n v="322705.24"/>
    <x v="1"/>
  </r>
  <r>
    <x v="0"/>
    <x v="1"/>
    <x v="4"/>
    <x v="0"/>
    <x v="28"/>
    <x v="1"/>
    <x v="1"/>
    <n v="1"/>
    <n v="5567.22"/>
    <n v="14841.7"/>
    <x v="1"/>
  </r>
  <r>
    <x v="0"/>
    <x v="1"/>
    <x v="4"/>
    <x v="0"/>
    <x v="4"/>
    <x v="1"/>
    <x v="0"/>
    <n v="5"/>
    <n v="24985.89"/>
    <n v="72310.64"/>
    <x v="1"/>
  </r>
  <r>
    <x v="0"/>
    <x v="1"/>
    <x v="4"/>
    <x v="0"/>
    <x v="4"/>
    <x v="1"/>
    <x v="1"/>
    <n v="12"/>
    <n v="64362.63"/>
    <n v="194566.32"/>
    <x v="1"/>
  </r>
  <r>
    <x v="0"/>
    <x v="1"/>
    <x v="4"/>
    <x v="0"/>
    <x v="5"/>
    <x v="0"/>
    <x v="1"/>
    <n v="3"/>
    <n v="17104.27"/>
    <n v="80193.17"/>
    <x v="1"/>
  </r>
  <r>
    <x v="0"/>
    <x v="1"/>
    <x v="4"/>
    <x v="0"/>
    <x v="5"/>
    <x v="1"/>
    <x v="0"/>
    <n v="4"/>
    <n v="25339.599999999999"/>
    <n v="81946.47"/>
    <x v="1"/>
  </r>
  <r>
    <x v="0"/>
    <x v="1"/>
    <x v="4"/>
    <x v="0"/>
    <x v="5"/>
    <x v="1"/>
    <x v="1"/>
    <n v="39"/>
    <n v="213992.92"/>
    <n v="656556.85"/>
    <x v="1"/>
  </r>
  <r>
    <x v="0"/>
    <x v="1"/>
    <x v="4"/>
    <x v="0"/>
    <x v="6"/>
    <x v="0"/>
    <x v="1"/>
    <n v="3"/>
    <n v="18931.3"/>
    <n v="90413.119999999995"/>
    <x v="1"/>
  </r>
  <r>
    <x v="0"/>
    <x v="1"/>
    <x v="4"/>
    <x v="0"/>
    <x v="6"/>
    <x v="1"/>
    <x v="1"/>
    <n v="4"/>
    <n v="20201.349999999999"/>
    <n v="59470.83"/>
    <x v="1"/>
  </r>
  <r>
    <x v="0"/>
    <x v="1"/>
    <x v="4"/>
    <x v="0"/>
    <x v="7"/>
    <x v="1"/>
    <x v="1"/>
    <n v="1"/>
    <n v="4811.51"/>
    <n v="15058.03"/>
    <x v="1"/>
  </r>
  <r>
    <x v="0"/>
    <x v="1"/>
    <x v="4"/>
    <x v="0"/>
    <x v="8"/>
    <x v="1"/>
    <x v="1"/>
    <n v="4"/>
    <n v="20293.400000000001"/>
    <n v="58800.17"/>
    <x v="1"/>
  </r>
  <r>
    <x v="0"/>
    <x v="1"/>
    <x v="4"/>
    <x v="1"/>
    <x v="9"/>
    <x v="1"/>
    <x v="1"/>
    <n v="3"/>
    <n v="16210.74"/>
    <n v="47068.68"/>
    <x v="1"/>
  </r>
  <r>
    <x v="0"/>
    <x v="1"/>
    <x v="4"/>
    <x v="1"/>
    <x v="10"/>
    <x v="0"/>
    <x v="0"/>
    <n v="1"/>
    <n v="5539.79"/>
    <n v="26076.03"/>
    <x v="1"/>
  </r>
  <r>
    <x v="0"/>
    <x v="1"/>
    <x v="4"/>
    <x v="1"/>
    <x v="10"/>
    <x v="1"/>
    <x v="0"/>
    <n v="14"/>
    <n v="82010.039999999994"/>
    <n v="277077.95"/>
    <x v="1"/>
  </r>
  <r>
    <x v="0"/>
    <x v="1"/>
    <x v="4"/>
    <x v="1"/>
    <x v="10"/>
    <x v="1"/>
    <x v="1"/>
    <n v="18"/>
    <n v="93305.01"/>
    <n v="301959.5"/>
    <x v="1"/>
  </r>
  <r>
    <x v="0"/>
    <x v="1"/>
    <x v="4"/>
    <x v="1"/>
    <x v="11"/>
    <x v="0"/>
    <x v="1"/>
    <n v="3"/>
    <n v="15369.47"/>
    <n v="71717.73"/>
    <x v="1"/>
  </r>
  <r>
    <x v="0"/>
    <x v="1"/>
    <x v="4"/>
    <x v="1"/>
    <x v="11"/>
    <x v="1"/>
    <x v="0"/>
    <n v="3"/>
    <n v="14929.98"/>
    <n v="44996.160000000003"/>
    <x v="1"/>
  </r>
  <r>
    <x v="0"/>
    <x v="1"/>
    <x v="4"/>
    <x v="1"/>
    <x v="11"/>
    <x v="1"/>
    <x v="1"/>
    <n v="23"/>
    <n v="122921.33"/>
    <n v="360039.37"/>
    <x v="1"/>
  </r>
  <r>
    <x v="0"/>
    <x v="1"/>
    <x v="4"/>
    <x v="1"/>
    <x v="12"/>
    <x v="1"/>
    <x v="0"/>
    <n v="3"/>
    <n v="16118.82"/>
    <n v="46890.3"/>
    <x v="1"/>
  </r>
  <r>
    <x v="0"/>
    <x v="1"/>
    <x v="4"/>
    <x v="1"/>
    <x v="12"/>
    <x v="1"/>
    <x v="1"/>
    <n v="1"/>
    <n v="4819.72"/>
    <n v="15570.27"/>
    <x v="1"/>
  </r>
  <r>
    <x v="0"/>
    <x v="1"/>
    <x v="4"/>
    <x v="1"/>
    <x v="13"/>
    <x v="0"/>
    <x v="1"/>
    <n v="3"/>
    <n v="17101.669999999998"/>
    <n v="79532"/>
    <x v="1"/>
  </r>
  <r>
    <x v="0"/>
    <x v="1"/>
    <x v="4"/>
    <x v="1"/>
    <x v="13"/>
    <x v="1"/>
    <x v="1"/>
    <n v="12"/>
    <n v="57825.279999999999"/>
    <n v="186441.94"/>
    <x v="1"/>
  </r>
  <r>
    <x v="0"/>
    <x v="1"/>
    <x v="4"/>
    <x v="1"/>
    <x v="14"/>
    <x v="0"/>
    <x v="1"/>
    <n v="3"/>
    <n v="15526.68"/>
    <n v="71544.03"/>
    <x v="1"/>
  </r>
  <r>
    <x v="0"/>
    <x v="1"/>
    <x v="4"/>
    <x v="1"/>
    <x v="14"/>
    <x v="1"/>
    <x v="0"/>
    <n v="11"/>
    <n v="59476.42"/>
    <n v="188288.34"/>
    <x v="1"/>
  </r>
  <r>
    <x v="0"/>
    <x v="1"/>
    <x v="4"/>
    <x v="1"/>
    <x v="14"/>
    <x v="1"/>
    <x v="1"/>
    <n v="7"/>
    <n v="37788.43"/>
    <n v="106116.57"/>
    <x v="1"/>
  </r>
  <r>
    <x v="0"/>
    <x v="1"/>
    <x v="4"/>
    <x v="1"/>
    <x v="16"/>
    <x v="0"/>
    <x v="1"/>
    <n v="1"/>
    <n v="6892.27"/>
    <n v="33913.49"/>
    <x v="1"/>
  </r>
  <r>
    <x v="0"/>
    <x v="1"/>
    <x v="4"/>
    <x v="1"/>
    <x v="16"/>
    <x v="1"/>
    <x v="0"/>
    <n v="11"/>
    <n v="53319.45"/>
    <n v="166315.01999999999"/>
    <x v="1"/>
  </r>
  <r>
    <x v="0"/>
    <x v="1"/>
    <x v="4"/>
    <x v="1"/>
    <x v="16"/>
    <x v="1"/>
    <x v="1"/>
    <n v="17"/>
    <n v="95905.7"/>
    <n v="285355.21000000002"/>
    <x v="1"/>
  </r>
  <r>
    <x v="0"/>
    <x v="1"/>
    <x v="4"/>
    <x v="1"/>
    <x v="17"/>
    <x v="0"/>
    <x v="1"/>
    <n v="1"/>
    <n v="6878.84"/>
    <n v="34065.94"/>
    <x v="1"/>
  </r>
  <r>
    <x v="0"/>
    <x v="1"/>
    <x v="4"/>
    <x v="1"/>
    <x v="17"/>
    <x v="1"/>
    <x v="0"/>
    <n v="11"/>
    <n v="65013.21"/>
    <n v="212209.72"/>
    <x v="1"/>
  </r>
  <r>
    <x v="0"/>
    <x v="1"/>
    <x v="4"/>
    <x v="1"/>
    <x v="17"/>
    <x v="1"/>
    <x v="1"/>
    <n v="4"/>
    <n v="20782.689999999999"/>
    <n v="62793.27"/>
    <x v="1"/>
  </r>
  <r>
    <x v="0"/>
    <x v="1"/>
    <x v="4"/>
    <x v="1"/>
    <x v="18"/>
    <x v="0"/>
    <x v="1"/>
    <n v="8"/>
    <n v="42103.42"/>
    <n v="188479.29"/>
    <x v="1"/>
  </r>
  <r>
    <x v="0"/>
    <x v="1"/>
    <x v="4"/>
    <x v="1"/>
    <x v="18"/>
    <x v="1"/>
    <x v="1"/>
    <n v="35"/>
    <n v="182751.49"/>
    <n v="576549.23"/>
    <x v="1"/>
  </r>
  <r>
    <x v="0"/>
    <x v="1"/>
    <x v="4"/>
    <x v="1"/>
    <x v="19"/>
    <x v="0"/>
    <x v="1"/>
    <n v="6"/>
    <n v="31310.07"/>
    <n v="150759.35"/>
    <x v="1"/>
  </r>
  <r>
    <x v="0"/>
    <x v="1"/>
    <x v="4"/>
    <x v="1"/>
    <x v="19"/>
    <x v="1"/>
    <x v="0"/>
    <n v="10"/>
    <n v="48928.85"/>
    <n v="155663.24"/>
    <x v="1"/>
  </r>
  <r>
    <x v="0"/>
    <x v="1"/>
    <x v="4"/>
    <x v="1"/>
    <x v="19"/>
    <x v="1"/>
    <x v="1"/>
    <n v="14"/>
    <n v="91242.14"/>
    <n v="303588.75"/>
    <x v="1"/>
  </r>
  <r>
    <x v="0"/>
    <x v="1"/>
    <x v="4"/>
    <x v="1"/>
    <x v="20"/>
    <x v="0"/>
    <x v="0"/>
    <n v="1"/>
    <n v="6844.85"/>
    <n v="34244.959999999999"/>
    <x v="1"/>
  </r>
  <r>
    <x v="0"/>
    <x v="1"/>
    <x v="4"/>
    <x v="1"/>
    <x v="20"/>
    <x v="0"/>
    <x v="1"/>
    <n v="9"/>
    <n v="48204.45"/>
    <n v="229323"/>
    <x v="1"/>
  </r>
  <r>
    <x v="0"/>
    <x v="1"/>
    <x v="4"/>
    <x v="1"/>
    <x v="20"/>
    <x v="1"/>
    <x v="0"/>
    <n v="16"/>
    <n v="80469.759999999995"/>
    <n v="251933.26"/>
    <x v="1"/>
  </r>
  <r>
    <x v="0"/>
    <x v="1"/>
    <x v="4"/>
    <x v="1"/>
    <x v="20"/>
    <x v="1"/>
    <x v="1"/>
    <n v="14"/>
    <n v="77490.259999999995"/>
    <n v="246001.53"/>
    <x v="1"/>
  </r>
  <r>
    <x v="0"/>
    <x v="1"/>
    <x v="4"/>
    <x v="2"/>
    <x v="21"/>
    <x v="0"/>
    <x v="0"/>
    <n v="1"/>
    <n v="4674.43"/>
    <n v="23828.400000000001"/>
    <x v="1"/>
  </r>
  <r>
    <x v="0"/>
    <x v="1"/>
    <x v="4"/>
    <x v="2"/>
    <x v="22"/>
    <x v="1"/>
    <x v="0"/>
    <n v="7"/>
    <n v="37089.17"/>
    <n v="96529.35"/>
    <x v="1"/>
  </r>
  <r>
    <x v="0"/>
    <x v="1"/>
    <x v="4"/>
    <x v="2"/>
    <x v="22"/>
    <x v="1"/>
    <x v="1"/>
    <n v="16"/>
    <n v="91077.19"/>
    <n v="257377.54"/>
    <x v="1"/>
  </r>
  <r>
    <x v="0"/>
    <x v="1"/>
    <x v="4"/>
    <x v="2"/>
    <x v="29"/>
    <x v="0"/>
    <x v="1"/>
    <n v="1"/>
    <n v="4659.5"/>
    <n v="23936.42"/>
    <x v="1"/>
  </r>
  <r>
    <x v="0"/>
    <x v="1"/>
    <x v="4"/>
    <x v="2"/>
    <x v="23"/>
    <x v="1"/>
    <x v="1"/>
    <n v="4"/>
    <n v="20974.47"/>
    <n v="66600.33"/>
    <x v="1"/>
  </r>
  <r>
    <x v="0"/>
    <x v="1"/>
    <x v="4"/>
    <x v="2"/>
    <x v="24"/>
    <x v="0"/>
    <x v="1"/>
    <n v="4"/>
    <n v="19621.28"/>
    <n v="91974.79"/>
    <x v="1"/>
  </r>
  <r>
    <x v="0"/>
    <x v="1"/>
    <x v="4"/>
    <x v="2"/>
    <x v="24"/>
    <x v="1"/>
    <x v="1"/>
    <n v="2"/>
    <n v="9478.51"/>
    <n v="28160.57"/>
    <x v="1"/>
  </r>
  <r>
    <x v="0"/>
    <x v="1"/>
    <x v="4"/>
    <x v="3"/>
    <x v="25"/>
    <x v="0"/>
    <x v="1"/>
    <n v="1"/>
    <n v="4742.6000000000004"/>
    <n v="22683.87"/>
    <x v="1"/>
  </r>
  <r>
    <x v="0"/>
    <x v="1"/>
    <x v="4"/>
    <x v="3"/>
    <x v="25"/>
    <x v="1"/>
    <x v="0"/>
    <n v="3"/>
    <n v="16369.38"/>
    <n v="46468.86"/>
    <x v="1"/>
  </r>
  <r>
    <x v="0"/>
    <x v="1"/>
    <x v="4"/>
    <x v="3"/>
    <x v="25"/>
    <x v="1"/>
    <x v="1"/>
    <n v="16"/>
    <n v="91852.42"/>
    <n v="285873.42"/>
    <x v="1"/>
  </r>
  <r>
    <x v="0"/>
    <x v="1"/>
    <x v="4"/>
    <x v="3"/>
    <x v="26"/>
    <x v="0"/>
    <x v="1"/>
    <n v="1"/>
    <n v="4753.3599999999997"/>
    <n v="22589.69"/>
    <x v="1"/>
  </r>
  <r>
    <x v="0"/>
    <x v="1"/>
    <x v="4"/>
    <x v="3"/>
    <x v="26"/>
    <x v="1"/>
    <x v="0"/>
    <n v="2"/>
    <n v="9997.68"/>
    <n v="33492.639999999999"/>
    <x v="1"/>
  </r>
  <r>
    <x v="0"/>
    <x v="1"/>
    <x v="4"/>
    <x v="3"/>
    <x v="26"/>
    <x v="1"/>
    <x v="1"/>
    <n v="20"/>
    <n v="106803.96"/>
    <n v="331741.39"/>
    <x v="1"/>
  </r>
  <r>
    <x v="0"/>
    <x v="1"/>
    <x v="4"/>
    <x v="3"/>
    <x v="27"/>
    <x v="0"/>
    <x v="0"/>
    <n v="1"/>
    <n v="5445.22"/>
    <n v="22651.34"/>
    <x v="1"/>
  </r>
  <r>
    <x v="0"/>
    <x v="1"/>
    <x v="4"/>
    <x v="3"/>
    <x v="27"/>
    <x v="0"/>
    <x v="1"/>
    <n v="6"/>
    <n v="30939.21"/>
    <n v="137544.01"/>
    <x v="1"/>
  </r>
  <r>
    <x v="0"/>
    <x v="1"/>
    <x v="4"/>
    <x v="3"/>
    <x v="27"/>
    <x v="1"/>
    <x v="0"/>
    <n v="12"/>
    <n v="63736.46"/>
    <n v="193347.46"/>
    <x v="1"/>
  </r>
  <r>
    <x v="0"/>
    <x v="1"/>
    <x v="4"/>
    <x v="3"/>
    <x v="27"/>
    <x v="1"/>
    <x v="1"/>
    <n v="23"/>
    <n v="122752.99"/>
    <n v="371088.77"/>
    <x v="1"/>
  </r>
  <r>
    <x v="0"/>
    <x v="1"/>
    <x v="5"/>
    <x v="0"/>
    <x v="0"/>
    <x v="0"/>
    <x v="0"/>
    <n v="3"/>
    <n v="19564.39"/>
    <n v="83490.48"/>
    <x v="1"/>
  </r>
  <r>
    <x v="0"/>
    <x v="1"/>
    <x v="5"/>
    <x v="0"/>
    <x v="0"/>
    <x v="0"/>
    <x v="1"/>
    <n v="1"/>
    <n v="6370.48"/>
    <n v="27949.55"/>
    <x v="1"/>
  </r>
  <r>
    <x v="0"/>
    <x v="1"/>
    <x v="5"/>
    <x v="0"/>
    <x v="0"/>
    <x v="1"/>
    <x v="1"/>
    <n v="2"/>
    <n v="13924.1"/>
    <n v="36520.79"/>
    <x v="1"/>
  </r>
  <r>
    <x v="0"/>
    <x v="1"/>
    <x v="5"/>
    <x v="0"/>
    <x v="1"/>
    <x v="0"/>
    <x v="0"/>
    <n v="4"/>
    <n v="24214.94"/>
    <n v="101690.52"/>
    <x v="1"/>
  </r>
  <r>
    <x v="0"/>
    <x v="1"/>
    <x v="5"/>
    <x v="0"/>
    <x v="1"/>
    <x v="0"/>
    <x v="1"/>
    <n v="5"/>
    <n v="30622.98"/>
    <n v="124034.85"/>
    <x v="1"/>
  </r>
  <r>
    <x v="0"/>
    <x v="1"/>
    <x v="5"/>
    <x v="0"/>
    <x v="1"/>
    <x v="1"/>
    <x v="0"/>
    <n v="3"/>
    <n v="20635.14"/>
    <n v="53832.81"/>
    <x v="1"/>
  </r>
  <r>
    <x v="0"/>
    <x v="1"/>
    <x v="5"/>
    <x v="0"/>
    <x v="1"/>
    <x v="1"/>
    <x v="1"/>
    <n v="12"/>
    <n v="71132.429999999993"/>
    <n v="184513.66"/>
    <x v="1"/>
  </r>
  <r>
    <x v="0"/>
    <x v="1"/>
    <x v="5"/>
    <x v="0"/>
    <x v="2"/>
    <x v="0"/>
    <x v="1"/>
    <n v="4"/>
    <n v="27538.87"/>
    <n v="111708.72"/>
    <x v="1"/>
  </r>
  <r>
    <x v="0"/>
    <x v="1"/>
    <x v="5"/>
    <x v="0"/>
    <x v="2"/>
    <x v="1"/>
    <x v="0"/>
    <n v="1"/>
    <n v="6579.6"/>
    <n v="17324.87"/>
    <x v="1"/>
  </r>
  <r>
    <x v="0"/>
    <x v="1"/>
    <x v="5"/>
    <x v="0"/>
    <x v="2"/>
    <x v="1"/>
    <x v="1"/>
    <n v="14"/>
    <n v="83041.279999999999"/>
    <n v="199054.17"/>
    <x v="1"/>
  </r>
  <r>
    <x v="0"/>
    <x v="1"/>
    <x v="5"/>
    <x v="0"/>
    <x v="3"/>
    <x v="0"/>
    <x v="0"/>
    <n v="2"/>
    <n v="14246.54"/>
    <n v="54705.69"/>
    <x v="1"/>
  </r>
  <r>
    <x v="0"/>
    <x v="1"/>
    <x v="5"/>
    <x v="0"/>
    <x v="3"/>
    <x v="0"/>
    <x v="1"/>
    <n v="4"/>
    <n v="28414.82"/>
    <n v="110203.95"/>
    <x v="1"/>
  </r>
  <r>
    <x v="0"/>
    <x v="1"/>
    <x v="5"/>
    <x v="0"/>
    <x v="3"/>
    <x v="1"/>
    <x v="0"/>
    <n v="11"/>
    <n v="61555.51"/>
    <n v="159649.01"/>
    <x v="1"/>
  </r>
  <r>
    <x v="0"/>
    <x v="1"/>
    <x v="5"/>
    <x v="0"/>
    <x v="3"/>
    <x v="1"/>
    <x v="1"/>
    <n v="22"/>
    <n v="129783.75"/>
    <n v="332853.34999999998"/>
    <x v="1"/>
  </r>
  <r>
    <x v="0"/>
    <x v="1"/>
    <x v="5"/>
    <x v="0"/>
    <x v="4"/>
    <x v="0"/>
    <x v="1"/>
    <n v="1"/>
    <n v="4901.57"/>
    <n v="18223.939999999999"/>
    <x v="1"/>
  </r>
  <r>
    <x v="0"/>
    <x v="1"/>
    <x v="5"/>
    <x v="0"/>
    <x v="4"/>
    <x v="1"/>
    <x v="0"/>
    <n v="6"/>
    <n v="29026.57"/>
    <n v="77277.36"/>
    <x v="1"/>
  </r>
  <r>
    <x v="0"/>
    <x v="1"/>
    <x v="5"/>
    <x v="0"/>
    <x v="4"/>
    <x v="1"/>
    <x v="1"/>
    <n v="2"/>
    <n v="14361.66"/>
    <n v="33826.370000000003"/>
    <x v="1"/>
  </r>
  <r>
    <x v="0"/>
    <x v="1"/>
    <x v="5"/>
    <x v="0"/>
    <x v="5"/>
    <x v="0"/>
    <x v="1"/>
    <n v="4"/>
    <n v="19965.669999999998"/>
    <n v="78594.289999999994"/>
    <x v="1"/>
  </r>
  <r>
    <x v="0"/>
    <x v="1"/>
    <x v="5"/>
    <x v="0"/>
    <x v="5"/>
    <x v="1"/>
    <x v="0"/>
    <n v="1"/>
    <n v="4355.83"/>
    <n v="12076.11"/>
    <x v="1"/>
  </r>
  <r>
    <x v="0"/>
    <x v="1"/>
    <x v="5"/>
    <x v="0"/>
    <x v="5"/>
    <x v="1"/>
    <x v="1"/>
    <n v="20"/>
    <n v="120746.41"/>
    <n v="321261.46999999997"/>
    <x v="1"/>
  </r>
  <r>
    <x v="0"/>
    <x v="1"/>
    <x v="5"/>
    <x v="0"/>
    <x v="7"/>
    <x v="1"/>
    <x v="1"/>
    <n v="12"/>
    <n v="60810.42"/>
    <n v="160693.73000000001"/>
    <x v="1"/>
  </r>
  <r>
    <x v="0"/>
    <x v="1"/>
    <x v="5"/>
    <x v="0"/>
    <x v="8"/>
    <x v="0"/>
    <x v="1"/>
    <n v="1"/>
    <n v="6859.69"/>
    <n v="27769.8"/>
    <x v="1"/>
  </r>
  <r>
    <x v="0"/>
    <x v="1"/>
    <x v="5"/>
    <x v="0"/>
    <x v="8"/>
    <x v="1"/>
    <x v="1"/>
    <n v="1"/>
    <n v="6471.82"/>
    <n v="17951.5"/>
    <x v="1"/>
  </r>
  <r>
    <x v="0"/>
    <x v="1"/>
    <x v="5"/>
    <x v="1"/>
    <x v="30"/>
    <x v="1"/>
    <x v="0"/>
    <n v="6"/>
    <n v="31988.28"/>
    <n v="81608.960000000006"/>
    <x v="1"/>
  </r>
  <r>
    <x v="0"/>
    <x v="1"/>
    <x v="5"/>
    <x v="1"/>
    <x v="9"/>
    <x v="1"/>
    <x v="1"/>
    <n v="1"/>
    <n v="5303.63"/>
    <n v="13868.2"/>
    <x v="1"/>
  </r>
  <r>
    <x v="0"/>
    <x v="1"/>
    <x v="5"/>
    <x v="1"/>
    <x v="10"/>
    <x v="0"/>
    <x v="0"/>
    <n v="2"/>
    <n v="10567.06"/>
    <n v="40445.46"/>
    <x v="1"/>
  </r>
  <r>
    <x v="0"/>
    <x v="1"/>
    <x v="5"/>
    <x v="1"/>
    <x v="10"/>
    <x v="0"/>
    <x v="1"/>
    <n v="2"/>
    <n v="14135.16"/>
    <n v="56006.86"/>
    <x v="1"/>
  </r>
  <r>
    <x v="0"/>
    <x v="1"/>
    <x v="5"/>
    <x v="1"/>
    <x v="10"/>
    <x v="1"/>
    <x v="0"/>
    <n v="1"/>
    <n v="4838.28"/>
    <n v="13735.39"/>
    <x v="1"/>
  </r>
  <r>
    <x v="0"/>
    <x v="1"/>
    <x v="5"/>
    <x v="1"/>
    <x v="10"/>
    <x v="1"/>
    <x v="1"/>
    <n v="12"/>
    <n v="82227.13"/>
    <n v="221827.38"/>
    <x v="1"/>
  </r>
  <r>
    <x v="0"/>
    <x v="1"/>
    <x v="5"/>
    <x v="1"/>
    <x v="11"/>
    <x v="0"/>
    <x v="1"/>
    <n v="7"/>
    <n v="43236.61"/>
    <n v="179239.5"/>
    <x v="1"/>
  </r>
  <r>
    <x v="0"/>
    <x v="1"/>
    <x v="5"/>
    <x v="1"/>
    <x v="11"/>
    <x v="1"/>
    <x v="0"/>
    <n v="13"/>
    <n v="69937.72"/>
    <n v="176243.5"/>
    <x v="1"/>
  </r>
  <r>
    <x v="0"/>
    <x v="1"/>
    <x v="5"/>
    <x v="1"/>
    <x v="11"/>
    <x v="1"/>
    <x v="1"/>
    <n v="10"/>
    <n v="57512.14"/>
    <n v="150375.6"/>
    <x v="1"/>
  </r>
  <r>
    <x v="0"/>
    <x v="1"/>
    <x v="5"/>
    <x v="1"/>
    <x v="13"/>
    <x v="0"/>
    <x v="1"/>
    <n v="5"/>
    <n v="32572.720000000001"/>
    <n v="130436.37"/>
    <x v="1"/>
  </r>
  <r>
    <x v="0"/>
    <x v="1"/>
    <x v="5"/>
    <x v="1"/>
    <x v="13"/>
    <x v="1"/>
    <x v="1"/>
    <n v="4"/>
    <n v="19843.34"/>
    <n v="50928.41"/>
    <x v="1"/>
  </r>
  <r>
    <x v="0"/>
    <x v="1"/>
    <x v="5"/>
    <x v="1"/>
    <x v="14"/>
    <x v="0"/>
    <x v="1"/>
    <n v="1"/>
    <n v="4898.42"/>
    <n v="18381.54"/>
    <x v="1"/>
  </r>
  <r>
    <x v="0"/>
    <x v="1"/>
    <x v="5"/>
    <x v="1"/>
    <x v="14"/>
    <x v="1"/>
    <x v="0"/>
    <n v="4"/>
    <n v="23503.759999999998"/>
    <n v="63120.4"/>
    <x v="1"/>
  </r>
  <r>
    <x v="0"/>
    <x v="1"/>
    <x v="5"/>
    <x v="1"/>
    <x v="14"/>
    <x v="1"/>
    <x v="1"/>
    <n v="2"/>
    <n v="12921.78"/>
    <n v="37501.78"/>
    <x v="1"/>
  </r>
  <r>
    <x v="0"/>
    <x v="1"/>
    <x v="5"/>
    <x v="1"/>
    <x v="16"/>
    <x v="0"/>
    <x v="1"/>
    <n v="3"/>
    <n v="19106.73"/>
    <n v="83647.070000000007"/>
    <x v="1"/>
  </r>
  <r>
    <x v="0"/>
    <x v="1"/>
    <x v="5"/>
    <x v="1"/>
    <x v="16"/>
    <x v="1"/>
    <x v="0"/>
    <n v="4"/>
    <n v="22658.99"/>
    <n v="58027.75"/>
    <x v="1"/>
  </r>
  <r>
    <x v="0"/>
    <x v="1"/>
    <x v="5"/>
    <x v="1"/>
    <x v="16"/>
    <x v="1"/>
    <x v="1"/>
    <n v="13"/>
    <n v="63311.13"/>
    <n v="162169.63"/>
    <x v="1"/>
  </r>
  <r>
    <x v="0"/>
    <x v="1"/>
    <x v="5"/>
    <x v="1"/>
    <x v="17"/>
    <x v="0"/>
    <x v="1"/>
    <n v="2"/>
    <n v="13405.4"/>
    <n v="55967.45"/>
    <x v="1"/>
  </r>
  <r>
    <x v="0"/>
    <x v="1"/>
    <x v="5"/>
    <x v="1"/>
    <x v="17"/>
    <x v="1"/>
    <x v="1"/>
    <n v="7"/>
    <n v="43444.65"/>
    <n v="119153.01"/>
    <x v="1"/>
  </r>
  <r>
    <x v="0"/>
    <x v="1"/>
    <x v="5"/>
    <x v="1"/>
    <x v="18"/>
    <x v="0"/>
    <x v="1"/>
    <n v="11"/>
    <n v="60350.83"/>
    <n v="245869.72"/>
    <x v="1"/>
  </r>
  <r>
    <x v="0"/>
    <x v="1"/>
    <x v="5"/>
    <x v="1"/>
    <x v="18"/>
    <x v="1"/>
    <x v="1"/>
    <n v="15"/>
    <n v="92125.95"/>
    <n v="253086.42"/>
    <x v="1"/>
  </r>
  <r>
    <x v="0"/>
    <x v="1"/>
    <x v="5"/>
    <x v="1"/>
    <x v="19"/>
    <x v="0"/>
    <x v="1"/>
    <n v="1"/>
    <n v="6351.04"/>
    <n v="27921.09"/>
    <x v="1"/>
  </r>
  <r>
    <x v="0"/>
    <x v="1"/>
    <x v="5"/>
    <x v="1"/>
    <x v="19"/>
    <x v="1"/>
    <x v="0"/>
    <n v="8"/>
    <n v="36538.769999999997"/>
    <n v="98772.53"/>
    <x v="1"/>
  </r>
  <r>
    <x v="0"/>
    <x v="1"/>
    <x v="5"/>
    <x v="1"/>
    <x v="19"/>
    <x v="1"/>
    <x v="1"/>
    <n v="1"/>
    <n v="6413"/>
    <n v="18833.7"/>
    <x v="1"/>
  </r>
  <r>
    <x v="0"/>
    <x v="1"/>
    <x v="5"/>
    <x v="1"/>
    <x v="20"/>
    <x v="0"/>
    <x v="1"/>
    <n v="13"/>
    <n v="71751.69"/>
    <n v="292960.90999999997"/>
    <x v="1"/>
  </r>
  <r>
    <x v="0"/>
    <x v="1"/>
    <x v="5"/>
    <x v="1"/>
    <x v="20"/>
    <x v="1"/>
    <x v="0"/>
    <n v="6"/>
    <n v="32764.02"/>
    <n v="89872.74"/>
    <x v="1"/>
  </r>
  <r>
    <x v="0"/>
    <x v="1"/>
    <x v="5"/>
    <x v="1"/>
    <x v="20"/>
    <x v="1"/>
    <x v="1"/>
    <n v="16"/>
    <n v="89839.28"/>
    <n v="241041.88"/>
    <x v="1"/>
  </r>
  <r>
    <x v="0"/>
    <x v="1"/>
    <x v="5"/>
    <x v="2"/>
    <x v="21"/>
    <x v="0"/>
    <x v="0"/>
    <n v="4"/>
    <n v="26013.9"/>
    <n v="104162.26"/>
    <x v="1"/>
  </r>
  <r>
    <x v="0"/>
    <x v="1"/>
    <x v="5"/>
    <x v="2"/>
    <x v="22"/>
    <x v="0"/>
    <x v="1"/>
    <n v="1"/>
    <n v="7254.88"/>
    <n v="27974.46"/>
    <x v="1"/>
  </r>
  <r>
    <x v="0"/>
    <x v="1"/>
    <x v="5"/>
    <x v="2"/>
    <x v="22"/>
    <x v="1"/>
    <x v="0"/>
    <n v="5"/>
    <n v="21690.6"/>
    <n v="53889.2"/>
    <x v="1"/>
  </r>
  <r>
    <x v="0"/>
    <x v="1"/>
    <x v="5"/>
    <x v="2"/>
    <x v="22"/>
    <x v="1"/>
    <x v="1"/>
    <n v="15"/>
    <n v="91309.3"/>
    <n v="220557.31"/>
    <x v="1"/>
  </r>
  <r>
    <x v="0"/>
    <x v="1"/>
    <x v="5"/>
    <x v="2"/>
    <x v="24"/>
    <x v="0"/>
    <x v="1"/>
    <n v="2"/>
    <n v="11315.06"/>
    <n v="47898.79"/>
    <x v="1"/>
  </r>
  <r>
    <x v="0"/>
    <x v="1"/>
    <x v="5"/>
    <x v="3"/>
    <x v="25"/>
    <x v="1"/>
    <x v="0"/>
    <n v="6"/>
    <n v="42036.17"/>
    <n v="114837.44"/>
    <x v="1"/>
  </r>
  <r>
    <x v="0"/>
    <x v="1"/>
    <x v="5"/>
    <x v="3"/>
    <x v="25"/>
    <x v="1"/>
    <x v="1"/>
    <n v="4"/>
    <n v="19951.490000000002"/>
    <n v="56569.83"/>
    <x v="1"/>
  </r>
  <r>
    <x v="0"/>
    <x v="1"/>
    <x v="5"/>
    <x v="3"/>
    <x v="26"/>
    <x v="0"/>
    <x v="1"/>
    <n v="2"/>
    <n v="14009.88"/>
    <n v="56307.7"/>
    <x v="1"/>
  </r>
  <r>
    <x v="0"/>
    <x v="1"/>
    <x v="5"/>
    <x v="3"/>
    <x v="26"/>
    <x v="1"/>
    <x v="0"/>
    <n v="4"/>
    <n v="28017.08"/>
    <n v="76954.55"/>
    <x v="1"/>
  </r>
  <r>
    <x v="0"/>
    <x v="1"/>
    <x v="5"/>
    <x v="3"/>
    <x v="26"/>
    <x v="1"/>
    <x v="1"/>
    <n v="13"/>
    <n v="81672.53"/>
    <n v="237376.71"/>
    <x v="1"/>
  </r>
  <r>
    <x v="0"/>
    <x v="1"/>
    <x v="5"/>
    <x v="3"/>
    <x v="27"/>
    <x v="0"/>
    <x v="0"/>
    <n v="2"/>
    <n v="9819.0300000000007"/>
    <n v="36633.599999999999"/>
    <x v="1"/>
  </r>
  <r>
    <x v="0"/>
    <x v="1"/>
    <x v="5"/>
    <x v="3"/>
    <x v="27"/>
    <x v="0"/>
    <x v="1"/>
    <n v="5"/>
    <n v="30444.38"/>
    <n v="122323.14"/>
    <x v="1"/>
  </r>
  <r>
    <x v="0"/>
    <x v="1"/>
    <x v="5"/>
    <x v="3"/>
    <x v="27"/>
    <x v="1"/>
    <x v="0"/>
    <n v="6"/>
    <n v="27595.98"/>
    <n v="75800.97"/>
    <x v="1"/>
  </r>
  <r>
    <x v="0"/>
    <x v="1"/>
    <x v="5"/>
    <x v="3"/>
    <x v="27"/>
    <x v="1"/>
    <x v="1"/>
    <n v="15"/>
    <n v="81260.929999999993"/>
    <n v="221545.3"/>
    <x v="1"/>
  </r>
  <r>
    <x v="0"/>
    <x v="1"/>
    <x v="6"/>
    <x v="0"/>
    <x v="0"/>
    <x v="0"/>
    <x v="0"/>
    <n v="1"/>
    <n v="2130.0700000000002"/>
    <n v="7770.63"/>
    <x v="1"/>
  </r>
  <r>
    <x v="0"/>
    <x v="1"/>
    <x v="6"/>
    <x v="0"/>
    <x v="0"/>
    <x v="1"/>
    <x v="1"/>
    <n v="2"/>
    <n v="3848.62"/>
    <n v="8870.43"/>
    <x v="1"/>
  </r>
  <r>
    <x v="0"/>
    <x v="1"/>
    <x v="6"/>
    <x v="0"/>
    <x v="1"/>
    <x v="0"/>
    <x v="0"/>
    <n v="1"/>
    <n v="2182.0100000000002"/>
    <n v="7725.41"/>
    <x v="1"/>
  </r>
  <r>
    <x v="0"/>
    <x v="1"/>
    <x v="6"/>
    <x v="0"/>
    <x v="1"/>
    <x v="0"/>
    <x v="1"/>
    <n v="11"/>
    <n v="32271.48"/>
    <n v="113141.06"/>
    <x v="1"/>
  </r>
  <r>
    <x v="0"/>
    <x v="1"/>
    <x v="6"/>
    <x v="0"/>
    <x v="1"/>
    <x v="1"/>
    <x v="0"/>
    <n v="4"/>
    <n v="9802.9"/>
    <n v="22570.18"/>
    <x v="1"/>
  </r>
  <r>
    <x v="0"/>
    <x v="1"/>
    <x v="6"/>
    <x v="0"/>
    <x v="1"/>
    <x v="1"/>
    <x v="1"/>
    <n v="23"/>
    <n v="64021.97"/>
    <n v="142818.43"/>
    <x v="1"/>
  </r>
  <r>
    <x v="0"/>
    <x v="1"/>
    <x v="6"/>
    <x v="0"/>
    <x v="2"/>
    <x v="0"/>
    <x v="1"/>
    <n v="5"/>
    <n v="12848.57"/>
    <n v="45962.45"/>
    <x v="1"/>
  </r>
  <r>
    <x v="0"/>
    <x v="1"/>
    <x v="6"/>
    <x v="0"/>
    <x v="2"/>
    <x v="1"/>
    <x v="1"/>
    <n v="15"/>
    <n v="34826.400000000001"/>
    <n v="77411.679999999993"/>
    <x v="1"/>
  </r>
  <r>
    <x v="0"/>
    <x v="1"/>
    <x v="6"/>
    <x v="0"/>
    <x v="3"/>
    <x v="0"/>
    <x v="0"/>
    <n v="3"/>
    <n v="9874.11"/>
    <n v="31894.5"/>
    <x v="1"/>
  </r>
  <r>
    <x v="0"/>
    <x v="1"/>
    <x v="6"/>
    <x v="0"/>
    <x v="3"/>
    <x v="0"/>
    <x v="1"/>
    <n v="3"/>
    <n v="5935.06"/>
    <n v="20950.150000000001"/>
    <x v="1"/>
  </r>
  <r>
    <x v="0"/>
    <x v="1"/>
    <x v="6"/>
    <x v="0"/>
    <x v="3"/>
    <x v="1"/>
    <x v="1"/>
    <n v="12"/>
    <n v="28538.31"/>
    <n v="65764.759999999995"/>
    <x v="1"/>
  </r>
  <r>
    <x v="0"/>
    <x v="1"/>
    <x v="6"/>
    <x v="0"/>
    <x v="28"/>
    <x v="1"/>
    <x v="1"/>
    <n v="4"/>
    <n v="12187.77"/>
    <n v="28348"/>
    <x v="1"/>
  </r>
  <r>
    <x v="0"/>
    <x v="1"/>
    <x v="6"/>
    <x v="0"/>
    <x v="4"/>
    <x v="1"/>
    <x v="0"/>
    <n v="1"/>
    <n v="2160.35"/>
    <n v="4982.1400000000003"/>
    <x v="1"/>
  </r>
  <r>
    <x v="0"/>
    <x v="1"/>
    <x v="6"/>
    <x v="0"/>
    <x v="4"/>
    <x v="1"/>
    <x v="1"/>
    <n v="7"/>
    <n v="18553.14"/>
    <n v="41001.32"/>
    <x v="1"/>
  </r>
  <r>
    <x v="0"/>
    <x v="1"/>
    <x v="6"/>
    <x v="0"/>
    <x v="5"/>
    <x v="0"/>
    <x v="1"/>
    <n v="2"/>
    <n v="5213.55"/>
    <n v="18693.2"/>
    <x v="1"/>
  </r>
  <r>
    <x v="0"/>
    <x v="1"/>
    <x v="6"/>
    <x v="0"/>
    <x v="5"/>
    <x v="1"/>
    <x v="0"/>
    <n v="6"/>
    <n v="12429.84"/>
    <n v="30772.21"/>
    <x v="1"/>
  </r>
  <r>
    <x v="0"/>
    <x v="1"/>
    <x v="6"/>
    <x v="0"/>
    <x v="5"/>
    <x v="1"/>
    <x v="1"/>
    <n v="15"/>
    <n v="37624.089999999997"/>
    <n v="86824.6"/>
    <x v="1"/>
  </r>
  <r>
    <x v="0"/>
    <x v="1"/>
    <x v="6"/>
    <x v="0"/>
    <x v="7"/>
    <x v="1"/>
    <x v="1"/>
    <n v="1"/>
    <n v="3033.73"/>
    <n v="7310.65"/>
    <x v="1"/>
  </r>
  <r>
    <x v="0"/>
    <x v="1"/>
    <x v="6"/>
    <x v="0"/>
    <x v="8"/>
    <x v="1"/>
    <x v="1"/>
    <n v="10"/>
    <n v="26011.49"/>
    <n v="57503.02"/>
    <x v="1"/>
  </r>
  <r>
    <x v="0"/>
    <x v="1"/>
    <x v="6"/>
    <x v="1"/>
    <x v="9"/>
    <x v="1"/>
    <x v="1"/>
    <n v="3"/>
    <n v="6589.23"/>
    <n v="16156.99"/>
    <x v="1"/>
  </r>
  <r>
    <x v="0"/>
    <x v="1"/>
    <x v="6"/>
    <x v="1"/>
    <x v="10"/>
    <x v="0"/>
    <x v="0"/>
    <n v="1"/>
    <n v="3016.28"/>
    <n v="10898.05"/>
    <x v="1"/>
  </r>
  <r>
    <x v="0"/>
    <x v="1"/>
    <x v="6"/>
    <x v="1"/>
    <x v="10"/>
    <x v="0"/>
    <x v="1"/>
    <n v="2"/>
    <n v="4373.8"/>
    <n v="15670.13"/>
    <x v="1"/>
  </r>
  <r>
    <x v="0"/>
    <x v="1"/>
    <x v="6"/>
    <x v="1"/>
    <x v="10"/>
    <x v="1"/>
    <x v="0"/>
    <n v="11"/>
    <n v="24779.07"/>
    <n v="62817.22"/>
    <x v="1"/>
  </r>
  <r>
    <x v="0"/>
    <x v="1"/>
    <x v="6"/>
    <x v="1"/>
    <x v="10"/>
    <x v="1"/>
    <x v="1"/>
    <n v="22"/>
    <n v="67053.649999999994"/>
    <n v="156115.41"/>
    <x v="1"/>
  </r>
  <r>
    <x v="0"/>
    <x v="1"/>
    <x v="6"/>
    <x v="1"/>
    <x v="11"/>
    <x v="0"/>
    <x v="1"/>
    <n v="11"/>
    <n v="29827.06"/>
    <n v="105644.17"/>
    <x v="1"/>
  </r>
  <r>
    <x v="0"/>
    <x v="1"/>
    <x v="6"/>
    <x v="1"/>
    <x v="11"/>
    <x v="1"/>
    <x v="0"/>
    <n v="7"/>
    <n v="17864.34"/>
    <n v="41195.339999999997"/>
    <x v="1"/>
  </r>
  <r>
    <x v="0"/>
    <x v="1"/>
    <x v="6"/>
    <x v="1"/>
    <x v="11"/>
    <x v="1"/>
    <x v="1"/>
    <n v="30"/>
    <n v="81107.19"/>
    <n v="183139.32"/>
    <x v="1"/>
  </r>
  <r>
    <x v="0"/>
    <x v="1"/>
    <x v="6"/>
    <x v="1"/>
    <x v="12"/>
    <x v="1"/>
    <x v="0"/>
    <n v="5"/>
    <n v="15282.88"/>
    <n v="37481.550000000003"/>
    <x v="1"/>
  </r>
  <r>
    <x v="0"/>
    <x v="1"/>
    <x v="6"/>
    <x v="1"/>
    <x v="12"/>
    <x v="1"/>
    <x v="1"/>
    <n v="1"/>
    <n v="3253.88"/>
    <n v="7496.31"/>
    <x v="1"/>
  </r>
  <r>
    <x v="0"/>
    <x v="1"/>
    <x v="6"/>
    <x v="1"/>
    <x v="13"/>
    <x v="0"/>
    <x v="1"/>
    <n v="4"/>
    <n v="11722.74"/>
    <n v="39611.71"/>
    <x v="1"/>
  </r>
  <r>
    <x v="0"/>
    <x v="1"/>
    <x v="6"/>
    <x v="1"/>
    <x v="13"/>
    <x v="1"/>
    <x v="0"/>
    <n v="7"/>
    <n v="15706.85"/>
    <n v="37960.89"/>
    <x v="1"/>
  </r>
  <r>
    <x v="0"/>
    <x v="1"/>
    <x v="6"/>
    <x v="1"/>
    <x v="13"/>
    <x v="1"/>
    <x v="1"/>
    <n v="10"/>
    <n v="20241.3"/>
    <n v="49319.66"/>
    <x v="1"/>
  </r>
  <r>
    <x v="0"/>
    <x v="1"/>
    <x v="6"/>
    <x v="1"/>
    <x v="14"/>
    <x v="0"/>
    <x v="1"/>
    <n v="2"/>
    <n v="5241.43"/>
    <n v="17718.32"/>
    <x v="1"/>
  </r>
  <r>
    <x v="0"/>
    <x v="1"/>
    <x v="6"/>
    <x v="1"/>
    <x v="14"/>
    <x v="1"/>
    <x v="0"/>
    <n v="9"/>
    <n v="26344.07"/>
    <n v="62828.5"/>
    <x v="1"/>
  </r>
  <r>
    <x v="0"/>
    <x v="1"/>
    <x v="6"/>
    <x v="1"/>
    <x v="14"/>
    <x v="1"/>
    <x v="1"/>
    <n v="11"/>
    <n v="27791.16"/>
    <n v="65015.44"/>
    <x v="1"/>
  </r>
  <r>
    <x v="0"/>
    <x v="1"/>
    <x v="6"/>
    <x v="1"/>
    <x v="15"/>
    <x v="1"/>
    <x v="0"/>
    <n v="3"/>
    <n v="8532.9699999999993"/>
    <n v="20491.349999999999"/>
    <x v="1"/>
  </r>
  <r>
    <x v="0"/>
    <x v="1"/>
    <x v="6"/>
    <x v="1"/>
    <x v="16"/>
    <x v="1"/>
    <x v="0"/>
    <n v="3"/>
    <n v="8434.39"/>
    <n v="18702.63"/>
    <x v="1"/>
  </r>
  <r>
    <x v="0"/>
    <x v="1"/>
    <x v="6"/>
    <x v="1"/>
    <x v="16"/>
    <x v="1"/>
    <x v="1"/>
    <n v="5"/>
    <n v="11931.15"/>
    <n v="27755.43"/>
    <x v="1"/>
  </r>
  <r>
    <x v="0"/>
    <x v="1"/>
    <x v="6"/>
    <x v="1"/>
    <x v="17"/>
    <x v="0"/>
    <x v="1"/>
    <n v="2"/>
    <n v="6104.5"/>
    <n v="21822.78"/>
    <x v="1"/>
  </r>
  <r>
    <x v="0"/>
    <x v="1"/>
    <x v="6"/>
    <x v="1"/>
    <x v="17"/>
    <x v="1"/>
    <x v="0"/>
    <n v="2"/>
    <n v="6024.12"/>
    <n v="14554.24"/>
    <x v="1"/>
  </r>
  <r>
    <x v="0"/>
    <x v="1"/>
    <x v="6"/>
    <x v="1"/>
    <x v="18"/>
    <x v="0"/>
    <x v="1"/>
    <n v="12"/>
    <n v="30969.88"/>
    <n v="106083.74"/>
    <x v="1"/>
  </r>
  <r>
    <x v="0"/>
    <x v="1"/>
    <x v="6"/>
    <x v="1"/>
    <x v="18"/>
    <x v="1"/>
    <x v="0"/>
    <n v="2"/>
    <n v="6536.6"/>
    <n v="14828.84"/>
    <x v="1"/>
  </r>
  <r>
    <x v="0"/>
    <x v="1"/>
    <x v="6"/>
    <x v="1"/>
    <x v="18"/>
    <x v="1"/>
    <x v="1"/>
    <n v="25"/>
    <n v="76930.41"/>
    <n v="177325.18"/>
    <x v="1"/>
  </r>
  <r>
    <x v="0"/>
    <x v="1"/>
    <x v="6"/>
    <x v="1"/>
    <x v="19"/>
    <x v="1"/>
    <x v="0"/>
    <n v="8"/>
    <n v="24818"/>
    <n v="57774.720000000001"/>
    <x v="1"/>
  </r>
  <r>
    <x v="0"/>
    <x v="1"/>
    <x v="6"/>
    <x v="1"/>
    <x v="19"/>
    <x v="1"/>
    <x v="1"/>
    <n v="12"/>
    <n v="29822.21"/>
    <n v="70922.45"/>
    <x v="1"/>
  </r>
  <r>
    <x v="0"/>
    <x v="1"/>
    <x v="6"/>
    <x v="1"/>
    <x v="20"/>
    <x v="0"/>
    <x v="1"/>
    <n v="4"/>
    <n v="11140.1"/>
    <n v="39614.92"/>
    <x v="1"/>
  </r>
  <r>
    <x v="0"/>
    <x v="1"/>
    <x v="6"/>
    <x v="1"/>
    <x v="20"/>
    <x v="1"/>
    <x v="0"/>
    <n v="9"/>
    <n v="23963.95"/>
    <n v="56887.45"/>
    <x v="1"/>
  </r>
  <r>
    <x v="0"/>
    <x v="1"/>
    <x v="6"/>
    <x v="1"/>
    <x v="20"/>
    <x v="1"/>
    <x v="1"/>
    <n v="19"/>
    <n v="55006.15"/>
    <n v="126375.27"/>
    <x v="1"/>
  </r>
  <r>
    <x v="0"/>
    <x v="1"/>
    <x v="6"/>
    <x v="2"/>
    <x v="21"/>
    <x v="0"/>
    <x v="0"/>
    <n v="1"/>
    <n v="1857.97"/>
    <n v="6831.14"/>
    <x v="1"/>
  </r>
  <r>
    <x v="0"/>
    <x v="1"/>
    <x v="6"/>
    <x v="2"/>
    <x v="22"/>
    <x v="1"/>
    <x v="1"/>
    <n v="5"/>
    <n v="11221.22"/>
    <n v="24340.09"/>
    <x v="1"/>
  </r>
  <r>
    <x v="0"/>
    <x v="1"/>
    <x v="6"/>
    <x v="2"/>
    <x v="29"/>
    <x v="0"/>
    <x v="1"/>
    <n v="1"/>
    <n v="3215.67"/>
    <n v="10879.34"/>
    <x v="1"/>
  </r>
  <r>
    <x v="0"/>
    <x v="1"/>
    <x v="6"/>
    <x v="2"/>
    <x v="24"/>
    <x v="0"/>
    <x v="1"/>
    <n v="1"/>
    <n v="2080.52"/>
    <n v="7782.55"/>
    <x v="1"/>
  </r>
  <r>
    <x v="0"/>
    <x v="1"/>
    <x v="6"/>
    <x v="3"/>
    <x v="25"/>
    <x v="0"/>
    <x v="1"/>
    <n v="3"/>
    <n v="7950.35"/>
    <n v="28617.17"/>
    <x v="1"/>
  </r>
  <r>
    <x v="0"/>
    <x v="1"/>
    <x v="6"/>
    <x v="3"/>
    <x v="25"/>
    <x v="1"/>
    <x v="1"/>
    <n v="6"/>
    <n v="15721.8"/>
    <n v="38224.82"/>
    <x v="1"/>
  </r>
  <r>
    <x v="0"/>
    <x v="1"/>
    <x v="6"/>
    <x v="3"/>
    <x v="26"/>
    <x v="1"/>
    <x v="0"/>
    <n v="9"/>
    <n v="28312.62"/>
    <n v="67159.350000000006"/>
    <x v="1"/>
  </r>
  <r>
    <x v="0"/>
    <x v="1"/>
    <x v="6"/>
    <x v="3"/>
    <x v="26"/>
    <x v="1"/>
    <x v="1"/>
    <n v="12"/>
    <n v="33405.449999999997"/>
    <n v="78889.460000000006"/>
    <x v="1"/>
  </r>
  <r>
    <x v="0"/>
    <x v="1"/>
    <x v="6"/>
    <x v="3"/>
    <x v="27"/>
    <x v="0"/>
    <x v="1"/>
    <n v="9"/>
    <n v="25221.38"/>
    <n v="88568.79"/>
    <x v="1"/>
  </r>
  <r>
    <x v="0"/>
    <x v="1"/>
    <x v="6"/>
    <x v="3"/>
    <x v="27"/>
    <x v="1"/>
    <x v="0"/>
    <n v="6"/>
    <n v="16810.189999999999"/>
    <n v="40111.019999999997"/>
    <x v="1"/>
  </r>
  <r>
    <x v="0"/>
    <x v="1"/>
    <x v="6"/>
    <x v="3"/>
    <x v="27"/>
    <x v="1"/>
    <x v="1"/>
    <n v="26"/>
    <n v="75211.850000000006"/>
    <n v="177008.49"/>
    <x v="1"/>
  </r>
  <r>
    <x v="0"/>
    <x v="1"/>
    <x v="7"/>
    <x v="0"/>
    <x v="0"/>
    <x v="1"/>
    <x v="0"/>
    <n v="5"/>
    <n v="31299.599999999999"/>
    <n v="74007.02"/>
    <x v="1"/>
  </r>
  <r>
    <x v="0"/>
    <x v="1"/>
    <x v="7"/>
    <x v="0"/>
    <x v="0"/>
    <x v="1"/>
    <x v="1"/>
    <n v="11"/>
    <n v="54062.27"/>
    <n v="131477.51"/>
    <x v="1"/>
  </r>
  <r>
    <x v="0"/>
    <x v="1"/>
    <x v="7"/>
    <x v="0"/>
    <x v="1"/>
    <x v="0"/>
    <x v="0"/>
    <n v="1"/>
    <n v="6419.06"/>
    <n v="22765.64"/>
    <x v="1"/>
  </r>
  <r>
    <x v="0"/>
    <x v="1"/>
    <x v="7"/>
    <x v="0"/>
    <x v="1"/>
    <x v="0"/>
    <x v="1"/>
    <n v="1"/>
    <n v="5422.88"/>
    <n v="22416.54"/>
    <x v="1"/>
  </r>
  <r>
    <x v="0"/>
    <x v="1"/>
    <x v="7"/>
    <x v="0"/>
    <x v="1"/>
    <x v="1"/>
    <x v="0"/>
    <n v="13"/>
    <n v="77946.63"/>
    <n v="184495.95"/>
    <x v="1"/>
  </r>
  <r>
    <x v="0"/>
    <x v="1"/>
    <x v="7"/>
    <x v="0"/>
    <x v="1"/>
    <x v="1"/>
    <x v="1"/>
    <n v="32"/>
    <n v="180228.66"/>
    <n v="435887.81"/>
    <x v="1"/>
  </r>
  <r>
    <x v="0"/>
    <x v="1"/>
    <x v="7"/>
    <x v="0"/>
    <x v="2"/>
    <x v="0"/>
    <x v="1"/>
    <n v="2"/>
    <n v="7432.2"/>
    <n v="30005.95"/>
    <x v="1"/>
  </r>
  <r>
    <x v="0"/>
    <x v="1"/>
    <x v="7"/>
    <x v="0"/>
    <x v="2"/>
    <x v="1"/>
    <x v="0"/>
    <n v="3"/>
    <n v="11911.05"/>
    <n v="28382.23"/>
    <x v="1"/>
  </r>
  <r>
    <x v="0"/>
    <x v="1"/>
    <x v="7"/>
    <x v="0"/>
    <x v="2"/>
    <x v="1"/>
    <x v="1"/>
    <n v="1"/>
    <n v="3420.11"/>
    <n v="8873.19"/>
    <x v="1"/>
  </r>
  <r>
    <x v="0"/>
    <x v="1"/>
    <x v="7"/>
    <x v="0"/>
    <x v="3"/>
    <x v="0"/>
    <x v="1"/>
    <n v="14"/>
    <n v="78184.460000000006"/>
    <n v="295989.23"/>
    <x v="1"/>
  </r>
  <r>
    <x v="0"/>
    <x v="1"/>
    <x v="7"/>
    <x v="0"/>
    <x v="3"/>
    <x v="1"/>
    <x v="0"/>
    <n v="9"/>
    <n v="52805.33"/>
    <n v="124205.72"/>
    <x v="1"/>
  </r>
  <r>
    <x v="0"/>
    <x v="1"/>
    <x v="7"/>
    <x v="0"/>
    <x v="3"/>
    <x v="1"/>
    <x v="1"/>
    <n v="14"/>
    <n v="75820.850000000006"/>
    <n v="184751.75"/>
    <x v="1"/>
  </r>
  <r>
    <x v="0"/>
    <x v="1"/>
    <x v="7"/>
    <x v="0"/>
    <x v="28"/>
    <x v="1"/>
    <x v="1"/>
    <n v="3"/>
    <n v="11394.59"/>
    <n v="29103.200000000001"/>
    <x v="1"/>
  </r>
  <r>
    <x v="0"/>
    <x v="1"/>
    <x v="7"/>
    <x v="0"/>
    <x v="4"/>
    <x v="0"/>
    <x v="1"/>
    <n v="3"/>
    <n v="15153.12"/>
    <n v="60249.32"/>
    <x v="1"/>
  </r>
  <r>
    <x v="0"/>
    <x v="1"/>
    <x v="7"/>
    <x v="0"/>
    <x v="4"/>
    <x v="1"/>
    <x v="0"/>
    <n v="4"/>
    <n v="22351.24"/>
    <n v="58092.15"/>
    <x v="1"/>
  </r>
  <r>
    <x v="0"/>
    <x v="1"/>
    <x v="7"/>
    <x v="0"/>
    <x v="5"/>
    <x v="1"/>
    <x v="0"/>
    <n v="3"/>
    <n v="11454.18"/>
    <n v="29389.72"/>
    <x v="1"/>
  </r>
  <r>
    <x v="0"/>
    <x v="1"/>
    <x v="7"/>
    <x v="0"/>
    <x v="5"/>
    <x v="1"/>
    <x v="1"/>
    <n v="22"/>
    <n v="110156.81"/>
    <n v="285572.09999999998"/>
    <x v="1"/>
  </r>
  <r>
    <x v="0"/>
    <x v="1"/>
    <x v="7"/>
    <x v="0"/>
    <x v="6"/>
    <x v="0"/>
    <x v="1"/>
    <n v="1"/>
    <n v="5497.16"/>
    <n v="22650.58"/>
    <x v="1"/>
  </r>
  <r>
    <x v="0"/>
    <x v="1"/>
    <x v="7"/>
    <x v="0"/>
    <x v="6"/>
    <x v="1"/>
    <x v="1"/>
    <n v="2"/>
    <n v="10275.92"/>
    <n v="24733.43"/>
    <x v="1"/>
  </r>
  <r>
    <x v="0"/>
    <x v="1"/>
    <x v="7"/>
    <x v="0"/>
    <x v="7"/>
    <x v="1"/>
    <x v="1"/>
    <n v="1"/>
    <n v="4085.39"/>
    <n v="10021.99"/>
    <x v="1"/>
  </r>
  <r>
    <x v="0"/>
    <x v="1"/>
    <x v="7"/>
    <x v="0"/>
    <x v="8"/>
    <x v="1"/>
    <x v="1"/>
    <n v="3"/>
    <n v="13675.12"/>
    <n v="33333.879999999997"/>
    <x v="1"/>
  </r>
  <r>
    <x v="0"/>
    <x v="1"/>
    <x v="7"/>
    <x v="1"/>
    <x v="9"/>
    <x v="1"/>
    <x v="1"/>
    <n v="5"/>
    <n v="31222.799999999999"/>
    <n v="74649.990000000005"/>
    <x v="1"/>
  </r>
  <r>
    <x v="0"/>
    <x v="1"/>
    <x v="7"/>
    <x v="1"/>
    <x v="31"/>
    <x v="1"/>
    <x v="0"/>
    <n v="5"/>
    <n v="30758.65"/>
    <n v="79099.27"/>
    <x v="1"/>
  </r>
  <r>
    <x v="0"/>
    <x v="1"/>
    <x v="7"/>
    <x v="1"/>
    <x v="10"/>
    <x v="0"/>
    <x v="1"/>
    <n v="2"/>
    <n v="8947.42"/>
    <n v="36947"/>
    <x v="1"/>
  </r>
  <r>
    <x v="0"/>
    <x v="1"/>
    <x v="7"/>
    <x v="1"/>
    <x v="10"/>
    <x v="1"/>
    <x v="0"/>
    <n v="2"/>
    <n v="13019.68"/>
    <n v="30991.22"/>
    <x v="1"/>
  </r>
  <r>
    <x v="0"/>
    <x v="1"/>
    <x v="7"/>
    <x v="1"/>
    <x v="10"/>
    <x v="1"/>
    <x v="1"/>
    <n v="10"/>
    <n v="41303.279999999999"/>
    <n v="112052.86"/>
    <x v="1"/>
  </r>
  <r>
    <x v="0"/>
    <x v="1"/>
    <x v="7"/>
    <x v="1"/>
    <x v="11"/>
    <x v="0"/>
    <x v="1"/>
    <n v="12"/>
    <n v="63778.03"/>
    <n v="241781.43"/>
    <x v="1"/>
  </r>
  <r>
    <x v="0"/>
    <x v="1"/>
    <x v="7"/>
    <x v="1"/>
    <x v="11"/>
    <x v="1"/>
    <x v="0"/>
    <n v="1"/>
    <n v="3456.11"/>
    <n v="9265.06"/>
    <x v="1"/>
  </r>
  <r>
    <x v="0"/>
    <x v="1"/>
    <x v="7"/>
    <x v="1"/>
    <x v="11"/>
    <x v="1"/>
    <x v="1"/>
    <n v="20"/>
    <n v="101002.34"/>
    <n v="257028.09"/>
    <x v="1"/>
  </r>
  <r>
    <x v="0"/>
    <x v="1"/>
    <x v="7"/>
    <x v="1"/>
    <x v="12"/>
    <x v="1"/>
    <x v="0"/>
    <n v="2"/>
    <n v="7690.36"/>
    <n v="20443.150000000001"/>
    <x v="1"/>
  </r>
  <r>
    <x v="0"/>
    <x v="1"/>
    <x v="7"/>
    <x v="1"/>
    <x v="13"/>
    <x v="0"/>
    <x v="1"/>
    <n v="1"/>
    <n v="6533.27"/>
    <n v="22842.67"/>
    <x v="1"/>
  </r>
  <r>
    <x v="0"/>
    <x v="1"/>
    <x v="7"/>
    <x v="1"/>
    <x v="13"/>
    <x v="1"/>
    <x v="1"/>
    <n v="8"/>
    <n v="30954.65"/>
    <n v="81428.31"/>
    <x v="1"/>
  </r>
  <r>
    <x v="0"/>
    <x v="1"/>
    <x v="7"/>
    <x v="1"/>
    <x v="14"/>
    <x v="0"/>
    <x v="1"/>
    <n v="1"/>
    <n v="5968.56"/>
    <n v="22742.880000000001"/>
    <x v="1"/>
  </r>
  <r>
    <x v="0"/>
    <x v="1"/>
    <x v="7"/>
    <x v="1"/>
    <x v="14"/>
    <x v="1"/>
    <x v="0"/>
    <n v="13"/>
    <n v="51967.8"/>
    <n v="134779.1"/>
    <x v="1"/>
  </r>
  <r>
    <x v="0"/>
    <x v="1"/>
    <x v="7"/>
    <x v="1"/>
    <x v="14"/>
    <x v="1"/>
    <x v="1"/>
    <n v="10"/>
    <n v="50623.6"/>
    <n v="136166.49"/>
    <x v="1"/>
  </r>
  <r>
    <x v="0"/>
    <x v="1"/>
    <x v="7"/>
    <x v="1"/>
    <x v="15"/>
    <x v="1"/>
    <x v="0"/>
    <n v="5"/>
    <n v="27256.2"/>
    <n v="74519.78"/>
    <x v="1"/>
  </r>
  <r>
    <x v="0"/>
    <x v="1"/>
    <x v="7"/>
    <x v="1"/>
    <x v="15"/>
    <x v="1"/>
    <x v="1"/>
    <n v="1"/>
    <n v="3838.4"/>
    <n v="10325.59"/>
    <x v="1"/>
  </r>
  <r>
    <x v="0"/>
    <x v="1"/>
    <x v="7"/>
    <x v="1"/>
    <x v="16"/>
    <x v="0"/>
    <x v="1"/>
    <n v="1"/>
    <n v="5933.61"/>
    <n v="22480.82"/>
    <x v="1"/>
  </r>
  <r>
    <x v="0"/>
    <x v="1"/>
    <x v="7"/>
    <x v="1"/>
    <x v="16"/>
    <x v="1"/>
    <x v="0"/>
    <n v="1"/>
    <n v="6397.96"/>
    <n v="14919.27"/>
    <x v="1"/>
  </r>
  <r>
    <x v="0"/>
    <x v="1"/>
    <x v="7"/>
    <x v="1"/>
    <x v="16"/>
    <x v="1"/>
    <x v="1"/>
    <n v="7"/>
    <n v="41088.78"/>
    <n v="94687.27"/>
    <x v="1"/>
  </r>
  <r>
    <x v="0"/>
    <x v="1"/>
    <x v="7"/>
    <x v="1"/>
    <x v="17"/>
    <x v="0"/>
    <x v="1"/>
    <n v="3"/>
    <n v="17791.52"/>
    <n v="68215.64"/>
    <x v="1"/>
  </r>
  <r>
    <x v="0"/>
    <x v="1"/>
    <x v="7"/>
    <x v="1"/>
    <x v="17"/>
    <x v="1"/>
    <x v="0"/>
    <n v="1"/>
    <n v="6308.68"/>
    <n v="15143.37"/>
    <x v="1"/>
  </r>
  <r>
    <x v="0"/>
    <x v="1"/>
    <x v="7"/>
    <x v="1"/>
    <x v="17"/>
    <x v="1"/>
    <x v="1"/>
    <n v="4"/>
    <n v="21029.82"/>
    <n v="51882.66"/>
    <x v="1"/>
  </r>
  <r>
    <x v="0"/>
    <x v="1"/>
    <x v="7"/>
    <x v="1"/>
    <x v="18"/>
    <x v="0"/>
    <x v="1"/>
    <n v="4"/>
    <n v="22031.77"/>
    <n v="80818.149999999994"/>
    <x v="1"/>
  </r>
  <r>
    <x v="0"/>
    <x v="1"/>
    <x v="7"/>
    <x v="1"/>
    <x v="18"/>
    <x v="1"/>
    <x v="0"/>
    <n v="2"/>
    <n v="12394.74"/>
    <n v="29457.48"/>
    <x v="1"/>
  </r>
  <r>
    <x v="0"/>
    <x v="1"/>
    <x v="7"/>
    <x v="1"/>
    <x v="18"/>
    <x v="1"/>
    <x v="1"/>
    <n v="18"/>
    <n v="101102.22"/>
    <n v="253586.17"/>
    <x v="1"/>
  </r>
  <r>
    <x v="0"/>
    <x v="1"/>
    <x v="7"/>
    <x v="1"/>
    <x v="19"/>
    <x v="0"/>
    <x v="1"/>
    <n v="2"/>
    <n v="11976.56"/>
    <n v="45292.83"/>
    <x v="1"/>
  </r>
  <r>
    <x v="0"/>
    <x v="1"/>
    <x v="7"/>
    <x v="1"/>
    <x v="19"/>
    <x v="1"/>
    <x v="0"/>
    <n v="7"/>
    <n v="34520.769999999997"/>
    <n v="87775.8"/>
    <x v="1"/>
  </r>
  <r>
    <x v="0"/>
    <x v="1"/>
    <x v="7"/>
    <x v="1"/>
    <x v="19"/>
    <x v="1"/>
    <x v="1"/>
    <n v="13"/>
    <n v="63466.48"/>
    <n v="169368.49"/>
    <x v="1"/>
  </r>
  <r>
    <x v="0"/>
    <x v="1"/>
    <x v="7"/>
    <x v="1"/>
    <x v="20"/>
    <x v="0"/>
    <x v="0"/>
    <n v="1"/>
    <n v="5520.48"/>
    <n v="22716.6"/>
    <x v="1"/>
  </r>
  <r>
    <x v="0"/>
    <x v="1"/>
    <x v="7"/>
    <x v="1"/>
    <x v="20"/>
    <x v="0"/>
    <x v="1"/>
    <n v="4"/>
    <n v="20176.52"/>
    <n v="78377.33"/>
    <x v="1"/>
  </r>
  <r>
    <x v="0"/>
    <x v="1"/>
    <x v="7"/>
    <x v="1"/>
    <x v="20"/>
    <x v="1"/>
    <x v="0"/>
    <n v="3"/>
    <n v="11909.43"/>
    <n v="29607.48"/>
    <x v="1"/>
  </r>
  <r>
    <x v="0"/>
    <x v="1"/>
    <x v="7"/>
    <x v="1"/>
    <x v="20"/>
    <x v="1"/>
    <x v="1"/>
    <n v="16"/>
    <n v="78379.929999999993"/>
    <n v="203142.75"/>
    <x v="1"/>
  </r>
  <r>
    <x v="0"/>
    <x v="1"/>
    <x v="7"/>
    <x v="2"/>
    <x v="21"/>
    <x v="1"/>
    <x v="1"/>
    <n v="3"/>
    <n v="12385.65"/>
    <n v="27175.74"/>
    <x v="1"/>
  </r>
  <r>
    <x v="0"/>
    <x v="1"/>
    <x v="7"/>
    <x v="2"/>
    <x v="22"/>
    <x v="1"/>
    <x v="1"/>
    <n v="9"/>
    <n v="49962.13"/>
    <n v="114411.74"/>
    <x v="1"/>
  </r>
  <r>
    <x v="0"/>
    <x v="1"/>
    <x v="7"/>
    <x v="2"/>
    <x v="29"/>
    <x v="1"/>
    <x v="1"/>
    <n v="2"/>
    <n v="10771.66"/>
    <n v="27803.14"/>
    <x v="1"/>
  </r>
  <r>
    <x v="0"/>
    <x v="1"/>
    <x v="7"/>
    <x v="2"/>
    <x v="23"/>
    <x v="1"/>
    <x v="1"/>
    <n v="6"/>
    <n v="22530"/>
    <n v="56798.46"/>
    <x v="1"/>
  </r>
  <r>
    <x v="0"/>
    <x v="1"/>
    <x v="7"/>
    <x v="2"/>
    <x v="24"/>
    <x v="1"/>
    <x v="1"/>
    <n v="6"/>
    <n v="25486.880000000001"/>
    <n v="60162.07"/>
    <x v="1"/>
  </r>
  <r>
    <x v="0"/>
    <x v="1"/>
    <x v="7"/>
    <x v="3"/>
    <x v="25"/>
    <x v="1"/>
    <x v="0"/>
    <n v="1"/>
    <n v="5828.26"/>
    <n v="15535.25"/>
    <x v="1"/>
  </r>
  <r>
    <x v="0"/>
    <x v="1"/>
    <x v="7"/>
    <x v="3"/>
    <x v="26"/>
    <x v="0"/>
    <x v="1"/>
    <n v="1"/>
    <n v="4038.23"/>
    <n v="14847.55"/>
    <x v="1"/>
  </r>
  <r>
    <x v="0"/>
    <x v="1"/>
    <x v="7"/>
    <x v="3"/>
    <x v="26"/>
    <x v="1"/>
    <x v="1"/>
    <n v="12"/>
    <n v="57233.51"/>
    <n v="152671.22"/>
    <x v="1"/>
  </r>
  <r>
    <x v="0"/>
    <x v="1"/>
    <x v="7"/>
    <x v="3"/>
    <x v="27"/>
    <x v="0"/>
    <x v="0"/>
    <n v="4"/>
    <n v="17844.63"/>
    <n v="68586.210000000006"/>
    <x v="1"/>
  </r>
  <r>
    <x v="0"/>
    <x v="1"/>
    <x v="7"/>
    <x v="3"/>
    <x v="27"/>
    <x v="0"/>
    <x v="1"/>
    <n v="1"/>
    <n v="3803.05"/>
    <n v="14864.45"/>
    <x v="1"/>
  </r>
  <r>
    <x v="0"/>
    <x v="1"/>
    <x v="7"/>
    <x v="3"/>
    <x v="27"/>
    <x v="1"/>
    <x v="0"/>
    <n v="17"/>
    <n v="96873.12"/>
    <n v="239424.47"/>
    <x v="1"/>
  </r>
  <r>
    <x v="0"/>
    <x v="1"/>
    <x v="7"/>
    <x v="3"/>
    <x v="27"/>
    <x v="1"/>
    <x v="1"/>
    <n v="19"/>
    <n v="94587.03"/>
    <n v="250136.51"/>
    <x v="1"/>
  </r>
  <r>
    <x v="0"/>
    <x v="1"/>
    <x v="8"/>
    <x v="0"/>
    <x v="0"/>
    <x v="0"/>
    <x v="0"/>
    <n v="4"/>
    <n v="15631.62"/>
    <n v="53132.18"/>
    <x v="1"/>
  </r>
  <r>
    <x v="0"/>
    <x v="1"/>
    <x v="8"/>
    <x v="0"/>
    <x v="0"/>
    <x v="0"/>
    <x v="1"/>
    <n v="1"/>
    <n v="4356.05"/>
    <n v="14352.2"/>
    <x v="1"/>
  </r>
  <r>
    <x v="0"/>
    <x v="1"/>
    <x v="8"/>
    <x v="0"/>
    <x v="0"/>
    <x v="1"/>
    <x v="0"/>
    <n v="3"/>
    <n v="7612.29"/>
    <n v="18547.86"/>
    <x v="1"/>
  </r>
  <r>
    <x v="0"/>
    <x v="1"/>
    <x v="8"/>
    <x v="0"/>
    <x v="0"/>
    <x v="1"/>
    <x v="1"/>
    <n v="7"/>
    <n v="23109.45"/>
    <n v="51476.63"/>
    <x v="1"/>
  </r>
  <r>
    <x v="0"/>
    <x v="1"/>
    <x v="8"/>
    <x v="0"/>
    <x v="1"/>
    <x v="0"/>
    <x v="0"/>
    <n v="10"/>
    <n v="34681.03"/>
    <n v="123143.86"/>
    <x v="1"/>
  </r>
  <r>
    <x v="0"/>
    <x v="1"/>
    <x v="8"/>
    <x v="0"/>
    <x v="1"/>
    <x v="0"/>
    <x v="1"/>
    <n v="6"/>
    <n v="19891.34"/>
    <n v="72984.570000000007"/>
    <x v="1"/>
  </r>
  <r>
    <x v="0"/>
    <x v="1"/>
    <x v="8"/>
    <x v="0"/>
    <x v="1"/>
    <x v="1"/>
    <x v="0"/>
    <n v="21"/>
    <n v="74363.64"/>
    <n v="165565.97"/>
    <x v="1"/>
  </r>
  <r>
    <x v="0"/>
    <x v="1"/>
    <x v="8"/>
    <x v="0"/>
    <x v="1"/>
    <x v="1"/>
    <x v="1"/>
    <n v="22"/>
    <n v="70941.570000000007"/>
    <n v="159825.41"/>
    <x v="1"/>
  </r>
  <r>
    <x v="0"/>
    <x v="1"/>
    <x v="8"/>
    <x v="0"/>
    <x v="2"/>
    <x v="0"/>
    <x v="1"/>
    <n v="1"/>
    <n v="2525.89"/>
    <n v="9442.7199999999993"/>
    <x v="1"/>
  </r>
  <r>
    <x v="0"/>
    <x v="1"/>
    <x v="8"/>
    <x v="0"/>
    <x v="2"/>
    <x v="1"/>
    <x v="0"/>
    <n v="1"/>
    <n v="2968.72"/>
    <n v="6382.81"/>
    <x v="1"/>
  </r>
  <r>
    <x v="0"/>
    <x v="1"/>
    <x v="8"/>
    <x v="0"/>
    <x v="2"/>
    <x v="1"/>
    <x v="1"/>
    <n v="20"/>
    <n v="73132.69"/>
    <n v="161191.89000000001"/>
    <x v="1"/>
  </r>
  <r>
    <x v="0"/>
    <x v="1"/>
    <x v="8"/>
    <x v="0"/>
    <x v="3"/>
    <x v="0"/>
    <x v="0"/>
    <n v="3"/>
    <n v="11323.48"/>
    <n v="38314.730000000003"/>
    <x v="1"/>
  </r>
  <r>
    <x v="0"/>
    <x v="1"/>
    <x v="8"/>
    <x v="0"/>
    <x v="3"/>
    <x v="0"/>
    <x v="1"/>
    <n v="12"/>
    <n v="45215.81"/>
    <n v="153053.01"/>
    <x v="1"/>
  </r>
  <r>
    <x v="0"/>
    <x v="1"/>
    <x v="8"/>
    <x v="0"/>
    <x v="3"/>
    <x v="1"/>
    <x v="0"/>
    <n v="7"/>
    <n v="23309.69"/>
    <n v="51909.27"/>
    <x v="1"/>
  </r>
  <r>
    <x v="0"/>
    <x v="1"/>
    <x v="8"/>
    <x v="0"/>
    <x v="3"/>
    <x v="1"/>
    <x v="1"/>
    <n v="43"/>
    <n v="138936.72"/>
    <n v="315999.05"/>
    <x v="1"/>
  </r>
  <r>
    <x v="0"/>
    <x v="1"/>
    <x v="8"/>
    <x v="0"/>
    <x v="28"/>
    <x v="1"/>
    <x v="1"/>
    <n v="1"/>
    <n v="2777.05"/>
    <n v="5855.16"/>
    <x v="1"/>
  </r>
  <r>
    <x v="0"/>
    <x v="1"/>
    <x v="8"/>
    <x v="0"/>
    <x v="4"/>
    <x v="0"/>
    <x v="1"/>
    <n v="4"/>
    <n v="14883.75"/>
    <n v="53380.49"/>
    <x v="1"/>
  </r>
  <r>
    <x v="0"/>
    <x v="1"/>
    <x v="8"/>
    <x v="0"/>
    <x v="4"/>
    <x v="1"/>
    <x v="0"/>
    <n v="4"/>
    <n v="16166.51"/>
    <n v="36825.83"/>
    <x v="1"/>
  </r>
  <r>
    <x v="0"/>
    <x v="1"/>
    <x v="8"/>
    <x v="0"/>
    <x v="4"/>
    <x v="1"/>
    <x v="1"/>
    <n v="7"/>
    <n v="28963.35"/>
    <n v="64328.14"/>
    <x v="1"/>
  </r>
  <r>
    <x v="0"/>
    <x v="1"/>
    <x v="8"/>
    <x v="0"/>
    <x v="5"/>
    <x v="0"/>
    <x v="1"/>
    <n v="9"/>
    <n v="28958.42"/>
    <n v="101228.14"/>
    <x v="1"/>
  </r>
  <r>
    <x v="0"/>
    <x v="1"/>
    <x v="8"/>
    <x v="0"/>
    <x v="5"/>
    <x v="1"/>
    <x v="1"/>
    <n v="32"/>
    <n v="114799.49"/>
    <n v="260823.36"/>
    <x v="1"/>
  </r>
  <r>
    <x v="0"/>
    <x v="1"/>
    <x v="8"/>
    <x v="0"/>
    <x v="6"/>
    <x v="0"/>
    <x v="1"/>
    <n v="4"/>
    <n v="13064.6"/>
    <n v="45238.14"/>
    <x v="1"/>
  </r>
  <r>
    <x v="0"/>
    <x v="1"/>
    <x v="8"/>
    <x v="0"/>
    <x v="7"/>
    <x v="1"/>
    <x v="1"/>
    <n v="4"/>
    <n v="10786.23"/>
    <n v="26791.93"/>
    <x v="1"/>
  </r>
  <r>
    <x v="0"/>
    <x v="1"/>
    <x v="8"/>
    <x v="0"/>
    <x v="8"/>
    <x v="0"/>
    <x v="1"/>
    <n v="2"/>
    <n v="8668.6200000000008"/>
    <n v="28717.9"/>
    <x v="1"/>
  </r>
  <r>
    <x v="0"/>
    <x v="1"/>
    <x v="8"/>
    <x v="0"/>
    <x v="8"/>
    <x v="1"/>
    <x v="1"/>
    <n v="3"/>
    <n v="9208.76"/>
    <n v="21049.63"/>
    <x v="1"/>
  </r>
  <r>
    <x v="0"/>
    <x v="1"/>
    <x v="8"/>
    <x v="1"/>
    <x v="30"/>
    <x v="1"/>
    <x v="0"/>
    <n v="3"/>
    <n v="11292.63"/>
    <n v="26959.38"/>
    <x v="1"/>
  </r>
  <r>
    <x v="0"/>
    <x v="1"/>
    <x v="8"/>
    <x v="1"/>
    <x v="9"/>
    <x v="1"/>
    <x v="1"/>
    <n v="4"/>
    <n v="14664.8"/>
    <n v="36311.39"/>
    <x v="1"/>
  </r>
  <r>
    <x v="0"/>
    <x v="1"/>
    <x v="8"/>
    <x v="1"/>
    <x v="31"/>
    <x v="1"/>
    <x v="0"/>
    <n v="5"/>
    <n v="20545.2"/>
    <n v="50384.3"/>
    <x v="1"/>
  </r>
  <r>
    <x v="0"/>
    <x v="1"/>
    <x v="8"/>
    <x v="1"/>
    <x v="10"/>
    <x v="0"/>
    <x v="0"/>
    <n v="1"/>
    <n v="4079.8"/>
    <n v="14383.14"/>
    <x v="1"/>
  </r>
  <r>
    <x v="0"/>
    <x v="1"/>
    <x v="8"/>
    <x v="1"/>
    <x v="10"/>
    <x v="0"/>
    <x v="1"/>
    <n v="2"/>
    <n v="5433.74"/>
    <n v="19793.330000000002"/>
    <x v="1"/>
  </r>
  <r>
    <x v="0"/>
    <x v="1"/>
    <x v="8"/>
    <x v="1"/>
    <x v="10"/>
    <x v="1"/>
    <x v="0"/>
    <n v="6"/>
    <n v="23823.64"/>
    <n v="55173.02"/>
    <x v="1"/>
  </r>
  <r>
    <x v="0"/>
    <x v="1"/>
    <x v="8"/>
    <x v="1"/>
    <x v="10"/>
    <x v="1"/>
    <x v="1"/>
    <n v="20"/>
    <n v="81846.929999999993"/>
    <n v="196208.02"/>
    <x v="1"/>
  </r>
  <r>
    <x v="0"/>
    <x v="1"/>
    <x v="8"/>
    <x v="1"/>
    <x v="11"/>
    <x v="0"/>
    <x v="1"/>
    <n v="12"/>
    <n v="44733.54"/>
    <n v="160230.68"/>
    <x v="1"/>
  </r>
  <r>
    <x v="0"/>
    <x v="1"/>
    <x v="8"/>
    <x v="1"/>
    <x v="11"/>
    <x v="1"/>
    <x v="0"/>
    <n v="6"/>
    <n v="24113.55"/>
    <n v="51786.05"/>
    <x v="1"/>
  </r>
  <r>
    <x v="0"/>
    <x v="1"/>
    <x v="8"/>
    <x v="1"/>
    <x v="11"/>
    <x v="1"/>
    <x v="1"/>
    <n v="13"/>
    <n v="46802.18"/>
    <n v="106930.59"/>
    <x v="1"/>
  </r>
  <r>
    <x v="0"/>
    <x v="1"/>
    <x v="8"/>
    <x v="1"/>
    <x v="12"/>
    <x v="1"/>
    <x v="1"/>
    <n v="4"/>
    <n v="11009.69"/>
    <n v="26496.46"/>
    <x v="1"/>
  </r>
  <r>
    <x v="0"/>
    <x v="1"/>
    <x v="8"/>
    <x v="1"/>
    <x v="13"/>
    <x v="0"/>
    <x v="1"/>
    <n v="5"/>
    <n v="20495.78"/>
    <n v="72116.800000000003"/>
    <x v="1"/>
  </r>
  <r>
    <x v="0"/>
    <x v="1"/>
    <x v="8"/>
    <x v="1"/>
    <x v="13"/>
    <x v="1"/>
    <x v="1"/>
    <n v="3"/>
    <n v="11355.94"/>
    <n v="26685.55"/>
    <x v="1"/>
  </r>
  <r>
    <x v="0"/>
    <x v="1"/>
    <x v="8"/>
    <x v="1"/>
    <x v="14"/>
    <x v="0"/>
    <x v="1"/>
    <n v="6"/>
    <n v="19089.37"/>
    <n v="70253.88"/>
    <x v="1"/>
  </r>
  <r>
    <x v="0"/>
    <x v="1"/>
    <x v="8"/>
    <x v="1"/>
    <x v="14"/>
    <x v="1"/>
    <x v="0"/>
    <n v="9"/>
    <n v="29254.14"/>
    <n v="72161.58"/>
    <x v="1"/>
  </r>
  <r>
    <x v="0"/>
    <x v="1"/>
    <x v="8"/>
    <x v="1"/>
    <x v="14"/>
    <x v="1"/>
    <x v="1"/>
    <n v="2"/>
    <n v="8459.44"/>
    <n v="19325.86"/>
    <x v="1"/>
  </r>
  <r>
    <x v="0"/>
    <x v="1"/>
    <x v="8"/>
    <x v="1"/>
    <x v="15"/>
    <x v="1"/>
    <x v="1"/>
    <n v="2"/>
    <n v="5490.24"/>
    <n v="14368.75"/>
    <x v="1"/>
  </r>
  <r>
    <x v="0"/>
    <x v="1"/>
    <x v="8"/>
    <x v="1"/>
    <x v="16"/>
    <x v="0"/>
    <x v="1"/>
    <n v="2"/>
    <n v="8231.4599999999991"/>
    <n v="28828.66"/>
    <x v="1"/>
  </r>
  <r>
    <x v="0"/>
    <x v="1"/>
    <x v="8"/>
    <x v="1"/>
    <x v="16"/>
    <x v="1"/>
    <x v="0"/>
    <n v="15"/>
    <n v="55876.85"/>
    <n v="123559.87"/>
    <x v="1"/>
  </r>
  <r>
    <x v="0"/>
    <x v="1"/>
    <x v="8"/>
    <x v="1"/>
    <x v="16"/>
    <x v="1"/>
    <x v="1"/>
    <n v="3"/>
    <n v="8327.98"/>
    <n v="18891.05"/>
    <x v="1"/>
  </r>
  <r>
    <x v="0"/>
    <x v="1"/>
    <x v="8"/>
    <x v="1"/>
    <x v="17"/>
    <x v="0"/>
    <x v="1"/>
    <n v="2"/>
    <n v="7213.97"/>
    <n v="24814.51"/>
    <x v="1"/>
  </r>
  <r>
    <x v="0"/>
    <x v="1"/>
    <x v="8"/>
    <x v="1"/>
    <x v="17"/>
    <x v="1"/>
    <x v="0"/>
    <n v="1"/>
    <n v="4330.3500000000004"/>
    <n v="9582.18"/>
    <x v="1"/>
  </r>
  <r>
    <x v="0"/>
    <x v="1"/>
    <x v="8"/>
    <x v="1"/>
    <x v="17"/>
    <x v="1"/>
    <x v="1"/>
    <n v="3"/>
    <n v="8274.32"/>
    <n v="19761.43"/>
    <x v="1"/>
  </r>
  <r>
    <x v="0"/>
    <x v="1"/>
    <x v="8"/>
    <x v="1"/>
    <x v="18"/>
    <x v="0"/>
    <x v="1"/>
    <n v="9"/>
    <n v="30799.64"/>
    <n v="107954.64"/>
    <x v="1"/>
  </r>
  <r>
    <x v="0"/>
    <x v="1"/>
    <x v="8"/>
    <x v="1"/>
    <x v="18"/>
    <x v="1"/>
    <x v="0"/>
    <n v="6"/>
    <n v="23475.11"/>
    <n v="55974.07"/>
    <x v="1"/>
  </r>
  <r>
    <x v="0"/>
    <x v="1"/>
    <x v="8"/>
    <x v="1"/>
    <x v="18"/>
    <x v="1"/>
    <x v="1"/>
    <n v="28"/>
    <n v="103456.48"/>
    <n v="244647.99"/>
    <x v="1"/>
  </r>
  <r>
    <x v="0"/>
    <x v="1"/>
    <x v="8"/>
    <x v="1"/>
    <x v="19"/>
    <x v="0"/>
    <x v="1"/>
    <n v="6"/>
    <n v="23159.119999999999"/>
    <n v="81166"/>
    <x v="1"/>
  </r>
  <r>
    <x v="0"/>
    <x v="1"/>
    <x v="8"/>
    <x v="1"/>
    <x v="19"/>
    <x v="1"/>
    <x v="0"/>
    <n v="13"/>
    <n v="53546.92"/>
    <n v="125655.78"/>
    <x v="1"/>
  </r>
  <r>
    <x v="0"/>
    <x v="1"/>
    <x v="8"/>
    <x v="1"/>
    <x v="19"/>
    <x v="1"/>
    <x v="1"/>
    <n v="20"/>
    <n v="80602.31"/>
    <n v="192849.58"/>
    <x v="1"/>
  </r>
  <r>
    <x v="0"/>
    <x v="1"/>
    <x v="8"/>
    <x v="1"/>
    <x v="20"/>
    <x v="0"/>
    <x v="0"/>
    <n v="1"/>
    <n v="4105.54"/>
    <n v="14460.93"/>
    <x v="1"/>
  </r>
  <r>
    <x v="0"/>
    <x v="1"/>
    <x v="8"/>
    <x v="1"/>
    <x v="20"/>
    <x v="0"/>
    <x v="1"/>
    <n v="12"/>
    <n v="43156.44"/>
    <n v="152144.43"/>
    <x v="1"/>
  </r>
  <r>
    <x v="0"/>
    <x v="1"/>
    <x v="8"/>
    <x v="1"/>
    <x v="20"/>
    <x v="1"/>
    <x v="0"/>
    <n v="15"/>
    <n v="48701.48"/>
    <n v="108734.31"/>
    <x v="1"/>
  </r>
  <r>
    <x v="0"/>
    <x v="1"/>
    <x v="8"/>
    <x v="1"/>
    <x v="20"/>
    <x v="1"/>
    <x v="1"/>
    <n v="26"/>
    <n v="88049.09"/>
    <n v="208448.76"/>
    <x v="1"/>
  </r>
  <r>
    <x v="0"/>
    <x v="1"/>
    <x v="8"/>
    <x v="2"/>
    <x v="22"/>
    <x v="0"/>
    <x v="1"/>
    <n v="3"/>
    <n v="12104.02"/>
    <n v="42910.22"/>
    <x v="1"/>
  </r>
  <r>
    <x v="0"/>
    <x v="1"/>
    <x v="8"/>
    <x v="2"/>
    <x v="22"/>
    <x v="1"/>
    <x v="0"/>
    <n v="8"/>
    <n v="30025.08"/>
    <n v="64710.86"/>
    <x v="1"/>
  </r>
  <r>
    <x v="0"/>
    <x v="1"/>
    <x v="8"/>
    <x v="2"/>
    <x v="22"/>
    <x v="1"/>
    <x v="1"/>
    <n v="7"/>
    <n v="24508.99"/>
    <n v="51270.71"/>
    <x v="1"/>
  </r>
  <r>
    <x v="0"/>
    <x v="1"/>
    <x v="8"/>
    <x v="2"/>
    <x v="29"/>
    <x v="0"/>
    <x v="1"/>
    <n v="4"/>
    <n v="13531.92"/>
    <n v="49285.98"/>
    <x v="1"/>
  </r>
  <r>
    <x v="0"/>
    <x v="1"/>
    <x v="8"/>
    <x v="2"/>
    <x v="23"/>
    <x v="1"/>
    <x v="1"/>
    <n v="4"/>
    <n v="9768.68"/>
    <n v="23839.66"/>
    <x v="1"/>
  </r>
  <r>
    <x v="0"/>
    <x v="1"/>
    <x v="8"/>
    <x v="2"/>
    <x v="24"/>
    <x v="0"/>
    <x v="1"/>
    <n v="3"/>
    <n v="12457.38"/>
    <n v="43269.97"/>
    <x v="1"/>
  </r>
  <r>
    <x v="0"/>
    <x v="1"/>
    <x v="8"/>
    <x v="2"/>
    <x v="24"/>
    <x v="1"/>
    <x v="0"/>
    <n v="2"/>
    <n v="8435.34"/>
    <n v="17800.02"/>
    <x v="1"/>
  </r>
  <r>
    <x v="0"/>
    <x v="1"/>
    <x v="8"/>
    <x v="2"/>
    <x v="24"/>
    <x v="1"/>
    <x v="1"/>
    <n v="2"/>
    <n v="8306.5400000000009"/>
    <n v="17768.169999999998"/>
    <x v="1"/>
  </r>
  <r>
    <x v="0"/>
    <x v="1"/>
    <x v="8"/>
    <x v="3"/>
    <x v="25"/>
    <x v="0"/>
    <x v="1"/>
    <n v="3"/>
    <n v="8075.41"/>
    <n v="30170.59"/>
    <x v="1"/>
  </r>
  <r>
    <x v="0"/>
    <x v="1"/>
    <x v="8"/>
    <x v="3"/>
    <x v="25"/>
    <x v="1"/>
    <x v="0"/>
    <n v="4"/>
    <n v="14791.36"/>
    <n v="33439.24"/>
    <x v="1"/>
  </r>
  <r>
    <x v="0"/>
    <x v="1"/>
    <x v="8"/>
    <x v="3"/>
    <x v="25"/>
    <x v="1"/>
    <x v="1"/>
    <n v="4"/>
    <n v="14013.45"/>
    <n v="36645.519999999997"/>
    <x v="1"/>
  </r>
  <r>
    <x v="0"/>
    <x v="1"/>
    <x v="8"/>
    <x v="3"/>
    <x v="26"/>
    <x v="0"/>
    <x v="0"/>
    <n v="1"/>
    <n v="4276.49"/>
    <n v="14329.16"/>
    <x v="1"/>
  </r>
  <r>
    <x v="0"/>
    <x v="1"/>
    <x v="8"/>
    <x v="3"/>
    <x v="26"/>
    <x v="0"/>
    <x v="1"/>
    <n v="2"/>
    <n v="7105.43"/>
    <n v="24654.560000000001"/>
    <x v="1"/>
  </r>
  <r>
    <x v="0"/>
    <x v="1"/>
    <x v="8"/>
    <x v="3"/>
    <x v="26"/>
    <x v="1"/>
    <x v="0"/>
    <n v="8"/>
    <n v="29841.26"/>
    <n v="71662.289999999994"/>
    <x v="1"/>
  </r>
  <r>
    <x v="0"/>
    <x v="1"/>
    <x v="8"/>
    <x v="3"/>
    <x v="26"/>
    <x v="1"/>
    <x v="1"/>
    <n v="19"/>
    <n v="71629.19"/>
    <n v="173802.35"/>
    <x v="1"/>
  </r>
  <r>
    <x v="0"/>
    <x v="1"/>
    <x v="8"/>
    <x v="3"/>
    <x v="27"/>
    <x v="0"/>
    <x v="0"/>
    <n v="3"/>
    <n v="9570.5400000000009"/>
    <n v="34853.54"/>
    <x v="1"/>
  </r>
  <r>
    <x v="0"/>
    <x v="1"/>
    <x v="8"/>
    <x v="3"/>
    <x v="27"/>
    <x v="0"/>
    <x v="1"/>
    <n v="11"/>
    <n v="30922.27"/>
    <n v="112978.76"/>
    <x v="1"/>
  </r>
  <r>
    <x v="0"/>
    <x v="1"/>
    <x v="8"/>
    <x v="3"/>
    <x v="27"/>
    <x v="1"/>
    <x v="0"/>
    <n v="16"/>
    <n v="62601.51"/>
    <n v="149807.70000000001"/>
    <x v="1"/>
  </r>
  <r>
    <x v="0"/>
    <x v="1"/>
    <x v="8"/>
    <x v="3"/>
    <x v="27"/>
    <x v="1"/>
    <x v="1"/>
    <n v="21"/>
    <n v="75077.38"/>
    <n v="178726.08"/>
    <x v="1"/>
  </r>
  <r>
    <x v="0"/>
    <x v="1"/>
    <x v="9"/>
    <x v="0"/>
    <x v="0"/>
    <x v="0"/>
    <x v="0"/>
    <n v="8"/>
    <n v="21632.54"/>
    <n v="72789.440000000002"/>
    <x v="1"/>
  </r>
  <r>
    <x v="0"/>
    <x v="1"/>
    <x v="9"/>
    <x v="0"/>
    <x v="0"/>
    <x v="1"/>
    <x v="0"/>
    <n v="4"/>
    <n v="11334.2"/>
    <n v="25390.43"/>
    <x v="1"/>
  </r>
  <r>
    <x v="0"/>
    <x v="1"/>
    <x v="9"/>
    <x v="0"/>
    <x v="0"/>
    <x v="1"/>
    <x v="1"/>
    <n v="14"/>
    <n v="40571.480000000003"/>
    <n v="86949.46"/>
    <x v="1"/>
  </r>
  <r>
    <x v="0"/>
    <x v="1"/>
    <x v="9"/>
    <x v="0"/>
    <x v="1"/>
    <x v="0"/>
    <x v="1"/>
    <n v="5"/>
    <n v="14184.58"/>
    <n v="46833.49"/>
    <x v="1"/>
  </r>
  <r>
    <x v="0"/>
    <x v="1"/>
    <x v="9"/>
    <x v="0"/>
    <x v="1"/>
    <x v="1"/>
    <x v="0"/>
    <n v="9"/>
    <n v="23490.5"/>
    <n v="50812.51"/>
    <x v="1"/>
  </r>
  <r>
    <x v="0"/>
    <x v="1"/>
    <x v="9"/>
    <x v="0"/>
    <x v="1"/>
    <x v="1"/>
    <x v="1"/>
    <n v="20"/>
    <n v="65857.89"/>
    <n v="139467.73000000001"/>
    <x v="1"/>
  </r>
  <r>
    <x v="0"/>
    <x v="1"/>
    <x v="9"/>
    <x v="0"/>
    <x v="2"/>
    <x v="0"/>
    <x v="1"/>
    <n v="5"/>
    <n v="12595.6"/>
    <n v="42342.48"/>
    <x v="1"/>
  </r>
  <r>
    <x v="0"/>
    <x v="1"/>
    <x v="9"/>
    <x v="0"/>
    <x v="2"/>
    <x v="1"/>
    <x v="1"/>
    <n v="10"/>
    <n v="27411.86"/>
    <n v="57926.05"/>
    <x v="1"/>
  </r>
  <r>
    <x v="0"/>
    <x v="1"/>
    <x v="9"/>
    <x v="0"/>
    <x v="3"/>
    <x v="0"/>
    <x v="0"/>
    <n v="2"/>
    <n v="7287.74"/>
    <n v="23603.47"/>
    <x v="1"/>
  </r>
  <r>
    <x v="0"/>
    <x v="1"/>
    <x v="9"/>
    <x v="0"/>
    <x v="3"/>
    <x v="0"/>
    <x v="1"/>
    <n v="8"/>
    <n v="20753.759999999998"/>
    <n v="68589.78"/>
    <x v="1"/>
  </r>
  <r>
    <x v="0"/>
    <x v="1"/>
    <x v="9"/>
    <x v="0"/>
    <x v="3"/>
    <x v="1"/>
    <x v="0"/>
    <n v="5"/>
    <n v="12127.91"/>
    <n v="25849.119999999999"/>
    <x v="1"/>
  </r>
  <r>
    <x v="0"/>
    <x v="1"/>
    <x v="9"/>
    <x v="0"/>
    <x v="3"/>
    <x v="1"/>
    <x v="1"/>
    <n v="5"/>
    <n v="12877.23"/>
    <n v="28009.06"/>
    <x v="1"/>
  </r>
  <r>
    <x v="0"/>
    <x v="1"/>
    <x v="9"/>
    <x v="0"/>
    <x v="28"/>
    <x v="1"/>
    <x v="1"/>
    <n v="1"/>
    <n v="3596.16"/>
    <n v="7824.06"/>
    <x v="1"/>
  </r>
  <r>
    <x v="0"/>
    <x v="1"/>
    <x v="9"/>
    <x v="0"/>
    <x v="4"/>
    <x v="0"/>
    <x v="1"/>
    <n v="2"/>
    <n v="4613.76"/>
    <n v="15794.52"/>
    <x v="1"/>
  </r>
  <r>
    <x v="0"/>
    <x v="1"/>
    <x v="9"/>
    <x v="0"/>
    <x v="4"/>
    <x v="1"/>
    <x v="0"/>
    <n v="7"/>
    <n v="22958.33"/>
    <n v="48313.5"/>
    <x v="1"/>
  </r>
  <r>
    <x v="0"/>
    <x v="1"/>
    <x v="9"/>
    <x v="0"/>
    <x v="5"/>
    <x v="0"/>
    <x v="1"/>
    <n v="10"/>
    <n v="32480.639999999999"/>
    <n v="109109.11"/>
    <x v="1"/>
  </r>
  <r>
    <x v="0"/>
    <x v="1"/>
    <x v="9"/>
    <x v="0"/>
    <x v="5"/>
    <x v="1"/>
    <x v="0"/>
    <n v="5"/>
    <n v="10324.4"/>
    <n v="24636.93"/>
    <x v="1"/>
  </r>
  <r>
    <x v="0"/>
    <x v="1"/>
    <x v="9"/>
    <x v="0"/>
    <x v="5"/>
    <x v="1"/>
    <x v="1"/>
    <n v="16"/>
    <n v="43027.25"/>
    <n v="95595.71"/>
    <x v="1"/>
  </r>
  <r>
    <x v="0"/>
    <x v="1"/>
    <x v="9"/>
    <x v="0"/>
    <x v="6"/>
    <x v="0"/>
    <x v="1"/>
    <n v="1"/>
    <n v="2164.06"/>
    <n v="7852.93"/>
    <x v="1"/>
  </r>
  <r>
    <x v="0"/>
    <x v="1"/>
    <x v="9"/>
    <x v="0"/>
    <x v="6"/>
    <x v="1"/>
    <x v="1"/>
    <n v="9"/>
    <n v="22904.77"/>
    <n v="50084.160000000003"/>
    <x v="1"/>
  </r>
  <r>
    <x v="0"/>
    <x v="1"/>
    <x v="9"/>
    <x v="0"/>
    <x v="7"/>
    <x v="1"/>
    <x v="1"/>
    <n v="2"/>
    <n v="7301.32"/>
    <n v="16011.81"/>
    <x v="1"/>
  </r>
  <r>
    <x v="0"/>
    <x v="1"/>
    <x v="9"/>
    <x v="0"/>
    <x v="8"/>
    <x v="0"/>
    <x v="1"/>
    <n v="2"/>
    <n v="6943.61"/>
    <n v="23892.14"/>
    <x v="1"/>
  </r>
  <r>
    <x v="0"/>
    <x v="1"/>
    <x v="9"/>
    <x v="1"/>
    <x v="9"/>
    <x v="1"/>
    <x v="1"/>
    <n v="1"/>
    <n v="2078.73"/>
    <n v="5174.26"/>
    <x v="1"/>
  </r>
  <r>
    <x v="0"/>
    <x v="1"/>
    <x v="9"/>
    <x v="1"/>
    <x v="10"/>
    <x v="0"/>
    <x v="0"/>
    <n v="1"/>
    <n v="2022.71"/>
    <n v="7519.25"/>
    <x v="1"/>
  </r>
  <r>
    <x v="0"/>
    <x v="1"/>
    <x v="9"/>
    <x v="1"/>
    <x v="10"/>
    <x v="0"/>
    <x v="1"/>
    <n v="3"/>
    <n v="11215.46"/>
    <n v="36279.75"/>
    <x v="1"/>
  </r>
  <r>
    <x v="0"/>
    <x v="1"/>
    <x v="9"/>
    <x v="1"/>
    <x v="10"/>
    <x v="1"/>
    <x v="0"/>
    <n v="10"/>
    <n v="28972.27"/>
    <n v="66945.22"/>
    <x v="1"/>
  </r>
  <r>
    <x v="0"/>
    <x v="1"/>
    <x v="9"/>
    <x v="1"/>
    <x v="10"/>
    <x v="1"/>
    <x v="1"/>
    <n v="32"/>
    <n v="101671.17"/>
    <n v="232631.07"/>
    <x v="1"/>
  </r>
  <r>
    <x v="0"/>
    <x v="1"/>
    <x v="9"/>
    <x v="1"/>
    <x v="11"/>
    <x v="0"/>
    <x v="1"/>
    <n v="8"/>
    <n v="25346.69"/>
    <n v="84425.12"/>
    <x v="1"/>
  </r>
  <r>
    <x v="0"/>
    <x v="1"/>
    <x v="9"/>
    <x v="1"/>
    <x v="11"/>
    <x v="1"/>
    <x v="0"/>
    <n v="11"/>
    <n v="33993.870000000003"/>
    <n v="73825.16"/>
    <x v="1"/>
  </r>
  <r>
    <x v="0"/>
    <x v="1"/>
    <x v="9"/>
    <x v="1"/>
    <x v="11"/>
    <x v="1"/>
    <x v="1"/>
    <n v="51"/>
    <n v="138158.28"/>
    <n v="303979.77"/>
    <x v="1"/>
  </r>
  <r>
    <x v="0"/>
    <x v="1"/>
    <x v="9"/>
    <x v="1"/>
    <x v="13"/>
    <x v="0"/>
    <x v="1"/>
    <n v="5"/>
    <n v="15511.41"/>
    <n v="51965.57"/>
    <x v="1"/>
  </r>
  <r>
    <x v="0"/>
    <x v="1"/>
    <x v="9"/>
    <x v="1"/>
    <x v="14"/>
    <x v="1"/>
    <x v="0"/>
    <n v="9"/>
    <n v="23863.21"/>
    <n v="54359.51"/>
    <x v="1"/>
  </r>
  <r>
    <x v="0"/>
    <x v="1"/>
    <x v="9"/>
    <x v="1"/>
    <x v="14"/>
    <x v="1"/>
    <x v="1"/>
    <n v="5"/>
    <n v="16352.45"/>
    <n v="37560.67"/>
    <x v="1"/>
  </r>
  <r>
    <x v="0"/>
    <x v="1"/>
    <x v="9"/>
    <x v="1"/>
    <x v="15"/>
    <x v="1"/>
    <x v="0"/>
    <n v="1"/>
    <n v="3605.53"/>
    <n v="8319.44"/>
    <x v="1"/>
  </r>
  <r>
    <x v="0"/>
    <x v="1"/>
    <x v="9"/>
    <x v="1"/>
    <x v="15"/>
    <x v="1"/>
    <x v="1"/>
    <n v="9"/>
    <n v="21717.34"/>
    <n v="53064.89"/>
    <x v="1"/>
  </r>
  <r>
    <x v="0"/>
    <x v="1"/>
    <x v="9"/>
    <x v="1"/>
    <x v="16"/>
    <x v="1"/>
    <x v="0"/>
    <n v="7"/>
    <n v="14339.54"/>
    <n v="34347.25"/>
    <x v="1"/>
  </r>
  <r>
    <x v="0"/>
    <x v="1"/>
    <x v="9"/>
    <x v="1"/>
    <x v="16"/>
    <x v="1"/>
    <x v="1"/>
    <n v="9"/>
    <n v="24626.14"/>
    <n v="53578.09"/>
    <x v="1"/>
  </r>
  <r>
    <x v="0"/>
    <x v="1"/>
    <x v="9"/>
    <x v="1"/>
    <x v="17"/>
    <x v="0"/>
    <x v="1"/>
    <n v="3"/>
    <n v="6456.81"/>
    <n v="22583.7"/>
    <x v="1"/>
  </r>
  <r>
    <x v="0"/>
    <x v="1"/>
    <x v="9"/>
    <x v="1"/>
    <x v="17"/>
    <x v="1"/>
    <x v="0"/>
    <n v="6"/>
    <n v="16044.08"/>
    <n v="37545.47"/>
    <x v="1"/>
  </r>
  <r>
    <x v="0"/>
    <x v="1"/>
    <x v="9"/>
    <x v="1"/>
    <x v="17"/>
    <x v="1"/>
    <x v="1"/>
    <n v="5"/>
    <n v="15774.45"/>
    <n v="34561.129999999997"/>
    <x v="1"/>
  </r>
  <r>
    <x v="0"/>
    <x v="1"/>
    <x v="9"/>
    <x v="1"/>
    <x v="18"/>
    <x v="0"/>
    <x v="1"/>
    <n v="11"/>
    <n v="33269.03"/>
    <n v="109346.86"/>
    <x v="1"/>
  </r>
  <r>
    <x v="0"/>
    <x v="1"/>
    <x v="9"/>
    <x v="1"/>
    <x v="18"/>
    <x v="1"/>
    <x v="0"/>
    <n v="4"/>
    <n v="14830.08"/>
    <n v="32756.39"/>
    <x v="1"/>
  </r>
  <r>
    <x v="0"/>
    <x v="1"/>
    <x v="9"/>
    <x v="1"/>
    <x v="18"/>
    <x v="1"/>
    <x v="1"/>
    <n v="21"/>
    <n v="61917.71"/>
    <n v="138248.56"/>
    <x v="1"/>
  </r>
  <r>
    <x v="0"/>
    <x v="1"/>
    <x v="9"/>
    <x v="1"/>
    <x v="19"/>
    <x v="0"/>
    <x v="1"/>
    <n v="3"/>
    <n v="8085.52"/>
    <n v="27446.16"/>
    <x v="1"/>
  </r>
  <r>
    <x v="0"/>
    <x v="1"/>
    <x v="9"/>
    <x v="1"/>
    <x v="19"/>
    <x v="1"/>
    <x v="0"/>
    <n v="10"/>
    <n v="31258.55"/>
    <n v="69623.02"/>
    <x v="1"/>
  </r>
  <r>
    <x v="0"/>
    <x v="1"/>
    <x v="9"/>
    <x v="1"/>
    <x v="19"/>
    <x v="1"/>
    <x v="1"/>
    <n v="6"/>
    <n v="17418.39"/>
    <n v="39720.82"/>
    <x v="1"/>
  </r>
  <r>
    <x v="0"/>
    <x v="1"/>
    <x v="9"/>
    <x v="1"/>
    <x v="20"/>
    <x v="0"/>
    <x v="0"/>
    <n v="4"/>
    <n v="12033.17"/>
    <n v="40584.11"/>
    <x v="1"/>
  </r>
  <r>
    <x v="0"/>
    <x v="1"/>
    <x v="9"/>
    <x v="1"/>
    <x v="20"/>
    <x v="0"/>
    <x v="1"/>
    <n v="7"/>
    <n v="18463.88"/>
    <n v="62941.57"/>
    <x v="1"/>
  </r>
  <r>
    <x v="0"/>
    <x v="1"/>
    <x v="9"/>
    <x v="1"/>
    <x v="20"/>
    <x v="1"/>
    <x v="0"/>
    <n v="3"/>
    <n v="8327.39"/>
    <n v="18519.810000000001"/>
    <x v="1"/>
  </r>
  <r>
    <x v="0"/>
    <x v="1"/>
    <x v="9"/>
    <x v="1"/>
    <x v="20"/>
    <x v="1"/>
    <x v="1"/>
    <n v="23"/>
    <n v="61003.21"/>
    <n v="137429.20000000001"/>
    <x v="1"/>
  </r>
  <r>
    <x v="0"/>
    <x v="1"/>
    <x v="9"/>
    <x v="2"/>
    <x v="21"/>
    <x v="0"/>
    <x v="0"/>
    <n v="5"/>
    <n v="11019.12"/>
    <n v="39061.01"/>
    <x v="1"/>
  </r>
  <r>
    <x v="0"/>
    <x v="1"/>
    <x v="9"/>
    <x v="2"/>
    <x v="22"/>
    <x v="0"/>
    <x v="1"/>
    <n v="1"/>
    <n v="3698.76"/>
    <n v="11963.28"/>
    <x v="1"/>
  </r>
  <r>
    <x v="0"/>
    <x v="1"/>
    <x v="9"/>
    <x v="2"/>
    <x v="22"/>
    <x v="1"/>
    <x v="0"/>
    <n v="8"/>
    <n v="27767.58"/>
    <n v="55426.74"/>
    <x v="1"/>
  </r>
  <r>
    <x v="0"/>
    <x v="1"/>
    <x v="9"/>
    <x v="2"/>
    <x v="22"/>
    <x v="1"/>
    <x v="1"/>
    <n v="5"/>
    <n v="11890.97"/>
    <n v="24595.26"/>
    <x v="1"/>
  </r>
  <r>
    <x v="0"/>
    <x v="1"/>
    <x v="9"/>
    <x v="2"/>
    <x v="29"/>
    <x v="1"/>
    <x v="1"/>
    <n v="3"/>
    <n v="6266.77"/>
    <n v="14740.04"/>
    <x v="1"/>
  </r>
  <r>
    <x v="0"/>
    <x v="1"/>
    <x v="9"/>
    <x v="2"/>
    <x v="23"/>
    <x v="1"/>
    <x v="1"/>
    <n v="6"/>
    <n v="17536.080000000002"/>
    <n v="37049.089999999997"/>
    <x v="1"/>
  </r>
  <r>
    <x v="0"/>
    <x v="1"/>
    <x v="9"/>
    <x v="2"/>
    <x v="24"/>
    <x v="0"/>
    <x v="1"/>
    <n v="1"/>
    <n v="3695.06"/>
    <n v="11933.1"/>
    <x v="1"/>
  </r>
  <r>
    <x v="0"/>
    <x v="1"/>
    <x v="9"/>
    <x v="2"/>
    <x v="24"/>
    <x v="1"/>
    <x v="0"/>
    <n v="7"/>
    <n v="20744.91"/>
    <n v="42092.08"/>
    <x v="1"/>
  </r>
  <r>
    <x v="0"/>
    <x v="1"/>
    <x v="9"/>
    <x v="3"/>
    <x v="25"/>
    <x v="0"/>
    <x v="1"/>
    <n v="3"/>
    <n v="6464.57"/>
    <n v="23203.3"/>
    <x v="1"/>
  </r>
  <r>
    <x v="0"/>
    <x v="1"/>
    <x v="9"/>
    <x v="3"/>
    <x v="25"/>
    <x v="1"/>
    <x v="0"/>
    <n v="6"/>
    <n v="18078"/>
    <n v="40082.269999999997"/>
    <x v="1"/>
  </r>
  <r>
    <x v="0"/>
    <x v="1"/>
    <x v="9"/>
    <x v="3"/>
    <x v="25"/>
    <x v="1"/>
    <x v="1"/>
    <n v="7"/>
    <n v="20945.939999999999"/>
    <n v="47622.84"/>
    <x v="1"/>
  </r>
  <r>
    <x v="0"/>
    <x v="1"/>
    <x v="9"/>
    <x v="3"/>
    <x v="26"/>
    <x v="1"/>
    <x v="0"/>
    <n v="5"/>
    <n v="11947.18"/>
    <n v="28142.38"/>
    <x v="1"/>
  </r>
  <r>
    <x v="0"/>
    <x v="1"/>
    <x v="9"/>
    <x v="3"/>
    <x v="26"/>
    <x v="1"/>
    <x v="1"/>
    <n v="5"/>
    <n v="11805.47"/>
    <n v="26190.98"/>
    <x v="1"/>
  </r>
  <r>
    <x v="0"/>
    <x v="1"/>
    <x v="9"/>
    <x v="3"/>
    <x v="27"/>
    <x v="0"/>
    <x v="0"/>
    <n v="6"/>
    <n v="17379.97"/>
    <n v="58293.66"/>
    <x v="1"/>
  </r>
  <r>
    <x v="0"/>
    <x v="1"/>
    <x v="9"/>
    <x v="3"/>
    <x v="27"/>
    <x v="0"/>
    <x v="1"/>
    <n v="8"/>
    <n v="18911.11"/>
    <n v="63270.69"/>
    <x v="1"/>
  </r>
  <r>
    <x v="0"/>
    <x v="1"/>
    <x v="9"/>
    <x v="3"/>
    <x v="27"/>
    <x v="1"/>
    <x v="0"/>
    <n v="15"/>
    <n v="39433.839999999997"/>
    <n v="88921.22"/>
    <x v="1"/>
  </r>
  <r>
    <x v="0"/>
    <x v="1"/>
    <x v="9"/>
    <x v="3"/>
    <x v="27"/>
    <x v="1"/>
    <x v="1"/>
    <n v="25"/>
    <n v="79432.539999999994"/>
    <n v="176707.57"/>
    <x v="1"/>
  </r>
  <r>
    <x v="1"/>
    <x v="0"/>
    <x v="0"/>
    <x v="0"/>
    <x v="0"/>
    <x v="0"/>
    <x v="1"/>
    <n v="2"/>
    <n v="14527.86"/>
    <n v="64210.82"/>
    <x v="0"/>
  </r>
  <r>
    <x v="1"/>
    <x v="0"/>
    <x v="0"/>
    <x v="0"/>
    <x v="0"/>
    <x v="1"/>
    <x v="1"/>
    <n v="6"/>
    <n v="44951.74"/>
    <n v="125981.64"/>
    <x v="0"/>
  </r>
  <r>
    <x v="1"/>
    <x v="0"/>
    <x v="0"/>
    <x v="0"/>
    <x v="1"/>
    <x v="0"/>
    <x v="0"/>
    <n v="6"/>
    <n v="40845.24"/>
    <n v="174573.18"/>
    <x v="0"/>
  </r>
  <r>
    <x v="1"/>
    <x v="0"/>
    <x v="0"/>
    <x v="0"/>
    <x v="1"/>
    <x v="0"/>
    <x v="1"/>
    <n v="3"/>
    <n v="22145.08"/>
    <n v="96316.23"/>
    <x v="0"/>
  </r>
  <r>
    <x v="1"/>
    <x v="0"/>
    <x v="0"/>
    <x v="0"/>
    <x v="1"/>
    <x v="1"/>
    <x v="0"/>
    <n v="10"/>
    <n v="74384.399999999994"/>
    <n v="206437.79"/>
    <x v="0"/>
  </r>
  <r>
    <x v="1"/>
    <x v="0"/>
    <x v="0"/>
    <x v="0"/>
    <x v="1"/>
    <x v="1"/>
    <x v="1"/>
    <n v="18"/>
    <n v="118385.33"/>
    <n v="323849.31"/>
    <x v="0"/>
  </r>
  <r>
    <x v="1"/>
    <x v="0"/>
    <x v="0"/>
    <x v="0"/>
    <x v="2"/>
    <x v="0"/>
    <x v="1"/>
    <n v="1"/>
    <n v="5532.19"/>
    <n v="23075.77"/>
    <x v="0"/>
  </r>
  <r>
    <x v="1"/>
    <x v="0"/>
    <x v="0"/>
    <x v="0"/>
    <x v="2"/>
    <x v="1"/>
    <x v="1"/>
    <n v="8"/>
    <n v="56551.09"/>
    <n v="153892.26999999999"/>
    <x v="0"/>
  </r>
  <r>
    <x v="1"/>
    <x v="0"/>
    <x v="0"/>
    <x v="0"/>
    <x v="3"/>
    <x v="0"/>
    <x v="1"/>
    <n v="8"/>
    <n v="56867.34"/>
    <n v="247813.64"/>
    <x v="0"/>
  </r>
  <r>
    <x v="1"/>
    <x v="0"/>
    <x v="0"/>
    <x v="0"/>
    <x v="3"/>
    <x v="1"/>
    <x v="0"/>
    <n v="7"/>
    <n v="36582.589999999997"/>
    <n v="101756.11"/>
    <x v="0"/>
  </r>
  <r>
    <x v="1"/>
    <x v="0"/>
    <x v="0"/>
    <x v="0"/>
    <x v="3"/>
    <x v="1"/>
    <x v="1"/>
    <n v="18"/>
    <n v="122277.47"/>
    <n v="343740.2"/>
    <x v="0"/>
  </r>
  <r>
    <x v="1"/>
    <x v="0"/>
    <x v="0"/>
    <x v="0"/>
    <x v="28"/>
    <x v="1"/>
    <x v="1"/>
    <n v="5"/>
    <n v="37187.65"/>
    <n v="104984.69"/>
    <x v="0"/>
  </r>
  <r>
    <x v="1"/>
    <x v="0"/>
    <x v="0"/>
    <x v="0"/>
    <x v="4"/>
    <x v="0"/>
    <x v="1"/>
    <n v="3"/>
    <n v="17768.48"/>
    <n v="78256.95"/>
    <x v="0"/>
  </r>
  <r>
    <x v="1"/>
    <x v="0"/>
    <x v="0"/>
    <x v="0"/>
    <x v="4"/>
    <x v="1"/>
    <x v="0"/>
    <n v="6"/>
    <n v="43760.62"/>
    <n v="123284.76"/>
    <x v="0"/>
  </r>
  <r>
    <x v="1"/>
    <x v="0"/>
    <x v="0"/>
    <x v="0"/>
    <x v="4"/>
    <x v="1"/>
    <x v="1"/>
    <n v="13"/>
    <n v="88500.47"/>
    <n v="248905.8"/>
    <x v="0"/>
  </r>
  <r>
    <x v="1"/>
    <x v="0"/>
    <x v="0"/>
    <x v="0"/>
    <x v="5"/>
    <x v="0"/>
    <x v="1"/>
    <n v="2"/>
    <n v="10037.34"/>
    <n v="44144.95"/>
    <x v="0"/>
  </r>
  <r>
    <x v="1"/>
    <x v="0"/>
    <x v="0"/>
    <x v="0"/>
    <x v="5"/>
    <x v="1"/>
    <x v="0"/>
    <n v="1"/>
    <n v="7699.92"/>
    <n v="21157.47"/>
    <x v="0"/>
  </r>
  <r>
    <x v="1"/>
    <x v="0"/>
    <x v="0"/>
    <x v="0"/>
    <x v="5"/>
    <x v="1"/>
    <x v="1"/>
    <n v="22"/>
    <n v="142113.79999999999"/>
    <n v="405958.92"/>
    <x v="0"/>
  </r>
  <r>
    <x v="1"/>
    <x v="0"/>
    <x v="0"/>
    <x v="0"/>
    <x v="6"/>
    <x v="0"/>
    <x v="1"/>
    <n v="4"/>
    <n v="20678.59"/>
    <n v="90296.49"/>
    <x v="0"/>
  </r>
  <r>
    <x v="1"/>
    <x v="0"/>
    <x v="0"/>
    <x v="0"/>
    <x v="7"/>
    <x v="1"/>
    <x v="1"/>
    <n v="1"/>
    <n v="7674.9"/>
    <n v="21446.41"/>
    <x v="0"/>
  </r>
  <r>
    <x v="1"/>
    <x v="0"/>
    <x v="0"/>
    <x v="0"/>
    <x v="8"/>
    <x v="0"/>
    <x v="1"/>
    <n v="3"/>
    <n v="19342.490000000002"/>
    <n v="85280"/>
    <x v="0"/>
  </r>
  <r>
    <x v="1"/>
    <x v="0"/>
    <x v="0"/>
    <x v="0"/>
    <x v="8"/>
    <x v="1"/>
    <x v="1"/>
    <n v="2"/>
    <n v="15301.14"/>
    <n v="40902.29"/>
    <x v="0"/>
  </r>
  <r>
    <x v="1"/>
    <x v="0"/>
    <x v="0"/>
    <x v="1"/>
    <x v="30"/>
    <x v="1"/>
    <x v="0"/>
    <n v="5"/>
    <n v="26202.799999999999"/>
    <n v="79496.03"/>
    <x v="0"/>
  </r>
  <r>
    <x v="1"/>
    <x v="0"/>
    <x v="0"/>
    <x v="1"/>
    <x v="9"/>
    <x v="1"/>
    <x v="1"/>
    <n v="7"/>
    <n v="41403.660000000003"/>
    <n v="120721.64"/>
    <x v="0"/>
  </r>
  <r>
    <x v="1"/>
    <x v="0"/>
    <x v="0"/>
    <x v="1"/>
    <x v="10"/>
    <x v="0"/>
    <x v="0"/>
    <n v="2"/>
    <n v="10526.86"/>
    <n v="46151.54"/>
    <x v="0"/>
  </r>
  <r>
    <x v="1"/>
    <x v="0"/>
    <x v="0"/>
    <x v="1"/>
    <x v="10"/>
    <x v="0"/>
    <x v="1"/>
    <n v="5"/>
    <n v="32076.799999999999"/>
    <n v="140461.18"/>
    <x v="0"/>
  </r>
  <r>
    <x v="1"/>
    <x v="0"/>
    <x v="0"/>
    <x v="1"/>
    <x v="10"/>
    <x v="1"/>
    <x v="0"/>
    <n v="10"/>
    <n v="58423.39"/>
    <n v="173114.41"/>
    <x v="0"/>
  </r>
  <r>
    <x v="1"/>
    <x v="0"/>
    <x v="0"/>
    <x v="1"/>
    <x v="10"/>
    <x v="1"/>
    <x v="1"/>
    <n v="14"/>
    <n v="93531.94"/>
    <n v="275751.39"/>
    <x v="0"/>
  </r>
  <r>
    <x v="1"/>
    <x v="0"/>
    <x v="0"/>
    <x v="1"/>
    <x v="11"/>
    <x v="0"/>
    <x v="1"/>
    <n v="4"/>
    <n v="25284.9"/>
    <n v="110362.36"/>
    <x v="0"/>
  </r>
  <r>
    <x v="1"/>
    <x v="0"/>
    <x v="0"/>
    <x v="1"/>
    <x v="11"/>
    <x v="1"/>
    <x v="0"/>
    <n v="4"/>
    <n v="21166.26"/>
    <n v="61953.42"/>
    <x v="0"/>
  </r>
  <r>
    <x v="1"/>
    <x v="0"/>
    <x v="0"/>
    <x v="1"/>
    <x v="11"/>
    <x v="1"/>
    <x v="1"/>
    <n v="37"/>
    <n v="240357.83"/>
    <n v="684598.21"/>
    <x v="0"/>
  </r>
  <r>
    <x v="1"/>
    <x v="0"/>
    <x v="0"/>
    <x v="1"/>
    <x v="12"/>
    <x v="1"/>
    <x v="0"/>
    <n v="1"/>
    <n v="5224.71"/>
    <n v="15783.83"/>
    <x v="0"/>
  </r>
  <r>
    <x v="1"/>
    <x v="0"/>
    <x v="0"/>
    <x v="1"/>
    <x v="12"/>
    <x v="1"/>
    <x v="1"/>
    <n v="3"/>
    <n v="16236.66"/>
    <n v="47351.48"/>
    <x v="0"/>
  </r>
  <r>
    <x v="1"/>
    <x v="0"/>
    <x v="0"/>
    <x v="1"/>
    <x v="13"/>
    <x v="0"/>
    <x v="1"/>
    <n v="1"/>
    <n v="7100"/>
    <n v="32105.41"/>
    <x v="0"/>
  </r>
  <r>
    <x v="1"/>
    <x v="0"/>
    <x v="0"/>
    <x v="1"/>
    <x v="13"/>
    <x v="1"/>
    <x v="0"/>
    <n v="3"/>
    <n v="22310.76"/>
    <n v="65591.350000000006"/>
    <x v="0"/>
  </r>
  <r>
    <x v="1"/>
    <x v="0"/>
    <x v="0"/>
    <x v="1"/>
    <x v="13"/>
    <x v="1"/>
    <x v="1"/>
    <n v="9"/>
    <n v="66865.5"/>
    <n v="195674.17"/>
    <x v="0"/>
  </r>
  <r>
    <x v="1"/>
    <x v="0"/>
    <x v="0"/>
    <x v="1"/>
    <x v="14"/>
    <x v="0"/>
    <x v="1"/>
    <n v="1"/>
    <n v="7184.85"/>
    <n v="32105.41"/>
    <x v="0"/>
  </r>
  <r>
    <x v="1"/>
    <x v="0"/>
    <x v="0"/>
    <x v="1"/>
    <x v="14"/>
    <x v="1"/>
    <x v="0"/>
    <n v="5"/>
    <n v="26085.279999999999"/>
    <n v="75732.66"/>
    <x v="0"/>
  </r>
  <r>
    <x v="1"/>
    <x v="0"/>
    <x v="0"/>
    <x v="1"/>
    <x v="14"/>
    <x v="1"/>
    <x v="1"/>
    <n v="5"/>
    <n v="37532.800000000003"/>
    <n v="104866.13"/>
    <x v="0"/>
  </r>
  <r>
    <x v="1"/>
    <x v="0"/>
    <x v="0"/>
    <x v="1"/>
    <x v="15"/>
    <x v="1"/>
    <x v="0"/>
    <n v="3"/>
    <n v="22476.87"/>
    <n v="66554.509999999995"/>
    <x v="0"/>
  </r>
  <r>
    <x v="1"/>
    <x v="0"/>
    <x v="0"/>
    <x v="1"/>
    <x v="16"/>
    <x v="0"/>
    <x v="1"/>
    <n v="1"/>
    <n v="7226.54"/>
    <n v="32105.41"/>
    <x v="0"/>
  </r>
  <r>
    <x v="1"/>
    <x v="0"/>
    <x v="0"/>
    <x v="1"/>
    <x v="16"/>
    <x v="1"/>
    <x v="0"/>
    <n v="10"/>
    <n v="54940.45"/>
    <n v="157108.4"/>
    <x v="0"/>
  </r>
  <r>
    <x v="1"/>
    <x v="0"/>
    <x v="0"/>
    <x v="1"/>
    <x v="16"/>
    <x v="1"/>
    <x v="1"/>
    <n v="8"/>
    <n v="54634.59"/>
    <n v="157119.87"/>
    <x v="0"/>
  </r>
  <r>
    <x v="1"/>
    <x v="0"/>
    <x v="0"/>
    <x v="1"/>
    <x v="17"/>
    <x v="1"/>
    <x v="0"/>
    <n v="5"/>
    <n v="27300.1"/>
    <n v="76611.56"/>
    <x v="0"/>
  </r>
  <r>
    <x v="1"/>
    <x v="0"/>
    <x v="0"/>
    <x v="1"/>
    <x v="17"/>
    <x v="1"/>
    <x v="1"/>
    <n v="7"/>
    <n v="41489.71"/>
    <n v="119247.54"/>
    <x v="0"/>
  </r>
  <r>
    <x v="1"/>
    <x v="0"/>
    <x v="0"/>
    <x v="1"/>
    <x v="18"/>
    <x v="0"/>
    <x v="1"/>
    <n v="9"/>
    <n v="55060.25"/>
    <n v="241793.9"/>
    <x v="0"/>
  </r>
  <r>
    <x v="1"/>
    <x v="0"/>
    <x v="0"/>
    <x v="1"/>
    <x v="18"/>
    <x v="1"/>
    <x v="0"/>
    <n v="5"/>
    <n v="33012.01"/>
    <n v="99015.1"/>
    <x v="0"/>
  </r>
  <r>
    <x v="1"/>
    <x v="0"/>
    <x v="0"/>
    <x v="1"/>
    <x v="18"/>
    <x v="1"/>
    <x v="1"/>
    <n v="22"/>
    <n v="149051.23000000001"/>
    <n v="444446.67"/>
    <x v="0"/>
  </r>
  <r>
    <x v="1"/>
    <x v="0"/>
    <x v="0"/>
    <x v="1"/>
    <x v="19"/>
    <x v="0"/>
    <x v="1"/>
    <n v="1"/>
    <n v="5339.97"/>
    <n v="23075.77"/>
    <x v="0"/>
  </r>
  <r>
    <x v="1"/>
    <x v="0"/>
    <x v="0"/>
    <x v="1"/>
    <x v="19"/>
    <x v="1"/>
    <x v="0"/>
    <n v="7"/>
    <n v="41416.379999999997"/>
    <n v="121043.44"/>
    <x v="0"/>
  </r>
  <r>
    <x v="1"/>
    <x v="0"/>
    <x v="0"/>
    <x v="1"/>
    <x v="19"/>
    <x v="1"/>
    <x v="1"/>
    <n v="11"/>
    <n v="75921.8"/>
    <n v="219771.59"/>
    <x v="0"/>
  </r>
  <r>
    <x v="1"/>
    <x v="0"/>
    <x v="0"/>
    <x v="1"/>
    <x v="20"/>
    <x v="0"/>
    <x v="0"/>
    <n v="3"/>
    <n v="21655.95"/>
    <n v="96316.23"/>
    <x v="0"/>
  </r>
  <r>
    <x v="1"/>
    <x v="0"/>
    <x v="0"/>
    <x v="1"/>
    <x v="20"/>
    <x v="0"/>
    <x v="1"/>
    <n v="10"/>
    <n v="67739.58"/>
    <n v="291958.59000000003"/>
    <x v="0"/>
  </r>
  <r>
    <x v="1"/>
    <x v="0"/>
    <x v="0"/>
    <x v="1"/>
    <x v="20"/>
    <x v="1"/>
    <x v="0"/>
    <n v="8"/>
    <n v="56119.77"/>
    <n v="162970.07"/>
    <x v="0"/>
  </r>
  <r>
    <x v="1"/>
    <x v="0"/>
    <x v="0"/>
    <x v="1"/>
    <x v="20"/>
    <x v="1"/>
    <x v="1"/>
    <n v="21"/>
    <n v="137684.51999999999"/>
    <n v="394448.1"/>
    <x v="0"/>
  </r>
  <r>
    <x v="1"/>
    <x v="0"/>
    <x v="0"/>
    <x v="2"/>
    <x v="21"/>
    <x v="0"/>
    <x v="0"/>
    <n v="1"/>
    <n v="7627.83"/>
    <n v="32105.41"/>
    <x v="0"/>
  </r>
  <r>
    <x v="1"/>
    <x v="0"/>
    <x v="0"/>
    <x v="2"/>
    <x v="21"/>
    <x v="1"/>
    <x v="1"/>
    <n v="4"/>
    <n v="27382.6"/>
    <n v="72021.460000000006"/>
    <x v="0"/>
  </r>
  <r>
    <x v="1"/>
    <x v="0"/>
    <x v="0"/>
    <x v="2"/>
    <x v="22"/>
    <x v="0"/>
    <x v="1"/>
    <n v="5"/>
    <n v="36469.64"/>
    <n v="160527.04999999999"/>
    <x v="0"/>
  </r>
  <r>
    <x v="1"/>
    <x v="0"/>
    <x v="0"/>
    <x v="2"/>
    <x v="22"/>
    <x v="1"/>
    <x v="0"/>
    <n v="2"/>
    <n v="10677.8"/>
    <n v="28106.29"/>
    <x v="0"/>
  </r>
  <r>
    <x v="1"/>
    <x v="0"/>
    <x v="0"/>
    <x v="2"/>
    <x v="22"/>
    <x v="1"/>
    <x v="1"/>
    <n v="11"/>
    <n v="71461.95"/>
    <n v="187578.89"/>
    <x v="0"/>
  </r>
  <r>
    <x v="1"/>
    <x v="0"/>
    <x v="0"/>
    <x v="2"/>
    <x v="29"/>
    <x v="0"/>
    <x v="1"/>
    <n v="2"/>
    <n v="13060.73"/>
    <n v="55181.18"/>
    <x v="0"/>
  </r>
  <r>
    <x v="1"/>
    <x v="0"/>
    <x v="0"/>
    <x v="2"/>
    <x v="24"/>
    <x v="0"/>
    <x v="1"/>
    <n v="2"/>
    <n v="10675.88"/>
    <n v="46151.54"/>
    <x v="0"/>
  </r>
  <r>
    <x v="1"/>
    <x v="0"/>
    <x v="0"/>
    <x v="2"/>
    <x v="24"/>
    <x v="1"/>
    <x v="0"/>
    <n v="5"/>
    <n v="37303.449999999997"/>
    <n v="99526.77"/>
    <x v="0"/>
  </r>
  <r>
    <x v="1"/>
    <x v="0"/>
    <x v="0"/>
    <x v="3"/>
    <x v="25"/>
    <x v="1"/>
    <x v="0"/>
    <n v="11"/>
    <n v="62854.04"/>
    <n v="185559.27"/>
    <x v="0"/>
  </r>
  <r>
    <x v="1"/>
    <x v="0"/>
    <x v="0"/>
    <x v="3"/>
    <x v="25"/>
    <x v="1"/>
    <x v="1"/>
    <n v="7"/>
    <n v="51386.64"/>
    <n v="153945.45000000001"/>
    <x v="0"/>
  </r>
  <r>
    <x v="1"/>
    <x v="0"/>
    <x v="0"/>
    <x v="3"/>
    <x v="26"/>
    <x v="0"/>
    <x v="1"/>
    <n v="1"/>
    <n v="7091.49"/>
    <n v="32105.41"/>
    <x v="0"/>
  </r>
  <r>
    <x v="1"/>
    <x v="0"/>
    <x v="0"/>
    <x v="3"/>
    <x v="26"/>
    <x v="1"/>
    <x v="1"/>
    <n v="25"/>
    <n v="148569.04"/>
    <n v="440091.97"/>
    <x v="0"/>
  </r>
  <r>
    <x v="1"/>
    <x v="0"/>
    <x v="0"/>
    <x v="3"/>
    <x v="27"/>
    <x v="0"/>
    <x v="0"/>
    <n v="1"/>
    <n v="5526.71"/>
    <n v="23075.77"/>
    <x v="0"/>
  </r>
  <r>
    <x v="1"/>
    <x v="0"/>
    <x v="0"/>
    <x v="3"/>
    <x v="27"/>
    <x v="0"/>
    <x v="1"/>
    <n v="12"/>
    <n v="75852.17"/>
    <n v="331087.08"/>
    <x v="0"/>
  </r>
  <r>
    <x v="1"/>
    <x v="0"/>
    <x v="0"/>
    <x v="3"/>
    <x v="27"/>
    <x v="1"/>
    <x v="0"/>
    <n v="32"/>
    <n v="206105.29"/>
    <n v="609948.66"/>
    <x v="0"/>
  </r>
  <r>
    <x v="1"/>
    <x v="0"/>
    <x v="0"/>
    <x v="3"/>
    <x v="27"/>
    <x v="1"/>
    <x v="1"/>
    <n v="16"/>
    <n v="98398.21"/>
    <n v="286635.14"/>
    <x v="0"/>
  </r>
  <r>
    <x v="1"/>
    <x v="0"/>
    <x v="1"/>
    <x v="0"/>
    <x v="1"/>
    <x v="0"/>
    <x v="0"/>
    <n v="2"/>
    <n v="6438.67"/>
    <n v="22350.52"/>
    <x v="0"/>
  </r>
  <r>
    <x v="1"/>
    <x v="0"/>
    <x v="1"/>
    <x v="0"/>
    <x v="1"/>
    <x v="0"/>
    <x v="1"/>
    <n v="1"/>
    <n v="3307.46"/>
    <n v="11175.26"/>
    <x v="0"/>
  </r>
  <r>
    <x v="1"/>
    <x v="0"/>
    <x v="1"/>
    <x v="0"/>
    <x v="1"/>
    <x v="1"/>
    <x v="0"/>
    <n v="5"/>
    <n v="12904.97"/>
    <n v="28518.2"/>
    <x v="0"/>
  </r>
  <r>
    <x v="1"/>
    <x v="0"/>
    <x v="1"/>
    <x v="0"/>
    <x v="1"/>
    <x v="1"/>
    <x v="1"/>
    <n v="11"/>
    <n v="31218.97"/>
    <n v="71632.36"/>
    <x v="0"/>
  </r>
  <r>
    <x v="1"/>
    <x v="0"/>
    <x v="1"/>
    <x v="0"/>
    <x v="2"/>
    <x v="0"/>
    <x v="1"/>
    <n v="2"/>
    <n v="6485.57"/>
    <n v="22350.52"/>
    <x v="0"/>
  </r>
  <r>
    <x v="1"/>
    <x v="0"/>
    <x v="1"/>
    <x v="0"/>
    <x v="2"/>
    <x v="1"/>
    <x v="0"/>
    <n v="11"/>
    <n v="27993.11"/>
    <n v="60940.44"/>
    <x v="0"/>
  </r>
  <r>
    <x v="1"/>
    <x v="0"/>
    <x v="1"/>
    <x v="0"/>
    <x v="2"/>
    <x v="1"/>
    <x v="1"/>
    <n v="7"/>
    <n v="20261.310000000001"/>
    <n v="43373.98"/>
    <x v="0"/>
  </r>
  <r>
    <x v="1"/>
    <x v="0"/>
    <x v="1"/>
    <x v="0"/>
    <x v="3"/>
    <x v="0"/>
    <x v="1"/>
    <n v="1"/>
    <n v="3269.97"/>
    <n v="11175.26"/>
    <x v="0"/>
  </r>
  <r>
    <x v="1"/>
    <x v="0"/>
    <x v="1"/>
    <x v="0"/>
    <x v="3"/>
    <x v="1"/>
    <x v="0"/>
    <n v="5"/>
    <n v="15283.3"/>
    <n v="36096.089999999997"/>
    <x v="0"/>
  </r>
  <r>
    <x v="1"/>
    <x v="0"/>
    <x v="1"/>
    <x v="0"/>
    <x v="3"/>
    <x v="1"/>
    <x v="1"/>
    <n v="19"/>
    <n v="46584.06"/>
    <n v="104904.24"/>
    <x v="0"/>
  </r>
  <r>
    <x v="1"/>
    <x v="0"/>
    <x v="1"/>
    <x v="0"/>
    <x v="28"/>
    <x v="1"/>
    <x v="1"/>
    <n v="5"/>
    <n v="15827.8"/>
    <n v="36543.1"/>
    <x v="0"/>
  </r>
  <r>
    <x v="1"/>
    <x v="0"/>
    <x v="1"/>
    <x v="0"/>
    <x v="4"/>
    <x v="1"/>
    <x v="0"/>
    <n v="2"/>
    <n v="4148.0200000000004"/>
    <n v="9387.2099999999991"/>
    <x v="0"/>
  </r>
  <r>
    <x v="1"/>
    <x v="0"/>
    <x v="1"/>
    <x v="0"/>
    <x v="4"/>
    <x v="1"/>
    <x v="1"/>
    <n v="1"/>
    <n v="2178.6"/>
    <n v="4693.6099999999997"/>
    <x v="0"/>
  </r>
  <r>
    <x v="1"/>
    <x v="0"/>
    <x v="1"/>
    <x v="0"/>
    <x v="5"/>
    <x v="0"/>
    <x v="1"/>
    <n v="4"/>
    <n v="10611.76"/>
    <n v="36668.82"/>
    <x v="0"/>
  </r>
  <r>
    <x v="1"/>
    <x v="0"/>
    <x v="1"/>
    <x v="0"/>
    <x v="5"/>
    <x v="1"/>
    <x v="1"/>
    <n v="5"/>
    <n v="16062.65"/>
    <n v="34834"/>
    <x v="0"/>
  </r>
  <r>
    <x v="1"/>
    <x v="0"/>
    <x v="1"/>
    <x v="0"/>
    <x v="6"/>
    <x v="0"/>
    <x v="1"/>
    <n v="2"/>
    <n v="5269.59"/>
    <n v="18509.02"/>
    <x v="0"/>
  </r>
  <r>
    <x v="1"/>
    <x v="0"/>
    <x v="1"/>
    <x v="0"/>
    <x v="7"/>
    <x v="1"/>
    <x v="1"/>
    <n v="1"/>
    <n v="3165.77"/>
    <n v="7191.07"/>
    <x v="0"/>
  </r>
  <r>
    <x v="1"/>
    <x v="0"/>
    <x v="1"/>
    <x v="0"/>
    <x v="8"/>
    <x v="1"/>
    <x v="1"/>
    <n v="2"/>
    <n v="4060.46"/>
    <n v="9343.2099999999991"/>
    <x v="0"/>
  </r>
  <r>
    <x v="1"/>
    <x v="0"/>
    <x v="1"/>
    <x v="1"/>
    <x v="9"/>
    <x v="1"/>
    <x v="1"/>
    <n v="4"/>
    <n v="8106.86"/>
    <n v="19701.98"/>
    <x v="0"/>
  </r>
  <r>
    <x v="1"/>
    <x v="0"/>
    <x v="1"/>
    <x v="1"/>
    <x v="31"/>
    <x v="1"/>
    <x v="0"/>
    <n v="3"/>
    <n v="9728.7000000000007"/>
    <n v="23300.42"/>
    <x v="0"/>
  </r>
  <r>
    <x v="1"/>
    <x v="0"/>
    <x v="1"/>
    <x v="1"/>
    <x v="10"/>
    <x v="0"/>
    <x v="1"/>
    <n v="4"/>
    <n v="8216.34"/>
    <n v="28985.82"/>
    <x v="0"/>
  </r>
  <r>
    <x v="1"/>
    <x v="0"/>
    <x v="1"/>
    <x v="1"/>
    <x v="10"/>
    <x v="1"/>
    <x v="0"/>
    <n v="7"/>
    <n v="15878.23"/>
    <n v="37631.269999999997"/>
    <x v="0"/>
  </r>
  <r>
    <x v="1"/>
    <x v="0"/>
    <x v="1"/>
    <x v="1"/>
    <x v="10"/>
    <x v="1"/>
    <x v="1"/>
    <n v="8"/>
    <n v="19119.349999999999"/>
    <n v="44913.21"/>
    <x v="0"/>
  </r>
  <r>
    <x v="1"/>
    <x v="0"/>
    <x v="1"/>
    <x v="1"/>
    <x v="11"/>
    <x v="0"/>
    <x v="1"/>
    <n v="4"/>
    <n v="9329.69"/>
    <n v="32827.32"/>
    <x v="0"/>
  </r>
  <r>
    <x v="1"/>
    <x v="0"/>
    <x v="1"/>
    <x v="1"/>
    <x v="11"/>
    <x v="1"/>
    <x v="0"/>
    <n v="2"/>
    <n v="3902.64"/>
    <n v="9079.9"/>
    <x v="0"/>
  </r>
  <r>
    <x v="1"/>
    <x v="0"/>
    <x v="1"/>
    <x v="1"/>
    <x v="11"/>
    <x v="1"/>
    <x v="1"/>
    <n v="11"/>
    <n v="26948.84"/>
    <n v="61154.77"/>
    <x v="0"/>
  </r>
  <r>
    <x v="1"/>
    <x v="0"/>
    <x v="1"/>
    <x v="1"/>
    <x v="13"/>
    <x v="0"/>
    <x v="1"/>
    <n v="2"/>
    <n v="5282.94"/>
    <n v="18509.02"/>
    <x v="0"/>
  </r>
  <r>
    <x v="1"/>
    <x v="0"/>
    <x v="1"/>
    <x v="1"/>
    <x v="13"/>
    <x v="1"/>
    <x v="0"/>
    <n v="2"/>
    <n v="6322.28"/>
    <n v="15220.7"/>
    <x v="0"/>
  </r>
  <r>
    <x v="1"/>
    <x v="0"/>
    <x v="1"/>
    <x v="1"/>
    <x v="14"/>
    <x v="0"/>
    <x v="1"/>
    <n v="2"/>
    <n v="6547.6"/>
    <n v="22350.52"/>
    <x v="0"/>
  </r>
  <r>
    <x v="1"/>
    <x v="0"/>
    <x v="1"/>
    <x v="1"/>
    <x v="14"/>
    <x v="1"/>
    <x v="0"/>
    <n v="10"/>
    <n v="22064.58"/>
    <n v="50286.43"/>
    <x v="0"/>
  </r>
  <r>
    <x v="1"/>
    <x v="0"/>
    <x v="1"/>
    <x v="1"/>
    <x v="14"/>
    <x v="1"/>
    <x v="1"/>
    <n v="1"/>
    <n v="3084.54"/>
    <n v="7465.07"/>
    <x v="0"/>
  </r>
  <r>
    <x v="1"/>
    <x v="0"/>
    <x v="1"/>
    <x v="1"/>
    <x v="15"/>
    <x v="1"/>
    <x v="0"/>
    <n v="5"/>
    <n v="15758.6"/>
    <n v="38610.519999999997"/>
    <x v="0"/>
  </r>
  <r>
    <x v="1"/>
    <x v="0"/>
    <x v="1"/>
    <x v="1"/>
    <x v="15"/>
    <x v="1"/>
    <x v="1"/>
    <n v="5"/>
    <n v="16267.76"/>
    <n v="37575.96"/>
    <x v="0"/>
  </r>
  <r>
    <x v="1"/>
    <x v="0"/>
    <x v="1"/>
    <x v="1"/>
    <x v="16"/>
    <x v="1"/>
    <x v="0"/>
    <n v="2"/>
    <n v="4090.7"/>
    <n v="9651.23"/>
    <x v="0"/>
  </r>
  <r>
    <x v="1"/>
    <x v="0"/>
    <x v="1"/>
    <x v="1"/>
    <x v="16"/>
    <x v="1"/>
    <x v="1"/>
    <n v="9"/>
    <n v="23209.33"/>
    <n v="53541.35"/>
    <x v="0"/>
  </r>
  <r>
    <x v="1"/>
    <x v="0"/>
    <x v="1"/>
    <x v="1"/>
    <x v="17"/>
    <x v="1"/>
    <x v="0"/>
    <n v="8"/>
    <n v="25438.3"/>
    <n v="59362.98"/>
    <x v="0"/>
  </r>
  <r>
    <x v="1"/>
    <x v="0"/>
    <x v="1"/>
    <x v="1"/>
    <x v="18"/>
    <x v="0"/>
    <x v="1"/>
    <n v="2"/>
    <n v="5281.69"/>
    <n v="18159.8"/>
    <x v="0"/>
  </r>
  <r>
    <x v="1"/>
    <x v="0"/>
    <x v="1"/>
    <x v="1"/>
    <x v="18"/>
    <x v="1"/>
    <x v="1"/>
    <n v="15"/>
    <n v="43786.05"/>
    <n v="105094.6"/>
    <x v="0"/>
  </r>
  <r>
    <x v="1"/>
    <x v="0"/>
    <x v="1"/>
    <x v="1"/>
    <x v="19"/>
    <x v="0"/>
    <x v="1"/>
    <n v="2"/>
    <n v="5287.19"/>
    <n v="18509.02"/>
    <x v="0"/>
  </r>
  <r>
    <x v="1"/>
    <x v="0"/>
    <x v="1"/>
    <x v="1"/>
    <x v="19"/>
    <x v="1"/>
    <x v="0"/>
    <n v="5"/>
    <n v="16182.83"/>
    <n v="37660.639999999999"/>
    <x v="0"/>
  </r>
  <r>
    <x v="1"/>
    <x v="0"/>
    <x v="1"/>
    <x v="1"/>
    <x v="20"/>
    <x v="0"/>
    <x v="1"/>
    <n v="8"/>
    <n v="22085.21"/>
    <n v="77877.58"/>
    <x v="0"/>
  </r>
  <r>
    <x v="1"/>
    <x v="0"/>
    <x v="1"/>
    <x v="1"/>
    <x v="20"/>
    <x v="1"/>
    <x v="1"/>
    <n v="15"/>
    <n v="47185.279999999999"/>
    <n v="111137.96"/>
    <x v="0"/>
  </r>
  <r>
    <x v="1"/>
    <x v="0"/>
    <x v="1"/>
    <x v="2"/>
    <x v="21"/>
    <x v="0"/>
    <x v="0"/>
    <n v="1"/>
    <n v="2010"/>
    <n v="6984.54"/>
    <x v="0"/>
  </r>
  <r>
    <x v="1"/>
    <x v="0"/>
    <x v="1"/>
    <x v="2"/>
    <x v="21"/>
    <x v="1"/>
    <x v="1"/>
    <n v="8"/>
    <n v="21659"/>
    <n v="46864.84"/>
    <x v="0"/>
  </r>
  <r>
    <x v="1"/>
    <x v="0"/>
    <x v="1"/>
    <x v="2"/>
    <x v="22"/>
    <x v="0"/>
    <x v="1"/>
    <n v="1"/>
    <n v="3203.81"/>
    <n v="11175.26"/>
    <x v="0"/>
  </r>
  <r>
    <x v="1"/>
    <x v="0"/>
    <x v="1"/>
    <x v="2"/>
    <x v="22"/>
    <x v="1"/>
    <x v="0"/>
    <n v="2"/>
    <n v="6392.26"/>
    <n v="13611.47"/>
    <x v="0"/>
  </r>
  <r>
    <x v="1"/>
    <x v="0"/>
    <x v="1"/>
    <x v="2"/>
    <x v="22"/>
    <x v="1"/>
    <x v="1"/>
    <n v="2"/>
    <n v="4155"/>
    <n v="8932.52"/>
    <x v="0"/>
  </r>
  <r>
    <x v="1"/>
    <x v="0"/>
    <x v="1"/>
    <x v="2"/>
    <x v="24"/>
    <x v="0"/>
    <x v="1"/>
    <n v="4"/>
    <n v="11385.6"/>
    <n v="40859.54"/>
    <x v="0"/>
  </r>
  <r>
    <x v="1"/>
    <x v="0"/>
    <x v="1"/>
    <x v="3"/>
    <x v="25"/>
    <x v="1"/>
    <x v="1"/>
    <n v="7"/>
    <n v="20800.86"/>
    <n v="50953.95"/>
    <x v="0"/>
  </r>
  <r>
    <x v="1"/>
    <x v="0"/>
    <x v="1"/>
    <x v="3"/>
    <x v="26"/>
    <x v="0"/>
    <x v="1"/>
    <n v="2"/>
    <n v="4012.03"/>
    <n v="14318.3"/>
    <x v="0"/>
  </r>
  <r>
    <x v="1"/>
    <x v="0"/>
    <x v="1"/>
    <x v="3"/>
    <x v="26"/>
    <x v="1"/>
    <x v="1"/>
    <n v="6"/>
    <n v="16228.05"/>
    <n v="38313.67"/>
    <x v="0"/>
  </r>
  <r>
    <x v="1"/>
    <x v="0"/>
    <x v="1"/>
    <x v="3"/>
    <x v="27"/>
    <x v="0"/>
    <x v="1"/>
    <n v="1"/>
    <n v="3194.02"/>
    <n v="11175.26"/>
    <x v="0"/>
  </r>
  <r>
    <x v="1"/>
    <x v="0"/>
    <x v="1"/>
    <x v="3"/>
    <x v="27"/>
    <x v="1"/>
    <x v="0"/>
    <n v="6"/>
    <n v="19094.830000000002"/>
    <n v="45393.9"/>
    <x v="0"/>
  </r>
  <r>
    <x v="1"/>
    <x v="0"/>
    <x v="1"/>
    <x v="3"/>
    <x v="27"/>
    <x v="1"/>
    <x v="1"/>
    <n v="18"/>
    <n v="45143.32"/>
    <n v="106391.97"/>
    <x v="0"/>
  </r>
  <r>
    <x v="1"/>
    <x v="0"/>
    <x v="2"/>
    <x v="0"/>
    <x v="0"/>
    <x v="0"/>
    <x v="0"/>
    <n v="2"/>
    <n v="9226.1"/>
    <n v="39906.339999999997"/>
    <x v="0"/>
  </r>
  <r>
    <x v="1"/>
    <x v="0"/>
    <x v="2"/>
    <x v="0"/>
    <x v="0"/>
    <x v="0"/>
    <x v="1"/>
    <n v="1"/>
    <n v="4708.45"/>
    <n v="19953.169999999998"/>
    <x v="0"/>
  </r>
  <r>
    <x v="1"/>
    <x v="0"/>
    <x v="2"/>
    <x v="0"/>
    <x v="0"/>
    <x v="1"/>
    <x v="1"/>
    <n v="3"/>
    <n v="18319.86"/>
    <n v="52818.89"/>
    <x v="0"/>
  </r>
  <r>
    <x v="1"/>
    <x v="0"/>
    <x v="2"/>
    <x v="0"/>
    <x v="1"/>
    <x v="0"/>
    <x v="0"/>
    <n v="1"/>
    <n v="4390.79"/>
    <n v="19003.02"/>
    <x v="0"/>
  </r>
  <r>
    <x v="1"/>
    <x v="0"/>
    <x v="2"/>
    <x v="0"/>
    <x v="1"/>
    <x v="0"/>
    <x v="1"/>
    <n v="1"/>
    <n v="4628.29"/>
    <n v="19953.169999999998"/>
    <x v="0"/>
  </r>
  <r>
    <x v="1"/>
    <x v="0"/>
    <x v="2"/>
    <x v="0"/>
    <x v="1"/>
    <x v="1"/>
    <x v="0"/>
    <n v="1"/>
    <n v="7045.73"/>
    <n v="19550.310000000001"/>
    <x v="0"/>
  </r>
  <r>
    <x v="1"/>
    <x v="0"/>
    <x v="2"/>
    <x v="0"/>
    <x v="1"/>
    <x v="1"/>
    <x v="1"/>
    <n v="13"/>
    <n v="75490.820000000007"/>
    <n v="201198.67"/>
    <x v="0"/>
  </r>
  <r>
    <x v="1"/>
    <x v="0"/>
    <x v="2"/>
    <x v="0"/>
    <x v="2"/>
    <x v="0"/>
    <x v="1"/>
    <n v="4"/>
    <n v="23245.360000000001"/>
    <n v="99765.85"/>
    <x v="0"/>
  </r>
  <r>
    <x v="1"/>
    <x v="0"/>
    <x v="2"/>
    <x v="0"/>
    <x v="2"/>
    <x v="1"/>
    <x v="0"/>
    <n v="4"/>
    <n v="17941.400000000001"/>
    <n v="47009.89"/>
    <x v="0"/>
  </r>
  <r>
    <x v="1"/>
    <x v="0"/>
    <x v="2"/>
    <x v="0"/>
    <x v="2"/>
    <x v="1"/>
    <x v="1"/>
    <n v="9"/>
    <n v="51880.65"/>
    <n v="136890.14000000001"/>
    <x v="0"/>
  </r>
  <r>
    <x v="1"/>
    <x v="0"/>
    <x v="2"/>
    <x v="0"/>
    <x v="3"/>
    <x v="0"/>
    <x v="0"/>
    <n v="2"/>
    <n v="8674.06"/>
    <n v="38006.04"/>
    <x v="0"/>
  </r>
  <r>
    <x v="1"/>
    <x v="0"/>
    <x v="2"/>
    <x v="0"/>
    <x v="3"/>
    <x v="0"/>
    <x v="1"/>
    <n v="6"/>
    <n v="33024.559999999998"/>
    <n v="141572.49"/>
    <x v="0"/>
  </r>
  <r>
    <x v="1"/>
    <x v="0"/>
    <x v="2"/>
    <x v="0"/>
    <x v="3"/>
    <x v="1"/>
    <x v="0"/>
    <n v="13"/>
    <n v="69521.53"/>
    <n v="192528.31"/>
    <x v="0"/>
  </r>
  <r>
    <x v="1"/>
    <x v="0"/>
    <x v="2"/>
    <x v="0"/>
    <x v="3"/>
    <x v="1"/>
    <x v="1"/>
    <n v="12"/>
    <n v="57997.53"/>
    <n v="157132.16"/>
    <x v="0"/>
  </r>
  <r>
    <x v="1"/>
    <x v="0"/>
    <x v="2"/>
    <x v="0"/>
    <x v="4"/>
    <x v="0"/>
    <x v="1"/>
    <n v="2"/>
    <n v="9405.52"/>
    <n v="41806.639999999999"/>
    <x v="0"/>
  </r>
  <r>
    <x v="1"/>
    <x v="0"/>
    <x v="2"/>
    <x v="0"/>
    <x v="4"/>
    <x v="1"/>
    <x v="0"/>
    <n v="1"/>
    <n v="4450.55"/>
    <n v="12161.93"/>
    <x v="0"/>
  </r>
  <r>
    <x v="1"/>
    <x v="0"/>
    <x v="2"/>
    <x v="0"/>
    <x v="5"/>
    <x v="0"/>
    <x v="1"/>
    <n v="3"/>
    <n v="15067.96"/>
    <n v="62709.96"/>
    <x v="0"/>
  </r>
  <r>
    <x v="1"/>
    <x v="0"/>
    <x v="2"/>
    <x v="0"/>
    <x v="5"/>
    <x v="1"/>
    <x v="0"/>
    <n v="1"/>
    <n v="4625.93"/>
    <n v="13149.14"/>
    <x v="0"/>
  </r>
  <r>
    <x v="1"/>
    <x v="0"/>
    <x v="2"/>
    <x v="0"/>
    <x v="5"/>
    <x v="1"/>
    <x v="1"/>
    <n v="9"/>
    <n v="43282.91"/>
    <n v="120512.51"/>
    <x v="0"/>
  </r>
  <r>
    <x v="1"/>
    <x v="0"/>
    <x v="2"/>
    <x v="0"/>
    <x v="6"/>
    <x v="0"/>
    <x v="1"/>
    <n v="3"/>
    <n v="16677.259999999998"/>
    <n v="71261.320000000007"/>
    <x v="0"/>
  </r>
  <r>
    <x v="1"/>
    <x v="0"/>
    <x v="2"/>
    <x v="0"/>
    <x v="6"/>
    <x v="1"/>
    <x v="1"/>
    <n v="1"/>
    <n v="7027.91"/>
    <n v="19975.97"/>
    <x v="0"/>
  </r>
  <r>
    <x v="1"/>
    <x v="0"/>
    <x v="2"/>
    <x v="0"/>
    <x v="7"/>
    <x v="1"/>
    <x v="1"/>
    <n v="6"/>
    <n v="31457.5"/>
    <n v="91396.91"/>
    <x v="0"/>
  </r>
  <r>
    <x v="1"/>
    <x v="0"/>
    <x v="2"/>
    <x v="0"/>
    <x v="8"/>
    <x v="0"/>
    <x v="1"/>
    <n v="3"/>
    <n v="13909.23"/>
    <n v="58909.36"/>
    <x v="0"/>
  </r>
  <r>
    <x v="1"/>
    <x v="0"/>
    <x v="2"/>
    <x v="0"/>
    <x v="8"/>
    <x v="1"/>
    <x v="1"/>
    <n v="3"/>
    <n v="15706.86"/>
    <n v="41761.980000000003"/>
    <x v="0"/>
  </r>
  <r>
    <x v="1"/>
    <x v="0"/>
    <x v="2"/>
    <x v="1"/>
    <x v="9"/>
    <x v="1"/>
    <x v="1"/>
    <n v="10"/>
    <n v="47903.33"/>
    <n v="139892.62"/>
    <x v="0"/>
  </r>
  <r>
    <x v="1"/>
    <x v="0"/>
    <x v="2"/>
    <x v="1"/>
    <x v="31"/>
    <x v="1"/>
    <x v="0"/>
    <n v="7"/>
    <n v="31844.48"/>
    <n v="95751.47"/>
    <x v="0"/>
  </r>
  <r>
    <x v="1"/>
    <x v="0"/>
    <x v="2"/>
    <x v="1"/>
    <x v="10"/>
    <x v="0"/>
    <x v="0"/>
    <n v="1"/>
    <n v="4352.1000000000004"/>
    <n v="19003.02"/>
    <x v="0"/>
  </r>
  <r>
    <x v="1"/>
    <x v="0"/>
    <x v="2"/>
    <x v="1"/>
    <x v="10"/>
    <x v="0"/>
    <x v="1"/>
    <n v="3"/>
    <n v="13184.27"/>
    <n v="57959.21"/>
    <x v="0"/>
  </r>
  <r>
    <x v="1"/>
    <x v="0"/>
    <x v="2"/>
    <x v="1"/>
    <x v="10"/>
    <x v="1"/>
    <x v="0"/>
    <n v="10"/>
    <n v="50547.66"/>
    <n v="144133.34"/>
    <x v="0"/>
  </r>
  <r>
    <x v="1"/>
    <x v="0"/>
    <x v="2"/>
    <x v="1"/>
    <x v="10"/>
    <x v="1"/>
    <x v="1"/>
    <n v="24"/>
    <n v="121046.06"/>
    <n v="355464.29"/>
    <x v="0"/>
  </r>
  <r>
    <x v="1"/>
    <x v="0"/>
    <x v="2"/>
    <x v="1"/>
    <x v="11"/>
    <x v="0"/>
    <x v="1"/>
    <n v="9"/>
    <n v="45717.33"/>
    <n v="197631.4"/>
    <x v="0"/>
  </r>
  <r>
    <x v="1"/>
    <x v="0"/>
    <x v="2"/>
    <x v="1"/>
    <x v="11"/>
    <x v="1"/>
    <x v="0"/>
    <n v="3"/>
    <n v="13657.83"/>
    <n v="37055.89"/>
    <x v="0"/>
  </r>
  <r>
    <x v="1"/>
    <x v="0"/>
    <x v="2"/>
    <x v="1"/>
    <x v="11"/>
    <x v="1"/>
    <x v="1"/>
    <n v="20"/>
    <n v="100468.17"/>
    <n v="282242.34999999998"/>
    <x v="0"/>
  </r>
  <r>
    <x v="1"/>
    <x v="0"/>
    <x v="2"/>
    <x v="1"/>
    <x v="12"/>
    <x v="1"/>
    <x v="1"/>
    <n v="3"/>
    <n v="20665.32"/>
    <n v="62390.71"/>
    <x v="0"/>
  </r>
  <r>
    <x v="1"/>
    <x v="0"/>
    <x v="2"/>
    <x v="1"/>
    <x v="13"/>
    <x v="0"/>
    <x v="1"/>
    <n v="2"/>
    <n v="9668.23"/>
    <n v="40856.49"/>
    <x v="0"/>
  </r>
  <r>
    <x v="1"/>
    <x v="0"/>
    <x v="2"/>
    <x v="1"/>
    <x v="13"/>
    <x v="1"/>
    <x v="0"/>
    <n v="3"/>
    <n v="18982.7"/>
    <n v="54999.49"/>
    <x v="0"/>
  </r>
  <r>
    <x v="1"/>
    <x v="0"/>
    <x v="2"/>
    <x v="1"/>
    <x v="13"/>
    <x v="1"/>
    <x v="1"/>
    <n v="17"/>
    <n v="91870.01"/>
    <n v="261711.51"/>
    <x v="0"/>
  </r>
  <r>
    <x v="1"/>
    <x v="0"/>
    <x v="2"/>
    <x v="1"/>
    <x v="14"/>
    <x v="0"/>
    <x v="1"/>
    <n v="3"/>
    <n v="18297.54"/>
    <n v="79812.679999999993"/>
    <x v="0"/>
  </r>
  <r>
    <x v="1"/>
    <x v="0"/>
    <x v="2"/>
    <x v="1"/>
    <x v="14"/>
    <x v="1"/>
    <x v="0"/>
    <n v="4"/>
    <n v="18018.68"/>
    <n v="53314.879999999997"/>
    <x v="0"/>
  </r>
  <r>
    <x v="1"/>
    <x v="0"/>
    <x v="2"/>
    <x v="1"/>
    <x v="14"/>
    <x v="1"/>
    <x v="1"/>
    <n v="10"/>
    <n v="47954.43"/>
    <n v="137730.07999999999"/>
    <x v="0"/>
  </r>
  <r>
    <x v="1"/>
    <x v="0"/>
    <x v="2"/>
    <x v="1"/>
    <x v="16"/>
    <x v="1"/>
    <x v="0"/>
    <n v="5"/>
    <n v="23583.9"/>
    <n v="65645.929999999993"/>
    <x v="0"/>
  </r>
  <r>
    <x v="1"/>
    <x v="0"/>
    <x v="2"/>
    <x v="1"/>
    <x v="16"/>
    <x v="1"/>
    <x v="1"/>
    <n v="7"/>
    <n v="48752.04"/>
    <n v="139629.42000000001"/>
    <x v="0"/>
  </r>
  <r>
    <x v="1"/>
    <x v="0"/>
    <x v="2"/>
    <x v="1"/>
    <x v="17"/>
    <x v="1"/>
    <x v="0"/>
    <n v="11"/>
    <n v="53588.94"/>
    <n v="149186.21"/>
    <x v="0"/>
  </r>
  <r>
    <x v="1"/>
    <x v="0"/>
    <x v="2"/>
    <x v="1"/>
    <x v="18"/>
    <x v="0"/>
    <x v="1"/>
    <n v="15"/>
    <n v="89122.36"/>
    <n v="378160.07"/>
    <x v="0"/>
  </r>
  <r>
    <x v="1"/>
    <x v="0"/>
    <x v="2"/>
    <x v="1"/>
    <x v="18"/>
    <x v="1"/>
    <x v="0"/>
    <n v="7"/>
    <n v="36739.18"/>
    <n v="107461.62"/>
    <x v="0"/>
  </r>
  <r>
    <x v="1"/>
    <x v="0"/>
    <x v="2"/>
    <x v="1"/>
    <x v="18"/>
    <x v="1"/>
    <x v="1"/>
    <n v="13"/>
    <n v="77281"/>
    <n v="225930.89"/>
    <x v="0"/>
  </r>
  <r>
    <x v="1"/>
    <x v="0"/>
    <x v="2"/>
    <x v="1"/>
    <x v="19"/>
    <x v="0"/>
    <x v="1"/>
    <n v="4"/>
    <n v="28090.97"/>
    <n v="121619.32"/>
    <x v="0"/>
  </r>
  <r>
    <x v="1"/>
    <x v="0"/>
    <x v="2"/>
    <x v="1"/>
    <x v="19"/>
    <x v="1"/>
    <x v="0"/>
    <n v="3"/>
    <n v="13555.5"/>
    <n v="39064.51"/>
    <x v="0"/>
  </r>
  <r>
    <x v="1"/>
    <x v="0"/>
    <x v="2"/>
    <x v="1"/>
    <x v="19"/>
    <x v="1"/>
    <x v="1"/>
    <n v="6"/>
    <n v="31581.42"/>
    <n v="92217.86"/>
    <x v="0"/>
  </r>
  <r>
    <x v="1"/>
    <x v="0"/>
    <x v="2"/>
    <x v="1"/>
    <x v="20"/>
    <x v="0"/>
    <x v="0"/>
    <n v="2"/>
    <n v="8779.3700000000008"/>
    <n v="38956.19"/>
    <x v="0"/>
  </r>
  <r>
    <x v="1"/>
    <x v="0"/>
    <x v="2"/>
    <x v="1"/>
    <x v="20"/>
    <x v="0"/>
    <x v="1"/>
    <n v="10"/>
    <n v="51402.96"/>
    <n v="222335.32"/>
    <x v="0"/>
  </r>
  <r>
    <x v="1"/>
    <x v="0"/>
    <x v="2"/>
    <x v="1"/>
    <x v="20"/>
    <x v="1"/>
    <x v="0"/>
    <n v="16"/>
    <n v="91336.1"/>
    <n v="265208.96000000002"/>
    <x v="0"/>
  </r>
  <r>
    <x v="1"/>
    <x v="0"/>
    <x v="2"/>
    <x v="1"/>
    <x v="20"/>
    <x v="1"/>
    <x v="1"/>
    <n v="30"/>
    <n v="146730.96"/>
    <n v="419348.62"/>
    <x v="0"/>
  </r>
  <r>
    <x v="1"/>
    <x v="0"/>
    <x v="2"/>
    <x v="2"/>
    <x v="21"/>
    <x v="0"/>
    <x v="0"/>
    <n v="2"/>
    <n v="11875.89"/>
    <n v="52258.3"/>
    <x v="0"/>
  </r>
  <r>
    <x v="1"/>
    <x v="0"/>
    <x v="2"/>
    <x v="2"/>
    <x v="21"/>
    <x v="1"/>
    <x v="1"/>
    <n v="7"/>
    <n v="31679.98"/>
    <n v="85060.36"/>
    <x v="0"/>
  </r>
  <r>
    <x v="1"/>
    <x v="0"/>
    <x v="2"/>
    <x v="2"/>
    <x v="22"/>
    <x v="0"/>
    <x v="1"/>
    <n v="1"/>
    <n v="4516.33"/>
    <n v="19953.169999999998"/>
    <x v="0"/>
  </r>
  <r>
    <x v="1"/>
    <x v="0"/>
    <x v="2"/>
    <x v="2"/>
    <x v="22"/>
    <x v="1"/>
    <x v="0"/>
    <n v="5"/>
    <n v="21679.53"/>
    <n v="57864.2"/>
    <x v="0"/>
  </r>
  <r>
    <x v="1"/>
    <x v="0"/>
    <x v="2"/>
    <x v="2"/>
    <x v="22"/>
    <x v="1"/>
    <x v="1"/>
    <n v="12"/>
    <n v="60968.21"/>
    <n v="157820.28"/>
    <x v="0"/>
  </r>
  <r>
    <x v="1"/>
    <x v="0"/>
    <x v="2"/>
    <x v="2"/>
    <x v="29"/>
    <x v="0"/>
    <x v="1"/>
    <n v="1"/>
    <n v="4979.18"/>
    <n v="21853.47"/>
    <x v="0"/>
  </r>
  <r>
    <x v="1"/>
    <x v="0"/>
    <x v="2"/>
    <x v="2"/>
    <x v="29"/>
    <x v="1"/>
    <x v="1"/>
    <n v="5"/>
    <n v="34709.25"/>
    <n v="98359.63"/>
    <x v="0"/>
  </r>
  <r>
    <x v="1"/>
    <x v="0"/>
    <x v="2"/>
    <x v="2"/>
    <x v="24"/>
    <x v="0"/>
    <x v="1"/>
    <n v="2"/>
    <n v="9664.85"/>
    <n v="40856.49"/>
    <x v="0"/>
  </r>
  <r>
    <x v="1"/>
    <x v="0"/>
    <x v="2"/>
    <x v="3"/>
    <x v="25"/>
    <x v="0"/>
    <x v="1"/>
    <n v="1"/>
    <n v="4668.3"/>
    <n v="19953.169999999998"/>
    <x v="0"/>
  </r>
  <r>
    <x v="1"/>
    <x v="0"/>
    <x v="2"/>
    <x v="3"/>
    <x v="25"/>
    <x v="1"/>
    <x v="0"/>
    <n v="7"/>
    <n v="47016.56"/>
    <n v="139608.81"/>
    <x v="0"/>
  </r>
  <r>
    <x v="1"/>
    <x v="0"/>
    <x v="2"/>
    <x v="3"/>
    <x v="25"/>
    <x v="1"/>
    <x v="1"/>
    <n v="3"/>
    <n v="13165.5"/>
    <n v="39051.21"/>
    <x v="0"/>
  </r>
  <r>
    <x v="1"/>
    <x v="0"/>
    <x v="2"/>
    <x v="3"/>
    <x v="26"/>
    <x v="0"/>
    <x v="1"/>
    <n v="1"/>
    <n v="7045.84"/>
    <n v="30404.83"/>
    <x v="0"/>
  </r>
  <r>
    <x v="1"/>
    <x v="0"/>
    <x v="2"/>
    <x v="3"/>
    <x v="26"/>
    <x v="1"/>
    <x v="0"/>
    <n v="1"/>
    <n v="5053.7299999999996"/>
    <n v="14722.15"/>
    <x v="0"/>
  </r>
  <r>
    <x v="1"/>
    <x v="0"/>
    <x v="2"/>
    <x v="3"/>
    <x v="26"/>
    <x v="1"/>
    <x v="1"/>
    <n v="35"/>
    <n v="188320.18"/>
    <n v="552645.32999999996"/>
    <x v="0"/>
  </r>
  <r>
    <x v="1"/>
    <x v="0"/>
    <x v="2"/>
    <x v="3"/>
    <x v="27"/>
    <x v="0"/>
    <x v="0"/>
    <n v="3"/>
    <n v="15389.55"/>
    <n v="65560.41"/>
    <x v="0"/>
  </r>
  <r>
    <x v="1"/>
    <x v="0"/>
    <x v="2"/>
    <x v="3"/>
    <x v="27"/>
    <x v="0"/>
    <x v="1"/>
    <n v="4"/>
    <n v="18144.34"/>
    <n v="76962.23"/>
    <x v="0"/>
  </r>
  <r>
    <x v="1"/>
    <x v="0"/>
    <x v="2"/>
    <x v="3"/>
    <x v="27"/>
    <x v="1"/>
    <x v="0"/>
    <n v="9"/>
    <n v="54920.99"/>
    <n v="158240.03"/>
    <x v="0"/>
  </r>
  <r>
    <x v="1"/>
    <x v="0"/>
    <x v="2"/>
    <x v="3"/>
    <x v="27"/>
    <x v="1"/>
    <x v="1"/>
    <n v="24"/>
    <n v="119170.72"/>
    <n v="337781.99"/>
    <x v="0"/>
  </r>
  <r>
    <x v="1"/>
    <x v="0"/>
    <x v="3"/>
    <x v="0"/>
    <x v="0"/>
    <x v="0"/>
    <x v="0"/>
    <n v="1"/>
    <n v="7696.48"/>
    <n v="33644.43"/>
    <x v="0"/>
  </r>
  <r>
    <x v="1"/>
    <x v="0"/>
    <x v="3"/>
    <x v="0"/>
    <x v="0"/>
    <x v="0"/>
    <x v="1"/>
    <n v="1"/>
    <n v="7217.6"/>
    <n v="33644.43"/>
    <x v="0"/>
  </r>
  <r>
    <x v="1"/>
    <x v="0"/>
    <x v="3"/>
    <x v="0"/>
    <x v="0"/>
    <x v="1"/>
    <x v="1"/>
    <n v="11"/>
    <n v="62196.08"/>
    <n v="178991.94"/>
    <x v="0"/>
  </r>
  <r>
    <x v="1"/>
    <x v="0"/>
    <x v="3"/>
    <x v="0"/>
    <x v="1"/>
    <x v="0"/>
    <x v="0"/>
    <n v="5"/>
    <n v="27804.77"/>
    <n v="126258.13"/>
    <x v="0"/>
  </r>
  <r>
    <x v="1"/>
    <x v="0"/>
    <x v="3"/>
    <x v="0"/>
    <x v="1"/>
    <x v="0"/>
    <x v="1"/>
    <n v="3"/>
    <n v="20068.77"/>
    <n v="92349.04"/>
    <x v="0"/>
  </r>
  <r>
    <x v="1"/>
    <x v="0"/>
    <x v="3"/>
    <x v="0"/>
    <x v="1"/>
    <x v="1"/>
    <x v="0"/>
    <n v="6"/>
    <n v="33921.75"/>
    <n v="95696.87"/>
    <x v="0"/>
  </r>
  <r>
    <x v="1"/>
    <x v="0"/>
    <x v="3"/>
    <x v="0"/>
    <x v="1"/>
    <x v="1"/>
    <x v="1"/>
    <n v="20"/>
    <n v="106001.13"/>
    <n v="308962.59999999998"/>
    <x v="0"/>
  </r>
  <r>
    <x v="1"/>
    <x v="0"/>
    <x v="3"/>
    <x v="0"/>
    <x v="2"/>
    <x v="0"/>
    <x v="1"/>
    <n v="6"/>
    <n v="34504.6"/>
    <n v="155676.60999999999"/>
    <x v="0"/>
  </r>
  <r>
    <x v="1"/>
    <x v="0"/>
    <x v="3"/>
    <x v="0"/>
    <x v="2"/>
    <x v="1"/>
    <x v="0"/>
    <n v="5"/>
    <n v="27857.41"/>
    <n v="75781.98"/>
    <x v="0"/>
  </r>
  <r>
    <x v="1"/>
    <x v="0"/>
    <x v="3"/>
    <x v="0"/>
    <x v="2"/>
    <x v="1"/>
    <x v="1"/>
    <n v="12"/>
    <n v="71152.95"/>
    <n v="197410.1"/>
    <x v="0"/>
  </r>
  <r>
    <x v="1"/>
    <x v="0"/>
    <x v="3"/>
    <x v="0"/>
    <x v="3"/>
    <x v="0"/>
    <x v="0"/>
    <n v="2"/>
    <n v="10950.15"/>
    <n v="50120.36"/>
    <x v="0"/>
  </r>
  <r>
    <x v="1"/>
    <x v="0"/>
    <x v="3"/>
    <x v="0"/>
    <x v="3"/>
    <x v="0"/>
    <x v="1"/>
    <n v="7"/>
    <n v="37585.519999999997"/>
    <n v="171062.96"/>
    <x v="0"/>
  </r>
  <r>
    <x v="1"/>
    <x v="0"/>
    <x v="3"/>
    <x v="0"/>
    <x v="3"/>
    <x v="1"/>
    <x v="0"/>
    <n v="4"/>
    <n v="20415.939999999999"/>
    <n v="60532.32"/>
    <x v="0"/>
  </r>
  <r>
    <x v="1"/>
    <x v="0"/>
    <x v="3"/>
    <x v="0"/>
    <x v="3"/>
    <x v="1"/>
    <x v="1"/>
    <n v="10"/>
    <n v="56725.73"/>
    <n v="164005.20000000001"/>
    <x v="0"/>
  </r>
  <r>
    <x v="1"/>
    <x v="0"/>
    <x v="3"/>
    <x v="0"/>
    <x v="28"/>
    <x v="1"/>
    <x v="1"/>
    <n v="4"/>
    <n v="23968.01"/>
    <n v="71171.53"/>
    <x v="0"/>
  </r>
  <r>
    <x v="1"/>
    <x v="0"/>
    <x v="3"/>
    <x v="0"/>
    <x v="4"/>
    <x v="0"/>
    <x v="1"/>
    <n v="3"/>
    <n v="17605.150000000001"/>
    <n v="77227.350000000006"/>
    <x v="0"/>
  </r>
  <r>
    <x v="1"/>
    <x v="0"/>
    <x v="3"/>
    <x v="0"/>
    <x v="4"/>
    <x v="1"/>
    <x v="0"/>
    <n v="4"/>
    <n v="20665.439999999999"/>
    <n v="59970.1"/>
    <x v="0"/>
  </r>
  <r>
    <x v="1"/>
    <x v="0"/>
    <x v="3"/>
    <x v="0"/>
    <x v="4"/>
    <x v="1"/>
    <x v="1"/>
    <n v="10"/>
    <n v="70349.77"/>
    <n v="204336.52"/>
    <x v="0"/>
  </r>
  <r>
    <x v="1"/>
    <x v="0"/>
    <x v="3"/>
    <x v="0"/>
    <x v="5"/>
    <x v="0"/>
    <x v="1"/>
    <n v="4"/>
    <n v="22652.29"/>
    <n v="101197.95"/>
    <x v="0"/>
  </r>
  <r>
    <x v="1"/>
    <x v="0"/>
    <x v="3"/>
    <x v="0"/>
    <x v="5"/>
    <x v="1"/>
    <x v="0"/>
    <n v="2"/>
    <n v="10848.7"/>
    <n v="33029.32"/>
    <x v="0"/>
  </r>
  <r>
    <x v="1"/>
    <x v="0"/>
    <x v="3"/>
    <x v="0"/>
    <x v="5"/>
    <x v="1"/>
    <x v="1"/>
    <n v="35"/>
    <n v="203868.12"/>
    <n v="604772.18999999994"/>
    <x v="0"/>
  </r>
  <r>
    <x v="1"/>
    <x v="0"/>
    <x v="3"/>
    <x v="0"/>
    <x v="6"/>
    <x v="0"/>
    <x v="1"/>
    <n v="4"/>
    <n v="21768.09"/>
    <n v="96972"/>
    <x v="0"/>
  </r>
  <r>
    <x v="1"/>
    <x v="0"/>
    <x v="3"/>
    <x v="0"/>
    <x v="7"/>
    <x v="1"/>
    <x v="1"/>
    <n v="1"/>
    <n v="7479.12"/>
    <n v="22474.48"/>
    <x v="0"/>
  </r>
  <r>
    <x v="1"/>
    <x v="0"/>
    <x v="3"/>
    <x v="0"/>
    <x v="8"/>
    <x v="0"/>
    <x v="1"/>
    <n v="1"/>
    <n v="5642.95"/>
    <n v="25060.18"/>
    <x v="0"/>
  </r>
  <r>
    <x v="1"/>
    <x v="0"/>
    <x v="3"/>
    <x v="1"/>
    <x v="9"/>
    <x v="1"/>
    <x v="1"/>
    <n v="5"/>
    <n v="27575.85"/>
    <n v="86207.02"/>
    <x v="0"/>
  </r>
  <r>
    <x v="1"/>
    <x v="0"/>
    <x v="3"/>
    <x v="1"/>
    <x v="31"/>
    <x v="1"/>
    <x v="0"/>
    <n v="1"/>
    <n v="5528.19"/>
    <n v="17416.830000000002"/>
    <x v="0"/>
  </r>
  <r>
    <x v="1"/>
    <x v="0"/>
    <x v="3"/>
    <x v="1"/>
    <x v="10"/>
    <x v="0"/>
    <x v="0"/>
    <n v="2"/>
    <n v="12326.7"/>
    <n v="55435.89"/>
    <x v="0"/>
  </r>
  <r>
    <x v="1"/>
    <x v="0"/>
    <x v="3"/>
    <x v="1"/>
    <x v="10"/>
    <x v="0"/>
    <x v="1"/>
    <n v="3"/>
    <n v="20517.150000000001"/>
    <n v="92349.04"/>
    <x v="0"/>
  </r>
  <r>
    <x v="1"/>
    <x v="0"/>
    <x v="3"/>
    <x v="1"/>
    <x v="10"/>
    <x v="1"/>
    <x v="0"/>
    <n v="8"/>
    <n v="51671.18"/>
    <n v="161542.1"/>
    <x v="0"/>
  </r>
  <r>
    <x v="1"/>
    <x v="0"/>
    <x v="3"/>
    <x v="1"/>
    <x v="10"/>
    <x v="1"/>
    <x v="1"/>
    <n v="17"/>
    <n v="99786.27"/>
    <n v="301821.14"/>
    <x v="0"/>
  </r>
  <r>
    <x v="1"/>
    <x v="0"/>
    <x v="3"/>
    <x v="1"/>
    <x v="11"/>
    <x v="0"/>
    <x v="1"/>
    <n v="9"/>
    <n v="50267.07"/>
    <n v="227456.08"/>
    <x v="0"/>
  </r>
  <r>
    <x v="1"/>
    <x v="0"/>
    <x v="3"/>
    <x v="1"/>
    <x v="11"/>
    <x v="1"/>
    <x v="1"/>
    <n v="25"/>
    <n v="132307.16"/>
    <n v="393771.7"/>
    <x v="0"/>
  </r>
  <r>
    <x v="1"/>
    <x v="0"/>
    <x v="3"/>
    <x v="1"/>
    <x v="12"/>
    <x v="1"/>
    <x v="1"/>
    <n v="3"/>
    <n v="23343.42"/>
    <n v="69038.37"/>
    <x v="0"/>
  </r>
  <r>
    <x v="1"/>
    <x v="0"/>
    <x v="3"/>
    <x v="1"/>
    <x v="13"/>
    <x v="0"/>
    <x v="1"/>
    <n v="4"/>
    <n v="22756.07"/>
    <n v="102287.53"/>
    <x v="0"/>
  </r>
  <r>
    <x v="1"/>
    <x v="0"/>
    <x v="3"/>
    <x v="1"/>
    <x v="13"/>
    <x v="1"/>
    <x v="1"/>
    <n v="4"/>
    <n v="22174.68"/>
    <n v="68263.929999999993"/>
    <x v="0"/>
  </r>
  <r>
    <x v="1"/>
    <x v="0"/>
    <x v="3"/>
    <x v="1"/>
    <x v="14"/>
    <x v="0"/>
    <x v="1"/>
    <n v="3"/>
    <n v="18170.45"/>
    <n v="83764.789999999994"/>
    <x v="0"/>
  </r>
  <r>
    <x v="1"/>
    <x v="0"/>
    <x v="3"/>
    <x v="1"/>
    <x v="14"/>
    <x v="1"/>
    <x v="0"/>
    <n v="8"/>
    <n v="47803.19"/>
    <n v="145390.16"/>
    <x v="0"/>
  </r>
  <r>
    <x v="1"/>
    <x v="0"/>
    <x v="3"/>
    <x v="1"/>
    <x v="14"/>
    <x v="1"/>
    <x v="1"/>
    <n v="14"/>
    <n v="97707.91"/>
    <n v="297439.88"/>
    <x v="0"/>
  </r>
  <r>
    <x v="1"/>
    <x v="0"/>
    <x v="3"/>
    <x v="1"/>
    <x v="15"/>
    <x v="1"/>
    <x v="0"/>
    <n v="6"/>
    <n v="41445.06"/>
    <n v="131299.41"/>
    <x v="0"/>
  </r>
  <r>
    <x v="1"/>
    <x v="0"/>
    <x v="3"/>
    <x v="1"/>
    <x v="15"/>
    <x v="1"/>
    <x v="1"/>
    <n v="3"/>
    <n v="22119.26"/>
    <n v="69744.899999999994"/>
    <x v="0"/>
  </r>
  <r>
    <x v="1"/>
    <x v="0"/>
    <x v="3"/>
    <x v="1"/>
    <x v="16"/>
    <x v="1"/>
    <x v="0"/>
    <n v="12"/>
    <n v="74825.759999999995"/>
    <n v="226117.36"/>
    <x v="0"/>
  </r>
  <r>
    <x v="1"/>
    <x v="0"/>
    <x v="3"/>
    <x v="1"/>
    <x v="16"/>
    <x v="1"/>
    <x v="1"/>
    <n v="20"/>
    <n v="109711.98"/>
    <n v="326662.96999999997"/>
    <x v="0"/>
  </r>
  <r>
    <x v="1"/>
    <x v="0"/>
    <x v="3"/>
    <x v="1"/>
    <x v="17"/>
    <x v="1"/>
    <x v="0"/>
    <n v="2"/>
    <n v="11218.3"/>
    <n v="33279.919999999998"/>
    <x v="0"/>
  </r>
  <r>
    <x v="1"/>
    <x v="0"/>
    <x v="3"/>
    <x v="1"/>
    <x v="17"/>
    <x v="1"/>
    <x v="1"/>
    <n v="5"/>
    <n v="24670.9"/>
    <n v="70230.44"/>
    <x v="0"/>
  </r>
  <r>
    <x v="1"/>
    <x v="0"/>
    <x v="3"/>
    <x v="1"/>
    <x v="18"/>
    <x v="0"/>
    <x v="1"/>
    <n v="10"/>
    <n v="56744.87"/>
    <n v="255784.99"/>
    <x v="0"/>
  </r>
  <r>
    <x v="1"/>
    <x v="0"/>
    <x v="3"/>
    <x v="1"/>
    <x v="18"/>
    <x v="1"/>
    <x v="0"/>
    <n v="7"/>
    <n v="45246.87"/>
    <n v="138924.32999999999"/>
    <x v="0"/>
  </r>
  <r>
    <x v="1"/>
    <x v="0"/>
    <x v="3"/>
    <x v="1"/>
    <x v="18"/>
    <x v="1"/>
    <x v="1"/>
    <n v="18"/>
    <n v="104252.67"/>
    <n v="329129.27"/>
    <x v="0"/>
  </r>
  <r>
    <x v="1"/>
    <x v="0"/>
    <x v="3"/>
    <x v="1"/>
    <x v="19"/>
    <x v="0"/>
    <x v="1"/>
    <n v="4"/>
    <n v="28022.76"/>
    <n v="125993.47"/>
    <x v="0"/>
  </r>
  <r>
    <x v="1"/>
    <x v="0"/>
    <x v="3"/>
    <x v="1"/>
    <x v="19"/>
    <x v="1"/>
    <x v="0"/>
    <n v="6"/>
    <n v="35991.410000000003"/>
    <n v="107129.16"/>
    <x v="0"/>
  </r>
  <r>
    <x v="1"/>
    <x v="0"/>
    <x v="3"/>
    <x v="1"/>
    <x v="19"/>
    <x v="1"/>
    <x v="1"/>
    <n v="13"/>
    <n v="78078.5"/>
    <n v="240076.99"/>
    <x v="0"/>
  </r>
  <r>
    <x v="1"/>
    <x v="0"/>
    <x v="3"/>
    <x v="1"/>
    <x v="20"/>
    <x v="0"/>
    <x v="0"/>
    <n v="1"/>
    <n v="5599.36"/>
    <n v="25060.18"/>
    <x v="0"/>
  </r>
  <r>
    <x v="1"/>
    <x v="0"/>
    <x v="3"/>
    <x v="1"/>
    <x v="20"/>
    <x v="0"/>
    <x v="1"/>
    <n v="7"/>
    <n v="37677.69"/>
    <n v="169973.39"/>
    <x v="0"/>
  </r>
  <r>
    <x v="1"/>
    <x v="0"/>
    <x v="3"/>
    <x v="1"/>
    <x v="20"/>
    <x v="1"/>
    <x v="0"/>
    <n v="10"/>
    <n v="54106.98"/>
    <n v="163639.67000000001"/>
    <x v="0"/>
  </r>
  <r>
    <x v="1"/>
    <x v="0"/>
    <x v="3"/>
    <x v="1"/>
    <x v="20"/>
    <x v="1"/>
    <x v="1"/>
    <n v="26"/>
    <n v="159379.17000000001"/>
    <n v="464801.46"/>
    <x v="0"/>
  </r>
  <r>
    <x v="1"/>
    <x v="0"/>
    <x v="3"/>
    <x v="2"/>
    <x v="21"/>
    <x v="0"/>
    <x v="0"/>
    <n v="7"/>
    <n v="46108.52"/>
    <n v="209758.26"/>
    <x v="0"/>
  </r>
  <r>
    <x v="1"/>
    <x v="0"/>
    <x v="3"/>
    <x v="2"/>
    <x v="21"/>
    <x v="1"/>
    <x v="1"/>
    <n v="2"/>
    <n v="15366.28"/>
    <n v="40978.92"/>
    <x v="0"/>
  </r>
  <r>
    <x v="1"/>
    <x v="0"/>
    <x v="3"/>
    <x v="2"/>
    <x v="22"/>
    <x v="0"/>
    <x v="1"/>
    <n v="2"/>
    <n v="12630.96"/>
    <n v="56525.46"/>
    <x v="0"/>
  </r>
  <r>
    <x v="1"/>
    <x v="0"/>
    <x v="3"/>
    <x v="2"/>
    <x v="22"/>
    <x v="1"/>
    <x v="0"/>
    <n v="1"/>
    <n v="5467.35"/>
    <n v="15261.65"/>
    <x v="0"/>
  </r>
  <r>
    <x v="1"/>
    <x v="0"/>
    <x v="3"/>
    <x v="2"/>
    <x v="22"/>
    <x v="1"/>
    <x v="1"/>
    <n v="6"/>
    <n v="42375.88"/>
    <n v="117708.94"/>
    <x v="0"/>
  </r>
  <r>
    <x v="1"/>
    <x v="0"/>
    <x v="3"/>
    <x v="2"/>
    <x v="29"/>
    <x v="0"/>
    <x v="1"/>
    <n v="1"/>
    <n v="5893.34"/>
    <n v="25060.18"/>
    <x v="0"/>
  </r>
  <r>
    <x v="1"/>
    <x v="0"/>
    <x v="3"/>
    <x v="2"/>
    <x v="29"/>
    <x v="1"/>
    <x v="1"/>
    <n v="3"/>
    <n v="22514.85"/>
    <n v="61599.71"/>
    <x v="0"/>
  </r>
  <r>
    <x v="1"/>
    <x v="0"/>
    <x v="3"/>
    <x v="2"/>
    <x v="24"/>
    <x v="1"/>
    <x v="1"/>
    <n v="9"/>
    <n v="55035.87"/>
    <n v="150480.26"/>
    <x v="0"/>
  </r>
  <r>
    <x v="1"/>
    <x v="0"/>
    <x v="3"/>
    <x v="3"/>
    <x v="25"/>
    <x v="0"/>
    <x v="1"/>
    <n v="2"/>
    <n v="12788.02"/>
    <n v="58704.61"/>
    <x v="0"/>
  </r>
  <r>
    <x v="1"/>
    <x v="0"/>
    <x v="3"/>
    <x v="3"/>
    <x v="25"/>
    <x v="1"/>
    <x v="0"/>
    <n v="9"/>
    <n v="62336.12"/>
    <n v="189777.27"/>
    <x v="0"/>
  </r>
  <r>
    <x v="1"/>
    <x v="0"/>
    <x v="3"/>
    <x v="3"/>
    <x v="25"/>
    <x v="1"/>
    <x v="1"/>
    <n v="2"/>
    <n v="12864.14"/>
    <n v="40212.65"/>
    <x v="0"/>
  </r>
  <r>
    <x v="1"/>
    <x v="0"/>
    <x v="3"/>
    <x v="3"/>
    <x v="26"/>
    <x v="0"/>
    <x v="0"/>
    <n v="1"/>
    <n v="7534.06"/>
    <n v="33644.43"/>
    <x v="0"/>
  </r>
  <r>
    <x v="1"/>
    <x v="0"/>
    <x v="3"/>
    <x v="3"/>
    <x v="26"/>
    <x v="0"/>
    <x v="1"/>
    <n v="2"/>
    <n v="11103.53"/>
    <n v="50120.36"/>
    <x v="0"/>
  </r>
  <r>
    <x v="1"/>
    <x v="0"/>
    <x v="3"/>
    <x v="3"/>
    <x v="26"/>
    <x v="1"/>
    <x v="0"/>
    <n v="2"/>
    <n v="10014.4"/>
    <n v="31575.82"/>
    <x v="0"/>
  </r>
  <r>
    <x v="1"/>
    <x v="0"/>
    <x v="3"/>
    <x v="3"/>
    <x v="26"/>
    <x v="1"/>
    <x v="1"/>
    <n v="30"/>
    <n v="182751.35999999999"/>
    <n v="558567.23"/>
    <x v="0"/>
  </r>
  <r>
    <x v="1"/>
    <x v="0"/>
    <x v="3"/>
    <x v="3"/>
    <x v="27"/>
    <x v="0"/>
    <x v="0"/>
    <n v="3"/>
    <n v="18041.080000000002"/>
    <n v="80496.070000000007"/>
    <x v="0"/>
  </r>
  <r>
    <x v="1"/>
    <x v="0"/>
    <x v="3"/>
    <x v="3"/>
    <x v="27"/>
    <x v="0"/>
    <x v="1"/>
    <n v="6"/>
    <n v="35086.050000000003"/>
    <n v="155676.60999999999"/>
    <x v="0"/>
  </r>
  <r>
    <x v="1"/>
    <x v="0"/>
    <x v="3"/>
    <x v="3"/>
    <x v="27"/>
    <x v="1"/>
    <x v="0"/>
    <n v="14"/>
    <n v="87172.65"/>
    <n v="270176.69"/>
    <x v="0"/>
  </r>
  <r>
    <x v="1"/>
    <x v="0"/>
    <x v="3"/>
    <x v="3"/>
    <x v="27"/>
    <x v="1"/>
    <x v="1"/>
    <n v="19"/>
    <n v="119339.85"/>
    <n v="357990.46"/>
    <x v="0"/>
  </r>
  <r>
    <x v="1"/>
    <x v="0"/>
    <x v="4"/>
    <x v="0"/>
    <x v="0"/>
    <x v="0"/>
    <x v="1"/>
    <n v="1"/>
    <n v="5385.13"/>
    <n v="24908.27"/>
    <x v="0"/>
  </r>
  <r>
    <x v="1"/>
    <x v="0"/>
    <x v="4"/>
    <x v="0"/>
    <x v="0"/>
    <x v="1"/>
    <x v="1"/>
    <n v="5"/>
    <n v="24787.85"/>
    <n v="72950.89"/>
    <x v="0"/>
  </r>
  <r>
    <x v="1"/>
    <x v="0"/>
    <x v="4"/>
    <x v="0"/>
    <x v="1"/>
    <x v="0"/>
    <x v="0"/>
    <n v="1"/>
    <n v="5000.59"/>
    <n v="21659.360000000001"/>
    <x v="0"/>
  </r>
  <r>
    <x v="1"/>
    <x v="0"/>
    <x v="4"/>
    <x v="0"/>
    <x v="1"/>
    <x v="0"/>
    <x v="1"/>
    <n v="2"/>
    <n v="11739.95"/>
    <n v="54194.78"/>
    <x v="0"/>
  </r>
  <r>
    <x v="1"/>
    <x v="0"/>
    <x v="4"/>
    <x v="0"/>
    <x v="1"/>
    <x v="1"/>
    <x v="0"/>
    <n v="3"/>
    <n v="16515.87"/>
    <n v="48215.73"/>
    <x v="0"/>
  </r>
  <r>
    <x v="1"/>
    <x v="0"/>
    <x v="4"/>
    <x v="0"/>
    <x v="1"/>
    <x v="1"/>
    <x v="1"/>
    <n v="12"/>
    <n v="57908.62"/>
    <n v="166502.9"/>
    <x v="0"/>
  </r>
  <r>
    <x v="1"/>
    <x v="0"/>
    <x v="4"/>
    <x v="0"/>
    <x v="2"/>
    <x v="0"/>
    <x v="1"/>
    <n v="2"/>
    <n v="10936.39"/>
    <n v="49816.54"/>
    <x v="0"/>
  </r>
  <r>
    <x v="1"/>
    <x v="0"/>
    <x v="4"/>
    <x v="0"/>
    <x v="2"/>
    <x v="1"/>
    <x v="0"/>
    <n v="4"/>
    <n v="19148.36"/>
    <n v="56491.94"/>
    <x v="0"/>
  </r>
  <r>
    <x v="1"/>
    <x v="0"/>
    <x v="4"/>
    <x v="0"/>
    <x v="2"/>
    <x v="1"/>
    <x v="1"/>
    <n v="18"/>
    <n v="87308.22"/>
    <n v="247488.52"/>
    <x v="0"/>
  </r>
  <r>
    <x v="1"/>
    <x v="0"/>
    <x v="4"/>
    <x v="0"/>
    <x v="3"/>
    <x v="0"/>
    <x v="0"/>
    <n v="1"/>
    <n v="4755.9799999999996"/>
    <n v="21659.360000000001"/>
    <x v="0"/>
  </r>
  <r>
    <x v="1"/>
    <x v="0"/>
    <x v="4"/>
    <x v="0"/>
    <x v="3"/>
    <x v="0"/>
    <x v="1"/>
    <n v="4"/>
    <n v="19562.509999999998"/>
    <n v="89886.35"/>
    <x v="0"/>
  </r>
  <r>
    <x v="1"/>
    <x v="0"/>
    <x v="4"/>
    <x v="0"/>
    <x v="3"/>
    <x v="1"/>
    <x v="0"/>
    <n v="11"/>
    <n v="64950.65"/>
    <n v="195337.48"/>
    <x v="0"/>
  </r>
  <r>
    <x v="1"/>
    <x v="0"/>
    <x v="4"/>
    <x v="0"/>
    <x v="3"/>
    <x v="1"/>
    <x v="1"/>
    <n v="20"/>
    <n v="115438.11"/>
    <n v="340062.89"/>
    <x v="0"/>
  </r>
  <r>
    <x v="1"/>
    <x v="0"/>
    <x v="4"/>
    <x v="0"/>
    <x v="28"/>
    <x v="1"/>
    <x v="1"/>
    <n v="1"/>
    <n v="4652.28"/>
    <n v="14165.22"/>
    <x v="0"/>
  </r>
  <r>
    <x v="1"/>
    <x v="0"/>
    <x v="4"/>
    <x v="0"/>
    <x v="4"/>
    <x v="0"/>
    <x v="1"/>
    <n v="1"/>
    <n v="4876.01"/>
    <n v="22742.33"/>
    <x v="0"/>
  </r>
  <r>
    <x v="1"/>
    <x v="0"/>
    <x v="4"/>
    <x v="0"/>
    <x v="4"/>
    <x v="1"/>
    <x v="0"/>
    <n v="4"/>
    <n v="18898.02"/>
    <n v="56269.760000000002"/>
    <x v="0"/>
  </r>
  <r>
    <x v="1"/>
    <x v="0"/>
    <x v="4"/>
    <x v="0"/>
    <x v="4"/>
    <x v="1"/>
    <x v="1"/>
    <n v="5"/>
    <n v="24750.06"/>
    <n v="73468.56"/>
    <x v="0"/>
  </r>
  <r>
    <x v="1"/>
    <x v="0"/>
    <x v="4"/>
    <x v="0"/>
    <x v="5"/>
    <x v="1"/>
    <x v="0"/>
    <n v="2"/>
    <n v="9530.2999999999993"/>
    <n v="28547.040000000001"/>
    <x v="0"/>
  </r>
  <r>
    <x v="1"/>
    <x v="0"/>
    <x v="4"/>
    <x v="0"/>
    <x v="5"/>
    <x v="1"/>
    <x v="1"/>
    <n v="22"/>
    <n v="111871.1"/>
    <n v="341850.83"/>
    <x v="0"/>
  </r>
  <r>
    <x v="1"/>
    <x v="0"/>
    <x v="4"/>
    <x v="0"/>
    <x v="6"/>
    <x v="0"/>
    <x v="1"/>
    <n v="3"/>
    <n v="14535.43"/>
    <n v="64978.080000000002"/>
    <x v="0"/>
  </r>
  <r>
    <x v="1"/>
    <x v="0"/>
    <x v="4"/>
    <x v="0"/>
    <x v="6"/>
    <x v="1"/>
    <x v="1"/>
    <n v="13"/>
    <n v="65030.22"/>
    <n v="196407.24"/>
    <x v="0"/>
  </r>
  <r>
    <x v="1"/>
    <x v="0"/>
    <x v="4"/>
    <x v="0"/>
    <x v="7"/>
    <x v="1"/>
    <x v="1"/>
    <n v="8"/>
    <n v="37992.54"/>
    <n v="115913.77"/>
    <x v="0"/>
  </r>
  <r>
    <x v="1"/>
    <x v="0"/>
    <x v="4"/>
    <x v="0"/>
    <x v="8"/>
    <x v="0"/>
    <x v="1"/>
    <n v="2"/>
    <n v="11576.46"/>
    <n v="55277.75"/>
    <x v="0"/>
  </r>
  <r>
    <x v="1"/>
    <x v="0"/>
    <x v="4"/>
    <x v="1"/>
    <x v="9"/>
    <x v="1"/>
    <x v="1"/>
    <n v="5"/>
    <n v="24298.48"/>
    <n v="74508.2"/>
    <x v="0"/>
  </r>
  <r>
    <x v="1"/>
    <x v="0"/>
    <x v="4"/>
    <x v="1"/>
    <x v="31"/>
    <x v="1"/>
    <x v="0"/>
    <n v="7"/>
    <n v="37118.42"/>
    <n v="118642.87"/>
    <x v="0"/>
  </r>
  <r>
    <x v="1"/>
    <x v="0"/>
    <x v="4"/>
    <x v="1"/>
    <x v="10"/>
    <x v="1"/>
    <x v="0"/>
    <n v="7"/>
    <n v="35334.980000000003"/>
    <n v="111526.23"/>
    <x v="0"/>
  </r>
  <r>
    <x v="1"/>
    <x v="0"/>
    <x v="4"/>
    <x v="1"/>
    <x v="10"/>
    <x v="1"/>
    <x v="1"/>
    <n v="18"/>
    <n v="96373.3"/>
    <n v="302606.28000000003"/>
    <x v="0"/>
  </r>
  <r>
    <x v="1"/>
    <x v="0"/>
    <x v="4"/>
    <x v="1"/>
    <x v="11"/>
    <x v="0"/>
    <x v="1"/>
    <n v="7"/>
    <n v="38744.06"/>
    <n v="182031.4"/>
    <x v="0"/>
  </r>
  <r>
    <x v="1"/>
    <x v="0"/>
    <x v="4"/>
    <x v="1"/>
    <x v="11"/>
    <x v="1"/>
    <x v="0"/>
    <n v="5"/>
    <n v="24317.75"/>
    <n v="70392.92"/>
    <x v="0"/>
  </r>
  <r>
    <x v="1"/>
    <x v="0"/>
    <x v="4"/>
    <x v="1"/>
    <x v="11"/>
    <x v="1"/>
    <x v="1"/>
    <n v="16"/>
    <n v="86213.73"/>
    <n v="253535.1"/>
    <x v="0"/>
  </r>
  <r>
    <x v="1"/>
    <x v="0"/>
    <x v="4"/>
    <x v="1"/>
    <x v="12"/>
    <x v="1"/>
    <x v="0"/>
    <n v="2"/>
    <n v="13618.8"/>
    <n v="44508.45"/>
    <x v="0"/>
  </r>
  <r>
    <x v="1"/>
    <x v="0"/>
    <x v="4"/>
    <x v="1"/>
    <x v="13"/>
    <x v="0"/>
    <x v="1"/>
    <n v="1"/>
    <n v="5347.91"/>
    <n v="24908.27"/>
    <x v="0"/>
  </r>
  <r>
    <x v="1"/>
    <x v="0"/>
    <x v="4"/>
    <x v="1"/>
    <x v="13"/>
    <x v="1"/>
    <x v="0"/>
    <n v="13"/>
    <n v="64999.18"/>
    <n v="202075.35"/>
    <x v="0"/>
  </r>
  <r>
    <x v="1"/>
    <x v="0"/>
    <x v="4"/>
    <x v="1"/>
    <x v="13"/>
    <x v="1"/>
    <x v="1"/>
    <n v="9"/>
    <n v="47651.39"/>
    <n v="147563.41"/>
    <x v="0"/>
  </r>
  <r>
    <x v="1"/>
    <x v="0"/>
    <x v="4"/>
    <x v="1"/>
    <x v="14"/>
    <x v="0"/>
    <x v="1"/>
    <n v="2"/>
    <n v="9421.5499999999993"/>
    <n v="43318.720000000001"/>
    <x v="0"/>
  </r>
  <r>
    <x v="1"/>
    <x v="0"/>
    <x v="4"/>
    <x v="1"/>
    <x v="14"/>
    <x v="1"/>
    <x v="0"/>
    <n v="18"/>
    <n v="88956.92"/>
    <n v="269113.21000000002"/>
    <x v="0"/>
  </r>
  <r>
    <x v="1"/>
    <x v="0"/>
    <x v="4"/>
    <x v="1"/>
    <x v="14"/>
    <x v="1"/>
    <x v="1"/>
    <n v="10"/>
    <n v="48582.43"/>
    <n v="149861.82"/>
    <x v="0"/>
  </r>
  <r>
    <x v="1"/>
    <x v="0"/>
    <x v="4"/>
    <x v="1"/>
    <x v="15"/>
    <x v="1"/>
    <x v="1"/>
    <n v="1"/>
    <n v="4976.88"/>
    <n v="14966.62"/>
    <x v="0"/>
  </r>
  <r>
    <x v="1"/>
    <x v="0"/>
    <x v="4"/>
    <x v="1"/>
    <x v="16"/>
    <x v="1"/>
    <x v="0"/>
    <n v="7"/>
    <n v="36628.68"/>
    <n v="110012.35"/>
    <x v="0"/>
  </r>
  <r>
    <x v="1"/>
    <x v="0"/>
    <x v="4"/>
    <x v="1"/>
    <x v="16"/>
    <x v="1"/>
    <x v="1"/>
    <n v="12"/>
    <n v="64965.87"/>
    <n v="193956.66"/>
    <x v="0"/>
  </r>
  <r>
    <x v="1"/>
    <x v="0"/>
    <x v="4"/>
    <x v="1"/>
    <x v="17"/>
    <x v="0"/>
    <x v="1"/>
    <n v="1"/>
    <n v="4680.1400000000003"/>
    <n v="21659.360000000001"/>
    <x v="0"/>
  </r>
  <r>
    <x v="1"/>
    <x v="0"/>
    <x v="4"/>
    <x v="1"/>
    <x v="17"/>
    <x v="1"/>
    <x v="0"/>
    <n v="11"/>
    <n v="52660.01"/>
    <n v="158919.07"/>
    <x v="0"/>
  </r>
  <r>
    <x v="1"/>
    <x v="0"/>
    <x v="4"/>
    <x v="1"/>
    <x v="18"/>
    <x v="0"/>
    <x v="1"/>
    <n v="7"/>
    <n v="34768.980000000003"/>
    <n v="160279.28"/>
    <x v="0"/>
  </r>
  <r>
    <x v="1"/>
    <x v="0"/>
    <x v="4"/>
    <x v="1"/>
    <x v="18"/>
    <x v="1"/>
    <x v="0"/>
    <n v="5"/>
    <n v="23270.400000000001"/>
    <n v="75266.28"/>
    <x v="0"/>
  </r>
  <r>
    <x v="1"/>
    <x v="0"/>
    <x v="4"/>
    <x v="1"/>
    <x v="18"/>
    <x v="1"/>
    <x v="1"/>
    <n v="20"/>
    <n v="102242.64"/>
    <n v="317815.19"/>
    <x v="0"/>
  </r>
  <r>
    <x v="1"/>
    <x v="0"/>
    <x v="4"/>
    <x v="1"/>
    <x v="19"/>
    <x v="0"/>
    <x v="1"/>
    <n v="1"/>
    <n v="5372.79"/>
    <n v="24908.27"/>
    <x v="0"/>
  </r>
  <r>
    <x v="1"/>
    <x v="0"/>
    <x v="4"/>
    <x v="1"/>
    <x v="19"/>
    <x v="1"/>
    <x v="0"/>
    <n v="5"/>
    <n v="24728.6"/>
    <n v="72992.039999999994"/>
    <x v="0"/>
  </r>
  <r>
    <x v="1"/>
    <x v="0"/>
    <x v="4"/>
    <x v="1"/>
    <x v="19"/>
    <x v="1"/>
    <x v="1"/>
    <n v="5"/>
    <n v="24217.06"/>
    <n v="73721.97"/>
    <x v="0"/>
  </r>
  <r>
    <x v="1"/>
    <x v="0"/>
    <x v="4"/>
    <x v="1"/>
    <x v="20"/>
    <x v="0"/>
    <x v="0"/>
    <n v="1"/>
    <n v="4572.74"/>
    <n v="21659.360000000001"/>
    <x v="0"/>
  </r>
  <r>
    <x v="1"/>
    <x v="0"/>
    <x v="4"/>
    <x v="1"/>
    <x v="20"/>
    <x v="0"/>
    <x v="1"/>
    <n v="1"/>
    <n v="4627.3500000000004"/>
    <n v="21659.360000000001"/>
    <x v="0"/>
  </r>
  <r>
    <x v="1"/>
    <x v="0"/>
    <x v="4"/>
    <x v="1"/>
    <x v="20"/>
    <x v="1"/>
    <x v="0"/>
    <n v="8"/>
    <n v="46003.22"/>
    <n v="137197.34"/>
    <x v="0"/>
  </r>
  <r>
    <x v="1"/>
    <x v="0"/>
    <x v="4"/>
    <x v="1"/>
    <x v="20"/>
    <x v="1"/>
    <x v="1"/>
    <n v="16"/>
    <n v="84300.54"/>
    <n v="254230.67"/>
    <x v="0"/>
  </r>
  <r>
    <x v="1"/>
    <x v="0"/>
    <x v="4"/>
    <x v="2"/>
    <x v="22"/>
    <x v="1"/>
    <x v="0"/>
    <n v="7"/>
    <n v="33675.94"/>
    <n v="92333.85"/>
    <x v="0"/>
  </r>
  <r>
    <x v="1"/>
    <x v="0"/>
    <x v="4"/>
    <x v="2"/>
    <x v="22"/>
    <x v="1"/>
    <x v="1"/>
    <n v="7"/>
    <n v="34843.69"/>
    <n v="96291.02"/>
    <x v="0"/>
  </r>
  <r>
    <x v="1"/>
    <x v="0"/>
    <x v="4"/>
    <x v="2"/>
    <x v="24"/>
    <x v="0"/>
    <x v="1"/>
    <n v="1"/>
    <n v="4789.7"/>
    <n v="22742.33"/>
    <x v="0"/>
  </r>
  <r>
    <x v="1"/>
    <x v="0"/>
    <x v="4"/>
    <x v="2"/>
    <x v="24"/>
    <x v="1"/>
    <x v="0"/>
    <n v="5"/>
    <n v="27843.95"/>
    <n v="77215.64"/>
    <x v="0"/>
  </r>
  <r>
    <x v="1"/>
    <x v="0"/>
    <x v="4"/>
    <x v="2"/>
    <x v="24"/>
    <x v="1"/>
    <x v="1"/>
    <n v="1"/>
    <n v="4960.53"/>
    <n v="12840.63"/>
    <x v="0"/>
  </r>
  <r>
    <x v="1"/>
    <x v="0"/>
    <x v="4"/>
    <x v="3"/>
    <x v="25"/>
    <x v="1"/>
    <x v="0"/>
    <n v="8"/>
    <n v="41772.230000000003"/>
    <n v="130373.84"/>
    <x v="0"/>
  </r>
  <r>
    <x v="1"/>
    <x v="0"/>
    <x v="4"/>
    <x v="3"/>
    <x v="25"/>
    <x v="1"/>
    <x v="1"/>
    <n v="3"/>
    <n v="19442.669999999998"/>
    <n v="61635.69"/>
    <x v="0"/>
  </r>
  <r>
    <x v="1"/>
    <x v="0"/>
    <x v="4"/>
    <x v="3"/>
    <x v="26"/>
    <x v="0"/>
    <x v="0"/>
    <n v="1"/>
    <n v="4920.72"/>
    <n v="21659.360000000001"/>
    <x v="0"/>
  </r>
  <r>
    <x v="1"/>
    <x v="0"/>
    <x v="4"/>
    <x v="3"/>
    <x v="26"/>
    <x v="0"/>
    <x v="1"/>
    <n v="1"/>
    <n v="4853.4399999999996"/>
    <n v="21659.360000000001"/>
    <x v="0"/>
  </r>
  <r>
    <x v="1"/>
    <x v="0"/>
    <x v="4"/>
    <x v="3"/>
    <x v="26"/>
    <x v="1"/>
    <x v="0"/>
    <n v="5"/>
    <n v="24909.05"/>
    <n v="74724.789999999994"/>
    <x v="0"/>
  </r>
  <r>
    <x v="1"/>
    <x v="0"/>
    <x v="4"/>
    <x v="3"/>
    <x v="26"/>
    <x v="1"/>
    <x v="1"/>
    <n v="18"/>
    <n v="92401.33"/>
    <n v="298322.01"/>
    <x v="0"/>
  </r>
  <r>
    <x v="1"/>
    <x v="0"/>
    <x v="4"/>
    <x v="3"/>
    <x v="27"/>
    <x v="0"/>
    <x v="1"/>
    <n v="2"/>
    <n v="10495.4"/>
    <n v="46567.63"/>
    <x v="0"/>
  </r>
  <r>
    <x v="1"/>
    <x v="0"/>
    <x v="4"/>
    <x v="3"/>
    <x v="27"/>
    <x v="1"/>
    <x v="0"/>
    <n v="24"/>
    <n v="123876.88"/>
    <n v="379045.9"/>
    <x v="0"/>
  </r>
  <r>
    <x v="1"/>
    <x v="0"/>
    <x v="4"/>
    <x v="3"/>
    <x v="27"/>
    <x v="1"/>
    <x v="1"/>
    <n v="26"/>
    <n v="143832.03"/>
    <n v="451852.15"/>
    <x v="0"/>
  </r>
  <r>
    <x v="1"/>
    <x v="0"/>
    <x v="5"/>
    <x v="0"/>
    <x v="0"/>
    <x v="0"/>
    <x v="0"/>
    <n v="1"/>
    <n v="6557.38"/>
    <n v="26367.040000000001"/>
    <x v="0"/>
  </r>
  <r>
    <x v="1"/>
    <x v="0"/>
    <x v="5"/>
    <x v="0"/>
    <x v="0"/>
    <x v="0"/>
    <x v="1"/>
    <n v="3"/>
    <n v="17334.2"/>
    <n v="71685.39"/>
    <x v="0"/>
  </r>
  <r>
    <x v="1"/>
    <x v="0"/>
    <x v="5"/>
    <x v="0"/>
    <x v="0"/>
    <x v="1"/>
    <x v="1"/>
    <n v="4"/>
    <n v="17858.84"/>
    <n v="48498.87"/>
    <x v="0"/>
  </r>
  <r>
    <x v="1"/>
    <x v="0"/>
    <x v="5"/>
    <x v="0"/>
    <x v="1"/>
    <x v="0"/>
    <x v="0"/>
    <n v="2"/>
    <n v="11021.35"/>
    <n v="45318.35"/>
    <x v="0"/>
  </r>
  <r>
    <x v="1"/>
    <x v="0"/>
    <x v="5"/>
    <x v="0"/>
    <x v="1"/>
    <x v="0"/>
    <x v="1"/>
    <n v="4"/>
    <n v="20730.439999999999"/>
    <n v="87340.82"/>
    <x v="0"/>
  </r>
  <r>
    <x v="1"/>
    <x v="0"/>
    <x v="5"/>
    <x v="0"/>
    <x v="1"/>
    <x v="1"/>
    <x v="0"/>
    <n v="10"/>
    <n v="55208.74"/>
    <n v="143579.24"/>
    <x v="0"/>
  </r>
  <r>
    <x v="1"/>
    <x v="0"/>
    <x v="5"/>
    <x v="0"/>
    <x v="1"/>
    <x v="1"/>
    <x v="1"/>
    <n v="18"/>
    <n v="105489.29"/>
    <n v="274442.98"/>
    <x v="0"/>
  </r>
  <r>
    <x v="1"/>
    <x v="0"/>
    <x v="5"/>
    <x v="0"/>
    <x v="2"/>
    <x v="0"/>
    <x v="1"/>
    <n v="2"/>
    <n v="8775.02"/>
    <n v="34606.74"/>
    <x v="0"/>
  </r>
  <r>
    <x v="1"/>
    <x v="0"/>
    <x v="5"/>
    <x v="0"/>
    <x v="2"/>
    <x v="1"/>
    <x v="1"/>
    <n v="17"/>
    <n v="93292.06"/>
    <n v="237192.55"/>
    <x v="0"/>
  </r>
  <r>
    <x v="1"/>
    <x v="0"/>
    <x v="5"/>
    <x v="0"/>
    <x v="3"/>
    <x v="0"/>
    <x v="1"/>
    <n v="4"/>
    <n v="19850.37"/>
    <n v="81573.03"/>
    <x v="0"/>
  </r>
  <r>
    <x v="1"/>
    <x v="0"/>
    <x v="5"/>
    <x v="0"/>
    <x v="3"/>
    <x v="1"/>
    <x v="0"/>
    <n v="2"/>
    <n v="10561.31"/>
    <n v="28211.09"/>
    <x v="0"/>
  </r>
  <r>
    <x v="1"/>
    <x v="0"/>
    <x v="5"/>
    <x v="0"/>
    <x v="3"/>
    <x v="1"/>
    <x v="1"/>
    <n v="13"/>
    <n v="80916.070000000007"/>
    <n v="211849.29"/>
    <x v="0"/>
  </r>
  <r>
    <x v="1"/>
    <x v="0"/>
    <x v="5"/>
    <x v="0"/>
    <x v="28"/>
    <x v="1"/>
    <x v="1"/>
    <n v="1"/>
    <n v="6388.58"/>
    <n v="17244.04"/>
    <x v="0"/>
  </r>
  <r>
    <x v="1"/>
    <x v="0"/>
    <x v="5"/>
    <x v="0"/>
    <x v="4"/>
    <x v="0"/>
    <x v="1"/>
    <n v="1"/>
    <n v="6610.79"/>
    <n v="26367.040000000001"/>
    <x v="0"/>
  </r>
  <r>
    <x v="1"/>
    <x v="0"/>
    <x v="5"/>
    <x v="0"/>
    <x v="4"/>
    <x v="1"/>
    <x v="1"/>
    <n v="5"/>
    <n v="31418.9"/>
    <n v="84374.53"/>
    <x v="0"/>
  </r>
  <r>
    <x v="1"/>
    <x v="0"/>
    <x v="5"/>
    <x v="0"/>
    <x v="5"/>
    <x v="1"/>
    <x v="0"/>
    <n v="1"/>
    <n v="4103.62"/>
    <n v="11402.92"/>
    <x v="0"/>
  </r>
  <r>
    <x v="1"/>
    <x v="0"/>
    <x v="5"/>
    <x v="0"/>
    <x v="5"/>
    <x v="1"/>
    <x v="1"/>
    <n v="23"/>
    <n v="117136.33"/>
    <n v="309507.84999999998"/>
    <x v="0"/>
  </r>
  <r>
    <x v="1"/>
    <x v="0"/>
    <x v="5"/>
    <x v="0"/>
    <x v="6"/>
    <x v="0"/>
    <x v="1"/>
    <n v="1"/>
    <n v="4486.99"/>
    <n v="18951.310000000001"/>
    <x v="0"/>
  </r>
  <r>
    <x v="1"/>
    <x v="0"/>
    <x v="5"/>
    <x v="0"/>
    <x v="8"/>
    <x v="1"/>
    <x v="1"/>
    <n v="1"/>
    <n v="6577.19"/>
    <n v="16795.8"/>
    <x v="0"/>
  </r>
  <r>
    <x v="1"/>
    <x v="0"/>
    <x v="5"/>
    <x v="1"/>
    <x v="30"/>
    <x v="1"/>
    <x v="0"/>
    <n v="2"/>
    <n v="13074.68"/>
    <n v="36333.78"/>
    <x v="0"/>
  </r>
  <r>
    <x v="1"/>
    <x v="0"/>
    <x v="5"/>
    <x v="1"/>
    <x v="9"/>
    <x v="1"/>
    <x v="1"/>
    <n v="3"/>
    <n v="13932.66"/>
    <n v="39115.5"/>
    <x v="0"/>
  </r>
  <r>
    <x v="1"/>
    <x v="0"/>
    <x v="5"/>
    <x v="1"/>
    <x v="10"/>
    <x v="0"/>
    <x v="0"/>
    <n v="1"/>
    <n v="4493.4399999999996"/>
    <n v="18951.310000000001"/>
    <x v="0"/>
  </r>
  <r>
    <x v="1"/>
    <x v="0"/>
    <x v="5"/>
    <x v="1"/>
    <x v="10"/>
    <x v="0"/>
    <x v="1"/>
    <n v="3"/>
    <n v="15323.24"/>
    <n v="62621.72"/>
    <x v="0"/>
  </r>
  <r>
    <x v="1"/>
    <x v="0"/>
    <x v="5"/>
    <x v="1"/>
    <x v="10"/>
    <x v="1"/>
    <x v="0"/>
    <n v="7"/>
    <n v="33870.07"/>
    <n v="95531.08"/>
    <x v="0"/>
  </r>
  <r>
    <x v="1"/>
    <x v="0"/>
    <x v="5"/>
    <x v="1"/>
    <x v="10"/>
    <x v="1"/>
    <x v="1"/>
    <n v="23"/>
    <n v="124174.56"/>
    <n v="342360.26"/>
    <x v="0"/>
  </r>
  <r>
    <x v="1"/>
    <x v="0"/>
    <x v="5"/>
    <x v="1"/>
    <x v="11"/>
    <x v="0"/>
    <x v="1"/>
    <n v="8"/>
    <n v="41722.44"/>
    <n v="170561.79"/>
    <x v="0"/>
  </r>
  <r>
    <x v="1"/>
    <x v="0"/>
    <x v="5"/>
    <x v="1"/>
    <x v="11"/>
    <x v="1"/>
    <x v="0"/>
    <n v="7"/>
    <n v="45918.43"/>
    <n v="119970.03"/>
    <x v="0"/>
  </r>
  <r>
    <x v="1"/>
    <x v="0"/>
    <x v="5"/>
    <x v="1"/>
    <x v="11"/>
    <x v="1"/>
    <x v="1"/>
    <n v="14"/>
    <n v="73980.73"/>
    <n v="191163.8"/>
    <x v="0"/>
  </r>
  <r>
    <x v="1"/>
    <x v="0"/>
    <x v="5"/>
    <x v="1"/>
    <x v="13"/>
    <x v="0"/>
    <x v="1"/>
    <n v="2"/>
    <n v="10939.89"/>
    <n v="45318.35"/>
    <x v="0"/>
  </r>
  <r>
    <x v="1"/>
    <x v="0"/>
    <x v="5"/>
    <x v="1"/>
    <x v="13"/>
    <x v="1"/>
    <x v="0"/>
    <n v="7"/>
    <n v="41204.81"/>
    <n v="115591.45"/>
    <x v="0"/>
  </r>
  <r>
    <x v="1"/>
    <x v="0"/>
    <x v="5"/>
    <x v="1"/>
    <x v="13"/>
    <x v="1"/>
    <x v="1"/>
    <n v="2"/>
    <n v="10695.29"/>
    <n v="30861.79"/>
    <x v="0"/>
  </r>
  <r>
    <x v="1"/>
    <x v="0"/>
    <x v="5"/>
    <x v="1"/>
    <x v="14"/>
    <x v="0"/>
    <x v="1"/>
    <n v="1"/>
    <n v="4165.3999999999996"/>
    <n v="17303.37"/>
    <x v="0"/>
  </r>
  <r>
    <x v="1"/>
    <x v="0"/>
    <x v="5"/>
    <x v="1"/>
    <x v="14"/>
    <x v="1"/>
    <x v="0"/>
    <n v="10"/>
    <n v="59708.35"/>
    <n v="164469.66"/>
    <x v="0"/>
  </r>
  <r>
    <x v="1"/>
    <x v="0"/>
    <x v="5"/>
    <x v="1"/>
    <x v="14"/>
    <x v="1"/>
    <x v="1"/>
    <n v="4"/>
    <n v="25329.56"/>
    <n v="70452.740000000005"/>
    <x v="0"/>
  </r>
  <r>
    <x v="1"/>
    <x v="0"/>
    <x v="5"/>
    <x v="1"/>
    <x v="15"/>
    <x v="1"/>
    <x v="0"/>
    <n v="3"/>
    <n v="15302.91"/>
    <n v="42132.88"/>
    <x v="0"/>
  </r>
  <r>
    <x v="1"/>
    <x v="0"/>
    <x v="5"/>
    <x v="1"/>
    <x v="15"/>
    <x v="1"/>
    <x v="1"/>
    <n v="2"/>
    <n v="9298.9599999999991"/>
    <n v="24866.21"/>
    <x v="0"/>
  </r>
  <r>
    <x v="1"/>
    <x v="0"/>
    <x v="5"/>
    <x v="1"/>
    <x v="16"/>
    <x v="1"/>
    <x v="0"/>
    <n v="8"/>
    <n v="44342.5"/>
    <n v="116024.85"/>
    <x v="0"/>
  </r>
  <r>
    <x v="1"/>
    <x v="0"/>
    <x v="5"/>
    <x v="1"/>
    <x v="16"/>
    <x v="1"/>
    <x v="1"/>
    <n v="5"/>
    <n v="22998.5"/>
    <n v="61265.46"/>
    <x v="0"/>
  </r>
  <r>
    <x v="1"/>
    <x v="0"/>
    <x v="5"/>
    <x v="1"/>
    <x v="17"/>
    <x v="1"/>
    <x v="0"/>
    <n v="2"/>
    <n v="13489.14"/>
    <n v="33160.25"/>
    <x v="0"/>
  </r>
  <r>
    <x v="1"/>
    <x v="0"/>
    <x v="5"/>
    <x v="1"/>
    <x v="18"/>
    <x v="0"/>
    <x v="1"/>
    <n v="8"/>
    <n v="45043.94"/>
    <n v="185393.25"/>
    <x v="0"/>
  </r>
  <r>
    <x v="1"/>
    <x v="0"/>
    <x v="5"/>
    <x v="1"/>
    <x v="18"/>
    <x v="1"/>
    <x v="0"/>
    <n v="8"/>
    <n v="45238.879999999997"/>
    <n v="127702.98"/>
    <x v="0"/>
  </r>
  <r>
    <x v="1"/>
    <x v="0"/>
    <x v="5"/>
    <x v="1"/>
    <x v="18"/>
    <x v="1"/>
    <x v="1"/>
    <n v="7"/>
    <n v="44159.41"/>
    <n v="123121.72"/>
    <x v="0"/>
  </r>
  <r>
    <x v="1"/>
    <x v="0"/>
    <x v="5"/>
    <x v="1"/>
    <x v="19"/>
    <x v="0"/>
    <x v="1"/>
    <n v="3"/>
    <n v="12914.93"/>
    <n v="51910.11"/>
    <x v="0"/>
  </r>
  <r>
    <x v="1"/>
    <x v="0"/>
    <x v="5"/>
    <x v="1"/>
    <x v="19"/>
    <x v="1"/>
    <x v="1"/>
    <n v="3"/>
    <n v="17799.62"/>
    <n v="48315.95"/>
    <x v="0"/>
  </r>
  <r>
    <x v="1"/>
    <x v="0"/>
    <x v="5"/>
    <x v="1"/>
    <x v="20"/>
    <x v="0"/>
    <x v="1"/>
    <n v="9"/>
    <n v="49606.31"/>
    <n v="204344.56"/>
    <x v="0"/>
  </r>
  <r>
    <x v="1"/>
    <x v="0"/>
    <x v="5"/>
    <x v="1"/>
    <x v="20"/>
    <x v="1"/>
    <x v="0"/>
    <n v="4"/>
    <n v="24650.959999999999"/>
    <n v="63916.17"/>
    <x v="0"/>
  </r>
  <r>
    <x v="1"/>
    <x v="0"/>
    <x v="5"/>
    <x v="1"/>
    <x v="20"/>
    <x v="1"/>
    <x v="1"/>
    <n v="13"/>
    <n v="71036.850000000006"/>
    <n v="190655.96"/>
    <x v="0"/>
  </r>
  <r>
    <x v="1"/>
    <x v="0"/>
    <x v="5"/>
    <x v="2"/>
    <x v="21"/>
    <x v="0"/>
    <x v="0"/>
    <n v="4"/>
    <n v="23874.6"/>
    <n v="96404.49"/>
    <x v="0"/>
  </r>
  <r>
    <x v="1"/>
    <x v="0"/>
    <x v="5"/>
    <x v="2"/>
    <x v="21"/>
    <x v="1"/>
    <x v="1"/>
    <n v="2"/>
    <n v="13506.76"/>
    <n v="30880.51"/>
    <x v="0"/>
  </r>
  <r>
    <x v="1"/>
    <x v="0"/>
    <x v="5"/>
    <x v="2"/>
    <x v="22"/>
    <x v="0"/>
    <x v="1"/>
    <n v="1"/>
    <n v="6364.72"/>
    <n v="26367.040000000001"/>
    <x v="0"/>
  </r>
  <r>
    <x v="1"/>
    <x v="0"/>
    <x v="5"/>
    <x v="2"/>
    <x v="22"/>
    <x v="1"/>
    <x v="0"/>
    <n v="2"/>
    <n v="10898.7"/>
    <n v="27598.880000000001"/>
    <x v="0"/>
  </r>
  <r>
    <x v="1"/>
    <x v="0"/>
    <x v="5"/>
    <x v="2"/>
    <x v="22"/>
    <x v="1"/>
    <x v="1"/>
    <n v="14"/>
    <n v="76792.06"/>
    <n v="188174.14"/>
    <x v="0"/>
  </r>
  <r>
    <x v="1"/>
    <x v="0"/>
    <x v="5"/>
    <x v="2"/>
    <x v="29"/>
    <x v="0"/>
    <x v="1"/>
    <n v="1"/>
    <n v="4112.84"/>
    <n v="17303.37"/>
    <x v="0"/>
  </r>
  <r>
    <x v="1"/>
    <x v="0"/>
    <x v="5"/>
    <x v="2"/>
    <x v="24"/>
    <x v="0"/>
    <x v="1"/>
    <n v="1"/>
    <n v="6229.71"/>
    <n v="26367.040000000001"/>
    <x v="0"/>
  </r>
  <r>
    <x v="1"/>
    <x v="0"/>
    <x v="5"/>
    <x v="3"/>
    <x v="25"/>
    <x v="0"/>
    <x v="1"/>
    <n v="2"/>
    <n v="8861.6"/>
    <n v="34606.74"/>
    <x v="0"/>
  </r>
  <r>
    <x v="1"/>
    <x v="0"/>
    <x v="5"/>
    <x v="3"/>
    <x v="25"/>
    <x v="1"/>
    <x v="0"/>
    <n v="5"/>
    <n v="31223.25"/>
    <n v="90307.11"/>
    <x v="0"/>
  </r>
  <r>
    <x v="1"/>
    <x v="0"/>
    <x v="5"/>
    <x v="3"/>
    <x v="26"/>
    <x v="0"/>
    <x v="1"/>
    <n v="1"/>
    <n v="4173.62"/>
    <n v="17303.37"/>
    <x v="0"/>
  </r>
  <r>
    <x v="1"/>
    <x v="0"/>
    <x v="5"/>
    <x v="3"/>
    <x v="26"/>
    <x v="1"/>
    <x v="0"/>
    <n v="2"/>
    <n v="8977.5400000000009"/>
    <n v="25401.74"/>
    <x v="0"/>
  </r>
  <r>
    <x v="1"/>
    <x v="0"/>
    <x v="5"/>
    <x v="3"/>
    <x v="26"/>
    <x v="1"/>
    <x v="1"/>
    <n v="13"/>
    <n v="68791.460000000006"/>
    <n v="192166.29"/>
    <x v="0"/>
  </r>
  <r>
    <x v="1"/>
    <x v="0"/>
    <x v="5"/>
    <x v="3"/>
    <x v="27"/>
    <x v="0"/>
    <x v="0"/>
    <n v="6"/>
    <n v="34369.519999999997"/>
    <n v="141722.84"/>
    <x v="0"/>
  </r>
  <r>
    <x v="1"/>
    <x v="0"/>
    <x v="5"/>
    <x v="3"/>
    <x v="27"/>
    <x v="0"/>
    <x v="1"/>
    <n v="7"/>
    <n v="35839.74"/>
    <n v="140898.87"/>
    <x v="0"/>
  </r>
  <r>
    <x v="1"/>
    <x v="0"/>
    <x v="5"/>
    <x v="3"/>
    <x v="27"/>
    <x v="1"/>
    <x v="0"/>
    <n v="12"/>
    <n v="56917.2"/>
    <n v="152844.79"/>
    <x v="0"/>
  </r>
  <r>
    <x v="1"/>
    <x v="0"/>
    <x v="5"/>
    <x v="3"/>
    <x v="27"/>
    <x v="1"/>
    <x v="1"/>
    <n v="12"/>
    <n v="60960.97"/>
    <n v="168463.96"/>
    <x v="0"/>
  </r>
  <r>
    <x v="1"/>
    <x v="0"/>
    <x v="6"/>
    <x v="0"/>
    <x v="0"/>
    <x v="0"/>
    <x v="0"/>
    <n v="1"/>
    <n v="2101"/>
    <n v="7414.4"/>
    <x v="0"/>
  </r>
  <r>
    <x v="1"/>
    <x v="0"/>
    <x v="6"/>
    <x v="0"/>
    <x v="0"/>
    <x v="0"/>
    <x v="1"/>
    <n v="1"/>
    <n v="3021.14"/>
    <n v="10315.68"/>
    <x v="0"/>
  </r>
  <r>
    <x v="1"/>
    <x v="0"/>
    <x v="6"/>
    <x v="0"/>
    <x v="1"/>
    <x v="0"/>
    <x v="1"/>
    <n v="1"/>
    <n v="2940.28"/>
    <n v="10315.68"/>
    <x v="0"/>
  </r>
  <r>
    <x v="1"/>
    <x v="0"/>
    <x v="6"/>
    <x v="0"/>
    <x v="1"/>
    <x v="1"/>
    <x v="0"/>
    <n v="20"/>
    <n v="54972.87"/>
    <n v="122629.01"/>
    <x v="0"/>
  </r>
  <r>
    <x v="1"/>
    <x v="0"/>
    <x v="6"/>
    <x v="0"/>
    <x v="1"/>
    <x v="1"/>
    <x v="1"/>
    <n v="22"/>
    <n v="56908.54"/>
    <n v="127176.77"/>
    <x v="0"/>
  </r>
  <r>
    <x v="1"/>
    <x v="0"/>
    <x v="6"/>
    <x v="0"/>
    <x v="2"/>
    <x v="1"/>
    <x v="0"/>
    <n v="2"/>
    <n v="5792.86"/>
    <n v="12812.07"/>
    <x v="0"/>
  </r>
  <r>
    <x v="1"/>
    <x v="0"/>
    <x v="6"/>
    <x v="0"/>
    <x v="2"/>
    <x v="1"/>
    <x v="1"/>
    <n v="12"/>
    <n v="28051.1"/>
    <n v="61257.73"/>
    <x v="0"/>
  </r>
  <r>
    <x v="1"/>
    <x v="0"/>
    <x v="6"/>
    <x v="0"/>
    <x v="3"/>
    <x v="0"/>
    <x v="0"/>
    <n v="1"/>
    <n v="2981.71"/>
    <n v="10315.68"/>
    <x v="0"/>
  </r>
  <r>
    <x v="1"/>
    <x v="0"/>
    <x v="6"/>
    <x v="0"/>
    <x v="3"/>
    <x v="0"/>
    <x v="1"/>
    <n v="6"/>
    <n v="14978.38"/>
    <n v="52223.14"/>
    <x v="0"/>
  </r>
  <r>
    <x v="1"/>
    <x v="0"/>
    <x v="6"/>
    <x v="0"/>
    <x v="3"/>
    <x v="1"/>
    <x v="0"/>
    <n v="15"/>
    <n v="41509.599999999999"/>
    <n v="92462.03"/>
    <x v="0"/>
  </r>
  <r>
    <x v="1"/>
    <x v="0"/>
    <x v="6"/>
    <x v="0"/>
    <x v="3"/>
    <x v="1"/>
    <x v="1"/>
    <n v="27"/>
    <n v="76659.48"/>
    <n v="172429.2"/>
    <x v="0"/>
  </r>
  <r>
    <x v="1"/>
    <x v="0"/>
    <x v="6"/>
    <x v="0"/>
    <x v="4"/>
    <x v="1"/>
    <x v="0"/>
    <n v="4"/>
    <n v="11106.77"/>
    <n v="24551.33"/>
    <x v="0"/>
  </r>
  <r>
    <x v="1"/>
    <x v="0"/>
    <x v="6"/>
    <x v="0"/>
    <x v="4"/>
    <x v="1"/>
    <x v="1"/>
    <n v="3"/>
    <n v="9023.57"/>
    <n v="19806.11"/>
    <x v="0"/>
  </r>
  <r>
    <x v="1"/>
    <x v="0"/>
    <x v="6"/>
    <x v="0"/>
    <x v="5"/>
    <x v="0"/>
    <x v="1"/>
    <n v="1"/>
    <n v="2921.17"/>
    <n v="10315.68"/>
    <x v="0"/>
  </r>
  <r>
    <x v="1"/>
    <x v="0"/>
    <x v="6"/>
    <x v="0"/>
    <x v="5"/>
    <x v="1"/>
    <x v="1"/>
    <n v="17"/>
    <n v="44195.199999999997"/>
    <n v="100908.33"/>
    <x v="0"/>
  </r>
  <r>
    <x v="1"/>
    <x v="0"/>
    <x v="6"/>
    <x v="0"/>
    <x v="6"/>
    <x v="0"/>
    <x v="1"/>
    <n v="1"/>
    <n v="1791.95"/>
    <n v="6447.3"/>
    <x v="0"/>
  </r>
  <r>
    <x v="1"/>
    <x v="0"/>
    <x v="6"/>
    <x v="0"/>
    <x v="8"/>
    <x v="0"/>
    <x v="1"/>
    <n v="1"/>
    <n v="3010.32"/>
    <n v="10315.68"/>
    <x v="0"/>
  </r>
  <r>
    <x v="1"/>
    <x v="0"/>
    <x v="6"/>
    <x v="1"/>
    <x v="9"/>
    <x v="1"/>
    <x v="1"/>
    <n v="4"/>
    <n v="8548.51"/>
    <n v="20404.419999999998"/>
    <x v="0"/>
  </r>
  <r>
    <x v="1"/>
    <x v="0"/>
    <x v="6"/>
    <x v="1"/>
    <x v="31"/>
    <x v="1"/>
    <x v="0"/>
    <n v="3"/>
    <n v="8944.4699999999993"/>
    <n v="21508.19"/>
    <x v="0"/>
  </r>
  <r>
    <x v="1"/>
    <x v="0"/>
    <x v="6"/>
    <x v="1"/>
    <x v="10"/>
    <x v="0"/>
    <x v="1"/>
    <n v="4"/>
    <n v="11075.76"/>
    <n v="38361.440000000002"/>
    <x v="0"/>
  </r>
  <r>
    <x v="1"/>
    <x v="0"/>
    <x v="6"/>
    <x v="1"/>
    <x v="10"/>
    <x v="1"/>
    <x v="0"/>
    <n v="5"/>
    <n v="12659.8"/>
    <n v="29900"/>
    <x v="0"/>
  </r>
  <r>
    <x v="1"/>
    <x v="0"/>
    <x v="6"/>
    <x v="1"/>
    <x v="10"/>
    <x v="1"/>
    <x v="1"/>
    <n v="25"/>
    <n v="65791.77"/>
    <n v="156095.60999999999"/>
    <x v="0"/>
  </r>
  <r>
    <x v="1"/>
    <x v="0"/>
    <x v="6"/>
    <x v="1"/>
    <x v="11"/>
    <x v="0"/>
    <x v="1"/>
    <n v="15"/>
    <n v="37235.57"/>
    <n v="130557.84"/>
    <x v="0"/>
  </r>
  <r>
    <x v="1"/>
    <x v="0"/>
    <x v="6"/>
    <x v="1"/>
    <x v="11"/>
    <x v="1"/>
    <x v="1"/>
    <n v="22"/>
    <n v="56454.8"/>
    <n v="126309.62"/>
    <x v="0"/>
  </r>
  <r>
    <x v="1"/>
    <x v="0"/>
    <x v="6"/>
    <x v="1"/>
    <x v="12"/>
    <x v="1"/>
    <x v="1"/>
    <n v="7"/>
    <n v="18997.580000000002"/>
    <n v="45422.53"/>
    <x v="0"/>
  </r>
  <r>
    <x v="1"/>
    <x v="0"/>
    <x v="6"/>
    <x v="1"/>
    <x v="13"/>
    <x v="0"/>
    <x v="1"/>
    <n v="5"/>
    <n v="12903.8"/>
    <n v="44808.74"/>
    <x v="0"/>
  </r>
  <r>
    <x v="1"/>
    <x v="0"/>
    <x v="6"/>
    <x v="1"/>
    <x v="13"/>
    <x v="1"/>
    <x v="0"/>
    <n v="3"/>
    <n v="8127.58"/>
    <n v="19099.169999999998"/>
    <x v="0"/>
  </r>
  <r>
    <x v="1"/>
    <x v="0"/>
    <x v="6"/>
    <x v="1"/>
    <x v="13"/>
    <x v="1"/>
    <x v="1"/>
    <n v="9"/>
    <n v="18134.669999999998"/>
    <n v="44125.67"/>
    <x v="0"/>
  </r>
  <r>
    <x v="1"/>
    <x v="0"/>
    <x v="6"/>
    <x v="1"/>
    <x v="14"/>
    <x v="0"/>
    <x v="1"/>
    <n v="2"/>
    <n v="5873.51"/>
    <n v="20631.36"/>
    <x v="0"/>
  </r>
  <r>
    <x v="1"/>
    <x v="0"/>
    <x v="6"/>
    <x v="1"/>
    <x v="14"/>
    <x v="1"/>
    <x v="0"/>
    <n v="8"/>
    <n v="23980.47"/>
    <n v="55126.99"/>
    <x v="0"/>
  </r>
  <r>
    <x v="1"/>
    <x v="0"/>
    <x v="6"/>
    <x v="1"/>
    <x v="14"/>
    <x v="1"/>
    <x v="1"/>
    <n v="4"/>
    <n v="8456.61"/>
    <n v="19654.21"/>
    <x v="0"/>
  </r>
  <r>
    <x v="1"/>
    <x v="0"/>
    <x v="6"/>
    <x v="1"/>
    <x v="15"/>
    <x v="1"/>
    <x v="0"/>
    <n v="1"/>
    <n v="2077.12"/>
    <n v="5123.3500000000004"/>
    <x v="0"/>
  </r>
  <r>
    <x v="1"/>
    <x v="0"/>
    <x v="6"/>
    <x v="1"/>
    <x v="16"/>
    <x v="1"/>
    <x v="0"/>
    <n v="7"/>
    <n v="16349.32"/>
    <n v="37202.42"/>
    <x v="0"/>
  </r>
  <r>
    <x v="1"/>
    <x v="0"/>
    <x v="6"/>
    <x v="1"/>
    <x v="16"/>
    <x v="1"/>
    <x v="1"/>
    <n v="14"/>
    <n v="41714.21"/>
    <n v="94843.08"/>
    <x v="0"/>
  </r>
  <r>
    <x v="1"/>
    <x v="0"/>
    <x v="6"/>
    <x v="1"/>
    <x v="17"/>
    <x v="0"/>
    <x v="1"/>
    <n v="1"/>
    <n v="2990.24"/>
    <n v="10315.68"/>
    <x v="0"/>
  </r>
  <r>
    <x v="1"/>
    <x v="0"/>
    <x v="6"/>
    <x v="1"/>
    <x v="17"/>
    <x v="1"/>
    <x v="0"/>
    <n v="5"/>
    <n v="13110.94"/>
    <n v="29578.81"/>
    <x v="0"/>
  </r>
  <r>
    <x v="1"/>
    <x v="0"/>
    <x v="6"/>
    <x v="1"/>
    <x v="17"/>
    <x v="1"/>
    <x v="1"/>
    <n v="1"/>
    <n v="3065.4"/>
    <n v="6849.61"/>
    <x v="0"/>
  </r>
  <r>
    <x v="1"/>
    <x v="0"/>
    <x v="6"/>
    <x v="1"/>
    <x v="18"/>
    <x v="0"/>
    <x v="1"/>
    <n v="11"/>
    <n v="31054.22"/>
    <n v="107669.92"/>
    <x v="0"/>
  </r>
  <r>
    <x v="1"/>
    <x v="0"/>
    <x v="6"/>
    <x v="1"/>
    <x v="18"/>
    <x v="1"/>
    <x v="0"/>
    <n v="5"/>
    <n v="12490.28"/>
    <n v="30469.95"/>
    <x v="0"/>
  </r>
  <r>
    <x v="1"/>
    <x v="0"/>
    <x v="6"/>
    <x v="1"/>
    <x v="18"/>
    <x v="1"/>
    <x v="1"/>
    <n v="15"/>
    <n v="36965.839999999997"/>
    <n v="89172.29"/>
    <x v="0"/>
  </r>
  <r>
    <x v="1"/>
    <x v="0"/>
    <x v="6"/>
    <x v="1"/>
    <x v="19"/>
    <x v="0"/>
    <x v="1"/>
    <n v="5"/>
    <n v="13272.85"/>
    <n v="45775.839999999997"/>
    <x v="0"/>
  </r>
  <r>
    <x v="1"/>
    <x v="0"/>
    <x v="6"/>
    <x v="1"/>
    <x v="19"/>
    <x v="1"/>
    <x v="0"/>
    <n v="17"/>
    <n v="40696.11"/>
    <n v="96686.96"/>
    <x v="0"/>
  </r>
  <r>
    <x v="1"/>
    <x v="0"/>
    <x v="6"/>
    <x v="1"/>
    <x v="19"/>
    <x v="1"/>
    <x v="1"/>
    <n v="5"/>
    <n v="11291.89"/>
    <n v="26941.98"/>
    <x v="0"/>
  </r>
  <r>
    <x v="1"/>
    <x v="0"/>
    <x v="6"/>
    <x v="1"/>
    <x v="20"/>
    <x v="0"/>
    <x v="0"/>
    <n v="1"/>
    <n v="2995.18"/>
    <n v="10315.68"/>
    <x v="0"/>
  </r>
  <r>
    <x v="1"/>
    <x v="0"/>
    <x v="6"/>
    <x v="1"/>
    <x v="20"/>
    <x v="0"/>
    <x v="1"/>
    <n v="3"/>
    <n v="8888.58"/>
    <n v="30947.040000000001"/>
    <x v="0"/>
  </r>
  <r>
    <x v="1"/>
    <x v="0"/>
    <x v="6"/>
    <x v="1"/>
    <x v="20"/>
    <x v="1"/>
    <x v="0"/>
    <n v="11"/>
    <n v="26595.33"/>
    <n v="61154.15"/>
    <x v="0"/>
  </r>
  <r>
    <x v="1"/>
    <x v="0"/>
    <x v="6"/>
    <x v="1"/>
    <x v="20"/>
    <x v="1"/>
    <x v="1"/>
    <n v="29"/>
    <n v="69213.77"/>
    <n v="162433.31"/>
    <x v="0"/>
  </r>
  <r>
    <x v="1"/>
    <x v="0"/>
    <x v="6"/>
    <x v="2"/>
    <x v="21"/>
    <x v="0"/>
    <x v="0"/>
    <n v="3"/>
    <n v="8875.02"/>
    <n v="30947.040000000001"/>
    <x v="0"/>
  </r>
  <r>
    <x v="1"/>
    <x v="0"/>
    <x v="6"/>
    <x v="2"/>
    <x v="22"/>
    <x v="0"/>
    <x v="1"/>
    <n v="1"/>
    <n v="2078.3000000000002"/>
    <n v="7414.4"/>
    <x v="0"/>
  </r>
  <r>
    <x v="1"/>
    <x v="0"/>
    <x v="6"/>
    <x v="2"/>
    <x v="22"/>
    <x v="1"/>
    <x v="0"/>
    <n v="6"/>
    <n v="14812.26"/>
    <n v="32392.86"/>
    <x v="0"/>
  </r>
  <r>
    <x v="1"/>
    <x v="0"/>
    <x v="6"/>
    <x v="2"/>
    <x v="22"/>
    <x v="1"/>
    <x v="1"/>
    <n v="14"/>
    <n v="40596.57"/>
    <n v="84417.74"/>
    <x v="0"/>
  </r>
  <r>
    <x v="1"/>
    <x v="0"/>
    <x v="6"/>
    <x v="2"/>
    <x v="29"/>
    <x v="0"/>
    <x v="1"/>
    <n v="1"/>
    <n v="2114.6999999999998"/>
    <n v="7414.4"/>
    <x v="0"/>
  </r>
  <r>
    <x v="1"/>
    <x v="0"/>
    <x v="6"/>
    <x v="2"/>
    <x v="24"/>
    <x v="0"/>
    <x v="1"/>
    <n v="1"/>
    <n v="2994.83"/>
    <n v="10315.68"/>
    <x v="0"/>
  </r>
  <r>
    <x v="1"/>
    <x v="0"/>
    <x v="6"/>
    <x v="3"/>
    <x v="25"/>
    <x v="1"/>
    <x v="0"/>
    <n v="5"/>
    <n v="12371.15"/>
    <n v="29369.07"/>
    <x v="0"/>
  </r>
  <r>
    <x v="1"/>
    <x v="0"/>
    <x v="6"/>
    <x v="3"/>
    <x v="25"/>
    <x v="1"/>
    <x v="1"/>
    <n v="5"/>
    <n v="15373.5"/>
    <n v="34399.19"/>
    <x v="0"/>
  </r>
  <r>
    <x v="1"/>
    <x v="0"/>
    <x v="6"/>
    <x v="3"/>
    <x v="26"/>
    <x v="0"/>
    <x v="0"/>
    <n v="1"/>
    <n v="2085.96"/>
    <n v="7414.4"/>
    <x v="0"/>
  </r>
  <r>
    <x v="1"/>
    <x v="0"/>
    <x v="6"/>
    <x v="3"/>
    <x v="26"/>
    <x v="0"/>
    <x v="1"/>
    <n v="1"/>
    <n v="2079.9"/>
    <n v="7414.4"/>
    <x v="0"/>
  </r>
  <r>
    <x v="1"/>
    <x v="0"/>
    <x v="6"/>
    <x v="3"/>
    <x v="26"/>
    <x v="1"/>
    <x v="1"/>
    <n v="11"/>
    <n v="27430.1"/>
    <n v="66284.72"/>
    <x v="0"/>
  </r>
  <r>
    <x v="1"/>
    <x v="0"/>
    <x v="6"/>
    <x v="3"/>
    <x v="27"/>
    <x v="0"/>
    <x v="1"/>
    <n v="2"/>
    <n v="4873.7"/>
    <n v="16762.98"/>
    <x v="0"/>
  </r>
  <r>
    <x v="1"/>
    <x v="0"/>
    <x v="6"/>
    <x v="3"/>
    <x v="27"/>
    <x v="1"/>
    <x v="0"/>
    <n v="2"/>
    <n v="5879.13"/>
    <n v="13967.44"/>
    <x v="0"/>
  </r>
  <r>
    <x v="1"/>
    <x v="0"/>
    <x v="6"/>
    <x v="3"/>
    <x v="27"/>
    <x v="1"/>
    <x v="1"/>
    <n v="19"/>
    <n v="43877.84"/>
    <n v="104665.58"/>
    <x v="0"/>
  </r>
  <r>
    <x v="1"/>
    <x v="0"/>
    <x v="7"/>
    <x v="0"/>
    <x v="0"/>
    <x v="0"/>
    <x v="0"/>
    <n v="1"/>
    <n v="5575.84"/>
    <n v="21666.74"/>
    <x v="0"/>
  </r>
  <r>
    <x v="1"/>
    <x v="0"/>
    <x v="7"/>
    <x v="0"/>
    <x v="0"/>
    <x v="0"/>
    <x v="1"/>
    <n v="3"/>
    <n v="14908.62"/>
    <n v="57552.28"/>
    <x v="0"/>
  </r>
  <r>
    <x v="1"/>
    <x v="0"/>
    <x v="7"/>
    <x v="0"/>
    <x v="0"/>
    <x v="1"/>
    <x v="1"/>
    <n v="9"/>
    <n v="34425.14"/>
    <n v="89005.61"/>
    <x v="0"/>
  </r>
  <r>
    <x v="1"/>
    <x v="0"/>
    <x v="7"/>
    <x v="0"/>
    <x v="1"/>
    <x v="0"/>
    <x v="1"/>
    <n v="2"/>
    <n v="7778.21"/>
    <n v="29791.77"/>
    <x v="0"/>
  </r>
  <r>
    <x v="1"/>
    <x v="0"/>
    <x v="7"/>
    <x v="0"/>
    <x v="1"/>
    <x v="1"/>
    <x v="0"/>
    <n v="6"/>
    <n v="22156.59"/>
    <n v="54372.800000000003"/>
    <x v="0"/>
  </r>
  <r>
    <x v="1"/>
    <x v="0"/>
    <x v="7"/>
    <x v="0"/>
    <x v="1"/>
    <x v="1"/>
    <x v="1"/>
    <n v="17"/>
    <n v="72428.7"/>
    <n v="177444.46"/>
    <x v="0"/>
  </r>
  <r>
    <x v="1"/>
    <x v="0"/>
    <x v="7"/>
    <x v="0"/>
    <x v="2"/>
    <x v="0"/>
    <x v="1"/>
    <n v="2"/>
    <n v="10996.19"/>
    <n v="43333.48"/>
    <x v="0"/>
  </r>
  <r>
    <x v="1"/>
    <x v="0"/>
    <x v="7"/>
    <x v="0"/>
    <x v="2"/>
    <x v="1"/>
    <x v="0"/>
    <n v="7"/>
    <n v="31936.57"/>
    <n v="76188.83"/>
    <x v="0"/>
  </r>
  <r>
    <x v="1"/>
    <x v="0"/>
    <x v="7"/>
    <x v="0"/>
    <x v="2"/>
    <x v="1"/>
    <x v="1"/>
    <n v="9"/>
    <n v="49126.82"/>
    <n v="115058.54"/>
    <x v="0"/>
  </r>
  <r>
    <x v="1"/>
    <x v="0"/>
    <x v="7"/>
    <x v="0"/>
    <x v="3"/>
    <x v="0"/>
    <x v="0"/>
    <n v="2"/>
    <n v="8770.17"/>
    <n v="35208.449999999997"/>
    <x v="0"/>
  </r>
  <r>
    <x v="1"/>
    <x v="0"/>
    <x v="7"/>
    <x v="0"/>
    <x v="3"/>
    <x v="1"/>
    <x v="0"/>
    <n v="13"/>
    <n v="61233.07"/>
    <n v="152227.41"/>
    <x v="0"/>
  </r>
  <r>
    <x v="1"/>
    <x v="0"/>
    <x v="7"/>
    <x v="0"/>
    <x v="3"/>
    <x v="1"/>
    <x v="1"/>
    <n v="16"/>
    <n v="67907.97"/>
    <n v="168835.37"/>
    <x v="0"/>
  </r>
  <r>
    <x v="1"/>
    <x v="0"/>
    <x v="7"/>
    <x v="0"/>
    <x v="4"/>
    <x v="0"/>
    <x v="1"/>
    <n v="1"/>
    <n v="3595.51"/>
    <n v="14218.8"/>
    <x v="0"/>
  </r>
  <r>
    <x v="1"/>
    <x v="0"/>
    <x v="7"/>
    <x v="0"/>
    <x v="4"/>
    <x v="1"/>
    <x v="0"/>
    <n v="8"/>
    <n v="38712.199999999997"/>
    <n v="96633.67"/>
    <x v="0"/>
  </r>
  <r>
    <x v="1"/>
    <x v="0"/>
    <x v="7"/>
    <x v="0"/>
    <x v="4"/>
    <x v="1"/>
    <x v="1"/>
    <n v="5"/>
    <n v="26066.23"/>
    <n v="64566.89"/>
    <x v="0"/>
  </r>
  <r>
    <x v="1"/>
    <x v="0"/>
    <x v="7"/>
    <x v="0"/>
    <x v="5"/>
    <x v="0"/>
    <x v="1"/>
    <n v="1"/>
    <n v="3380.75"/>
    <n v="13541.71"/>
    <x v="0"/>
  </r>
  <r>
    <x v="1"/>
    <x v="0"/>
    <x v="7"/>
    <x v="0"/>
    <x v="5"/>
    <x v="1"/>
    <x v="1"/>
    <n v="3"/>
    <n v="11172.11"/>
    <n v="29002.97"/>
    <x v="0"/>
  </r>
  <r>
    <x v="1"/>
    <x v="0"/>
    <x v="7"/>
    <x v="0"/>
    <x v="6"/>
    <x v="0"/>
    <x v="1"/>
    <n v="3"/>
    <n v="11040.63"/>
    <n v="42656.4"/>
    <x v="0"/>
  </r>
  <r>
    <x v="1"/>
    <x v="0"/>
    <x v="7"/>
    <x v="0"/>
    <x v="7"/>
    <x v="1"/>
    <x v="1"/>
    <n v="5"/>
    <n v="17106.95"/>
    <n v="45229.31"/>
    <x v="0"/>
  </r>
  <r>
    <x v="1"/>
    <x v="0"/>
    <x v="7"/>
    <x v="0"/>
    <x v="8"/>
    <x v="0"/>
    <x v="1"/>
    <n v="1"/>
    <n v="4070.1"/>
    <n v="15572.97"/>
    <x v="0"/>
  </r>
  <r>
    <x v="1"/>
    <x v="0"/>
    <x v="7"/>
    <x v="0"/>
    <x v="8"/>
    <x v="1"/>
    <x v="1"/>
    <n v="1"/>
    <n v="5404.34"/>
    <n v="13801.71"/>
    <x v="0"/>
  </r>
  <r>
    <x v="1"/>
    <x v="0"/>
    <x v="7"/>
    <x v="1"/>
    <x v="30"/>
    <x v="1"/>
    <x v="0"/>
    <n v="1"/>
    <n v="3728.13"/>
    <n v="9796.75"/>
    <x v="0"/>
  </r>
  <r>
    <x v="1"/>
    <x v="0"/>
    <x v="7"/>
    <x v="1"/>
    <x v="9"/>
    <x v="1"/>
    <x v="1"/>
    <n v="4"/>
    <n v="18516.54"/>
    <n v="48446.82"/>
    <x v="0"/>
  </r>
  <r>
    <x v="1"/>
    <x v="0"/>
    <x v="7"/>
    <x v="1"/>
    <x v="10"/>
    <x v="0"/>
    <x v="1"/>
    <n v="2"/>
    <n v="11146.57"/>
    <n v="43333.48"/>
    <x v="0"/>
  </r>
  <r>
    <x v="1"/>
    <x v="0"/>
    <x v="7"/>
    <x v="1"/>
    <x v="10"/>
    <x v="1"/>
    <x v="0"/>
    <n v="1"/>
    <n v="5388.21"/>
    <n v="14776.72"/>
    <x v="0"/>
  </r>
  <r>
    <x v="1"/>
    <x v="0"/>
    <x v="7"/>
    <x v="1"/>
    <x v="10"/>
    <x v="1"/>
    <x v="1"/>
    <n v="19"/>
    <n v="87201.32"/>
    <n v="229580.14"/>
    <x v="0"/>
  </r>
  <r>
    <x v="1"/>
    <x v="0"/>
    <x v="7"/>
    <x v="1"/>
    <x v="11"/>
    <x v="0"/>
    <x v="1"/>
    <n v="8"/>
    <n v="41410.839999999997"/>
    <n v="158438.04"/>
    <x v="0"/>
  </r>
  <r>
    <x v="1"/>
    <x v="0"/>
    <x v="7"/>
    <x v="1"/>
    <x v="11"/>
    <x v="1"/>
    <x v="1"/>
    <n v="14"/>
    <n v="61974.6"/>
    <n v="157624.79999999999"/>
    <x v="0"/>
  </r>
  <r>
    <x v="1"/>
    <x v="0"/>
    <x v="7"/>
    <x v="1"/>
    <x v="13"/>
    <x v="0"/>
    <x v="1"/>
    <n v="3"/>
    <n v="12877.99"/>
    <n v="50104.34"/>
    <x v="0"/>
  </r>
  <r>
    <x v="1"/>
    <x v="0"/>
    <x v="7"/>
    <x v="1"/>
    <x v="13"/>
    <x v="1"/>
    <x v="1"/>
    <n v="6"/>
    <n v="26967.48"/>
    <n v="71008.679999999993"/>
    <x v="0"/>
  </r>
  <r>
    <x v="1"/>
    <x v="0"/>
    <x v="7"/>
    <x v="1"/>
    <x v="14"/>
    <x v="1"/>
    <x v="0"/>
    <n v="16"/>
    <n v="64542.75"/>
    <n v="166896.20000000001"/>
    <x v="0"/>
  </r>
  <r>
    <x v="1"/>
    <x v="0"/>
    <x v="7"/>
    <x v="1"/>
    <x v="14"/>
    <x v="1"/>
    <x v="1"/>
    <n v="11"/>
    <n v="58704.47"/>
    <n v="147657.43"/>
    <x v="0"/>
  </r>
  <r>
    <x v="1"/>
    <x v="0"/>
    <x v="7"/>
    <x v="1"/>
    <x v="15"/>
    <x v="1"/>
    <x v="0"/>
    <n v="12"/>
    <n v="42162.41"/>
    <n v="114627.2"/>
    <x v="0"/>
  </r>
  <r>
    <x v="1"/>
    <x v="0"/>
    <x v="7"/>
    <x v="1"/>
    <x v="15"/>
    <x v="1"/>
    <x v="1"/>
    <n v="3"/>
    <n v="16076.28"/>
    <n v="44915.15"/>
    <x v="0"/>
  </r>
  <r>
    <x v="1"/>
    <x v="0"/>
    <x v="7"/>
    <x v="1"/>
    <x v="16"/>
    <x v="1"/>
    <x v="0"/>
    <n v="5"/>
    <n v="27890.799999999999"/>
    <n v="71283.570000000007"/>
    <x v="0"/>
  </r>
  <r>
    <x v="1"/>
    <x v="0"/>
    <x v="7"/>
    <x v="1"/>
    <x v="16"/>
    <x v="1"/>
    <x v="1"/>
    <n v="12"/>
    <n v="52353.38"/>
    <n v="134219.41"/>
    <x v="0"/>
  </r>
  <r>
    <x v="1"/>
    <x v="0"/>
    <x v="7"/>
    <x v="1"/>
    <x v="17"/>
    <x v="0"/>
    <x v="1"/>
    <n v="1"/>
    <n v="3663.29"/>
    <n v="14218.8"/>
    <x v="0"/>
  </r>
  <r>
    <x v="1"/>
    <x v="0"/>
    <x v="7"/>
    <x v="1"/>
    <x v="17"/>
    <x v="1"/>
    <x v="0"/>
    <n v="5"/>
    <n v="23787.03"/>
    <n v="59794.79"/>
    <x v="0"/>
  </r>
  <r>
    <x v="1"/>
    <x v="0"/>
    <x v="7"/>
    <x v="1"/>
    <x v="18"/>
    <x v="0"/>
    <x v="1"/>
    <n v="9"/>
    <n v="38025.79"/>
    <n v="147604.67000000001"/>
    <x v="0"/>
  </r>
  <r>
    <x v="1"/>
    <x v="0"/>
    <x v="7"/>
    <x v="1"/>
    <x v="18"/>
    <x v="1"/>
    <x v="0"/>
    <n v="4"/>
    <n v="18064.740000000002"/>
    <n v="49880.9"/>
    <x v="0"/>
  </r>
  <r>
    <x v="1"/>
    <x v="0"/>
    <x v="7"/>
    <x v="1"/>
    <x v="18"/>
    <x v="1"/>
    <x v="1"/>
    <n v="15"/>
    <n v="55237.95"/>
    <n v="147913.18"/>
    <x v="0"/>
  </r>
  <r>
    <x v="1"/>
    <x v="0"/>
    <x v="7"/>
    <x v="1"/>
    <x v="19"/>
    <x v="0"/>
    <x v="1"/>
    <n v="4"/>
    <n v="23202.58"/>
    <n v="86666.96"/>
    <x v="0"/>
  </r>
  <r>
    <x v="1"/>
    <x v="0"/>
    <x v="7"/>
    <x v="1"/>
    <x v="19"/>
    <x v="1"/>
    <x v="0"/>
    <n v="2"/>
    <n v="7398.59"/>
    <n v="19623.29"/>
    <x v="0"/>
  </r>
  <r>
    <x v="1"/>
    <x v="0"/>
    <x v="7"/>
    <x v="1"/>
    <x v="19"/>
    <x v="1"/>
    <x v="1"/>
    <n v="21"/>
    <n v="95856.65"/>
    <n v="253111.79"/>
    <x v="0"/>
  </r>
  <r>
    <x v="1"/>
    <x v="0"/>
    <x v="7"/>
    <x v="1"/>
    <x v="20"/>
    <x v="0"/>
    <x v="1"/>
    <n v="2"/>
    <n v="10805.57"/>
    <n v="43333.48"/>
    <x v="0"/>
  </r>
  <r>
    <x v="1"/>
    <x v="0"/>
    <x v="7"/>
    <x v="1"/>
    <x v="20"/>
    <x v="1"/>
    <x v="0"/>
    <n v="12"/>
    <n v="57932.480000000003"/>
    <n v="147690.66"/>
    <x v="0"/>
  </r>
  <r>
    <x v="1"/>
    <x v="0"/>
    <x v="7"/>
    <x v="1"/>
    <x v="20"/>
    <x v="1"/>
    <x v="1"/>
    <n v="9"/>
    <n v="42566.71"/>
    <n v="108186.77"/>
    <x v="0"/>
  </r>
  <r>
    <x v="1"/>
    <x v="0"/>
    <x v="7"/>
    <x v="2"/>
    <x v="21"/>
    <x v="0"/>
    <x v="0"/>
    <n v="2"/>
    <n v="6860.12"/>
    <n v="27083.42"/>
    <x v="0"/>
  </r>
  <r>
    <x v="1"/>
    <x v="0"/>
    <x v="7"/>
    <x v="2"/>
    <x v="22"/>
    <x v="0"/>
    <x v="1"/>
    <n v="1"/>
    <n v="3399.43"/>
    <n v="13541.71"/>
    <x v="0"/>
  </r>
  <r>
    <x v="1"/>
    <x v="0"/>
    <x v="7"/>
    <x v="2"/>
    <x v="22"/>
    <x v="1"/>
    <x v="0"/>
    <n v="4"/>
    <n v="16591.38"/>
    <n v="38426.43"/>
    <x v="0"/>
  </r>
  <r>
    <x v="1"/>
    <x v="0"/>
    <x v="7"/>
    <x v="2"/>
    <x v="22"/>
    <x v="1"/>
    <x v="1"/>
    <n v="12"/>
    <n v="67524.86"/>
    <n v="152616.76"/>
    <x v="0"/>
  </r>
  <r>
    <x v="1"/>
    <x v="0"/>
    <x v="7"/>
    <x v="2"/>
    <x v="29"/>
    <x v="0"/>
    <x v="1"/>
    <n v="1"/>
    <n v="3646.95"/>
    <n v="14218.8"/>
    <x v="0"/>
  </r>
  <r>
    <x v="1"/>
    <x v="0"/>
    <x v="7"/>
    <x v="2"/>
    <x v="24"/>
    <x v="1"/>
    <x v="0"/>
    <n v="1"/>
    <n v="5498.74"/>
    <n v="13433.38"/>
    <x v="0"/>
  </r>
  <r>
    <x v="1"/>
    <x v="0"/>
    <x v="7"/>
    <x v="3"/>
    <x v="25"/>
    <x v="0"/>
    <x v="1"/>
    <n v="2"/>
    <n v="11310.87"/>
    <n v="43333.48"/>
    <x v="0"/>
  </r>
  <r>
    <x v="1"/>
    <x v="0"/>
    <x v="7"/>
    <x v="3"/>
    <x v="25"/>
    <x v="1"/>
    <x v="0"/>
    <n v="10"/>
    <n v="43187.96"/>
    <n v="114077.74"/>
    <x v="0"/>
  </r>
  <r>
    <x v="1"/>
    <x v="0"/>
    <x v="7"/>
    <x v="3"/>
    <x v="25"/>
    <x v="1"/>
    <x v="1"/>
    <n v="2"/>
    <n v="7369.92"/>
    <n v="19479.759999999998"/>
    <x v="0"/>
  </r>
  <r>
    <x v="1"/>
    <x v="0"/>
    <x v="7"/>
    <x v="3"/>
    <x v="26"/>
    <x v="0"/>
    <x v="0"/>
    <n v="1"/>
    <n v="5507.63"/>
    <n v="21666.74"/>
    <x v="0"/>
  </r>
  <r>
    <x v="1"/>
    <x v="0"/>
    <x v="7"/>
    <x v="3"/>
    <x v="26"/>
    <x v="0"/>
    <x v="1"/>
    <n v="4"/>
    <n v="16424.46"/>
    <n v="63646.05"/>
    <x v="0"/>
  </r>
  <r>
    <x v="1"/>
    <x v="0"/>
    <x v="7"/>
    <x v="3"/>
    <x v="26"/>
    <x v="1"/>
    <x v="1"/>
    <n v="19"/>
    <n v="86763.74"/>
    <n v="231619.16"/>
    <x v="0"/>
  </r>
  <r>
    <x v="1"/>
    <x v="0"/>
    <x v="7"/>
    <x v="3"/>
    <x v="27"/>
    <x v="0"/>
    <x v="0"/>
    <n v="2"/>
    <n v="7269.84"/>
    <n v="28437.599999999999"/>
    <x v="0"/>
  </r>
  <r>
    <x v="1"/>
    <x v="0"/>
    <x v="7"/>
    <x v="3"/>
    <x v="27"/>
    <x v="0"/>
    <x v="1"/>
    <n v="4"/>
    <n v="18601.919999999998"/>
    <n v="71771.08"/>
    <x v="0"/>
  </r>
  <r>
    <x v="1"/>
    <x v="0"/>
    <x v="7"/>
    <x v="3"/>
    <x v="27"/>
    <x v="1"/>
    <x v="0"/>
    <n v="20"/>
    <n v="101494.91"/>
    <n v="260813.74"/>
    <x v="0"/>
  </r>
  <r>
    <x v="1"/>
    <x v="0"/>
    <x v="7"/>
    <x v="3"/>
    <x v="27"/>
    <x v="1"/>
    <x v="1"/>
    <n v="31"/>
    <n v="145729.38"/>
    <n v="380571.82"/>
    <x v="0"/>
  </r>
  <r>
    <x v="1"/>
    <x v="0"/>
    <x v="8"/>
    <x v="0"/>
    <x v="0"/>
    <x v="0"/>
    <x v="0"/>
    <n v="1"/>
    <n v="2799.46"/>
    <n v="9845.6200000000008"/>
    <x v="0"/>
  </r>
  <r>
    <x v="1"/>
    <x v="0"/>
    <x v="8"/>
    <x v="0"/>
    <x v="0"/>
    <x v="0"/>
    <x v="1"/>
    <n v="1"/>
    <n v="2489.91"/>
    <n v="8989.48"/>
    <x v="0"/>
  </r>
  <r>
    <x v="1"/>
    <x v="0"/>
    <x v="8"/>
    <x v="0"/>
    <x v="0"/>
    <x v="1"/>
    <x v="1"/>
    <n v="4"/>
    <n v="12390.46"/>
    <n v="29115.63"/>
    <x v="0"/>
  </r>
  <r>
    <x v="1"/>
    <x v="0"/>
    <x v="8"/>
    <x v="0"/>
    <x v="1"/>
    <x v="0"/>
    <x v="0"/>
    <n v="4"/>
    <n v="11624.51"/>
    <n v="41522.83"/>
    <x v="0"/>
  </r>
  <r>
    <x v="1"/>
    <x v="0"/>
    <x v="8"/>
    <x v="0"/>
    <x v="1"/>
    <x v="0"/>
    <x v="1"/>
    <n v="8"/>
    <n v="24317.1"/>
    <n v="86898.29"/>
    <x v="0"/>
  </r>
  <r>
    <x v="1"/>
    <x v="0"/>
    <x v="8"/>
    <x v="0"/>
    <x v="1"/>
    <x v="1"/>
    <x v="0"/>
    <n v="4"/>
    <n v="13981.61"/>
    <n v="32204.16"/>
    <x v="0"/>
  </r>
  <r>
    <x v="1"/>
    <x v="0"/>
    <x v="8"/>
    <x v="0"/>
    <x v="1"/>
    <x v="1"/>
    <x v="1"/>
    <n v="18"/>
    <n v="59561.72"/>
    <n v="135422.60999999999"/>
    <x v="0"/>
  </r>
  <r>
    <x v="1"/>
    <x v="0"/>
    <x v="8"/>
    <x v="0"/>
    <x v="2"/>
    <x v="0"/>
    <x v="1"/>
    <n v="2"/>
    <n v="6572.32"/>
    <n v="23543.87"/>
    <x v="0"/>
  </r>
  <r>
    <x v="1"/>
    <x v="0"/>
    <x v="8"/>
    <x v="0"/>
    <x v="2"/>
    <x v="1"/>
    <x v="1"/>
    <n v="8"/>
    <n v="22158.82"/>
    <n v="48381.38"/>
    <x v="0"/>
  </r>
  <r>
    <x v="1"/>
    <x v="0"/>
    <x v="8"/>
    <x v="0"/>
    <x v="3"/>
    <x v="0"/>
    <x v="0"/>
    <n v="1"/>
    <n v="3941.05"/>
    <n v="13698.25"/>
    <x v="0"/>
  </r>
  <r>
    <x v="1"/>
    <x v="0"/>
    <x v="8"/>
    <x v="0"/>
    <x v="3"/>
    <x v="0"/>
    <x v="1"/>
    <n v="4"/>
    <n v="13132.29"/>
    <n v="47087.74"/>
    <x v="0"/>
  </r>
  <r>
    <x v="1"/>
    <x v="0"/>
    <x v="8"/>
    <x v="0"/>
    <x v="3"/>
    <x v="1"/>
    <x v="0"/>
    <n v="15"/>
    <n v="53184.95"/>
    <n v="122388.58"/>
    <x v="0"/>
  </r>
  <r>
    <x v="1"/>
    <x v="0"/>
    <x v="8"/>
    <x v="0"/>
    <x v="3"/>
    <x v="1"/>
    <x v="1"/>
    <n v="14"/>
    <n v="49012.61"/>
    <n v="113102.18"/>
    <x v="0"/>
  </r>
  <r>
    <x v="1"/>
    <x v="0"/>
    <x v="8"/>
    <x v="0"/>
    <x v="4"/>
    <x v="0"/>
    <x v="1"/>
    <n v="2"/>
    <n v="7986.47"/>
    <n v="27396.5"/>
    <x v="0"/>
  </r>
  <r>
    <x v="1"/>
    <x v="0"/>
    <x v="8"/>
    <x v="0"/>
    <x v="4"/>
    <x v="1"/>
    <x v="0"/>
    <n v="10"/>
    <n v="36284.43"/>
    <n v="81641.570000000007"/>
    <x v="0"/>
  </r>
  <r>
    <x v="1"/>
    <x v="0"/>
    <x v="8"/>
    <x v="0"/>
    <x v="4"/>
    <x v="1"/>
    <x v="1"/>
    <n v="12"/>
    <n v="34779"/>
    <n v="79723.839999999997"/>
    <x v="0"/>
  </r>
  <r>
    <x v="1"/>
    <x v="0"/>
    <x v="8"/>
    <x v="0"/>
    <x v="5"/>
    <x v="0"/>
    <x v="1"/>
    <n v="3"/>
    <n v="9302.89"/>
    <n v="32533.35"/>
    <x v="0"/>
  </r>
  <r>
    <x v="1"/>
    <x v="0"/>
    <x v="8"/>
    <x v="0"/>
    <x v="5"/>
    <x v="1"/>
    <x v="0"/>
    <n v="2"/>
    <n v="4871.9399999999996"/>
    <n v="11848.13"/>
    <x v="0"/>
  </r>
  <r>
    <x v="1"/>
    <x v="0"/>
    <x v="8"/>
    <x v="0"/>
    <x v="5"/>
    <x v="1"/>
    <x v="1"/>
    <n v="24"/>
    <n v="72767.66"/>
    <n v="168279.81"/>
    <x v="0"/>
  </r>
  <r>
    <x v="1"/>
    <x v="0"/>
    <x v="8"/>
    <x v="0"/>
    <x v="7"/>
    <x v="1"/>
    <x v="1"/>
    <n v="1"/>
    <n v="2654.81"/>
    <n v="6576.87"/>
    <x v="0"/>
  </r>
  <r>
    <x v="1"/>
    <x v="0"/>
    <x v="8"/>
    <x v="0"/>
    <x v="8"/>
    <x v="0"/>
    <x v="1"/>
    <n v="3"/>
    <n v="10367.950000000001"/>
    <n v="35957.910000000003"/>
    <x v="0"/>
  </r>
  <r>
    <x v="1"/>
    <x v="0"/>
    <x v="8"/>
    <x v="0"/>
    <x v="8"/>
    <x v="1"/>
    <x v="1"/>
    <n v="5"/>
    <n v="13496.1"/>
    <n v="31358.3"/>
    <x v="0"/>
  </r>
  <r>
    <x v="1"/>
    <x v="0"/>
    <x v="8"/>
    <x v="1"/>
    <x v="30"/>
    <x v="1"/>
    <x v="0"/>
    <n v="1"/>
    <n v="3888.09"/>
    <n v="9438.09"/>
    <x v="0"/>
  </r>
  <r>
    <x v="1"/>
    <x v="0"/>
    <x v="8"/>
    <x v="1"/>
    <x v="9"/>
    <x v="1"/>
    <x v="1"/>
    <n v="9"/>
    <n v="35173.97"/>
    <n v="84819.57"/>
    <x v="0"/>
  </r>
  <r>
    <x v="1"/>
    <x v="0"/>
    <x v="8"/>
    <x v="1"/>
    <x v="31"/>
    <x v="1"/>
    <x v="0"/>
    <n v="2"/>
    <n v="7812.88"/>
    <n v="19040.57"/>
    <x v="0"/>
  </r>
  <r>
    <x v="1"/>
    <x v="0"/>
    <x v="8"/>
    <x v="1"/>
    <x v="10"/>
    <x v="0"/>
    <x v="0"/>
    <n v="3"/>
    <n v="10243.58"/>
    <n v="36385.980000000003"/>
    <x v="0"/>
  </r>
  <r>
    <x v="1"/>
    <x v="0"/>
    <x v="8"/>
    <x v="1"/>
    <x v="10"/>
    <x v="0"/>
    <x v="1"/>
    <n v="2"/>
    <n v="5488.69"/>
    <n v="19691.240000000002"/>
    <x v="0"/>
  </r>
  <r>
    <x v="1"/>
    <x v="0"/>
    <x v="8"/>
    <x v="1"/>
    <x v="10"/>
    <x v="1"/>
    <x v="0"/>
    <n v="12"/>
    <n v="42155.39"/>
    <n v="103672.78"/>
    <x v="0"/>
  </r>
  <r>
    <x v="1"/>
    <x v="0"/>
    <x v="8"/>
    <x v="1"/>
    <x v="10"/>
    <x v="1"/>
    <x v="1"/>
    <n v="28"/>
    <n v="96393.38"/>
    <n v="226202.55"/>
    <x v="0"/>
  </r>
  <r>
    <x v="1"/>
    <x v="0"/>
    <x v="8"/>
    <x v="1"/>
    <x v="11"/>
    <x v="0"/>
    <x v="1"/>
    <n v="9"/>
    <n v="29388.94"/>
    <n v="105733.38"/>
    <x v="0"/>
  </r>
  <r>
    <x v="1"/>
    <x v="0"/>
    <x v="8"/>
    <x v="1"/>
    <x v="11"/>
    <x v="1"/>
    <x v="1"/>
    <n v="27"/>
    <n v="93957.440000000002"/>
    <n v="214920.44"/>
    <x v="0"/>
  </r>
  <r>
    <x v="1"/>
    <x v="0"/>
    <x v="8"/>
    <x v="1"/>
    <x v="12"/>
    <x v="1"/>
    <x v="1"/>
    <n v="1"/>
    <n v="3933.53"/>
    <n v="9369.6"/>
    <x v="0"/>
  </r>
  <r>
    <x v="1"/>
    <x v="0"/>
    <x v="8"/>
    <x v="1"/>
    <x v="13"/>
    <x v="0"/>
    <x v="1"/>
    <n v="9"/>
    <n v="28674.47"/>
    <n v="102736.89"/>
    <x v="0"/>
  </r>
  <r>
    <x v="1"/>
    <x v="0"/>
    <x v="8"/>
    <x v="1"/>
    <x v="13"/>
    <x v="1"/>
    <x v="0"/>
    <n v="2"/>
    <n v="7716.86"/>
    <n v="18657.02"/>
    <x v="0"/>
  </r>
  <r>
    <x v="1"/>
    <x v="0"/>
    <x v="8"/>
    <x v="1"/>
    <x v="13"/>
    <x v="1"/>
    <x v="1"/>
    <n v="24"/>
    <n v="84085.81"/>
    <n v="198052.95"/>
    <x v="0"/>
  </r>
  <r>
    <x v="1"/>
    <x v="0"/>
    <x v="8"/>
    <x v="1"/>
    <x v="14"/>
    <x v="0"/>
    <x v="1"/>
    <n v="3"/>
    <n v="8028.32"/>
    <n v="28252.65"/>
    <x v="0"/>
  </r>
  <r>
    <x v="1"/>
    <x v="0"/>
    <x v="8"/>
    <x v="1"/>
    <x v="14"/>
    <x v="1"/>
    <x v="0"/>
    <n v="13"/>
    <n v="33922.46"/>
    <n v="82639.850000000006"/>
    <x v="0"/>
  </r>
  <r>
    <x v="1"/>
    <x v="0"/>
    <x v="8"/>
    <x v="1"/>
    <x v="14"/>
    <x v="1"/>
    <x v="1"/>
    <n v="7"/>
    <n v="23907.94"/>
    <n v="56332.34"/>
    <x v="0"/>
  </r>
  <r>
    <x v="1"/>
    <x v="0"/>
    <x v="8"/>
    <x v="1"/>
    <x v="15"/>
    <x v="1"/>
    <x v="0"/>
    <n v="3"/>
    <n v="7544.34"/>
    <n v="17747.8"/>
    <x v="0"/>
  </r>
  <r>
    <x v="1"/>
    <x v="0"/>
    <x v="8"/>
    <x v="1"/>
    <x v="16"/>
    <x v="1"/>
    <x v="0"/>
    <n v="15"/>
    <n v="50327.43"/>
    <n v="116329.85"/>
    <x v="0"/>
  </r>
  <r>
    <x v="1"/>
    <x v="0"/>
    <x v="8"/>
    <x v="1"/>
    <x v="16"/>
    <x v="1"/>
    <x v="1"/>
    <n v="21"/>
    <n v="67720.25"/>
    <n v="160270.42000000001"/>
    <x v="0"/>
  </r>
  <r>
    <x v="1"/>
    <x v="0"/>
    <x v="8"/>
    <x v="1"/>
    <x v="17"/>
    <x v="1"/>
    <x v="0"/>
    <n v="8"/>
    <n v="27803.7"/>
    <n v="63123.71"/>
    <x v="0"/>
  </r>
  <r>
    <x v="1"/>
    <x v="0"/>
    <x v="8"/>
    <x v="1"/>
    <x v="17"/>
    <x v="1"/>
    <x v="1"/>
    <n v="8"/>
    <n v="30649.67"/>
    <n v="72765.100000000006"/>
    <x v="0"/>
  </r>
  <r>
    <x v="1"/>
    <x v="0"/>
    <x v="8"/>
    <x v="1"/>
    <x v="18"/>
    <x v="0"/>
    <x v="1"/>
    <n v="14"/>
    <n v="48233.27"/>
    <n v="171656.21"/>
    <x v="0"/>
  </r>
  <r>
    <x v="1"/>
    <x v="0"/>
    <x v="8"/>
    <x v="1"/>
    <x v="18"/>
    <x v="1"/>
    <x v="0"/>
    <n v="4"/>
    <n v="15746.16"/>
    <n v="38081.129999999997"/>
    <x v="0"/>
  </r>
  <r>
    <x v="1"/>
    <x v="0"/>
    <x v="8"/>
    <x v="1"/>
    <x v="18"/>
    <x v="1"/>
    <x v="1"/>
    <n v="24"/>
    <n v="81135.11"/>
    <n v="197116.19"/>
    <x v="0"/>
  </r>
  <r>
    <x v="1"/>
    <x v="0"/>
    <x v="8"/>
    <x v="1"/>
    <x v="19"/>
    <x v="0"/>
    <x v="1"/>
    <n v="4"/>
    <n v="13090.72"/>
    <n v="47087.74"/>
    <x v="0"/>
  </r>
  <r>
    <x v="1"/>
    <x v="0"/>
    <x v="8"/>
    <x v="1"/>
    <x v="19"/>
    <x v="1"/>
    <x v="0"/>
    <n v="3"/>
    <n v="11779.48"/>
    <n v="27697.86"/>
    <x v="0"/>
  </r>
  <r>
    <x v="1"/>
    <x v="0"/>
    <x v="8"/>
    <x v="1"/>
    <x v="19"/>
    <x v="1"/>
    <x v="1"/>
    <n v="7"/>
    <n v="27517.7"/>
    <n v="64628.34"/>
    <x v="0"/>
  </r>
  <r>
    <x v="1"/>
    <x v="0"/>
    <x v="8"/>
    <x v="1"/>
    <x v="20"/>
    <x v="0"/>
    <x v="0"/>
    <n v="2"/>
    <n v="6320.78"/>
    <n v="22259.66"/>
    <x v="0"/>
  </r>
  <r>
    <x v="1"/>
    <x v="0"/>
    <x v="8"/>
    <x v="1"/>
    <x v="20"/>
    <x v="0"/>
    <x v="1"/>
    <n v="17"/>
    <n v="58155.75"/>
    <n v="206329.91"/>
    <x v="0"/>
  </r>
  <r>
    <x v="1"/>
    <x v="0"/>
    <x v="8"/>
    <x v="1"/>
    <x v="20"/>
    <x v="1"/>
    <x v="0"/>
    <n v="13"/>
    <n v="46283.06"/>
    <n v="107848.04"/>
    <x v="0"/>
  </r>
  <r>
    <x v="1"/>
    <x v="0"/>
    <x v="8"/>
    <x v="1"/>
    <x v="20"/>
    <x v="1"/>
    <x v="1"/>
    <n v="12"/>
    <n v="36243.32"/>
    <n v="86310.56"/>
    <x v="0"/>
  </r>
  <r>
    <x v="1"/>
    <x v="0"/>
    <x v="8"/>
    <x v="2"/>
    <x v="21"/>
    <x v="0"/>
    <x v="0"/>
    <n v="5"/>
    <n v="18385.310000000001"/>
    <n v="64638.62"/>
    <x v="0"/>
  </r>
  <r>
    <x v="1"/>
    <x v="0"/>
    <x v="8"/>
    <x v="2"/>
    <x v="21"/>
    <x v="1"/>
    <x v="1"/>
    <n v="4"/>
    <n v="15724.22"/>
    <n v="33368.94"/>
    <x v="0"/>
  </r>
  <r>
    <x v="1"/>
    <x v="0"/>
    <x v="8"/>
    <x v="2"/>
    <x v="22"/>
    <x v="0"/>
    <x v="1"/>
    <n v="1"/>
    <n v="2635.68"/>
    <n v="9845.6200000000008"/>
    <x v="0"/>
  </r>
  <r>
    <x v="1"/>
    <x v="0"/>
    <x v="8"/>
    <x v="2"/>
    <x v="22"/>
    <x v="1"/>
    <x v="0"/>
    <n v="6"/>
    <n v="21297.360000000001"/>
    <n v="45310.81"/>
    <x v="0"/>
  </r>
  <r>
    <x v="1"/>
    <x v="0"/>
    <x v="8"/>
    <x v="2"/>
    <x v="22"/>
    <x v="1"/>
    <x v="1"/>
    <n v="12"/>
    <n v="40156.720000000001"/>
    <n v="86029.3"/>
    <x v="0"/>
  </r>
  <r>
    <x v="1"/>
    <x v="0"/>
    <x v="8"/>
    <x v="2"/>
    <x v="29"/>
    <x v="1"/>
    <x v="1"/>
    <n v="2"/>
    <n v="4992.9799999999996"/>
    <n v="11632.39"/>
    <x v="0"/>
  </r>
  <r>
    <x v="1"/>
    <x v="0"/>
    <x v="8"/>
    <x v="2"/>
    <x v="24"/>
    <x v="0"/>
    <x v="1"/>
    <n v="6"/>
    <n v="20969.02"/>
    <n v="74484.240000000005"/>
    <x v="0"/>
  </r>
  <r>
    <x v="1"/>
    <x v="0"/>
    <x v="8"/>
    <x v="2"/>
    <x v="24"/>
    <x v="1"/>
    <x v="1"/>
    <n v="2"/>
    <n v="7500.81"/>
    <n v="16985.82"/>
    <x v="0"/>
  </r>
  <r>
    <x v="1"/>
    <x v="0"/>
    <x v="8"/>
    <x v="3"/>
    <x v="25"/>
    <x v="0"/>
    <x v="1"/>
    <n v="3"/>
    <n v="9110.43"/>
    <n v="32105.279999999999"/>
    <x v="0"/>
  </r>
  <r>
    <x v="1"/>
    <x v="0"/>
    <x v="8"/>
    <x v="3"/>
    <x v="25"/>
    <x v="1"/>
    <x v="0"/>
    <n v="1"/>
    <n v="2824.6"/>
    <n v="6744.25"/>
    <x v="0"/>
  </r>
  <r>
    <x v="1"/>
    <x v="0"/>
    <x v="8"/>
    <x v="3"/>
    <x v="25"/>
    <x v="1"/>
    <x v="1"/>
    <n v="7"/>
    <n v="23228.43"/>
    <n v="56006.58"/>
    <x v="0"/>
  </r>
  <r>
    <x v="1"/>
    <x v="0"/>
    <x v="8"/>
    <x v="3"/>
    <x v="26"/>
    <x v="0"/>
    <x v="0"/>
    <n v="1"/>
    <n v="4056.77"/>
    <n v="13698.25"/>
    <x v="0"/>
  </r>
  <r>
    <x v="1"/>
    <x v="0"/>
    <x v="8"/>
    <x v="3"/>
    <x v="26"/>
    <x v="0"/>
    <x v="1"/>
    <n v="9"/>
    <n v="25543.599999999999"/>
    <n v="89894.79"/>
    <x v="0"/>
  </r>
  <r>
    <x v="1"/>
    <x v="0"/>
    <x v="8"/>
    <x v="3"/>
    <x v="26"/>
    <x v="1"/>
    <x v="0"/>
    <n v="7"/>
    <n v="21566.91"/>
    <n v="52280.24"/>
    <x v="0"/>
  </r>
  <r>
    <x v="1"/>
    <x v="0"/>
    <x v="8"/>
    <x v="3"/>
    <x v="26"/>
    <x v="1"/>
    <x v="1"/>
    <n v="21"/>
    <n v="67013.320000000007"/>
    <n v="163338.81"/>
    <x v="0"/>
  </r>
  <r>
    <x v="1"/>
    <x v="0"/>
    <x v="8"/>
    <x v="3"/>
    <x v="27"/>
    <x v="0"/>
    <x v="0"/>
    <n v="4"/>
    <n v="13046"/>
    <n v="47087.74"/>
    <x v="0"/>
  </r>
  <r>
    <x v="1"/>
    <x v="0"/>
    <x v="8"/>
    <x v="3"/>
    <x v="27"/>
    <x v="0"/>
    <x v="1"/>
    <n v="11"/>
    <n v="38964.53"/>
    <n v="138266.72"/>
    <x v="0"/>
  </r>
  <r>
    <x v="1"/>
    <x v="0"/>
    <x v="8"/>
    <x v="3"/>
    <x v="27"/>
    <x v="1"/>
    <x v="0"/>
    <n v="15"/>
    <n v="54828.7"/>
    <n v="130942.61"/>
    <x v="0"/>
  </r>
  <r>
    <x v="1"/>
    <x v="0"/>
    <x v="8"/>
    <x v="3"/>
    <x v="27"/>
    <x v="1"/>
    <x v="1"/>
    <n v="34"/>
    <n v="109216.87"/>
    <n v="261081.64"/>
    <x v="0"/>
  </r>
  <r>
    <x v="1"/>
    <x v="0"/>
    <x v="9"/>
    <x v="0"/>
    <x v="0"/>
    <x v="0"/>
    <x v="0"/>
    <n v="2"/>
    <n v="5372.91"/>
    <n v="18643.400000000001"/>
    <x v="0"/>
  </r>
  <r>
    <x v="1"/>
    <x v="0"/>
    <x v="9"/>
    <x v="0"/>
    <x v="0"/>
    <x v="0"/>
    <x v="1"/>
    <n v="2"/>
    <n v="4324.18"/>
    <n v="15058.12"/>
    <x v="0"/>
  </r>
  <r>
    <x v="1"/>
    <x v="0"/>
    <x v="9"/>
    <x v="0"/>
    <x v="0"/>
    <x v="1"/>
    <x v="1"/>
    <n v="17"/>
    <n v="49805.86"/>
    <n v="111376.37"/>
    <x v="0"/>
  </r>
  <r>
    <x v="1"/>
    <x v="0"/>
    <x v="9"/>
    <x v="0"/>
    <x v="1"/>
    <x v="0"/>
    <x v="0"/>
    <n v="2"/>
    <n v="4485.03"/>
    <n v="15416.66"/>
    <x v="0"/>
  </r>
  <r>
    <x v="1"/>
    <x v="0"/>
    <x v="9"/>
    <x v="0"/>
    <x v="1"/>
    <x v="0"/>
    <x v="1"/>
    <n v="8"/>
    <n v="19753.97"/>
    <n v="68837.16"/>
    <x v="0"/>
  </r>
  <r>
    <x v="1"/>
    <x v="0"/>
    <x v="9"/>
    <x v="0"/>
    <x v="1"/>
    <x v="1"/>
    <x v="0"/>
    <n v="7"/>
    <n v="17312.740000000002"/>
    <n v="36497.31"/>
    <x v="0"/>
  </r>
  <r>
    <x v="1"/>
    <x v="0"/>
    <x v="9"/>
    <x v="0"/>
    <x v="1"/>
    <x v="1"/>
    <x v="1"/>
    <n v="24"/>
    <n v="66376.45"/>
    <n v="146111.62"/>
    <x v="0"/>
  </r>
  <r>
    <x v="1"/>
    <x v="0"/>
    <x v="9"/>
    <x v="0"/>
    <x v="2"/>
    <x v="0"/>
    <x v="1"/>
    <n v="1"/>
    <n v="2040.7"/>
    <n v="7170.54"/>
    <x v="0"/>
  </r>
  <r>
    <x v="1"/>
    <x v="0"/>
    <x v="9"/>
    <x v="0"/>
    <x v="2"/>
    <x v="1"/>
    <x v="0"/>
    <n v="3"/>
    <n v="8957.48"/>
    <n v="18095.25"/>
    <x v="0"/>
  </r>
  <r>
    <x v="1"/>
    <x v="0"/>
    <x v="9"/>
    <x v="0"/>
    <x v="2"/>
    <x v="1"/>
    <x v="1"/>
    <n v="11"/>
    <n v="24765.9"/>
    <n v="52321.64"/>
    <x v="0"/>
  </r>
  <r>
    <x v="1"/>
    <x v="0"/>
    <x v="9"/>
    <x v="0"/>
    <x v="3"/>
    <x v="0"/>
    <x v="1"/>
    <n v="6"/>
    <n v="16552.8"/>
    <n v="57005.78"/>
    <x v="0"/>
  </r>
  <r>
    <x v="1"/>
    <x v="0"/>
    <x v="9"/>
    <x v="0"/>
    <x v="3"/>
    <x v="1"/>
    <x v="0"/>
    <n v="7"/>
    <n v="21383.16"/>
    <n v="45725.02"/>
    <x v="0"/>
  </r>
  <r>
    <x v="1"/>
    <x v="0"/>
    <x v="9"/>
    <x v="0"/>
    <x v="3"/>
    <x v="1"/>
    <x v="1"/>
    <n v="30"/>
    <n v="83306.509999999995"/>
    <n v="184360.26"/>
    <x v="0"/>
  </r>
  <r>
    <x v="1"/>
    <x v="0"/>
    <x v="9"/>
    <x v="0"/>
    <x v="4"/>
    <x v="0"/>
    <x v="1"/>
    <n v="1"/>
    <n v="3344.54"/>
    <n v="11472.86"/>
    <x v="0"/>
  </r>
  <r>
    <x v="1"/>
    <x v="0"/>
    <x v="9"/>
    <x v="0"/>
    <x v="4"/>
    <x v="1"/>
    <x v="0"/>
    <n v="4"/>
    <n v="13516.28"/>
    <n v="29370.52"/>
    <x v="0"/>
  </r>
  <r>
    <x v="1"/>
    <x v="0"/>
    <x v="9"/>
    <x v="0"/>
    <x v="4"/>
    <x v="1"/>
    <x v="1"/>
    <n v="10"/>
    <n v="20455.11"/>
    <n v="46579.82"/>
    <x v="0"/>
  </r>
  <r>
    <x v="1"/>
    <x v="0"/>
    <x v="9"/>
    <x v="0"/>
    <x v="5"/>
    <x v="0"/>
    <x v="1"/>
    <n v="3"/>
    <n v="6318.91"/>
    <n v="22228.66"/>
    <x v="0"/>
  </r>
  <r>
    <x v="1"/>
    <x v="0"/>
    <x v="9"/>
    <x v="0"/>
    <x v="5"/>
    <x v="1"/>
    <x v="0"/>
    <n v="1"/>
    <n v="3342.4"/>
    <n v="7560.61"/>
    <x v="0"/>
  </r>
  <r>
    <x v="1"/>
    <x v="0"/>
    <x v="9"/>
    <x v="0"/>
    <x v="5"/>
    <x v="1"/>
    <x v="1"/>
    <n v="25"/>
    <n v="65089.760000000002"/>
    <n v="147296.24"/>
    <x v="0"/>
  </r>
  <r>
    <x v="1"/>
    <x v="0"/>
    <x v="9"/>
    <x v="0"/>
    <x v="6"/>
    <x v="0"/>
    <x v="1"/>
    <n v="1"/>
    <n v="3359.85"/>
    <n v="11472.86"/>
    <x v="0"/>
  </r>
  <r>
    <x v="1"/>
    <x v="0"/>
    <x v="9"/>
    <x v="0"/>
    <x v="8"/>
    <x v="0"/>
    <x v="1"/>
    <n v="2"/>
    <n v="5468.08"/>
    <n v="18643.400000000001"/>
    <x v="0"/>
  </r>
  <r>
    <x v="1"/>
    <x v="0"/>
    <x v="9"/>
    <x v="0"/>
    <x v="8"/>
    <x v="1"/>
    <x v="1"/>
    <n v="6"/>
    <n v="12868.78"/>
    <n v="27769.95"/>
    <x v="0"/>
  </r>
  <r>
    <x v="1"/>
    <x v="0"/>
    <x v="9"/>
    <x v="1"/>
    <x v="30"/>
    <x v="1"/>
    <x v="0"/>
    <n v="3"/>
    <n v="6655.14"/>
    <n v="14663.22"/>
    <x v="0"/>
  </r>
  <r>
    <x v="1"/>
    <x v="0"/>
    <x v="9"/>
    <x v="1"/>
    <x v="9"/>
    <x v="1"/>
    <x v="1"/>
    <n v="2"/>
    <n v="5807.59"/>
    <n v="13566.66"/>
    <x v="0"/>
  </r>
  <r>
    <x v="1"/>
    <x v="0"/>
    <x v="9"/>
    <x v="1"/>
    <x v="31"/>
    <x v="1"/>
    <x v="0"/>
    <n v="1"/>
    <n v="3434.52"/>
    <n v="7973.64"/>
    <x v="0"/>
  </r>
  <r>
    <x v="1"/>
    <x v="0"/>
    <x v="9"/>
    <x v="1"/>
    <x v="10"/>
    <x v="0"/>
    <x v="1"/>
    <n v="3"/>
    <n v="7975.93"/>
    <n v="27248.04"/>
    <x v="0"/>
  </r>
  <r>
    <x v="1"/>
    <x v="0"/>
    <x v="9"/>
    <x v="1"/>
    <x v="10"/>
    <x v="1"/>
    <x v="0"/>
    <n v="1"/>
    <n v="3425.4"/>
    <n v="7824.49"/>
    <x v="0"/>
  </r>
  <r>
    <x v="1"/>
    <x v="0"/>
    <x v="9"/>
    <x v="1"/>
    <x v="10"/>
    <x v="1"/>
    <x v="1"/>
    <n v="23"/>
    <n v="64870.01"/>
    <n v="151844.01"/>
    <x v="0"/>
  </r>
  <r>
    <x v="1"/>
    <x v="0"/>
    <x v="9"/>
    <x v="1"/>
    <x v="11"/>
    <x v="0"/>
    <x v="1"/>
    <n v="8"/>
    <n v="19076.8"/>
    <n v="66327.48"/>
    <x v="0"/>
  </r>
  <r>
    <x v="1"/>
    <x v="0"/>
    <x v="9"/>
    <x v="1"/>
    <x v="11"/>
    <x v="1"/>
    <x v="0"/>
    <n v="1"/>
    <n v="2067.6"/>
    <n v="4630.7"/>
    <x v="0"/>
  </r>
  <r>
    <x v="1"/>
    <x v="0"/>
    <x v="9"/>
    <x v="1"/>
    <x v="11"/>
    <x v="1"/>
    <x v="1"/>
    <n v="20"/>
    <n v="59060.22"/>
    <n v="132049.51999999999"/>
    <x v="0"/>
  </r>
  <r>
    <x v="1"/>
    <x v="0"/>
    <x v="9"/>
    <x v="1"/>
    <x v="12"/>
    <x v="1"/>
    <x v="1"/>
    <n v="5"/>
    <n v="16966.75"/>
    <n v="39237.18"/>
    <x v="0"/>
  </r>
  <r>
    <x v="1"/>
    <x v="0"/>
    <x v="9"/>
    <x v="1"/>
    <x v="13"/>
    <x v="0"/>
    <x v="1"/>
    <n v="4"/>
    <n v="11014"/>
    <n v="37645.32"/>
    <x v="0"/>
  </r>
  <r>
    <x v="1"/>
    <x v="0"/>
    <x v="9"/>
    <x v="1"/>
    <x v="13"/>
    <x v="1"/>
    <x v="0"/>
    <n v="7"/>
    <n v="17468"/>
    <n v="40041.730000000003"/>
    <x v="0"/>
  </r>
  <r>
    <x v="1"/>
    <x v="0"/>
    <x v="9"/>
    <x v="1"/>
    <x v="13"/>
    <x v="1"/>
    <x v="1"/>
    <n v="11"/>
    <n v="28587.11"/>
    <n v="66654.8"/>
    <x v="0"/>
  </r>
  <r>
    <x v="1"/>
    <x v="0"/>
    <x v="9"/>
    <x v="1"/>
    <x v="14"/>
    <x v="0"/>
    <x v="1"/>
    <n v="4"/>
    <n v="9607.41"/>
    <n v="33701.519999999997"/>
    <x v="0"/>
  </r>
  <r>
    <x v="1"/>
    <x v="0"/>
    <x v="9"/>
    <x v="1"/>
    <x v="14"/>
    <x v="1"/>
    <x v="0"/>
    <n v="11"/>
    <n v="35795.47"/>
    <n v="79543.58"/>
    <x v="0"/>
  </r>
  <r>
    <x v="1"/>
    <x v="0"/>
    <x v="9"/>
    <x v="1"/>
    <x v="14"/>
    <x v="1"/>
    <x v="1"/>
    <n v="1"/>
    <n v="2007.95"/>
    <n v="4789.92"/>
    <x v="0"/>
  </r>
  <r>
    <x v="1"/>
    <x v="0"/>
    <x v="9"/>
    <x v="1"/>
    <x v="15"/>
    <x v="1"/>
    <x v="1"/>
    <n v="2"/>
    <n v="6775.28"/>
    <n v="15855.5"/>
    <x v="0"/>
  </r>
  <r>
    <x v="1"/>
    <x v="0"/>
    <x v="9"/>
    <x v="1"/>
    <x v="16"/>
    <x v="0"/>
    <x v="1"/>
    <n v="1"/>
    <n v="3344.81"/>
    <n v="11472.86"/>
    <x v="0"/>
  </r>
  <r>
    <x v="1"/>
    <x v="0"/>
    <x v="9"/>
    <x v="1"/>
    <x v="16"/>
    <x v="1"/>
    <x v="0"/>
    <n v="4"/>
    <n v="8457.1"/>
    <n v="19816.48"/>
    <x v="0"/>
  </r>
  <r>
    <x v="1"/>
    <x v="0"/>
    <x v="9"/>
    <x v="1"/>
    <x v="17"/>
    <x v="1"/>
    <x v="0"/>
    <n v="5"/>
    <n v="10246.700000000001"/>
    <n v="23806.19"/>
    <x v="0"/>
  </r>
  <r>
    <x v="1"/>
    <x v="0"/>
    <x v="9"/>
    <x v="1"/>
    <x v="17"/>
    <x v="1"/>
    <x v="1"/>
    <n v="5"/>
    <n v="12026.75"/>
    <n v="27377.119999999999"/>
    <x v="0"/>
  </r>
  <r>
    <x v="1"/>
    <x v="0"/>
    <x v="9"/>
    <x v="1"/>
    <x v="18"/>
    <x v="0"/>
    <x v="1"/>
    <n v="4"/>
    <n v="10092.959999999999"/>
    <n v="34418.58"/>
    <x v="0"/>
  </r>
  <r>
    <x v="1"/>
    <x v="0"/>
    <x v="9"/>
    <x v="1"/>
    <x v="18"/>
    <x v="1"/>
    <x v="1"/>
    <n v="15"/>
    <n v="42103.64"/>
    <n v="97835.05"/>
    <x v="0"/>
  </r>
  <r>
    <x v="1"/>
    <x v="0"/>
    <x v="9"/>
    <x v="1"/>
    <x v="19"/>
    <x v="0"/>
    <x v="1"/>
    <n v="6"/>
    <n v="16193.44"/>
    <n v="56288.72"/>
    <x v="0"/>
  </r>
  <r>
    <x v="1"/>
    <x v="0"/>
    <x v="9"/>
    <x v="1"/>
    <x v="19"/>
    <x v="1"/>
    <x v="0"/>
    <n v="4"/>
    <n v="10941.2"/>
    <n v="25614.59"/>
    <x v="0"/>
  </r>
  <r>
    <x v="1"/>
    <x v="0"/>
    <x v="9"/>
    <x v="1"/>
    <x v="19"/>
    <x v="1"/>
    <x v="1"/>
    <n v="6"/>
    <n v="13989.35"/>
    <n v="32380.71"/>
    <x v="0"/>
  </r>
  <r>
    <x v="1"/>
    <x v="0"/>
    <x v="9"/>
    <x v="1"/>
    <x v="20"/>
    <x v="0"/>
    <x v="1"/>
    <n v="8"/>
    <n v="21305.1"/>
    <n v="72780.960000000006"/>
    <x v="0"/>
  </r>
  <r>
    <x v="1"/>
    <x v="0"/>
    <x v="9"/>
    <x v="1"/>
    <x v="20"/>
    <x v="1"/>
    <x v="0"/>
    <n v="6"/>
    <n v="12565.17"/>
    <n v="29237.5"/>
    <x v="0"/>
  </r>
  <r>
    <x v="1"/>
    <x v="0"/>
    <x v="9"/>
    <x v="1"/>
    <x v="20"/>
    <x v="1"/>
    <x v="1"/>
    <n v="7"/>
    <n v="14438.31"/>
    <n v="33753.870000000003"/>
    <x v="0"/>
  </r>
  <r>
    <x v="1"/>
    <x v="0"/>
    <x v="9"/>
    <x v="2"/>
    <x v="21"/>
    <x v="0"/>
    <x v="0"/>
    <n v="3"/>
    <n v="7647.04"/>
    <n v="26172.46"/>
    <x v="0"/>
  </r>
  <r>
    <x v="1"/>
    <x v="0"/>
    <x v="9"/>
    <x v="2"/>
    <x v="22"/>
    <x v="0"/>
    <x v="1"/>
    <n v="2"/>
    <n v="5764.21"/>
    <n v="19718.98"/>
    <x v="0"/>
  </r>
  <r>
    <x v="1"/>
    <x v="0"/>
    <x v="9"/>
    <x v="2"/>
    <x v="22"/>
    <x v="1"/>
    <x v="0"/>
    <n v="5"/>
    <n v="11922.32"/>
    <n v="24672.74"/>
    <x v="0"/>
  </r>
  <r>
    <x v="1"/>
    <x v="0"/>
    <x v="9"/>
    <x v="2"/>
    <x v="22"/>
    <x v="1"/>
    <x v="1"/>
    <n v="5"/>
    <n v="17131.95"/>
    <n v="34934.86"/>
    <x v="0"/>
  </r>
  <r>
    <x v="1"/>
    <x v="0"/>
    <x v="9"/>
    <x v="2"/>
    <x v="29"/>
    <x v="0"/>
    <x v="1"/>
    <n v="1"/>
    <n v="2035.15"/>
    <n v="7170.54"/>
    <x v="0"/>
  </r>
  <r>
    <x v="1"/>
    <x v="0"/>
    <x v="9"/>
    <x v="2"/>
    <x v="29"/>
    <x v="1"/>
    <x v="1"/>
    <n v="1"/>
    <n v="2088.35"/>
    <n v="4871.3"/>
    <x v="0"/>
  </r>
  <r>
    <x v="1"/>
    <x v="0"/>
    <x v="9"/>
    <x v="2"/>
    <x v="23"/>
    <x v="1"/>
    <x v="1"/>
    <n v="3"/>
    <n v="7314.87"/>
    <n v="16366.03"/>
    <x v="0"/>
  </r>
  <r>
    <x v="1"/>
    <x v="0"/>
    <x v="9"/>
    <x v="2"/>
    <x v="24"/>
    <x v="0"/>
    <x v="1"/>
    <n v="2"/>
    <n v="4243.74"/>
    <n v="14341.08"/>
    <x v="0"/>
  </r>
  <r>
    <x v="1"/>
    <x v="0"/>
    <x v="9"/>
    <x v="2"/>
    <x v="24"/>
    <x v="1"/>
    <x v="1"/>
    <n v="5"/>
    <n v="14281.08"/>
    <n v="30230.99"/>
    <x v="0"/>
  </r>
  <r>
    <x v="1"/>
    <x v="0"/>
    <x v="9"/>
    <x v="3"/>
    <x v="25"/>
    <x v="0"/>
    <x v="1"/>
    <n v="1"/>
    <n v="2410.63"/>
    <n v="8246.1200000000008"/>
    <x v="0"/>
  </r>
  <r>
    <x v="1"/>
    <x v="0"/>
    <x v="9"/>
    <x v="3"/>
    <x v="25"/>
    <x v="1"/>
    <x v="0"/>
    <n v="2"/>
    <n v="6715.88"/>
    <n v="15717.82"/>
    <x v="0"/>
  </r>
  <r>
    <x v="1"/>
    <x v="0"/>
    <x v="9"/>
    <x v="3"/>
    <x v="25"/>
    <x v="1"/>
    <x v="1"/>
    <n v="9"/>
    <n v="26088.54"/>
    <n v="60944.86"/>
    <x v="0"/>
  </r>
  <r>
    <x v="1"/>
    <x v="0"/>
    <x v="9"/>
    <x v="3"/>
    <x v="26"/>
    <x v="1"/>
    <x v="1"/>
    <n v="21"/>
    <n v="46553.39"/>
    <n v="110690.15"/>
    <x v="0"/>
  </r>
  <r>
    <x v="1"/>
    <x v="0"/>
    <x v="9"/>
    <x v="3"/>
    <x v="27"/>
    <x v="0"/>
    <x v="0"/>
    <n v="1"/>
    <n v="2128.52"/>
    <n v="7529.06"/>
    <x v="0"/>
  </r>
  <r>
    <x v="1"/>
    <x v="0"/>
    <x v="9"/>
    <x v="3"/>
    <x v="27"/>
    <x v="0"/>
    <x v="1"/>
    <n v="7"/>
    <n v="16770.11"/>
    <n v="57005.78"/>
    <x v="0"/>
  </r>
  <r>
    <x v="1"/>
    <x v="0"/>
    <x v="9"/>
    <x v="3"/>
    <x v="27"/>
    <x v="1"/>
    <x v="0"/>
    <n v="4"/>
    <n v="13627.56"/>
    <n v="30715.06"/>
    <x v="0"/>
  </r>
  <r>
    <x v="1"/>
    <x v="0"/>
    <x v="9"/>
    <x v="3"/>
    <x v="27"/>
    <x v="1"/>
    <x v="1"/>
    <n v="20"/>
    <n v="52531.85"/>
    <n v="120745.86"/>
    <x v="0"/>
  </r>
  <r>
    <x v="1"/>
    <x v="1"/>
    <x v="0"/>
    <x v="0"/>
    <x v="0"/>
    <x v="0"/>
    <x v="1"/>
    <n v="2"/>
    <n v="15266.32"/>
    <n v="67893.34"/>
    <x v="1"/>
  </r>
  <r>
    <x v="1"/>
    <x v="1"/>
    <x v="0"/>
    <x v="0"/>
    <x v="0"/>
    <x v="1"/>
    <x v="1"/>
    <n v="8"/>
    <n v="63112.06"/>
    <n v="176365.47"/>
    <x v="1"/>
  </r>
  <r>
    <x v="1"/>
    <x v="1"/>
    <x v="0"/>
    <x v="0"/>
    <x v="1"/>
    <x v="0"/>
    <x v="0"/>
    <n v="6"/>
    <n v="43496.46"/>
    <n v="183422.9"/>
    <x v="1"/>
  </r>
  <r>
    <x v="1"/>
    <x v="1"/>
    <x v="0"/>
    <x v="0"/>
    <x v="1"/>
    <x v="0"/>
    <x v="1"/>
    <n v="3"/>
    <n v="23523.88"/>
    <n v="101532.16"/>
    <x v="1"/>
  </r>
  <r>
    <x v="1"/>
    <x v="1"/>
    <x v="0"/>
    <x v="0"/>
    <x v="1"/>
    <x v="1"/>
    <x v="0"/>
    <n v="10"/>
    <n v="78377.2"/>
    <n v="218587.06"/>
    <x v="1"/>
  </r>
  <r>
    <x v="1"/>
    <x v="1"/>
    <x v="0"/>
    <x v="0"/>
    <x v="1"/>
    <x v="1"/>
    <x v="1"/>
    <n v="20"/>
    <n v="141300.22"/>
    <n v="380578.36"/>
    <x v="1"/>
  </r>
  <r>
    <x v="1"/>
    <x v="1"/>
    <x v="0"/>
    <x v="0"/>
    <x v="2"/>
    <x v="0"/>
    <x v="1"/>
    <n v="1"/>
    <n v="6151.97"/>
    <n v="24197.05"/>
    <x v="1"/>
  </r>
  <r>
    <x v="1"/>
    <x v="1"/>
    <x v="0"/>
    <x v="0"/>
    <x v="2"/>
    <x v="1"/>
    <x v="1"/>
    <n v="8"/>
    <n v="58692.59"/>
    <n v="161806.25"/>
    <x v="1"/>
  </r>
  <r>
    <x v="1"/>
    <x v="1"/>
    <x v="0"/>
    <x v="0"/>
    <x v="3"/>
    <x v="0"/>
    <x v="1"/>
    <n v="9"/>
    <n v="67536.539999999994"/>
    <n v="288115.55"/>
    <x v="1"/>
  </r>
  <r>
    <x v="1"/>
    <x v="1"/>
    <x v="0"/>
    <x v="0"/>
    <x v="3"/>
    <x v="1"/>
    <x v="0"/>
    <n v="6"/>
    <n v="34752.46"/>
    <n v="90815.38"/>
    <x v="1"/>
  </r>
  <r>
    <x v="1"/>
    <x v="1"/>
    <x v="0"/>
    <x v="0"/>
    <x v="3"/>
    <x v="1"/>
    <x v="1"/>
    <n v="17"/>
    <n v="121908.22"/>
    <n v="332798.59999999998"/>
    <x v="1"/>
  </r>
  <r>
    <x v="1"/>
    <x v="1"/>
    <x v="0"/>
    <x v="0"/>
    <x v="28"/>
    <x v="1"/>
    <x v="1"/>
    <n v="5"/>
    <n v="39113.9"/>
    <n v="110530.36"/>
    <x v="1"/>
  </r>
  <r>
    <x v="1"/>
    <x v="1"/>
    <x v="0"/>
    <x v="0"/>
    <x v="4"/>
    <x v="0"/>
    <x v="1"/>
    <n v="3"/>
    <n v="18267.82"/>
    <n v="82730.960000000006"/>
    <x v="1"/>
  </r>
  <r>
    <x v="1"/>
    <x v="1"/>
    <x v="0"/>
    <x v="0"/>
    <x v="4"/>
    <x v="1"/>
    <x v="0"/>
    <n v="8"/>
    <n v="61083.98"/>
    <n v="173370.23999999999"/>
    <x v="1"/>
  </r>
  <r>
    <x v="1"/>
    <x v="1"/>
    <x v="0"/>
    <x v="0"/>
    <x v="4"/>
    <x v="1"/>
    <x v="1"/>
    <n v="14"/>
    <n v="100224.89"/>
    <n v="282738.26"/>
    <x v="1"/>
  </r>
  <r>
    <x v="1"/>
    <x v="1"/>
    <x v="0"/>
    <x v="0"/>
    <x v="5"/>
    <x v="0"/>
    <x v="1"/>
    <n v="2"/>
    <n v="10336.89"/>
    <n v="46359.02"/>
    <x v="1"/>
  </r>
  <r>
    <x v="1"/>
    <x v="1"/>
    <x v="0"/>
    <x v="0"/>
    <x v="5"/>
    <x v="1"/>
    <x v="0"/>
    <n v="1"/>
    <n v="8420.4500000000007"/>
    <n v="22246.15"/>
    <x v="1"/>
  </r>
  <r>
    <x v="1"/>
    <x v="1"/>
    <x v="0"/>
    <x v="0"/>
    <x v="5"/>
    <x v="1"/>
    <x v="1"/>
    <n v="22"/>
    <n v="149568.82999999999"/>
    <n v="427642.42"/>
    <x v="1"/>
  </r>
  <r>
    <x v="1"/>
    <x v="1"/>
    <x v="0"/>
    <x v="0"/>
    <x v="6"/>
    <x v="0"/>
    <x v="1"/>
    <n v="6"/>
    <n v="33838.17"/>
    <n v="143141.68"/>
    <x v="1"/>
  </r>
  <r>
    <x v="1"/>
    <x v="1"/>
    <x v="0"/>
    <x v="0"/>
    <x v="7"/>
    <x v="1"/>
    <x v="1"/>
    <n v="1"/>
    <n v="8341.33"/>
    <n v="22549.96"/>
    <x v="1"/>
  </r>
  <r>
    <x v="1"/>
    <x v="1"/>
    <x v="0"/>
    <x v="0"/>
    <x v="8"/>
    <x v="0"/>
    <x v="1"/>
    <n v="4"/>
    <n v="25422.3"/>
    <n v="111758.9"/>
    <x v="1"/>
  </r>
  <r>
    <x v="1"/>
    <x v="1"/>
    <x v="0"/>
    <x v="0"/>
    <x v="8"/>
    <x v="1"/>
    <x v="1"/>
    <n v="2"/>
    <n v="16732.96"/>
    <n v="42989.2"/>
    <x v="1"/>
  </r>
  <r>
    <x v="1"/>
    <x v="1"/>
    <x v="0"/>
    <x v="1"/>
    <x v="30"/>
    <x v="1"/>
    <x v="0"/>
    <n v="6"/>
    <n v="32075.16"/>
    <n v="100341.66"/>
    <x v="1"/>
  </r>
  <r>
    <x v="1"/>
    <x v="1"/>
    <x v="0"/>
    <x v="1"/>
    <x v="9"/>
    <x v="1"/>
    <x v="1"/>
    <n v="7"/>
    <n v="43599.96"/>
    <n v="124794.87"/>
    <x v="1"/>
  </r>
  <r>
    <x v="1"/>
    <x v="1"/>
    <x v="0"/>
    <x v="1"/>
    <x v="10"/>
    <x v="0"/>
    <x v="0"/>
    <n v="2"/>
    <n v="10716.5"/>
    <n v="48722.85"/>
    <x v="1"/>
  </r>
  <r>
    <x v="1"/>
    <x v="1"/>
    <x v="0"/>
    <x v="1"/>
    <x v="10"/>
    <x v="0"/>
    <x v="1"/>
    <n v="5"/>
    <n v="33897.410000000003"/>
    <n v="147625.32"/>
    <x v="1"/>
  </r>
  <r>
    <x v="1"/>
    <x v="1"/>
    <x v="0"/>
    <x v="1"/>
    <x v="10"/>
    <x v="1"/>
    <x v="0"/>
    <n v="10"/>
    <n v="61287.19"/>
    <n v="181598.04"/>
    <x v="1"/>
  </r>
  <r>
    <x v="1"/>
    <x v="1"/>
    <x v="0"/>
    <x v="1"/>
    <x v="10"/>
    <x v="1"/>
    <x v="1"/>
    <n v="14"/>
    <n v="98934.69"/>
    <n v="289148.48"/>
    <x v="1"/>
  </r>
  <r>
    <x v="1"/>
    <x v="1"/>
    <x v="0"/>
    <x v="1"/>
    <x v="11"/>
    <x v="0"/>
    <x v="1"/>
    <n v="4"/>
    <n v="26226.48"/>
    <n v="114820.26"/>
    <x v="1"/>
  </r>
  <r>
    <x v="1"/>
    <x v="1"/>
    <x v="0"/>
    <x v="1"/>
    <x v="11"/>
    <x v="1"/>
    <x v="0"/>
    <n v="4"/>
    <n v="22104.02"/>
    <n v="64705.15"/>
    <x v="1"/>
  </r>
  <r>
    <x v="1"/>
    <x v="1"/>
    <x v="0"/>
    <x v="1"/>
    <x v="11"/>
    <x v="1"/>
    <x v="1"/>
    <n v="37"/>
    <n v="252548.82"/>
    <n v="718725.38"/>
    <x v="1"/>
  </r>
  <r>
    <x v="1"/>
    <x v="1"/>
    <x v="0"/>
    <x v="1"/>
    <x v="12"/>
    <x v="1"/>
    <x v="0"/>
    <n v="1"/>
    <n v="5329.7"/>
    <n v="16546.91"/>
    <x v="1"/>
  </r>
  <r>
    <x v="1"/>
    <x v="1"/>
    <x v="0"/>
    <x v="1"/>
    <x v="12"/>
    <x v="1"/>
    <x v="1"/>
    <n v="4"/>
    <n v="24074.240000000002"/>
    <n v="65527.22"/>
    <x v="1"/>
  </r>
  <r>
    <x v="1"/>
    <x v="1"/>
    <x v="0"/>
    <x v="1"/>
    <x v="13"/>
    <x v="0"/>
    <x v="1"/>
    <n v="2"/>
    <n v="14764.24"/>
    <n v="67728.490000000005"/>
    <x v="1"/>
  </r>
  <r>
    <x v="1"/>
    <x v="1"/>
    <x v="0"/>
    <x v="1"/>
    <x v="13"/>
    <x v="1"/>
    <x v="0"/>
    <n v="3"/>
    <n v="23284.65"/>
    <n v="68848.22"/>
    <x v="1"/>
  </r>
  <r>
    <x v="1"/>
    <x v="1"/>
    <x v="0"/>
    <x v="1"/>
    <x v="13"/>
    <x v="1"/>
    <x v="1"/>
    <n v="9"/>
    <n v="70267.33"/>
    <n v="206852.49"/>
    <x v="1"/>
  </r>
  <r>
    <x v="1"/>
    <x v="1"/>
    <x v="0"/>
    <x v="1"/>
    <x v="14"/>
    <x v="0"/>
    <x v="1"/>
    <n v="1"/>
    <n v="7550.06"/>
    <n v="33894.129999999997"/>
    <x v="1"/>
  </r>
  <r>
    <x v="1"/>
    <x v="1"/>
    <x v="0"/>
    <x v="1"/>
    <x v="14"/>
    <x v="1"/>
    <x v="0"/>
    <n v="5"/>
    <n v="27053.14"/>
    <n v="79791.149999999994"/>
    <x v="1"/>
  </r>
  <r>
    <x v="1"/>
    <x v="1"/>
    <x v="0"/>
    <x v="1"/>
    <x v="14"/>
    <x v="1"/>
    <x v="1"/>
    <n v="5"/>
    <n v="40014.83"/>
    <n v="110457.72"/>
    <x v="1"/>
  </r>
  <r>
    <x v="1"/>
    <x v="1"/>
    <x v="0"/>
    <x v="1"/>
    <x v="15"/>
    <x v="1"/>
    <x v="0"/>
    <n v="3"/>
    <n v="23641.11"/>
    <n v="69859.199999999997"/>
    <x v="1"/>
  </r>
  <r>
    <x v="1"/>
    <x v="1"/>
    <x v="0"/>
    <x v="1"/>
    <x v="16"/>
    <x v="0"/>
    <x v="1"/>
    <n v="1"/>
    <n v="7593.87"/>
    <n v="33714.9"/>
    <x v="1"/>
  </r>
  <r>
    <x v="1"/>
    <x v="1"/>
    <x v="0"/>
    <x v="1"/>
    <x v="16"/>
    <x v="1"/>
    <x v="0"/>
    <n v="10"/>
    <n v="56880.45"/>
    <n v="165868.42000000001"/>
    <x v="1"/>
  </r>
  <r>
    <x v="1"/>
    <x v="1"/>
    <x v="0"/>
    <x v="1"/>
    <x v="16"/>
    <x v="1"/>
    <x v="1"/>
    <n v="8"/>
    <n v="56845.45"/>
    <n v="165595.81"/>
    <x v="1"/>
  </r>
  <r>
    <x v="1"/>
    <x v="1"/>
    <x v="0"/>
    <x v="1"/>
    <x v="17"/>
    <x v="1"/>
    <x v="0"/>
    <n v="5"/>
    <n v="30358.55"/>
    <n v="79225.14"/>
    <x v="1"/>
  </r>
  <r>
    <x v="1"/>
    <x v="1"/>
    <x v="0"/>
    <x v="1"/>
    <x v="17"/>
    <x v="1"/>
    <x v="1"/>
    <n v="6"/>
    <n v="37199.1"/>
    <n v="108347.15"/>
    <x v="1"/>
  </r>
  <r>
    <x v="1"/>
    <x v="1"/>
    <x v="0"/>
    <x v="1"/>
    <x v="18"/>
    <x v="0"/>
    <x v="1"/>
    <n v="11"/>
    <n v="68296.570000000007"/>
    <n v="295478.3"/>
    <x v="1"/>
  </r>
  <r>
    <x v="1"/>
    <x v="1"/>
    <x v="0"/>
    <x v="1"/>
    <x v="18"/>
    <x v="1"/>
    <x v="0"/>
    <n v="5"/>
    <n v="35161.29"/>
    <n v="101955.89"/>
    <x v="1"/>
  </r>
  <r>
    <x v="1"/>
    <x v="1"/>
    <x v="0"/>
    <x v="1"/>
    <x v="18"/>
    <x v="1"/>
    <x v="1"/>
    <n v="23"/>
    <n v="163283.18"/>
    <n v="473115.69"/>
    <x v="1"/>
  </r>
  <r>
    <x v="1"/>
    <x v="1"/>
    <x v="0"/>
    <x v="1"/>
    <x v="19"/>
    <x v="0"/>
    <x v="1"/>
    <n v="1"/>
    <n v="5783.47"/>
    <n v="24265.37"/>
    <x v="1"/>
  </r>
  <r>
    <x v="1"/>
    <x v="1"/>
    <x v="0"/>
    <x v="1"/>
    <x v="19"/>
    <x v="1"/>
    <x v="0"/>
    <n v="7"/>
    <n v="43182.5"/>
    <n v="127871.73"/>
    <x v="1"/>
  </r>
  <r>
    <x v="1"/>
    <x v="1"/>
    <x v="0"/>
    <x v="1"/>
    <x v="19"/>
    <x v="1"/>
    <x v="1"/>
    <n v="11"/>
    <n v="81728.22"/>
    <n v="230552.44"/>
    <x v="1"/>
  </r>
  <r>
    <x v="1"/>
    <x v="1"/>
    <x v="0"/>
    <x v="1"/>
    <x v="20"/>
    <x v="0"/>
    <x v="0"/>
    <n v="4"/>
    <n v="30288.18"/>
    <n v="136949.62"/>
    <x v="1"/>
  </r>
  <r>
    <x v="1"/>
    <x v="1"/>
    <x v="0"/>
    <x v="1"/>
    <x v="20"/>
    <x v="0"/>
    <x v="1"/>
    <n v="11"/>
    <n v="79644.13"/>
    <n v="343411.46"/>
    <x v="1"/>
  </r>
  <r>
    <x v="1"/>
    <x v="1"/>
    <x v="0"/>
    <x v="1"/>
    <x v="20"/>
    <x v="1"/>
    <x v="0"/>
    <n v="8"/>
    <n v="58973.74"/>
    <n v="173338.23999999999"/>
    <x v="1"/>
  </r>
  <r>
    <x v="1"/>
    <x v="1"/>
    <x v="0"/>
    <x v="1"/>
    <x v="20"/>
    <x v="1"/>
    <x v="1"/>
    <n v="21"/>
    <n v="145742.87"/>
    <n v="418051.36"/>
    <x v="1"/>
  </r>
  <r>
    <x v="1"/>
    <x v="1"/>
    <x v="0"/>
    <x v="2"/>
    <x v="21"/>
    <x v="0"/>
    <x v="0"/>
    <n v="1"/>
    <n v="8290.18"/>
    <n v="34021.339999999997"/>
    <x v="1"/>
  </r>
  <r>
    <x v="1"/>
    <x v="1"/>
    <x v="0"/>
    <x v="2"/>
    <x v="21"/>
    <x v="1"/>
    <x v="1"/>
    <n v="4"/>
    <n v="28740.86"/>
    <n v="75783.14"/>
    <x v="1"/>
  </r>
  <r>
    <x v="1"/>
    <x v="1"/>
    <x v="0"/>
    <x v="2"/>
    <x v="22"/>
    <x v="0"/>
    <x v="1"/>
    <n v="5"/>
    <n v="38056.910000000003"/>
    <n v="168525.03"/>
    <x v="1"/>
  </r>
  <r>
    <x v="1"/>
    <x v="1"/>
    <x v="0"/>
    <x v="2"/>
    <x v="22"/>
    <x v="1"/>
    <x v="0"/>
    <n v="2"/>
    <n v="10892.36"/>
    <n v="29590.97"/>
    <x v="1"/>
  </r>
  <r>
    <x v="1"/>
    <x v="1"/>
    <x v="0"/>
    <x v="2"/>
    <x v="22"/>
    <x v="1"/>
    <x v="1"/>
    <n v="11"/>
    <n v="75379.850000000006"/>
    <n v="197082.92"/>
    <x v="1"/>
  </r>
  <r>
    <x v="1"/>
    <x v="1"/>
    <x v="0"/>
    <x v="2"/>
    <x v="29"/>
    <x v="0"/>
    <x v="1"/>
    <n v="3"/>
    <n v="22154.04"/>
    <n v="91327.8"/>
    <x v="1"/>
  </r>
  <r>
    <x v="1"/>
    <x v="1"/>
    <x v="0"/>
    <x v="2"/>
    <x v="24"/>
    <x v="0"/>
    <x v="1"/>
    <n v="3"/>
    <n v="17457.52"/>
    <n v="73015.28"/>
    <x v="1"/>
  </r>
  <r>
    <x v="1"/>
    <x v="1"/>
    <x v="0"/>
    <x v="2"/>
    <x v="24"/>
    <x v="1"/>
    <x v="0"/>
    <n v="5"/>
    <n v="39235.699999999997"/>
    <n v="104657.5"/>
    <x v="1"/>
  </r>
  <r>
    <x v="1"/>
    <x v="1"/>
    <x v="0"/>
    <x v="3"/>
    <x v="25"/>
    <x v="1"/>
    <x v="0"/>
    <n v="9"/>
    <n v="52794.15"/>
    <n v="156514.5"/>
    <x v="1"/>
  </r>
  <r>
    <x v="1"/>
    <x v="1"/>
    <x v="0"/>
    <x v="3"/>
    <x v="25"/>
    <x v="1"/>
    <x v="1"/>
    <n v="7"/>
    <n v="54304.23"/>
    <n v="162557.42000000001"/>
    <x v="1"/>
  </r>
  <r>
    <x v="1"/>
    <x v="1"/>
    <x v="0"/>
    <x v="3"/>
    <x v="26"/>
    <x v="0"/>
    <x v="1"/>
    <n v="1"/>
    <n v="7373.27"/>
    <n v="33967.65"/>
    <x v="1"/>
  </r>
  <r>
    <x v="1"/>
    <x v="1"/>
    <x v="0"/>
    <x v="3"/>
    <x v="26"/>
    <x v="1"/>
    <x v="1"/>
    <n v="26"/>
    <n v="166168.54"/>
    <n v="491819.49"/>
    <x v="1"/>
  </r>
  <r>
    <x v="1"/>
    <x v="1"/>
    <x v="0"/>
    <x v="3"/>
    <x v="27"/>
    <x v="0"/>
    <x v="0"/>
    <n v="1"/>
    <n v="6145.87"/>
    <n v="24232.6"/>
    <x v="1"/>
  </r>
  <r>
    <x v="1"/>
    <x v="1"/>
    <x v="0"/>
    <x v="3"/>
    <x v="27"/>
    <x v="0"/>
    <x v="1"/>
    <n v="14"/>
    <n v="94181.79"/>
    <n v="406371.51"/>
    <x v="1"/>
  </r>
  <r>
    <x v="1"/>
    <x v="1"/>
    <x v="0"/>
    <x v="3"/>
    <x v="27"/>
    <x v="1"/>
    <x v="0"/>
    <n v="31"/>
    <n v="211020.73"/>
    <n v="618562.25"/>
    <x v="1"/>
  </r>
  <r>
    <x v="1"/>
    <x v="1"/>
    <x v="0"/>
    <x v="3"/>
    <x v="27"/>
    <x v="1"/>
    <x v="1"/>
    <n v="17"/>
    <n v="109630.63"/>
    <n v="318504.21999999997"/>
    <x v="1"/>
  </r>
  <r>
    <x v="1"/>
    <x v="1"/>
    <x v="1"/>
    <x v="0"/>
    <x v="1"/>
    <x v="0"/>
    <x v="0"/>
    <n v="2"/>
    <n v="6801.28"/>
    <n v="23582.05"/>
    <x v="1"/>
  </r>
  <r>
    <x v="1"/>
    <x v="1"/>
    <x v="1"/>
    <x v="0"/>
    <x v="1"/>
    <x v="0"/>
    <x v="1"/>
    <n v="2"/>
    <n v="7102.96"/>
    <n v="23426.240000000002"/>
    <x v="1"/>
  </r>
  <r>
    <x v="1"/>
    <x v="1"/>
    <x v="1"/>
    <x v="0"/>
    <x v="1"/>
    <x v="1"/>
    <x v="0"/>
    <n v="6"/>
    <n v="15519.28"/>
    <n v="35335.129999999997"/>
    <x v="1"/>
  </r>
  <r>
    <x v="1"/>
    <x v="1"/>
    <x v="1"/>
    <x v="0"/>
    <x v="1"/>
    <x v="1"/>
    <x v="1"/>
    <n v="12"/>
    <n v="36139.43"/>
    <n v="83560.759999999995"/>
    <x v="1"/>
  </r>
  <r>
    <x v="1"/>
    <x v="1"/>
    <x v="1"/>
    <x v="0"/>
    <x v="2"/>
    <x v="0"/>
    <x v="1"/>
    <n v="3"/>
    <n v="10338.549999999999"/>
    <n v="35508.01"/>
    <x v="1"/>
  </r>
  <r>
    <x v="1"/>
    <x v="1"/>
    <x v="1"/>
    <x v="0"/>
    <x v="2"/>
    <x v="1"/>
    <x v="0"/>
    <n v="11"/>
    <n v="28744.65"/>
    <n v="64486.45"/>
    <x v="1"/>
  </r>
  <r>
    <x v="1"/>
    <x v="1"/>
    <x v="1"/>
    <x v="0"/>
    <x v="2"/>
    <x v="1"/>
    <x v="1"/>
    <n v="7"/>
    <n v="21431.22"/>
    <n v="45649.78"/>
    <x v="1"/>
  </r>
  <r>
    <x v="1"/>
    <x v="1"/>
    <x v="1"/>
    <x v="0"/>
    <x v="3"/>
    <x v="0"/>
    <x v="1"/>
    <n v="1"/>
    <n v="3505.46"/>
    <n v="11492.99"/>
    <x v="1"/>
  </r>
  <r>
    <x v="1"/>
    <x v="1"/>
    <x v="1"/>
    <x v="0"/>
    <x v="3"/>
    <x v="1"/>
    <x v="0"/>
    <n v="6"/>
    <n v="19173.060000000001"/>
    <n v="44774.080000000002"/>
    <x v="1"/>
  </r>
  <r>
    <x v="1"/>
    <x v="1"/>
    <x v="1"/>
    <x v="0"/>
    <x v="3"/>
    <x v="1"/>
    <x v="1"/>
    <n v="19"/>
    <n v="48785.38"/>
    <n v="108221.26"/>
    <x v="1"/>
  </r>
  <r>
    <x v="1"/>
    <x v="1"/>
    <x v="1"/>
    <x v="0"/>
    <x v="28"/>
    <x v="1"/>
    <x v="1"/>
    <n v="5"/>
    <n v="16428.45"/>
    <n v="38400.42"/>
    <x v="1"/>
  </r>
  <r>
    <x v="1"/>
    <x v="1"/>
    <x v="1"/>
    <x v="0"/>
    <x v="4"/>
    <x v="1"/>
    <x v="0"/>
    <n v="2"/>
    <n v="4295.2"/>
    <n v="9889.07"/>
    <x v="1"/>
  </r>
  <r>
    <x v="1"/>
    <x v="1"/>
    <x v="1"/>
    <x v="0"/>
    <x v="4"/>
    <x v="1"/>
    <x v="1"/>
    <n v="1"/>
    <n v="2335.35"/>
    <n v="4947.62"/>
    <x v="1"/>
  </r>
  <r>
    <x v="1"/>
    <x v="1"/>
    <x v="1"/>
    <x v="0"/>
    <x v="5"/>
    <x v="0"/>
    <x v="1"/>
    <n v="4"/>
    <n v="11160.51"/>
    <n v="38618.400000000001"/>
    <x v="1"/>
  </r>
  <r>
    <x v="1"/>
    <x v="1"/>
    <x v="1"/>
    <x v="0"/>
    <x v="5"/>
    <x v="1"/>
    <x v="1"/>
    <n v="6"/>
    <n v="20663.28"/>
    <n v="43827.93"/>
    <x v="1"/>
  </r>
  <r>
    <x v="1"/>
    <x v="1"/>
    <x v="1"/>
    <x v="0"/>
    <x v="6"/>
    <x v="0"/>
    <x v="1"/>
    <n v="2"/>
    <n v="5464.48"/>
    <n v="19479.63"/>
    <x v="1"/>
  </r>
  <r>
    <x v="1"/>
    <x v="1"/>
    <x v="1"/>
    <x v="0"/>
    <x v="7"/>
    <x v="1"/>
    <x v="1"/>
    <n v="1"/>
    <n v="3285.91"/>
    <n v="7576.97"/>
    <x v="1"/>
  </r>
  <r>
    <x v="1"/>
    <x v="1"/>
    <x v="1"/>
    <x v="0"/>
    <x v="8"/>
    <x v="1"/>
    <x v="1"/>
    <n v="2"/>
    <n v="4204.54"/>
    <n v="9779.4"/>
    <x v="1"/>
  </r>
  <r>
    <x v="1"/>
    <x v="1"/>
    <x v="1"/>
    <x v="1"/>
    <x v="9"/>
    <x v="1"/>
    <x v="1"/>
    <n v="4"/>
    <n v="8249.26"/>
    <n v="20588.57"/>
    <x v="1"/>
  </r>
  <r>
    <x v="1"/>
    <x v="1"/>
    <x v="1"/>
    <x v="1"/>
    <x v="31"/>
    <x v="1"/>
    <x v="0"/>
    <n v="3"/>
    <n v="10097.91"/>
    <n v="24690.03"/>
    <x v="1"/>
  </r>
  <r>
    <x v="1"/>
    <x v="1"/>
    <x v="1"/>
    <x v="1"/>
    <x v="10"/>
    <x v="0"/>
    <x v="1"/>
    <n v="4"/>
    <n v="8244.35"/>
    <n v="30669.72"/>
    <x v="1"/>
  </r>
  <r>
    <x v="1"/>
    <x v="1"/>
    <x v="1"/>
    <x v="1"/>
    <x v="10"/>
    <x v="1"/>
    <x v="0"/>
    <n v="8"/>
    <n v="19141.509999999998"/>
    <n v="44812.52"/>
    <x v="1"/>
  </r>
  <r>
    <x v="1"/>
    <x v="1"/>
    <x v="1"/>
    <x v="1"/>
    <x v="10"/>
    <x v="1"/>
    <x v="1"/>
    <n v="8"/>
    <n v="21220.85"/>
    <n v="50066.23"/>
    <x v="1"/>
  </r>
  <r>
    <x v="1"/>
    <x v="1"/>
    <x v="1"/>
    <x v="1"/>
    <x v="11"/>
    <x v="0"/>
    <x v="1"/>
    <n v="5"/>
    <n v="11603.32"/>
    <n v="41553.629999999997"/>
    <x v="1"/>
  </r>
  <r>
    <x v="1"/>
    <x v="1"/>
    <x v="1"/>
    <x v="1"/>
    <x v="11"/>
    <x v="1"/>
    <x v="0"/>
    <n v="2"/>
    <n v="3900.26"/>
    <n v="9432.6"/>
    <x v="1"/>
  </r>
  <r>
    <x v="1"/>
    <x v="1"/>
    <x v="1"/>
    <x v="1"/>
    <x v="11"/>
    <x v="1"/>
    <x v="1"/>
    <n v="11"/>
    <n v="27796.15"/>
    <n v="63893.99"/>
    <x v="1"/>
  </r>
  <r>
    <x v="1"/>
    <x v="1"/>
    <x v="1"/>
    <x v="1"/>
    <x v="13"/>
    <x v="0"/>
    <x v="1"/>
    <n v="4"/>
    <n v="10827.7"/>
    <n v="38900.46"/>
    <x v="1"/>
  </r>
  <r>
    <x v="1"/>
    <x v="1"/>
    <x v="1"/>
    <x v="1"/>
    <x v="13"/>
    <x v="1"/>
    <x v="0"/>
    <n v="2"/>
    <n v="6609.48"/>
    <n v="15766.97"/>
    <x v="1"/>
  </r>
  <r>
    <x v="1"/>
    <x v="1"/>
    <x v="1"/>
    <x v="1"/>
    <x v="14"/>
    <x v="0"/>
    <x v="1"/>
    <n v="2"/>
    <n v="7019.12"/>
    <n v="23219.94"/>
    <x v="1"/>
  </r>
  <r>
    <x v="1"/>
    <x v="1"/>
    <x v="1"/>
    <x v="1"/>
    <x v="14"/>
    <x v="1"/>
    <x v="0"/>
    <n v="11"/>
    <n v="25010.04"/>
    <n v="57600.56"/>
    <x v="1"/>
  </r>
  <r>
    <x v="1"/>
    <x v="1"/>
    <x v="1"/>
    <x v="1"/>
    <x v="14"/>
    <x v="1"/>
    <x v="1"/>
    <n v="1"/>
    <n v="3224.66"/>
    <n v="7868.64"/>
    <x v="1"/>
  </r>
  <r>
    <x v="1"/>
    <x v="1"/>
    <x v="1"/>
    <x v="1"/>
    <x v="15"/>
    <x v="1"/>
    <x v="0"/>
    <n v="5"/>
    <n v="16474.45"/>
    <n v="40154.58"/>
    <x v="1"/>
  </r>
  <r>
    <x v="1"/>
    <x v="1"/>
    <x v="1"/>
    <x v="1"/>
    <x v="15"/>
    <x v="1"/>
    <x v="1"/>
    <n v="5"/>
    <n v="17219.55"/>
    <n v="39699.14"/>
    <x v="1"/>
  </r>
  <r>
    <x v="1"/>
    <x v="1"/>
    <x v="1"/>
    <x v="1"/>
    <x v="16"/>
    <x v="1"/>
    <x v="0"/>
    <n v="2"/>
    <n v="4235.8599999999997"/>
    <n v="10159.799999999999"/>
    <x v="1"/>
  </r>
  <r>
    <x v="1"/>
    <x v="1"/>
    <x v="1"/>
    <x v="1"/>
    <x v="16"/>
    <x v="1"/>
    <x v="1"/>
    <n v="10"/>
    <n v="27094.46"/>
    <n v="64103.1"/>
    <x v="1"/>
  </r>
  <r>
    <x v="1"/>
    <x v="1"/>
    <x v="1"/>
    <x v="1"/>
    <x v="17"/>
    <x v="1"/>
    <x v="0"/>
    <n v="7"/>
    <n v="23554.66"/>
    <n v="54873.22"/>
    <x v="1"/>
  </r>
  <r>
    <x v="1"/>
    <x v="1"/>
    <x v="1"/>
    <x v="1"/>
    <x v="18"/>
    <x v="0"/>
    <x v="1"/>
    <n v="2"/>
    <n v="5521.89"/>
    <n v="18755.45"/>
    <x v="1"/>
  </r>
  <r>
    <x v="1"/>
    <x v="1"/>
    <x v="1"/>
    <x v="1"/>
    <x v="18"/>
    <x v="1"/>
    <x v="1"/>
    <n v="15"/>
    <n v="46428.86"/>
    <n v="108668.19"/>
    <x v="1"/>
  </r>
  <r>
    <x v="1"/>
    <x v="1"/>
    <x v="1"/>
    <x v="1"/>
    <x v="19"/>
    <x v="0"/>
    <x v="1"/>
    <n v="3"/>
    <n v="8873.49"/>
    <n v="31160.43"/>
    <x v="1"/>
  </r>
  <r>
    <x v="1"/>
    <x v="1"/>
    <x v="1"/>
    <x v="1"/>
    <x v="19"/>
    <x v="1"/>
    <x v="0"/>
    <n v="5"/>
    <n v="17270.13"/>
    <n v="39617.57"/>
    <x v="1"/>
  </r>
  <r>
    <x v="1"/>
    <x v="1"/>
    <x v="1"/>
    <x v="1"/>
    <x v="20"/>
    <x v="0"/>
    <x v="1"/>
    <n v="11"/>
    <n v="30624.38"/>
    <n v="110289.54"/>
    <x v="1"/>
  </r>
  <r>
    <x v="1"/>
    <x v="1"/>
    <x v="1"/>
    <x v="1"/>
    <x v="20"/>
    <x v="1"/>
    <x v="1"/>
    <n v="14"/>
    <n v="46215.13"/>
    <n v="110028.99"/>
    <x v="1"/>
  </r>
  <r>
    <x v="1"/>
    <x v="1"/>
    <x v="1"/>
    <x v="2"/>
    <x v="21"/>
    <x v="0"/>
    <x v="0"/>
    <n v="1"/>
    <n v="2008.77"/>
    <n v="7339.29"/>
    <x v="1"/>
  </r>
  <r>
    <x v="1"/>
    <x v="1"/>
    <x v="1"/>
    <x v="2"/>
    <x v="21"/>
    <x v="1"/>
    <x v="1"/>
    <n v="9"/>
    <n v="25623.81"/>
    <n v="56883.77"/>
    <x v="1"/>
  </r>
  <r>
    <x v="1"/>
    <x v="1"/>
    <x v="1"/>
    <x v="2"/>
    <x v="22"/>
    <x v="0"/>
    <x v="1"/>
    <n v="1"/>
    <n v="3434.53"/>
    <n v="11763.29"/>
    <x v="1"/>
  </r>
  <r>
    <x v="1"/>
    <x v="1"/>
    <x v="1"/>
    <x v="2"/>
    <x v="22"/>
    <x v="1"/>
    <x v="0"/>
    <n v="2"/>
    <n v="6852.6"/>
    <n v="14303.28"/>
    <x v="1"/>
  </r>
  <r>
    <x v="1"/>
    <x v="1"/>
    <x v="1"/>
    <x v="2"/>
    <x v="22"/>
    <x v="1"/>
    <x v="1"/>
    <n v="2"/>
    <n v="4302.4399999999996"/>
    <n v="9424.11"/>
    <x v="1"/>
  </r>
  <r>
    <x v="1"/>
    <x v="1"/>
    <x v="1"/>
    <x v="2"/>
    <x v="24"/>
    <x v="0"/>
    <x v="1"/>
    <n v="4"/>
    <n v="11882.31"/>
    <n v="43209.41"/>
    <x v="1"/>
  </r>
  <r>
    <x v="1"/>
    <x v="1"/>
    <x v="1"/>
    <x v="3"/>
    <x v="25"/>
    <x v="1"/>
    <x v="1"/>
    <n v="6"/>
    <n v="18393.45"/>
    <n v="45731.31"/>
    <x v="1"/>
  </r>
  <r>
    <x v="1"/>
    <x v="1"/>
    <x v="1"/>
    <x v="3"/>
    <x v="26"/>
    <x v="0"/>
    <x v="1"/>
    <n v="4"/>
    <n v="8164.32"/>
    <n v="30278.26"/>
    <x v="1"/>
  </r>
  <r>
    <x v="1"/>
    <x v="1"/>
    <x v="1"/>
    <x v="3"/>
    <x v="26"/>
    <x v="1"/>
    <x v="1"/>
    <n v="6"/>
    <n v="17186.93"/>
    <n v="40603.870000000003"/>
    <x v="1"/>
  </r>
  <r>
    <x v="1"/>
    <x v="1"/>
    <x v="1"/>
    <x v="3"/>
    <x v="27"/>
    <x v="0"/>
    <x v="1"/>
    <n v="1"/>
    <n v="3424.04"/>
    <n v="11783.63"/>
    <x v="1"/>
  </r>
  <r>
    <x v="1"/>
    <x v="1"/>
    <x v="1"/>
    <x v="3"/>
    <x v="27"/>
    <x v="1"/>
    <x v="0"/>
    <n v="6"/>
    <n v="20154.3"/>
    <n v="47776.23"/>
    <x v="1"/>
  </r>
  <r>
    <x v="1"/>
    <x v="1"/>
    <x v="1"/>
    <x v="3"/>
    <x v="27"/>
    <x v="1"/>
    <x v="1"/>
    <n v="17"/>
    <n v="43845.55"/>
    <n v="104379.32"/>
    <x v="1"/>
  </r>
  <r>
    <x v="1"/>
    <x v="1"/>
    <x v="2"/>
    <x v="0"/>
    <x v="0"/>
    <x v="0"/>
    <x v="0"/>
    <n v="2"/>
    <n v="9666.1"/>
    <n v="41716.300000000003"/>
    <x v="1"/>
  </r>
  <r>
    <x v="1"/>
    <x v="1"/>
    <x v="2"/>
    <x v="0"/>
    <x v="0"/>
    <x v="0"/>
    <x v="1"/>
    <n v="1"/>
    <n v="5155.88"/>
    <n v="20967.88"/>
    <x v="1"/>
  </r>
  <r>
    <x v="1"/>
    <x v="1"/>
    <x v="2"/>
    <x v="0"/>
    <x v="0"/>
    <x v="1"/>
    <x v="1"/>
    <n v="4"/>
    <n v="25266.04"/>
    <n v="76400.929999999993"/>
    <x v="1"/>
  </r>
  <r>
    <x v="1"/>
    <x v="1"/>
    <x v="2"/>
    <x v="0"/>
    <x v="1"/>
    <x v="0"/>
    <x v="0"/>
    <n v="1"/>
    <n v="4333.1899999999996"/>
    <n v="20064.36"/>
    <x v="1"/>
  </r>
  <r>
    <x v="1"/>
    <x v="1"/>
    <x v="2"/>
    <x v="0"/>
    <x v="1"/>
    <x v="0"/>
    <x v="1"/>
    <n v="1"/>
    <n v="5068.1000000000004"/>
    <n v="21233.35"/>
    <x v="1"/>
  </r>
  <r>
    <x v="1"/>
    <x v="1"/>
    <x v="2"/>
    <x v="0"/>
    <x v="1"/>
    <x v="1"/>
    <x v="0"/>
    <n v="1"/>
    <n v="7144.41"/>
    <n v="20923.29"/>
    <x v="1"/>
  </r>
  <r>
    <x v="1"/>
    <x v="1"/>
    <x v="2"/>
    <x v="0"/>
    <x v="1"/>
    <x v="1"/>
    <x v="1"/>
    <n v="14"/>
    <n v="84447.75"/>
    <n v="225890.06"/>
    <x v="1"/>
  </r>
  <r>
    <x v="1"/>
    <x v="1"/>
    <x v="2"/>
    <x v="0"/>
    <x v="2"/>
    <x v="0"/>
    <x v="1"/>
    <n v="5"/>
    <n v="31574.86"/>
    <n v="136922.42000000001"/>
    <x v="1"/>
  </r>
  <r>
    <x v="1"/>
    <x v="1"/>
    <x v="2"/>
    <x v="0"/>
    <x v="2"/>
    <x v="1"/>
    <x v="0"/>
    <n v="4"/>
    <n v="18420.78"/>
    <n v="49538.03"/>
    <x v="1"/>
  </r>
  <r>
    <x v="1"/>
    <x v="1"/>
    <x v="2"/>
    <x v="0"/>
    <x v="2"/>
    <x v="1"/>
    <x v="1"/>
    <n v="9"/>
    <n v="54210.53"/>
    <n v="143754.59"/>
    <x v="1"/>
  </r>
  <r>
    <x v="1"/>
    <x v="1"/>
    <x v="2"/>
    <x v="0"/>
    <x v="3"/>
    <x v="0"/>
    <x v="0"/>
    <n v="3"/>
    <n v="12840.42"/>
    <n v="58216.06"/>
    <x v="1"/>
  </r>
  <r>
    <x v="1"/>
    <x v="1"/>
    <x v="2"/>
    <x v="0"/>
    <x v="3"/>
    <x v="0"/>
    <x v="1"/>
    <n v="6"/>
    <n v="34739.78"/>
    <n v="145477.38"/>
    <x v="1"/>
  </r>
  <r>
    <x v="1"/>
    <x v="1"/>
    <x v="2"/>
    <x v="0"/>
    <x v="3"/>
    <x v="1"/>
    <x v="0"/>
    <n v="13"/>
    <n v="71843.13"/>
    <n v="197650.43"/>
    <x v="1"/>
  </r>
  <r>
    <x v="1"/>
    <x v="1"/>
    <x v="2"/>
    <x v="0"/>
    <x v="3"/>
    <x v="1"/>
    <x v="1"/>
    <n v="12"/>
    <n v="63090.75"/>
    <n v="161486.01"/>
    <x v="1"/>
  </r>
  <r>
    <x v="1"/>
    <x v="1"/>
    <x v="2"/>
    <x v="0"/>
    <x v="4"/>
    <x v="0"/>
    <x v="1"/>
    <n v="2"/>
    <n v="9495.84"/>
    <n v="43949.440000000002"/>
    <x v="1"/>
  </r>
  <r>
    <x v="1"/>
    <x v="1"/>
    <x v="2"/>
    <x v="0"/>
    <x v="4"/>
    <x v="1"/>
    <x v="0"/>
    <n v="1"/>
    <n v="4474.42"/>
    <n v="12695.79"/>
    <x v="1"/>
  </r>
  <r>
    <x v="1"/>
    <x v="1"/>
    <x v="2"/>
    <x v="0"/>
    <x v="5"/>
    <x v="0"/>
    <x v="1"/>
    <n v="4"/>
    <n v="21894.42"/>
    <n v="88854.68"/>
    <x v="1"/>
  </r>
  <r>
    <x v="1"/>
    <x v="1"/>
    <x v="2"/>
    <x v="0"/>
    <x v="5"/>
    <x v="1"/>
    <x v="0"/>
    <n v="1"/>
    <n v="5065.51"/>
    <n v="13805.14"/>
    <x v="1"/>
  </r>
  <r>
    <x v="1"/>
    <x v="1"/>
    <x v="2"/>
    <x v="0"/>
    <x v="5"/>
    <x v="1"/>
    <x v="1"/>
    <n v="10"/>
    <n v="51086.61"/>
    <n v="140116.82"/>
    <x v="1"/>
  </r>
  <r>
    <x v="1"/>
    <x v="1"/>
    <x v="2"/>
    <x v="0"/>
    <x v="6"/>
    <x v="0"/>
    <x v="1"/>
    <n v="3"/>
    <n v="17475.27"/>
    <n v="74899.679999999993"/>
    <x v="1"/>
  </r>
  <r>
    <x v="1"/>
    <x v="1"/>
    <x v="2"/>
    <x v="0"/>
    <x v="6"/>
    <x v="1"/>
    <x v="1"/>
    <n v="1"/>
    <n v="7499.78"/>
    <n v="21008.85"/>
    <x v="1"/>
  </r>
  <r>
    <x v="1"/>
    <x v="1"/>
    <x v="2"/>
    <x v="0"/>
    <x v="7"/>
    <x v="1"/>
    <x v="1"/>
    <n v="6"/>
    <n v="31588.22"/>
    <n v="96018.4"/>
    <x v="1"/>
  </r>
  <r>
    <x v="1"/>
    <x v="1"/>
    <x v="2"/>
    <x v="0"/>
    <x v="8"/>
    <x v="0"/>
    <x v="1"/>
    <n v="3"/>
    <n v="14706.43"/>
    <n v="61782.61"/>
    <x v="1"/>
  </r>
  <r>
    <x v="1"/>
    <x v="1"/>
    <x v="2"/>
    <x v="0"/>
    <x v="8"/>
    <x v="1"/>
    <x v="1"/>
    <n v="4"/>
    <n v="23341.88"/>
    <n v="58490.16"/>
    <x v="1"/>
  </r>
  <r>
    <x v="1"/>
    <x v="1"/>
    <x v="2"/>
    <x v="1"/>
    <x v="9"/>
    <x v="1"/>
    <x v="1"/>
    <n v="11"/>
    <n v="57097.61"/>
    <n v="162242.84"/>
    <x v="1"/>
  </r>
  <r>
    <x v="1"/>
    <x v="1"/>
    <x v="2"/>
    <x v="1"/>
    <x v="31"/>
    <x v="1"/>
    <x v="0"/>
    <n v="7"/>
    <n v="34107.040000000001"/>
    <n v="100240.5"/>
    <x v="1"/>
  </r>
  <r>
    <x v="1"/>
    <x v="1"/>
    <x v="2"/>
    <x v="1"/>
    <x v="10"/>
    <x v="0"/>
    <x v="0"/>
    <n v="1"/>
    <n v="4295.01"/>
    <n v="19581.34"/>
    <x v="1"/>
  </r>
  <r>
    <x v="1"/>
    <x v="1"/>
    <x v="2"/>
    <x v="1"/>
    <x v="10"/>
    <x v="0"/>
    <x v="1"/>
    <n v="3"/>
    <n v="13371.34"/>
    <n v="61120.42"/>
    <x v="1"/>
  </r>
  <r>
    <x v="1"/>
    <x v="1"/>
    <x v="2"/>
    <x v="1"/>
    <x v="10"/>
    <x v="1"/>
    <x v="0"/>
    <n v="11"/>
    <n v="60871.73"/>
    <n v="165240.72"/>
    <x v="1"/>
  </r>
  <r>
    <x v="1"/>
    <x v="1"/>
    <x v="2"/>
    <x v="1"/>
    <x v="10"/>
    <x v="1"/>
    <x v="1"/>
    <n v="25"/>
    <n v="130381.16"/>
    <n v="382368.2"/>
    <x v="1"/>
  </r>
  <r>
    <x v="1"/>
    <x v="1"/>
    <x v="2"/>
    <x v="1"/>
    <x v="11"/>
    <x v="0"/>
    <x v="1"/>
    <n v="9"/>
    <n v="46809.78"/>
    <n v="207106.04"/>
    <x v="1"/>
  </r>
  <r>
    <x v="1"/>
    <x v="1"/>
    <x v="2"/>
    <x v="1"/>
    <x v="11"/>
    <x v="1"/>
    <x v="0"/>
    <n v="3"/>
    <n v="14943.81"/>
    <n v="38392.61"/>
    <x v="1"/>
  </r>
  <r>
    <x v="1"/>
    <x v="1"/>
    <x v="2"/>
    <x v="1"/>
    <x v="11"/>
    <x v="1"/>
    <x v="1"/>
    <n v="20"/>
    <n v="103744.58"/>
    <n v="294720.07"/>
    <x v="1"/>
  </r>
  <r>
    <x v="1"/>
    <x v="1"/>
    <x v="2"/>
    <x v="1"/>
    <x v="12"/>
    <x v="1"/>
    <x v="1"/>
    <n v="2"/>
    <n v="13678.58"/>
    <n v="43144.88"/>
    <x v="1"/>
  </r>
  <r>
    <x v="1"/>
    <x v="1"/>
    <x v="2"/>
    <x v="1"/>
    <x v="13"/>
    <x v="0"/>
    <x v="1"/>
    <n v="2"/>
    <n v="10294.14"/>
    <n v="42579.71"/>
    <x v="1"/>
  </r>
  <r>
    <x v="1"/>
    <x v="1"/>
    <x v="2"/>
    <x v="1"/>
    <x v="13"/>
    <x v="1"/>
    <x v="0"/>
    <n v="3"/>
    <n v="19401.48"/>
    <n v="56821.5"/>
    <x v="1"/>
  </r>
  <r>
    <x v="1"/>
    <x v="1"/>
    <x v="2"/>
    <x v="1"/>
    <x v="13"/>
    <x v="1"/>
    <x v="1"/>
    <n v="17"/>
    <n v="97966.04"/>
    <n v="274679.93"/>
    <x v="1"/>
  </r>
  <r>
    <x v="1"/>
    <x v="1"/>
    <x v="2"/>
    <x v="1"/>
    <x v="14"/>
    <x v="0"/>
    <x v="1"/>
    <n v="3"/>
    <n v="18745"/>
    <n v="83454.83"/>
    <x v="1"/>
  </r>
  <r>
    <x v="1"/>
    <x v="1"/>
    <x v="2"/>
    <x v="1"/>
    <x v="14"/>
    <x v="1"/>
    <x v="0"/>
    <n v="4"/>
    <n v="18800.18"/>
    <n v="56285.85"/>
    <x v="1"/>
  </r>
  <r>
    <x v="1"/>
    <x v="1"/>
    <x v="2"/>
    <x v="1"/>
    <x v="14"/>
    <x v="1"/>
    <x v="1"/>
    <n v="10"/>
    <n v="51118.54"/>
    <n v="145618.98000000001"/>
    <x v="1"/>
  </r>
  <r>
    <x v="1"/>
    <x v="1"/>
    <x v="2"/>
    <x v="1"/>
    <x v="16"/>
    <x v="1"/>
    <x v="0"/>
    <n v="5"/>
    <n v="25825"/>
    <n v="69415.289999999994"/>
    <x v="1"/>
  </r>
  <r>
    <x v="1"/>
    <x v="1"/>
    <x v="2"/>
    <x v="1"/>
    <x v="16"/>
    <x v="1"/>
    <x v="1"/>
    <n v="8"/>
    <n v="56297.4"/>
    <n v="168167.9"/>
    <x v="1"/>
  </r>
  <r>
    <x v="1"/>
    <x v="1"/>
    <x v="2"/>
    <x v="1"/>
    <x v="17"/>
    <x v="1"/>
    <x v="0"/>
    <n v="11"/>
    <n v="57421.47"/>
    <n v="154898.51"/>
    <x v="1"/>
  </r>
  <r>
    <x v="1"/>
    <x v="1"/>
    <x v="2"/>
    <x v="1"/>
    <x v="18"/>
    <x v="0"/>
    <x v="1"/>
    <n v="18"/>
    <n v="114585.67"/>
    <n v="472378.27"/>
    <x v="1"/>
  </r>
  <r>
    <x v="1"/>
    <x v="1"/>
    <x v="2"/>
    <x v="1"/>
    <x v="18"/>
    <x v="1"/>
    <x v="0"/>
    <n v="8"/>
    <n v="42749.98"/>
    <n v="123827.2"/>
    <x v="1"/>
  </r>
  <r>
    <x v="1"/>
    <x v="1"/>
    <x v="2"/>
    <x v="1"/>
    <x v="18"/>
    <x v="1"/>
    <x v="1"/>
    <n v="13"/>
    <n v="82426.25"/>
    <n v="232485.45"/>
    <x v="1"/>
  </r>
  <r>
    <x v="1"/>
    <x v="1"/>
    <x v="2"/>
    <x v="1"/>
    <x v="19"/>
    <x v="0"/>
    <x v="1"/>
    <n v="4"/>
    <n v="28043.85"/>
    <n v="127791.71"/>
    <x v="1"/>
  </r>
  <r>
    <x v="1"/>
    <x v="1"/>
    <x v="2"/>
    <x v="1"/>
    <x v="19"/>
    <x v="1"/>
    <x v="0"/>
    <n v="3"/>
    <n v="14618.6"/>
    <n v="41192.22"/>
    <x v="1"/>
  </r>
  <r>
    <x v="1"/>
    <x v="1"/>
    <x v="2"/>
    <x v="1"/>
    <x v="19"/>
    <x v="1"/>
    <x v="1"/>
    <n v="6"/>
    <n v="31744.71"/>
    <n v="96924.36"/>
    <x v="1"/>
  </r>
  <r>
    <x v="1"/>
    <x v="1"/>
    <x v="2"/>
    <x v="1"/>
    <x v="20"/>
    <x v="0"/>
    <x v="0"/>
    <n v="2"/>
    <n v="8939.9500000000007"/>
    <n v="41488.89"/>
    <x v="1"/>
  </r>
  <r>
    <x v="1"/>
    <x v="1"/>
    <x v="2"/>
    <x v="1"/>
    <x v="20"/>
    <x v="0"/>
    <x v="1"/>
    <n v="12"/>
    <n v="61411.02"/>
    <n v="276103.5"/>
    <x v="1"/>
  </r>
  <r>
    <x v="1"/>
    <x v="1"/>
    <x v="2"/>
    <x v="1"/>
    <x v="20"/>
    <x v="1"/>
    <x v="0"/>
    <n v="16"/>
    <n v="93977.44"/>
    <n v="281593.05"/>
    <x v="1"/>
  </r>
  <r>
    <x v="1"/>
    <x v="1"/>
    <x v="2"/>
    <x v="1"/>
    <x v="20"/>
    <x v="1"/>
    <x v="1"/>
    <n v="29"/>
    <n v="146109.49"/>
    <n v="430289.46"/>
    <x v="1"/>
  </r>
  <r>
    <x v="1"/>
    <x v="1"/>
    <x v="2"/>
    <x v="2"/>
    <x v="21"/>
    <x v="0"/>
    <x v="0"/>
    <n v="2"/>
    <n v="11740.15"/>
    <n v="55062.75"/>
    <x v="1"/>
  </r>
  <r>
    <x v="1"/>
    <x v="1"/>
    <x v="2"/>
    <x v="2"/>
    <x v="21"/>
    <x v="1"/>
    <x v="1"/>
    <n v="7"/>
    <n v="33630.639999999999"/>
    <n v="90084.83"/>
    <x v="1"/>
  </r>
  <r>
    <x v="1"/>
    <x v="1"/>
    <x v="2"/>
    <x v="2"/>
    <x v="22"/>
    <x v="0"/>
    <x v="1"/>
    <n v="1"/>
    <n v="4731.72"/>
    <n v="21132.89"/>
    <x v="1"/>
  </r>
  <r>
    <x v="1"/>
    <x v="1"/>
    <x v="2"/>
    <x v="2"/>
    <x v="22"/>
    <x v="1"/>
    <x v="0"/>
    <n v="5"/>
    <n v="21555.31"/>
    <n v="60500.59"/>
    <x v="1"/>
  </r>
  <r>
    <x v="1"/>
    <x v="1"/>
    <x v="2"/>
    <x v="2"/>
    <x v="22"/>
    <x v="1"/>
    <x v="1"/>
    <n v="12"/>
    <n v="61741.98"/>
    <n v="165617.75"/>
    <x v="1"/>
  </r>
  <r>
    <x v="1"/>
    <x v="1"/>
    <x v="2"/>
    <x v="2"/>
    <x v="29"/>
    <x v="0"/>
    <x v="1"/>
    <n v="2"/>
    <n v="9783.3799999999992"/>
    <n v="45949.47"/>
    <x v="1"/>
  </r>
  <r>
    <x v="1"/>
    <x v="1"/>
    <x v="2"/>
    <x v="2"/>
    <x v="29"/>
    <x v="1"/>
    <x v="1"/>
    <n v="4"/>
    <n v="27569.279999999999"/>
    <n v="83231.63"/>
    <x v="1"/>
  </r>
  <r>
    <x v="1"/>
    <x v="1"/>
    <x v="2"/>
    <x v="2"/>
    <x v="24"/>
    <x v="0"/>
    <x v="1"/>
    <n v="2"/>
    <n v="10291.74"/>
    <n v="42934.49"/>
    <x v="1"/>
  </r>
  <r>
    <x v="1"/>
    <x v="1"/>
    <x v="2"/>
    <x v="3"/>
    <x v="25"/>
    <x v="0"/>
    <x v="1"/>
    <n v="1"/>
    <n v="5111.91"/>
    <n v="21023.97"/>
    <x v="1"/>
  </r>
  <r>
    <x v="1"/>
    <x v="1"/>
    <x v="2"/>
    <x v="3"/>
    <x v="25"/>
    <x v="1"/>
    <x v="0"/>
    <n v="8"/>
    <n v="55150.42"/>
    <n v="168766.23"/>
    <x v="1"/>
  </r>
  <r>
    <x v="1"/>
    <x v="1"/>
    <x v="2"/>
    <x v="3"/>
    <x v="25"/>
    <x v="1"/>
    <x v="1"/>
    <n v="3"/>
    <n v="13236.09"/>
    <n v="40916.83"/>
    <x v="1"/>
  </r>
  <r>
    <x v="1"/>
    <x v="1"/>
    <x v="2"/>
    <x v="3"/>
    <x v="26"/>
    <x v="0"/>
    <x v="1"/>
    <n v="1"/>
    <n v="7518.91"/>
    <n v="31937.84"/>
    <x v="1"/>
  </r>
  <r>
    <x v="1"/>
    <x v="1"/>
    <x v="2"/>
    <x v="3"/>
    <x v="26"/>
    <x v="1"/>
    <x v="0"/>
    <n v="1"/>
    <n v="4964.93"/>
    <n v="15472.24"/>
    <x v="1"/>
  </r>
  <r>
    <x v="1"/>
    <x v="1"/>
    <x v="2"/>
    <x v="3"/>
    <x v="26"/>
    <x v="1"/>
    <x v="1"/>
    <n v="39"/>
    <n v="223179.6"/>
    <n v="648838.54"/>
    <x v="1"/>
  </r>
  <r>
    <x v="1"/>
    <x v="1"/>
    <x v="2"/>
    <x v="3"/>
    <x v="27"/>
    <x v="0"/>
    <x v="0"/>
    <n v="3"/>
    <n v="16124.32"/>
    <n v="68953.009999999995"/>
    <x v="1"/>
  </r>
  <r>
    <x v="1"/>
    <x v="1"/>
    <x v="2"/>
    <x v="3"/>
    <x v="27"/>
    <x v="0"/>
    <x v="1"/>
    <n v="4"/>
    <n v="19464.55"/>
    <n v="81005.94"/>
    <x v="1"/>
  </r>
  <r>
    <x v="1"/>
    <x v="1"/>
    <x v="2"/>
    <x v="3"/>
    <x v="27"/>
    <x v="1"/>
    <x v="0"/>
    <n v="9"/>
    <n v="56497.03"/>
    <n v="165991.09"/>
    <x v="1"/>
  </r>
  <r>
    <x v="1"/>
    <x v="1"/>
    <x v="2"/>
    <x v="3"/>
    <x v="27"/>
    <x v="1"/>
    <x v="1"/>
    <n v="24"/>
    <n v="126317.61"/>
    <n v="355285.62"/>
    <x v="1"/>
  </r>
  <r>
    <x v="1"/>
    <x v="1"/>
    <x v="3"/>
    <x v="0"/>
    <x v="0"/>
    <x v="0"/>
    <x v="0"/>
    <n v="1"/>
    <n v="8276.92"/>
    <n v="35645.56"/>
    <x v="1"/>
  </r>
  <r>
    <x v="1"/>
    <x v="1"/>
    <x v="3"/>
    <x v="0"/>
    <x v="0"/>
    <x v="0"/>
    <x v="1"/>
    <n v="1"/>
    <n v="7285.34"/>
    <n v="35750.370000000003"/>
    <x v="1"/>
  </r>
  <r>
    <x v="1"/>
    <x v="1"/>
    <x v="3"/>
    <x v="0"/>
    <x v="0"/>
    <x v="1"/>
    <x v="1"/>
    <n v="11"/>
    <n v="66100.509999999995"/>
    <n v="190688.07"/>
    <x v="1"/>
  </r>
  <r>
    <x v="1"/>
    <x v="1"/>
    <x v="3"/>
    <x v="0"/>
    <x v="1"/>
    <x v="0"/>
    <x v="0"/>
    <n v="7"/>
    <n v="38364.75"/>
    <n v="182640.73"/>
    <x v="1"/>
  </r>
  <r>
    <x v="1"/>
    <x v="1"/>
    <x v="3"/>
    <x v="0"/>
    <x v="1"/>
    <x v="0"/>
    <x v="1"/>
    <n v="4"/>
    <n v="26144.78"/>
    <n v="126581.83"/>
    <x v="1"/>
  </r>
  <r>
    <x v="1"/>
    <x v="1"/>
    <x v="3"/>
    <x v="0"/>
    <x v="1"/>
    <x v="1"/>
    <x v="0"/>
    <n v="7"/>
    <n v="41846.46"/>
    <n v="120507.12"/>
    <x v="1"/>
  </r>
  <r>
    <x v="1"/>
    <x v="1"/>
    <x v="3"/>
    <x v="0"/>
    <x v="1"/>
    <x v="1"/>
    <x v="1"/>
    <n v="20"/>
    <n v="109860.57"/>
    <n v="329698.96999999997"/>
    <x v="1"/>
  </r>
  <r>
    <x v="1"/>
    <x v="1"/>
    <x v="3"/>
    <x v="0"/>
    <x v="2"/>
    <x v="0"/>
    <x v="1"/>
    <n v="9"/>
    <n v="55197.64"/>
    <n v="250777.39"/>
    <x v="1"/>
  </r>
  <r>
    <x v="1"/>
    <x v="1"/>
    <x v="3"/>
    <x v="0"/>
    <x v="2"/>
    <x v="1"/>
    <x v="0"/>
    <n v="4"/>
    <n v="23967.49"/>
    <n v="64019.76"/>
    <x v="1"/>
  </r>
  <r>
    <x v="1"/>
    <x v="1"/>
    <x v="3"/>
    <x v="0"/>
    <x v="2"/>
    <x v="1"/>
    <x v="1"/>
    <n v="10"/>
    <n v="63195.22"/>
    <n v="176393.31"/>
    <x v="1"/>
  </r>
  <r>
    <x v="1"/>
    <x v="1"/>
    <x v="3"/>
    <x v="0"/>
    <x v="3"/>
    <x v="0"/>
    <x v="0"/>
    <n v="3"/>
    <n v="17236.59"/>
    <n v="78305.33"/>
    <x v="1"/>
  </r>
  <r>
    <x v="1"/>
    <x v="1"/>
    <x v="3"/>
    <x v="0"/>
    <x v="3"/>
    <x v="0"/>
    <x v="1"/>
    <n v="9"/>
    <n v="49728.2"/>
    <n v="227325.41"/>
    <x v="1"/>
  </r>
  <r>
    <x v="1"/>
    <x v="1"/>
    <x v="3"/>
    <x v="0"/>
    <x v="3"/>
    <x v="1"/>
    <x v="0"/>
    <n v="4"/>
    <n v="21109.46"/>
    <n v="63012.49"/>
    <x v="1"/>
  </r>
  <r>
    <x v="1"/>
    <x v="1"/>
    <x v="3"/>
    <x v="0"/>
    <x v="3"/>
    <x v="1"/>
    <x v="1"/>
    <n v="11"/>
    <n v="64353.71"/>
    <n v="185923.76"/>
    <x v="1"/>
  </r>
  <r>
    <x v="1"/>
    <x v="1"/>
    <x v="3"/>
    <x v="0"/>
    <x v="28"/>
    <x v="1"/>
    <x v="1"/>
    <n v="4"/>
    <n v="25273.52"/>
    <n v="75724.81"/>
    <x v="1"/>
  </r>
  <r>
    <x v="1"/>
    <x v="1"/>
    <x v="3"/>
    <x v="0"/>
    <x v="4"/>
    <x v="0"/>
    <x v="1"/>
    <n v="3"/>
    <n v="18463.560000000001"/>
    <n v="82122.13"/>
    <x v="1"/>
  </r>
  <r>
    <x v="1"/>
    <x v="1"/>
    <x v="3"/>
    <x v="0"/>
    <x v="4"/>
    <x v="1"/>
    <x v="0"/>
    <n v="4"/>
    <n v="21317.24"/>
    <n v="63905.24"/>
    <x v="1"/>
  </r>
  <r>
    <x v="1"/>
    <x v="1"/>
    <x v="3"/>
    <x v="0"/>
    <x v="4"/>
    <x v="1"/>
    <x v="1"/>
    <n v="10"/>
    <n v="72897.58"/>
    <n v="218190.64"/>
    <x v="1"/>
  </r>
  <r>
    <x v="1"/>
    <x v="1"/>
    <x v="3"/>
    <x v="0"/>
    <x v="5"/>
    <x v="0"/>
    <x v="1"/>
    <n v="4"/>
    <n v="23518.12"/>
    <n v="107710.67"/>
    <x v="1"/>
  </r>
  <r>
    <x v="1"/>
    <x v="1"/>
    <x v="3"/>
    <x v="0"/>
    <x v="5"/>
    <x v="1"/>
    <x v="0"/>
    <n v="2"/>
    <n v="11344.38"/>
    <n v="34864.32"/>
    <x v="1"/>
  </r>
  <r>
    <x v="1"/>
    <x v="1"/>
    <x v="3"/>
    <x v="0"/>
    <x v="5"/>
    <x v="1"/>
    <x v="1"/>
    <n v="37"/>
    <n v="227971.42"/>
    <n v="681362.34"/>
    <x v="1"/>
  </r>
  <r>
    <x v="1"/>
    <x v="1"/>
    <x v="3"/>
    <x v="0"/>
    <x v="6"/>
    <x v="0"/>
    <x v="1"/>
    <n v="4"/>
    <n v="22528.27"/>
    <n v="102882.01"/>
    <x v="1"/>
  </r>
  <r>
    <x v="1"/>
    <x v="1"/>
    <x v="3"/>
    <x v="0"/>
    <x v="7"/>
    <x v="1"/>
    <x v="1"/>
    <n v="1"/>
    <n v="8117.13"/>
    <n v="23859.32"/>
    <x v="1"/>
  </r>
  <r>
    <x v="1"/>
    <x v="1"/>
    <x v="3"/>
    <x v="0"/>
    <x v="8"/>
    <x v="0"/>
    <x v="1"/>
    <n v="1"/>
    <n v="5844.79"/>
    <n v="26557.07"/>
    <x v="1"/>
  </r>
  <r>
    <x v="1"/>
    <x v="1"/>
    <x v="3"/>
    <x v="1"/>
    <x v="9"/>
    <x v="1"/>
    <x v="1"/>
    <n v="5"/>
    <n v="28562.2"/>
    <n v="92574.94"/>
    <x v="1"/>
  </r>
  <r>
    <x v="1"/>
    <x v="1"/>
    <x v="3"/>
    <x v="1"/>
    <x v="31"/>
    <x v="1"/>
    <x v="0"/>
    <n v="1"/>
    <n v="5746.18"/>
    <n v="18513.97"/>
    <x v="1"/>
  </r>
  <r>
    <x v="1"/>
    <x v="1"/>
    <x v="3"/>
    <x v="1"/>
    <x v="10"/>
    <x v="0"/>
    <x v="0"/>
    <n v="2"/>
    <n v="13064.77"/>
    <n v="58835.18"/>
    <x v="1"/>
  </r>
  <r>
    <x v="1"/>
    <x v="1"/>
    <x v="3"/>
    <x v="1"/>
    <x v="10"/>
    <x v="0"/>
    <x v="1"/>
    <n v="4"/>
    <n v="29630.67"/>
    <n v="133266.47"/>
    <x v="1"/>
  </r>
  <r>
    <x v="1"/>
    <x v="1"/>
    <x v="3"/>
    <x v="1"/>
    <x v="10"/>
    <x v="1"/>
    <x v="0"/>
    <n v="9"/>
    <n v="63224.36"/>
    <n v="193332.19"/>
    <x v="1"/>
  </r>
  <r>
    <x v="1"/>
    <x v="1"/>
    <x v="3"/>
    <x v="1"/>
    <x v="10"/>
    <x v="1"/>
    <x v="1"/>
    <n v="18"/>
    <n v="109750.06"/>
    <n v="335968.24"/>
    <x v="1"/>
  </r>
  <r>
    <x v="1"/>
    <x v="1"/>
    <x v="3"/>
    <x v="1"/>
    <x v="11"/>
    <x v="0"/>
    <x v="1"/>
    <n v="9"/>
    <n v="52343.06"/>
    <n v="240368.4"/>
    <x v="1"/>
  </r>
  <r>
    <x v="1"/>
    <x v="1"/>
    <x v="3"/>
    <x v="1"/>
    <x v="11"/>
    <x v="1"/>
    <x v="1"/>
    <n v="24"/>
    <n v="131383.16"/>
    <n v="401662.1"/>
    <x v="1"/>
  </r>
  <r>
    <x v="1"/>
    <x v="1"/>
    <x v="3"/>
    <x v="1"/>
    <x v="12"/>
    <x v="1"/>
    <x v="1"/>
    <n v="3"/>
    <n v="25103.88"/>
    <n v="72412.92"/>
    <x v="1"/>
  </r>
  <r>
    <x v="1"/>
    <x v="1"/>
    <x v="3"/>
    <x v="1"/>
    <x v="13"/>
    <x v="0"/>
    <x v="1"/>
    <n v="4"/>
    <n v="23798.43"/>
    <n v="108453.63"/>
    <x v="1"/>
  </r>
  <r>
    <x v="1"/>
    <x v="1"/>
    <x v="3"/>
    <x v="1"/>
    <x v="13"/>
    <x v="1"/>
    <x v="1"/>
    <n v="4"/>
    <n v="22995.22"/>
    <n v="72749.710000000006"/>
    <x v="1"/>
  </r>
  <r>
    <x v="1"/>
    <x v="1"/>
    <x v="3"/>
    <x v="1"/>
    <x v="14"/>
    <x v="0"/>
    <x v="1"/>
    <n v="4"/>
    <n v="24703.13"/>
    <n v="114838.09"/>
    <x v="1"/>
  </r>
  <r>
    <x v="1"/>
    <x v="1"/>
    <x v="3"/>
    <x v="1"/>
    <x v="14"/>
    <x v="1"/>
    <x v="0"/>
    <n v="10"/>
    <n v="64283.66"/>
    <n v="194137.87"/>
    <x v="1"/>
  </r>
  <r>
    <x v="1"/>
    <x v="1"/>
    <x v="3"/>
    <x v="1"/>
    <x v="14"/>
    <x v="1"/>
    <x v="1"/>
    <n v="14"/>
    <n v="102974.7"/>
    <n v="317213.71999999997"/>
    <x v="1"/>
  </r>
  <r>
    <x v="1"/>
    <x v="1"/>
    <x v="3"/>
    <x v="1"/>
    <x v="15"/>
    <x v="1"/>
    <x v="0"/>
    <n v="6"/>
    <n v="41890.629999999997"/>
    <n v="137707.45000000001"/>
    <x v="1"/>
  </r>
  <r>
    <x v="1"/>
    <x v="1"/>
    <x v="3"/>
    <x v="1"/>
    <x v="15"/>
    <x v="1"/>
    <x v="1"/>
    <n v="3"/>
    <n v="23467.95"/>
    <n v="72762.83"/>
    <x v="1"/>
  </r>
  <r>
    <x v="1"/>
    <x v="1"/>
    <x v="3"/>
    <x v="1"/>
    <x v="16"/>
    <x v="1"/>
    <x v="0"/>
    <n v="12"/>
    <n v="79620.38"/>
    <n v="239518.01"/>
    <x v="1"/>
  </r>
  <r>
    <x v="1"/>
    <x v="1"/>
    <x v="3"/>
    <x v="1"/>
    <x v="16"/>
    <x v="1"/>
    <x v="1"/>
    <n v="21"/>
    <n v="119471.03999999999"/>
    <n v="364628.79"/>
    <x v="1"/>
  </r>
  <r>
    <x v="1"/>
    <x v="1"/>
    <x v="3"/>
    <x v="1"/>
    <x v="17"/>
    <x v="1"/>
    <x v="0"/>
    <n v="2"/>
    <n v="11675.28"/>
    <n v="35402.32"/>
    <x v="1"/>
  </r>
  <r>
    <x v="1"/>
    <x v="1"/>
    <x v="3"/>
    <x v="1"/>
    <x v="17"/>
    <x v="1"/>
    <x v="1"/>
    <n v="5"/>
    <n v="25355.8"/>
    <n v="74405.69"/>
    <x v="1"/>
  </r>
  <r>
    <x v="1"/>
    <x v="1"/>
    <x v="3"/>
    <x v="1"/>
    <x v="18"/>
    <x v="0"/>
    <x v="1"/>
    <n v="11"/>
    <n v="65841.919999999998"/>
    <n v="291515.52000000002"/>
    <x v="1"/>
  </r>
  <r>
    <x v="1"/>
    <x v="1"/>
    <x v="3"/>
    <x v="1"/>
    <x v="18"/>
    <x v="1"/>
    <x v="0"/>
    <n v="8"/>
    <n v="54822.28"/>
    <n v="161909.73000000001"/>
    <x v="1"/>
  </r>
  <r>
    <x v="1"/>
    <x v="1"/>
    <x v="3"/>
    <x v="1"/>
    <x v="18"/>
    <x v="1"/>
    <x v="1"/>
    <n v="19"/>
    <n v="115898.75"/>
    <n v="360028.06"/>
    <x v="1"/>
  </r>
  <r>
    <x v="1"/>
    <x v="1"/>
    <x v="3"/>
    <x v="1"/>
    <x v="19"/>
    <x v="0"/>
    <x v="1"/>
    <n v="5"/>
    <n v="38211.78"/>
    <n v="169924.47"/>
    <x v="1"/>
  </r>
  <r>
    <x v="1"/>
    <x v="1"/>
    <x v="3"/>
    <x v="1"/>
    <x v="19"/>
    <x v="1"/>
    <x v="0"/>
    <n v="6"/>
    <n v="39598.080000000002"/>
    <n v="113808.69"/>
    <x v="1"/>
  </r>
  <r>
    <x v="1"/>
    <x v="1"/>
    <x v="3"/>
    <x v="1"/>
    <x v="19"/>
    <x v="1"/>
    <x v="1"/>
    <n v="13"/>
    <n v="80920.679999999993"/>
    <n v="255401.46"/>
    <x v="1"/>
  </r>
  <r>
    <x v="1"/>
    <x v="1"/>
    <x v="3"/>
    <x v="1"/>
    <x v="20"/>
    <x v="0"/>
    <x v="0"/>
    <n v="1"/>
    <n v="5799.64"/>
    <n v="27058.9"/>
    <x v="1"/>
  </r>
  <r>
    <x v="1"/>
    <x v="1"/>
    <x v="3"/>
    <x v="1"/>
    <x v="20"/>
    <x v="0"/>
    <x v="1"/>
    <n v="7"/>
    <n v="39013.56"/>
    <n v="182257.42"/>
    <x v="1"/>
  </r>
  <r>
    <x v="1"/>
    <x v="1"/>
    <x v="3"/>
    <x v="1"/>
    <x v="20"/>
    <x v="1"/>
    <x v="0"/>
    <n v="10"/>
    <n v="55199.519999999997"/>
    <n v="175798.66"/>
    <x v="1"/>
  </r>
  <r>
    <x v="1"/>
    <x v="1"/>
    <x v="3"/>
    <x v="1"/>
    <x v="20"/>
    <x v="1"/>
    <x v="1"/>
    <n v="25"/>
    <n v="161934.98000000001"/>
    <n v="480028.03"/>
    <x v="1"/>
  </r>
  <r>
    <x v="1"/>
    <x v="1"/>
    <x v="3"/>
    <x v="2"/>
    <x v="21"/>
    <x v="0"/>
    <x v="0"/>
    <n v="7"/>
    <n v="49218.06"/>
    <n v="222808.93"/>
    <x v="1"/>
  </r>
  <r>
    <x v="1"/>
    <x v="1"/>
    <x v="3"/>
    <x v="2"/>
    <x v="21"/>
    <x v="1"/>
    <x v="1"/>
    <n v="2"/>
    <n v="16525.14"/>
    <n v="43525.96"/>
    <x v="1"/>
  </r>
  <r>
    <x v="1"/>
    <x v="1"/>
    <x v="3"/>
    <x v="2"/>
    <x v="22"/>
    <x v="0"/>
    <x v="1"/>
    <n v="2"/>
    <n v="13295.09"/>
    <n v="60180.07"/>
    <x v="1"/>
  </r>
  <r>
    <x v="1"/>
    <x v="1"/>
    <x v="3"/>
    <x v="2"/>
    <x v="22"/>
    <x v="1"/>
    <x v="0"/>
    <n v="1"/>
    <n v="5682.94"/>
    <n v="16173.26"/>
    <x v="1"/>
  </r>
  <r>
    <x v="1"/>
    <x v="1"/>
    <x v="3"/>
    <x v="2"/>
    <x v="22"/>
    <x v="1"/>
    <x v="1"/>
    <n v="6"/>
    <n v="43330.43"/>
    <n v="124950.93"/>
    <x v="1"/>
  </r>
  <r>
    <x v="1"/>
    <x v="1"/>
    <x v="3"/>
    <x v="2"/>
    <x v="29"/>
    <x v="0"/>
    <x v="1"/>
    <n v="1"/>
    <n v="6506.71"/>
    <n v="26550.74"/>
    <x v="1"/>
  </r>
  <r>
    <x v="1"/>
    <x v="1"/>
    <x v="3"/>
    <x v="2"/>
    <x v="29"/>
    <x v="1"/>
    <x v="1"/>
    <n v="3"/>
    <n v="24212.82"/>
    <n v="65884.789999999994"/>
    <x v="1"/>
  </r>
  <r>
    <x v="1"/>
    <x v="1"/>
    <x v="3"/>
    <x v="2"/>
    <x v="24"/>
    <x v="1"/>
    <x v="1"/>
    <n v="7"/>
    <n v="44762.99"/>
    <n v="121266.05"/>
    <x v="1"/>
  </r>
  <r>
    <x v="1"/>
    <x v="1"/>
    <x v="3"/>
    <x v="3"/>
    <x v="25"/>
    <x v="0"/>
    <x v="1"/>
    <n v="2"/>
    <n v="13071.43"/>
    <n v="62389.02"/>
    <x v="1"/>
  </r>
  <r>
    <x v="1"/>
    <x v="1"/>
    <x v="3"/>
    <x v="3"/>
    <x v="25"/>
    <x v="1"/>
    <x v="0"/>
    <n v="10"/>
    <n v="72245.320000000007"/>
    <n v="219783.29"/>
    <x v="1"/>
  </r>
  <r>
    <x v="1"/>
    <x v="1"/>
    <x v="3"/>
    <x v="3"/>
    <x v="25"/>
    <x v="1"/>
    <x v="1"/>
    <n v="2"/>
    <n v="13714.27"/>
    <n v="42865.98"/>
    <x v="1"/>
  </r>
  <r>
    <x v="1"/>
    <x v="1"/>
    <x v="3"/>
    <x v="3"/>
    <x v="26"/>
    <x v="0"/>
    <x v="0"/>
    <n v="1"/>
    <n v="8102.25"/>
    <n v="35931.47"/>
    <x v="1"/>
  </r>
  <r>
    <x v="1"/>
    <x v="1"/>
    <x v="3"/>
    <x v="3"/>
    <x v="26"/>
    <x v="0"/>
    <x v="1"/>
    <n v="2"/>
    <n v="11908.99"/>
    <n v="53490.03"/>
    <x v="1"/>
  </r>
  <r>
    <x v="1"/>
    <x v="1"/>
    <x v="3"/>
    <x v="3"/>
    <x v="26"/>
    <x v="1"/>
    <x v="0"/>
    <n v="2"/>
    <n v="10193.200000000001"/>
    <n v="33595.919999999998"/>
    <x v="1"/>
  </r>
  <r>
    <x v="1"/>
    <x v="1"/>
    <x v="3"/>
    <x v="3"/>
    <x v="26"/>
    <x v="1"/>
    <x v="1"/>
    <n v="32"/>
    <n v="206537.28"/>
    <n v="631733.81000000006"/>
    <x v="1"/>
  </r>
  <r>
    <x v="1"/>
    <x v="1"/>
    <x v="3"/>
    <x v="3"/>
    <x v="27"/>
    <x v="0"/>
    <x v="0"/>
    <n v="3"/>
    <n v="18981.28"/>
    <n v="85553.84"/>
    <x v="1"/>
  </r>
  <r>
    <x v="1"/>
    <x v="1"/>
    <x v="3"/>
    <x v="3"/>
    <x v="27"/>
    <x v="0"/>
    <x v="1"/>
    <n v="7"/>
    <n v="45757.73"/>
    <n v="201095.75"/>
    <x v="1"/>
  </r>
  <r>
    <x v="1"/>
    <x v="1"/>
    <x v="3"/>
    <x v="3"/>
    <x v="27"/>
    <x v="1"/>
    <x v="0"/>
    <n v="13"/>
    <n v="86970.45"/>
    <n v="268795.67"/>
    <x v="1"/>
  </r>
  <r>
    <x v="1"/>
    <x v="1"/>
    <x v="3"/>
    <x v="3"/>
    <x v="27"/>
    <x v="1"/>
    <x v="1"/>
    <n v="20"/>
    <n v="130823.58"/>
    <n v="397076.07"/>
    <x v="1"/>
  </r>
  <r>
    <x v="1"/>
    <x v="1"/>
    <x v="4"/>
    <x v="0"/>
    <x v="0"/>
    <x v="0"/>
    <x v="1"/>
    <n v="2"/>
    <n v="10819.76"/>
    <n v="51913.14"/>
    <x v="1"/>
  </r>
  <r>
    <x v="1"/>
    <x v="1"/>
    <x v="4"/>
    <x v="0"/>
    <x v="0"/>
    <x v="1"/>
    <x v="1"/>
    <n v="6"/>
    <n v="32149.01"/>
    <n v="90897.44"/>
    <x v="1"/>
  </r>
  <r>
    <x v="1"/>
    <x v="1"/>
    <x v="4"/>
    <x v="0"/>
    <x v="1"/>
    <x v="0"/>
    <x v="0"/>
    <n v="1"/>
    <n v="5538.51"/>
    <n v="22740.22"/>
    <x v="1"/>
  </r>
  <r>
    <x v="1"/>
    <x v="1"/>
    <x v="4"/>
    <x v="0"/>
    <x v="1"/>
    <x v="0"/>
    <x v="1"/>
    <n v="2"/>
    <n v="11752.77"/>
    <n v="56509.97"/>
    <x v="1"/>
  </r>
  <r>
    <x v="1"/>
    <x v="1"/>
    <x v="4"/>
    <x v="0"/>
    <x v="1"/>
    <x v="1"/>
    <x v="0"/>
    <n v="3"/>
    <n v="16421.97"/>
    <n v="51101.43"/>
    <x v="1"/>
  </r>
  <r>
    <x v="1"/>
    <x v="1"/>
    <x v="4"/>
    <x v="0"/>
    <x v="1"/>
    <x v="1"/>
    <x v="1"/>
    <n v="13"/>
    <n v="66832.11"/>
    <n v="189433.26"/>
    <x v="1"/>
  </r>
  <r>
    <x v="1"/>
    <x v="1"/>
    <x v="4"/>
    <x v="0"/>
    <x v="2"/>
    <x v="0"/>
    <x v="1"/>
    <n v="3"/>
    <n v="16399.43"/>
    <n v="78289.81"/>
    <x v="1"/>
  </r>
  <r>
    <x v="1"/>
    <x v="1"/>
    <x v="4"/>
    <x v="0"/>
    <x v="2"/>
    <x v="1"/>
    <x v="0"/>
    <n v="4"/>
    <n v="18800.52"/>
    <n v="59014.03"/>
    <x v="1"/>
  </r>
  <r>
    <x v="1"/>
    <x v="1"/>
    <x v="4"/>
    <x v="0"/>
    <x v="2"/>
    <x v="1"/>
    <x v="1"/>
    <n v="17"/>
    <n v="84758.55"/>
    <n v="244181.07"/>
    <x v="1"/>
  </r>
  <r>
    <x v="1"/>
    <x v="1"/>
    <x v="4"/>
    <x v="0"/>
    <x v="3"/>
    <x v="0"/>
    <x v="0"/>
    <n v="1"/>
    <n v="4783.3900000000003"/>
    <n v="22133.279999999999"/>
    <x v="1"/>
  </r>
  <r>
    <x v="1"/>
    <x v="1"/>
    <x v="4"/>
    <x v="0"/>
    <x v="3"/>
    <x v="0"/>
    <x v="1"/>
    <n v="5"/>
    <n v="24773.96"/>
    <n v="113939.66"/>
    <x v="1"/>
  </r>
  <r>
    <x v="1"/>
    <x v="1"/>
    <x v="4"/>
    <x v="0"/>
    <x v="3"/>
    <x v="1"/>
    <x v="0"/>
    <n v="10"/>
    <n v="57641.35"/>
    <n v="177835.94"/>
    <x v="1"/>
  </r>
  <r>
    <x v="1"/>
    <x v="1"/>
    <x v="4"/>
    <x v="0"/>
    <x v="3"/>
    <x v="1"/>
    <x v="1"/>
    <n v="21"/>
    <n v="121800"/>
    <n v="362736.2"/>
    <x v="1"/>
  </r>
  <r>
    <x v="1"/>
    <x v="1"/>
    <x v="4"/>
    <x v="0"/>
    <x v="28"/>
    <x v="1"/>
    <x v="1"/>
    <n v="1"/>
    <n v="4679.09"/>
    <n v="14813.73"/>
    <x v="1"/>
  </r>
  <r>
    <x v="1"/>
    <x v="1"/>
    <x v="4"/>
    <x v="0"/>
    <x v="4"/>
    <x v="0"/>
    <x v="1"/>
    <n v="1"/>
    <n v="4787.43"/>
    <n v="23784.63"/>
    <x v="1"/>
  </r>
  <r>
    <x v="1"/>
    <x v="1"/>
    <x v="4"/>
    <x v="0"/>
    <x v="4"/>
    <x v="1"/>
    <x v="0"/>
    <n v="5"/>
    <n v="23780.36"/>
    <n v="73065.73"/>
    <x v="1"/>
  </r>
  <r>
    <x v="1"/>
    <x v="1"/>
    <x v="4"/>
    <x v="0"/>
    <x v="4"/>
    <x v="1"/>
    <x v="1"/>
    <n v="6"/>
    <n v="30466.22"/>
    <n v="91412.69"/>
    <x v="1"/>
  </r>
  <r>
    <x v="1"/>
    <x v="1"/>
    <x v="4"/>
    <x v="0"/>
    <x v="5"/>
    <x v="1"/>
    <x v="0"/>
    <n v="2"/>
    <n v="10150.5"/>
    <n v="29802.38"/>
    <x v="1"/>
  </r>
  <r>
    <x v="1"/>
    <x v="1"/>
    <x v="4"/>
    <x v="0"/>
    <x v="5"/>
    <x v="1"/>
    <x v="1"/>
    <n v="23"/>
    <n v="118000.7"/>
    <n v="374403.7"/>
    <x v="1"/>
  </r>
  <r>
    <x v="1"/>
    <x v="1"/>
    <x v="4"/>
    <x v="0"/>
    <x v="6"/>
    <x v="0"/>
    <x v="1"/>
    <n v="3"/>
    <n v="15753.72"/>
    <n v="67895.72"/>
    <x v="1"/>
  </r>
  <r>
    <x v="1"/>
    <x v="1"/>
    <x v="4"/>
    <x v="0"/>
    <x v="6"/>
    <x v="1"/>
    <x v="1"/>
    <n v="13"/>
    <n v="66272.2"/>
    <n v="205606.68"/>
    <x v="1"/>
  </r>
  <r>
    <x v="1"/>
    <x v="1"/>
    <x v="4"/>
    <x v="0"/>
    <x v="7"/>
    <x v="1"/>
    <x v="1"/>
    <n v="8"/>
    <n v="39154.480000000003"/>
    <n v="121688.41"/>
    <x v="1"/>
  </r>
  <r>
    <x v="1"/>
    <x v="1"/>
    <x v="4"/>
    <x v="0"/>
    <x v="8"/>
    <x v="0"/>
    <x v="1"/>
    <n v="2"/>
    <n v="11345.59"/>
    <n v="57903.44"/>
    <x v="1"/>
  </r>
  <r>
    <x v="1"/>
    <x v="1"/>
    <x v="4"/>
    <x v="1"/>
    <x v="9"/>
    <x v="1"/>
    <x v="1"/>
    <n v="6"/>
    <n v="31768.32"/>
    <n v="92248.45"/>
    <x v="1"/>
  </r>
  <r>
    <x v="1"/>
    <x v="1"/>
    <x v="4"/>
    <x v="1"/>
    <x v="31"/>
    <x v="1"/>
    <x v="0"/>
    <n v="7"/>
    <n v="36619.51"/>
    <n v="122633.97"/>
    <x v="1"/>
  </r>
  <r>
    <x v="1"/>
    <x v="1"/>
    <x v="4"/>
    <x v="1"/>
    <x v="10"/>
    <x v="1"/>
    <x v="0"/>
    <n v="7"/>
    <n v="34943.99"/>
    <n v="115937.96"/>
    <x v="1"/>
  </r>
  <r>
    <x v="1"/>
    <x v="1"/>
    <x v="4"/>
    <x v="1"/>
    <x v="10"/>
    <x v="1"/>
    <x v="1"/>
    <n v="18"/>
    <n v="97330.240000000005"/>
    <n v="316074.34999999998"/>
    <x v="1"/>
  </r>
  <r>
    <x v="1"/>
    <x v="1"/>
    <x v="4"/>
    <x v="1"/>
    <x v="11"/>
    <x v="0"/>
    <x v="1"/>
    <n v="8"/>
    <n v="43504.31"/>
    <n v="214971.19"/>
    <x v="1"/>
  </r>
  <r>
    <x v="1"/>
    <x v="1"/>
    <x v="4"/>
    <x v="1"/>
    <x v="11"/>
    <x v="1"/>
    <x v="0"/>
    <n v="5"/>
    <n v="26933.65"/>
    <n v="72521.34"/>
    <x v="1"/>
  </r>
  <r>
    <x v="1"/>
    <x v="1"/>
    <x v="4"/>
    <x v="1"/>
    <x v="11"/>
    <x v="1"/>
    <x v="1"/>
    <n v="18"/>
    <n v="101812.48"/>
    <n v="293782.53000000003"/>
    <x v="1"/>
  </r>
  <r>
    <x v="1"/>
    <x v="1"/>
    <x v="4"/>
    <x v="1"/>
    <x v="12"/>
    <x v="1"/>
    <x v="0"/>
    <n v="2"/>
    <n v="13330.28"/>
    <n v="46370.82"/>
    <x v="1"/>
  </r>
  <r>
    <x v="1"/>
    <x v="1"/>
    <x v="4"/>
    <x v="1"/>
    <x v="13"/>
    <x v="0"/>
    <x v="1"/>
    <n v="1"/>
    <n v="5236.3100000000004"/>
    <n v="25554.19"/>
    <x v="1"/>
  </r>
  <r>
    <x v="1"/>
    <x v="1"/>
    <x v="4"/>
    <x v="1"/>
    <x v="13"/>
    <x v="1"/>
    <x v="0"/>
    <n v="14"/>
    <n v="71799.06"/>
    <n v="229372.59"/>
    <x v="1"/>
  </r>
  <r>
    <x v="1"/>
    <x v="1"/>
    <x v="4"/>
    <x v="1"/>
    <x v="13"/>
    <x v="1"/>
    <x v="1"/>
    <n v="11"/>
    <n v="61331.82"/>
    <n v="193306.84"/>
    <x v="1"/>
  </r>
  <r>
    <x v="1"/>
    <x v="1"/>
    <x v="4"/>
    <x v="1"/>
    <x v="14"/>
    <x v="0"/>
    <x v="1"/>
    <n v="2"/>
    <n v="9475.85"/>
    <n v="45186.99"/>
    <x v="1"/>
  </r>
  <r>
    <x v="1"/>
    <x v="1"/>
    <x v="4"/>
    <x v="1"/>
    <x v="14"/>
    <x v="1"/>
    <x v="0"/>
    <n v="19"/>
    <n v="99130.35"/>
    <n v="297518.65999999997"/>
    <x v="1"/>
  </r>
  <r>
    <x v="1"/>
    <x v="1"/>
    <x v="4"/>
    <x v="1"/>
    <x v="14"/>
    <x v="1"/>
    <x v="1"/>
    <n v="10"/>
    <n v="50005.74"/>
    <n v="155565.99"/>
    <x v="1"/>
  </r>
  <r>
    <x v="1"/>
    <x v="1"/>
    <x v="4"/>
    <x v="1"/>
    <x v="15"/>
    <x v="1"/>
    <x v="1"/>
    <n v="1"/>
    <n v="5512.25"/>
    <n v="15354.73"/>
    <x v="1"/>
  </r>
  <r>
    <x v="1"/>
    <x v="1"/>
    <x v="4"/>
    <x v="1"/>
    <x v="16"/>
    <x v="1"/>
    <x v="0"/>
    <n v="6"/>
    <n v="31325.77"/>
    <n v="97432.84"/>
    <x v="1"/>
  </r>
  <r>
    <x v="1"/>
    <x v="1"/>
    <x v="4"/>
    <x v="1"/>
    <x v="16"/>
    <x v="1"/>
    <x v="1"/>
    <n v="12"/>
    <n v="66350.55"/>
    <n v="202687.26"/>
    <x v="1"/>
  </r>
  <r>
    <x v="1"/>
    <x v="1"/>
    <x v="4"/>
    <x v="1"/>
    <x v="17"/>
    <x v="0"/>
    <x v="1"/>
    <n v="1"/>
    <n v="4839.93"/>
    <n v="22260.11"/>
    <x v="1"/>
  </r>
  <r>
    <x v="1"/>
    <x v="1"/>
    <x v="4"/>
    <x v="1"/>
    <x v="17"/>
    <x v="1"/>
    <x v="0"/>
    <n v="12"/>
    <n v="61032.45"/>
    <n v="179442.31"/>
    <x v="1"/>
  </r>
  <r>
    <x v="1"/>
    <x v="1"/>
    <x v="4"/>
    <x v="1"/>
    <x v="18"/>
    <x v="0"/>
    <x v="1"/>
    <n v="9"/>
    <n v="44510.13"/>
    <n v="207691.97"/>
    <x v="1"/>
  </r>
  <r>
    <x v="1"/>
    <x v="1"/>
    <x v="4"/>
    <x v="1"/>
    <x v="18"/>
    <x v="1"/>
    <x v="0"/>
    <n v="5"/>
    <n v="23404.5"/>
    <n v="76887.039999999994"/>
    <x v="1"/>
  </r>
  <r>
    <x v="1"/>
    <x v="1"/>
    <x v="4"/>
    <x v="1"/>
    <x v="18"/>
    <x v="1"/>
    <x v="1"/>
    <n v="22"/>
    <n v="118639.1"/>
    <n v="357051.27"/>
    <x v="1"/>
  </r>
  <r>
    <x v="1"/>
    <x v="1"/>
    <x v="4"/>
    <x v="1"/>
    <x v="19"/>
    <x v="0"/>
    <x v="1"/>
    <n v="1"/>
    <n v="5260.67"/>
    <n v="26027.51"/>
    <x v="1"/>
  </r>
  <r>
    <x v="1"/>
    <x v="1"/>
    <x v="4"/>
    <x v="1"/>
    <x v="19"/>
    <x v="1"/>
    <x v="0"/>
    <n v="6"/>
    <n v="32866.379999999997"/>
    <n v="91565.83"/>
    <x v="1"/>
  </r>
  <r>
    <x v="1"/>
    <x v="1"/>
    <x v="4"/>
    <x v="1"/>
    <x v="19"/>
    <x v="1"/>
    <x v="1"/>
    <n v="5"/>
    <n v="25541.77"/>
    <n v="76960.42"/>
    <x v="1"/>
  </r>
  <r>
    <x v="1"/>
    <x v="1"/>
    <x v="4"/>
    <x v="1"/>
    <x v="20"/>
    <x v="0"/>
    <x v="0"/>
    <n v="1"/>
    <n v="4728.8599999999997"/>
    <n v="22910.639999999999"/>
    <x v="1"/>
  </r>
  <r>
    <x v="1"/>
    <x v="1"/>
    <x v="4"/>
    <x v="1"/>
    <x v="20"/>
    <x v="0"/>
    <x v="1"/>
    <n v="1"/>
    <n v="4654.0200000000004"/>
    <n v="22692.07"/>
    <x v="1"/>
  </r>
  <r>
    <x v="1"/>
    <x v="1"/>
    <x v="4"/>
    <x v="1"/>
    <x v="20"/>
    <x v="1"/>
    <x v="0"/>
    <n v="8"/>
    <n v="46924.31"/>
    <n v="145195.76999999999"/>
    <x v="1"/>
  </r>
  <r>
    <x v="1"/>
    <x v="1"/>
    <x v="4"/>
    <x v="1"/>
    <x v="20"/>
    <x v="1"/>
    <x v="1"/>
    <n v="17"/>
    <n v="92811.06"/>
    <n v="291484.51"/>
    <x v="1"/>
  </r>
  <r>
    <x v="1"/>
    <x v="1"/>
    <x v="4"/>
    <x v="2"/>
    <x v="22"/>
    <x v="1"/>
    <x v="0"/>
    <n v="7"/>
    <n v="36605.449999999997"/>
    <n v="96375.53"/>
    <x v="1"/>
  </r>
  <r>
    <x v="1"/>
    <x v="1"/>
    <x v="4"/>
    <x v="2"/>
    <x v="22"/>
    <x v="1"/>
    <x v="1"/>
    <n v="7"/>
    <n v="36458.160000000003"/>
    <n v="100601.61"/>
    <x v="1"/>
  </r>
  <r>
    <x v="1"/>
    <x v="1"/>
    <x v="4"/>
    <x v="2"/>
    <x v="24"/>
    <x v="0"/>
    <x v="1"/>
    <n v="1"/>
    <n v="4702.6899999999996"/>
    <n v="23764.240000000002"/>
    <x v="1"/>
  </r>
  <r>
    <x v="1"/>
    <x v="1"/>
    <x v="4"/>
    <x v="2"/>
    <x v="24"/>
    <x v="1"/>
    <x v="0"/>
    <n v="6"/>
    <n v="33566.28"/>
    <n v="96831.08"/>
    <x v="1"/>
  </r>
  <r>
    <x v="1"/>
    <x v="1"/>
    <x v="4"/>
    <x v="2"/>
    <x v="24"/>
    <x v="1"/>
    <x v="1"/>
    <n v="1"/>
    <n v="5494.14"/>
    <n v="13381.03"/>
    <x v="1"/>
  </r>
  <r>
    <x v="1"/>
    <x v="1"/>
    <x v="4"/>
    <x v="3"/>
    <x v="25"/>
    <x v="1"/>
    <x v="0"/>
    <n v="8"/>
    <n v="41637.120000000003"/>
    <n v="136343.74"/>
    <x v="1"/>
  </r>
  <r>
    <x v="1"/>
    <x v="1"/>
    <x v="4"/>
    <x v="3"/>
    <x v="25"/>
    <x v="1"/>
    <x v="1"/>
    <n v="2"/>
    <n v="12147.9"/>
    <n v="41164.959999999999"/>
    <x v="1"/>
  </r>
  <r>
    <x v="1"/>
    <x v="1"/>
    <x v="4"/>
    <x v="3"/>
    <x v="26"/>
    <x v="0"/>
    <x v="0"/>
    <n v="1"/>
    <n v="5450.05"/>
    <n v="22514.17"/>
    <x v="1"/>
  </r>
  <r>
    <x v="1"/>
    <x v="1"/>
    <x v="4"/>
    <x v="3"/>
    <x v="26"/>
    <x v="0"/>
    <x v="1"/>
    <n v="1"/>
    <n v="5372.45"/>
    <n v="22514.17"/>
    <x v="1"/>
  </r>
  <r>
    <x v="1"/>
    <x v="1"/>
    <x v="4"/>
    <x v="3"/>
    <x v="26"/>
    <x v="1"/>
    <x v="0"/>
    <n v="5"/>
    <n v="27572.75"/>
    <n v="78184.039999999994"/>
    <x v="1"/>
  </r>
  <r>
    <x v="1"/>
    <x v="1"/>
    <x v="4"/>
    <x v="3"/>
    <x v="26"/>
    <x v="1"/>
    <x v="1"/>
    <n v="20"/>
    <n v="102618.56"/>
    <n v="343109.08"/>
    <x v="1"/>
  </r>
  <r>
    <x v="1"/>
    <x v="1"/>
    <x v="4"/>
    <x v="3"/>
    <x v="27"/>
    <x v="0"/>
    <x v="1"/>
    <n v="2"/>
    <n v="11048.88"/>
    <n v="48857.38"/>
    <x v="1"/>
  </r>
  <r>
    <x v="1"/>
    <x v="1"/>
    <x v="4"/>
    <x v="3"/>
    <x v="27"/>
    <x v="1"/>
    <x v="0"/>
    <n v="25"/>
    <n v="131640.24"/>
    <n v="411881.87"/>
    <x v="1"/>
  </r>
  <r>
    <x v="1"/>
    <x v="1"/>
    <x v="4"/>
    <x v="3"/>
    <x v="27"/>
    <x v="1"/>
    <x v="1"/>
    <n v="27"/>
    <n v="149103.62"/>
    <n v="489432.82"/>
    <x v="1"/>
  </r>
  <r>
    <x v="1"/>
    <x v="1"/>
    <x v="5"/>
    <x v="0"/>
    <x v="0"/>
    <x v="0"/>
    <x v="0"/>
    <n v="2"/>
    <n v="13723.52"/>
    <n v="56339.66"/>
    <x v="1"/>
  </r>
  <r>
    <x v="1"/>
    <x v="1"/>
    <x v="5"/>
    <x v="0"/>
    <x v="0"/>
    <x v="0"/>
    <x v="1"/>
    <n v="4"/>
    <n v="23637.31"/>
    <n v="96672.9"/>
    <x v="1"/>
  </r>
  <r>
    <x v="1"/>
    <x v="1"/>
    <x v="5"/>
    <x v="0"/>
    <x v="0"/>
    <x v="1"/>
    <x v="1"/>
    <n v="4"/>
    <n v="18829.16"/>
    <n v="51537.51"/>
    <x v="1"/>
  </r>
  <r>
    <x v="1"/>
    <x v="1"/>
    <x v="5"/>
    <x v="0"/>
    <x v="1"/>
    <x v="0"/>
    <x v="0"/>
    <n v="2"/>
    <n v="11859.49"/>
    <n v="48506.96"/>
    <x v="1"/>
  </r>
  <r>
    <x v="1"/>
    <x v="1"/>
    <x v="5"/>
    <x v="0"/>
    <x v="1"/>
    <x v="0"/>
    <x v="1"/>
    <n v="4"/>
    <n v="21725.5"/>
    <n v="92751.72"/>
    <x v="1"/>
  </r>
  <r>
    <x v="1"/>
    <x v="1"/>
    <x v="5"/>
    <x v="0"/>
    <x v="1"/>
    <x v="1"/>
    <x v="0"/>
    <n v="11"/>
    <n v="63403.29"/>
    <n v="166468.81"/>
    <x v="1"/>
  </r>
  <r>
    <x v="1"/>
    <x v="1"/>
    <x v="5"/>
    <x v="0"/>
    <x v="1"/>
    <x v="1"/>
    <x v="1"/>
    <n v="20"/>
    <n v="124025.43"/>
    <n v="325149.46000000002"/>
    <x v="1"/>
  </r>
  <r>
    <x v="1"/>
    <x v="1"/>
    <x v="5"/>
    <x v="0"/>
    <x v="2"/>
    <x v="0"/>
    <x v="1"/>
    <n v="2"/>
    <n v="9764.4699999999993"/>
    <n v="36802.370000000003"/>
    <x v="1"/>
  </r>
  <r>
    <x v="1"/>
    <x v="1"/>
    <x v="5"/>
    <x v="0"/>
    <x v="2"/>
    <x v="1"/>
    <x v="1"/>
    <n v="17"/>
    <n v="99374.32"/>
    <n v="251720.17"/>
    <x v="1"/>
  </r>
  <r>
    <x v="1"/>
    <x v="1"/>
    <x v="5"/>
    <x v="0"/>
    <x v="3"/>
    <x v="0"/>
    <x v="1"/>
    <n v="6"/>
    <n v="30165.040000000001"/>
    <n v="122010.27"/>
    <x v="1"/>
  </r>
  <r>
    <x v="1"/>
    <x v="1"/>
    <x v="5"/>
    <x v="0"/>
    <x v="3"/>
    <x v="1"/>
    <x v="0"/>
    <n v="2"/>
    <n v="11207.9"/>
    <n v="29272.7"/>
    <x v="1"/>
  </r>
  <r>
    <x v="1"/>
    <x v="1"/>
    <x v="5"/>
    <x v="0"/>
    <x v="3"/>
    <x v="1"/>
    <x v="1"/>
    <n v="13"/>
    <n v="85178.08"/>
    <n v="220486.27"/>
    <x v="1"/>
  </r>
  <r>
    <x v="1"/>
    <x v="1"/>
    <x v="5"/>
    <x v="0"/>
    <x v="28"/>
    <x v="1"/>
    <x v="1"/>
    <n v="2"/>
    <n v="13385.32"/>
    <n v="36461.839999999997"/>
    <x v="1"/>
  </r>
  <r>
    <x v="1"/>
    <x v="1"/>
    <x v="5"/>
    <x v="0"/>
    <x v="4"/>
    <x v="0"/>
    <x v="1"/>
    <n v="1"/>
    <n v="6917.65"/>
    <n v="27963.4"/>
    <x v="1"/>
  </r>
  <r>
    <x v="1"/>
    <x v="1"/>
    <x v="5"/>
    <x v="0"/>
    <x v="4"/>
    <x v="1"/>
    <x v="1"/>
    <n v="5"/>
    <n v="32177.8"/>
    <n v="89897.31"/>
    <x v="1"/>
  </r>
  <r>
    <x v="1"/>
    <x v="1"/>
    <x v="5"/>
    <x v="0"/>
    <x v="5"/>
    <x v="1"/>
    <x v="0"/>
    <n v="1"/>
    <n v="4303.1099999999997"/>
    <n v="12076.09"/>
    <x v="1"/>
  </r>
  <r>
    <x v="1"/>
    <x v="1"/>
    <x v="5"/>
    <x v="0"/>
    <x v="5"/>
    <x v="1"/>
    <x v="1"/>
    <n v="24"/>
    <n v="131558.54999999999"/>
    <n v="340696.96"/>
    <x v="1"/>
  </r>
  <r>
    <x v="1"/>
    <x v="1"/>
    <x v="5"/>
    <x v="0"/>
    <x v="6"/>
    <x v="0"/>
    <x v="1"/>
    <n v="1"/>
    <n v="4738.54"/>
    <n v="20071.560000000001"/>
    <x v="1"/>
  </r>
  <r>
    <x v="1"/>
    <x v="1"/>
    <x v="5"/>
    <x v="0"/>
    <x v="8"/>
    <x v="1"/>
    <x v="1"/>
    <n v="1"/>
    <n v="6882.49"/>
    <n v="17806.599999999999"/>
    <x v="1"/>
  </r>
  <r>
    <x v="1"/>
    <x v="1"/>
    <x v="5"/>
    <x v="1"/>
    <x v="30"/>
    <x v="1"/>
    <x v="0"/>
    <n v="2"/>
    <n v="14251.28"/>
    <n v="38531.4"/>
    <x v="1"/>
  </r>
  <r>
    <x v="1"/>
    <x v="1"/>
    <x v="5"/>
    <x v="1"/>
    <x v="9"/>
    <x v="1"/>
    <x v="1"/>
    <n v="3"/>
    <n v="14713.74"/>
    <n v="41083.800000000003"/>
    <x v="1"/>
  </r>
  <r>
    <x v="1"/>
    <x v="1"/>
    <x v="5"/>
    <x v="1"/>
    <x v="10"/>
    <x v="0"/>
    <x v="0"/>
    <n v="1"/>
    <n v="4745.3500000000004"/>
    <n v="20097.57"/>
    <x v="1"/>
  </r>
  <r>
    <x v="1"/>
    <x v="1"/>
    <x v="5"/>
    <x v="1"/>
    <x v="10"/>
    <x v="0"/>
    <x v="1"/>
    <n v="4"/>
    <n v="21614.04"/>
    <n v="85887.75"/>
    <x v="1"/>
  </r>
  <r>
    <x v="1"/>
    <x v="1"/>
    <x v="5"/>
    <x v="1"/>
    <x v="10"/>
    <x v="1"/>
    <x v="0"/>
    <n v="7"/>
    <n v="35827.730000000003"/>
    <n v="101440.8"/>
    <x v="1"/>
  </r>
  <r>
    <x v="1"/>
    <x v="1"/>
    <x v="5"/>
    <x v="1"/>
    <x v="10"/>
    <x v="1"/>
    <x v="1"/>
    <n v="23"/>
    <n v="131523.85"/>
    <n v="369439.02"/>
    <x v="1"/>
  </r>
  <r>
    <x v="1"/>
    <x v="1"/>
    <x v="5"/>
    <x v="1"/>
    <x v="11"/>
    <x v="0"/>
    <x v="1"/>
    <n v="9"/>
    <n v="49555.18"/>
    <n v="200391.3"/>
    <x v="1"/>
  </r>
  <r>
    <x v="1"/>
    <x v="1"/>
    <x v="5"/>
    <x v="1"/>
    <x v="11"/>
    <x v="1"/>
    <x v="0"/>
    <n v="8"/>
    <n v="57224.76"/>
    <n v="144019.59"/>
    <x v="1"/>
  </r>
  <r>
    <x v="1"/>
    <x v="1"/>
    <x v="5"/>
    <x v="1"/>
    <x v="11"/>
    <x v="1"/>
    <x v="1"/>
    <n v="14"/>
    <n v="80312.23"/>
    <n v="203488.81"/>
    <x v="1"/>
  </r>
  <r>
    <x v="1"/>
    <x v="1"/>
    <x v="5"/>
    <x v="1"/>
    <x v="13"/>
    <x v="0"/>
    <x v="1"/>
    <n v="3"/>
    <n v="18169.02"/>
    <n v="75082.149999999994"/>
    <x v="1"/>
  </r>
  <r>
    <x v="1"/>
    <x v="1"/>
    <x v="5"/>
    <x v="1"/>
    <x v="13"/>
    <x v="1"/>
    <x v="0"/>
    <n v="7"/>
    <n v="43242.78"/>
    <n v="122952.58"/>
    <x v="1"/>
  </r>
  <r>
    <x v="1"/>
    <x v="1"/>
    <x v="5"/>
    <x v="1"/>
    <x v="13"/>
    <x v="1"/>
    <x v="1"/>
    <n v="2"/>
    <n v="11098.31"/>
    <n v="32903.07"/>
    <x v="1"/>
  </r>
  <r>
    <x v="1"/>
    <x v="1"/>
    <x v="5"/>
    <x v="1"/>
    <x v="14"/>
    <x v="0"/>
    <x v="1"/>
    <n v="1"/>
    <n v="4367.8900000000003"/>
    <n v="18009.490000000002"/>
    <x v="1"/>
  </r>
  <r>
    <x v="1"/>
    <x v="1"/>
    <x v="5"/>
    <x v="1"/>
    <x v="14"/>
    <x v="1"/>
    <x v="0"/>
    <n v="10"/>
    <n v="61891.49"/>
    <n v="175070.09"/>
    <x v="1"/>
  </r>
  <r>
    <x v="1"/>
    <x v="1"/>
    <x v="5"/>
    <x v="1"/>
    <x v="14"/>
    <x v="1"/>
    <x v="1"/>
    <n v="4"/>
    <n v="26797.200000000001"/>
    <n v="74225.62"/>
    <x v="1"/>
  </r>
  <r>
    <x v="1"/>
    <x v="1"/>
    <x v="5"/>
    <x v="1"/>
    <x v="15"/>
    <x v="1"/>
    <x v="0"/>
    <n v="3"/>
    <n v="16882.38"/>
    <n v="44303.12"/>
    <x v="1"/>
  </r>
  <r>
    <x v="1"/>
    <x v="1"/>
    <x v="5"/>
    <x v="1"/>
    <x v="15"/>
    <x v="1"/>
    <x v="1"/>
    <n v="2"/>
    <n v="10322.700000000001"/>
    <n v="26315.119999999999"/>
    <x v="1"/>
  </r>
  <r>
    <x v="1"/>
    <x v="1"/>
    <x v="5"/>
    <x v="1"/>
    <x v="16"/>
    <x v="1"/>
    <x v="0"/>
    <n v="8"/>
    <n v="47888.62"/>
    <n v="123722.49"/>
    <x v="1"/>
  </r>
  <r>
    <x v="1"/>
    <x v="1"/>
    <x v="5"/>
    <x v="1"/>
    <x v="16"/>
    <x v="1"/>
    <x v="1"/>
    <n v="5"/>
    <n v="25043.19"/>
    <n v="64795.58"/>
    <x v="1"/>
  </r>
  <r>
    <x v="1"/>
    <x v="1"/>
    <x v="5"/>
    <x v="1"/>
    <x v="17"/>
    <x v="1"/>
    <x v="0"/>
    <n v="2"/>
    <n v="14115.28"/>
    <n v="34658.25"/>
    <x v="1"/>
  </r>
  <r>
    <x v="1"/>
    <x v="1"/>
    <x v="5"/>
    <x v="1"/>
    <x v="18"/>
    <x v="0"/>
    <x v="1"/>
    <n v="11"/>
    <n v="64337.06"/>
    <n v="257644.76"/>
    <x v="1"/>
  </r>
  <r>
    <x v="1"/>
    <x v="1"/>
    <x v="5"/>
    <x v="1"/>
    <x v="18"/>
    <x v="1"/>
    <x v="0"/>
    <n v="8"/>
    <n v="47522.6"/>
    <n v="132454.23000000001"/>
    <x v="1"/>
  </r>
  <r>
    <x v="1"/>
    <x v="1"/>
    <x v="5"/>
    <x v="1"/>
    <x v="18"/>
    <x v="1"/>
    <x v="1"/>
    <n v="7"/>
    <n v="46826.49"/>
    <n v="127706.68"/>
    <x v="1"/>
  </r>
  <r>
    <x v="1"/>
    <x v="1"/>
    <x v="5"/>
    <x v="1"/>
    <x v="19"/>
    <x v="0"/>
    <x v="1"/>
    <n v="3"/>
    <n v="13826.56"/>
    <n v="54959.85"/>
    <x v="1"/>
  </r>
  <r>
    <x v="1"/>
    <x v="1"/>
    <x v="5"/>
    <x v="1"/>
    <x v="19"/>
    <x v="1"/>
    <x v="1"/>
    <n v="3"/>
    <n v="19496.91"/>
    <n v="51104.13"/>
    <x v="1"/>
  </r>
  <r>
    <x v="1"/>
    <x v="1"/>
    <x v="5"/>
    <x v="1"/>
    <x v="20"/>
    <x v="0"/>
    <x v="1"/>
    <n v="9"/>
    <n v="52562.77"/>
    <n v="218747.8"/>
    <x v="1"/>
  </r>
  <r>
    <x v="1"/>
    <x v="1"/>
    <x v="5"/>
    <x v="1"/>
    <x v="20"/>
    <x v="1"/>
    <x v="0"/>
    <n v="4"/>
    <n v="25804.48"/>
    <n v="68199.81"/>
    <x v="1"/>
  </r>
  <r>
    <x v="1"/>
    <x v="1"/>
    <x v="5"/>
    <x v="1"/>
    <x v="20"/>
    <x v="1"/>
    <x v="1"/>
    <n v="13"/>
    <n v="76967.210000000006"/>
    <n v="203891.28"/>
    <x v="1"/>
  </r>
  <r>
    <x v="1"/>
    <x v="1"/>
    <x v="5"/>
    <x v="2"/>
    <x v="21"/>
    <x v="0"/>
    <x v="0"/>
    <n v="4"/>
    <n v="25287.5"/>
    <n v="102152.79"/>
    <x v="1"/>
  </r>
  <r>
    <x v="1"/>
    <x v="1"/>
    <x v="5"/>
    <x v="2"/>
    <x v="21"/>
    <x v="1"/>
    <x v="1"/>
    <n v="2"/>
    <n v="14133.72"/>
    <n v="32888.28"/>
    <x v="1"/>
  </r>
  <r>
    <x v="1"/>
    <x v="1"/>
    <x v="5"/>
    <x v="2"/>
    <x v="22"/>
    <x v="0"/>
    <x v="1"/>
    <n v="1"/>
    <n v="6518.46"/>
    <n v="27971.88"/>
    <x v="1"/>
  </r>
  <r>
    <x v="1"/>
    <x v="1"/>
    <x v="5"/>
    <x v="2"/>
    <x v="22"/>
    <x v="1"/>
    <x v="0"/>
    <n v="2"/>
    <n v="11727.18"/>
    <n v="29233.39"/>
    <x v="1"/>
  </r>
  <r>
    <x v="1"/>
    <x v="1"/>
    <x v="5"/>
    <x v="2"/>
    <x v="22"/>
    <x v="1"/>
    <x v="1"/>
    <n v="14"/>
    <n v="82768.63"/>
    <n v="198824.56"/>
    <x v="1"/>
  </r>
  <r>
    <x v="1"/>
    <x v="1"/>
    <x v="5"/>
    <x v="2"/>
    <x v="29"/>
    <x v="0"/>
    <x v="1"/>
    <n v="1"/>
    <n v="4312.78"/>
    <n v="18392.13"/>
    <x v="1"/>
  </r>
  <r>
    <x v="1"/>
    <x v="1"/>
    <x v="5"/>
    <x v="2"/>
    <x v="24"/>
    <x v="0"/>
    <x v="1"/>
    <n v="1"/>
    <n v="6380.19"/>
    <n v="27805.040000000001"/>
    <x v="1"/>
  </r>
  <r>
    <x v="1"/>
    <x v="1"/>
    <x v="5"/>
    <x v="3"/>
    <x v="25"/>
    <x v="0"/>
    <x v="1"/>
    <n v="2"/>
    <n v="9860.82"/>
    <n v="36651.86"/>
    <x v="1"/>
  </r>
  <r>
    <x v="1"/>
    <x v="1"/>
    <x v="5"/>
    <x v="3"/>
    <x v="25"/>
    <x v="1"/>
    <x v="0"/>
    <n v="5"/>
    <n v="31977.45"/>
    <n v="95989.36"/>
    <x v="1"/>
  </r>
  <r>
    <x v="1"/>
    <x v="1"/>
    <x v="5"/>
    <x v="3"/>
    <x v="26"/>
    <x v="0"/>
    <x v="1"/>
    <n v="1"/>
    <n v="4376.51"/>
    <n v="18486.46"/>
    <x v="1"/>
  </r>
  <r>
    <x v="1"/>
    <x v="1"/>
    <x v="5"/>
    <x v="3"/>
    <x v="26"/>
    <x v="1"/>
    <x v="0"/>
    <n v="2"/>
    <n v="9480.84"/>
    <n v="26854.62"/>
    <x v="1"/>
  </r>
  <r>
    <x v="1"/>
    <x v="1"/>
    <x v="5"/>
    <x v="3"/>
    <x v="26"/>
    <x v="1"/>
    <x v="1"/>
    <n v="14"/>
    <n v="78909.990000000005"/>
    <n v="217222.39"/>
    <x v="1"/>
  </r>
  <r>
    <x v="1"/>
    <x v="1"/>
    <x v="5"/>
    <x v="3"/>
    <x v="27"/>
    <x v="0"/>
    <x v="0"/>
    <n v="6"/>
    <n v="36181.769999999997"/>
    <n v="150480.42000000001"/>
    <x v="1"/>
  </r>
  <r>
    <x v="1"/>
    <x v="1"/>
    <x v="5"/>
    <x v="3"/>
    <x v="27"/>
    <x v="0"/>
    <x v="1"/>
    <n v="7"/>
    <n v="39272.400000000001"/>
    <n v="149420.07999999999"/>
    <x v="1"/>
  </r>
  <r>
    <x v="1"/>
    <x v="1"/>
    <x v="5"/>
    <x v="3"/>
    <x v="27"/>
    <x v="1"/>
    <x v="0"/>
    <n v="11"/>
    <n v="58155.81"/>
    <n v="149415.31"/>
    <x v="1"/>
  </r>
  <r>
    <x v="1"/>
    <x v="1"/>
    <x v="5"/>
    <x v="3"/>
    <x v="27"/>
    <x v="1"/>
    <x v="1"/>
    <n v="12"/>
    <n v="65111.03"/>
    <n v="179122.4"/>
    <x v="1"/>
  </r>
  <r>
    <x v="1"/>
    <x v="1"/>
    <x v="6"/>
    <x v="0"/>
    <x v="0"/>
    <x v="0"/>
    <x v="0"/>
    <n v="2"/>
    <n v="4203.5200000000004"/>
    <n v="15615.24"/>
    <x v="1"/>
  </r>
  <r>
    <x v="1"/>
    <x v="1"/>
    <x v="6"/>
    <x v="0"/>
    <x v="0"/>
    <x v="0"/>
    <x v="1"/>
    <n v="1"/>
    <n v="3241.79"/>
    <n v="10825.17"/>
    <x v="1"/>
  </r>
  <r>
    <x v="1"/>
    <x v="1"/>
    <x v="6"/>
    <x v="0"/>
    <x v="1"/>
    <x v="0"/>
    <x v="1"/>
    <n v="1"/>
    <n v="3039.73"/>
    <n v="10906.38"/>
    <x v="1"/>
  </r>
  <r>
    <x v="1"/>
    <x v="1"/>
    <x v="6"/>
    <x v="0"/>
    <x v="1"/>
    <x v="1"/>
    <x v="0"/>
    <n v="21"/>
    <n v="60144.21"/>
    <n v="136640.57999999999"/>
    <x v="1"/>
  </r>
  <r>
    <x v="1"/>
    <x v="1"/>
    <x v="6"/>
    <x v="0"/>
    <x v="1"/>
    <x v="1"/>
    <x v="1"/>
    <n v="23"/>
    <n v="63538.93"/>
    <n v="141545.68"/>
    <x v="1"/>
  </r>
  <r>
    <x v="1"/>
    <x v="1"/>
    <x v="6"/>
    <x v="0"/>
    <x v="2"/>
    <x v="1"/>
    <x v="0"/>
    <n v="2"/>
    <n v="6052.9"/>
    <n v="13415.47"/>
    <x v="1"/>
  </r>
  <r>
    <x v="1"/>
    <x v="1"/>
    <x v="6"/>
    <x v="0"/>
    <x v="2"/>
    <x v="1"/>
    <x v="1"/>
    <n v="14"/>
    <n v="34360.480000000003"/>
    <n v="75378.33"/>
    <x v="1"/>
  </r>
  <r>
    <x v="1"/>
    <x v="1"/>
    <x v="6"/>
    <x v="0"/>
    <x v="3"/>
    <x v="0"/>
    <x v="0"/>
    <n v="1"/>
    <n v="3225.24"/>
    <n v="10663.59"/>
    <x v="1"/>
  </r>
  <r>
    <x v="1"/>
    <x v="1"/>
    <x v="6"/>
    <x v="0"/>
    <x v="3"/>
    <x v="0"/>
    <x v="1"/>
    <n v="8"/>
    <n v="20875.88"/>
    <n v="71261.710000000006"/>
    <x v="1"/>
  </r>
  <r>
    <x v="1"/>
    <x v="1"/>
    <x v="6"/>
    <x v="0"/>
    <x v="3"/>
    <x v="1"/>
    <x v="0"/>
    <n v="15"/>
    <n v="44162.62"/>
    <n v="95310.07"/>
    <x v="1"/>
  </r>
  <r>
    <x v="1"/>
    <x v="1"/>
    <x v="6"/>
    <x v="0"/>
    <x v="3"/>
    <x v="1"/>
    <x v="1"/>
    <n v="29"/>
    <n v="85297.22"/>
    <n v="189856.58"/>
    <x v="1"/>
  </r>
  <r>
    <x v="1"/>
    <x v="1"/>
    <x v="6"/>
    <x v="0"/>
    <x v="4"/>
    <x v="1"/>
    <x v="0"/>
    <n v="4"/>
    <n v="11303.59"/>
    <n v="25776.58"/>
    <x v="1"/>
  </r>
  <r>
    <x v="1"/>
    <x v="1"/>
    <x v="6"/>
    <x v="0"/>
    <x v="4"/>
    <x v="1"/>
    <x v="1"/>
    <n v="3"/>
    <n v="9708.76"/>
    <n v="20914.53"/>
    <x v="1"/>
  </r>
  <r>
    <x v="1"/>
    <x v="1"/>
    <x v="6"/>
    <x v="0"/>
    <x v="5"/>
    <x v="0"/>
    <x v="1"/>
    <n v="1"/>
    <n v="3052.3"/>
    <n v="10825.52"/>
    <x v="1"/>
  </r>
  <r>
    <x v="1"/>
    <x v="1"/>
    <x v="6"/>
    <x v="0"/>
    <x v="5"/>
    <x v="1"/>
    <x v="1"/>
    <n v="19"/>
    <n v="52647.9"/>
    <n v="120541.33"/>
    <x v="1"/>
  </r>
  <r>
    <x v="1"/>
    <x v="1"/>
    <x v="6"/>
    <x v="0"/>
    <x v="6"/>
    <x v="0"/>
    <x v="1"/>
    <n v="1"/>
    <n v="1872.19"/>
    <n v="6765.95"/>
    <x v="1"/>
  </r>
  <r>
    <x v="1"/>
    <x v="1"/>
    <x v="6"/>
    <x v="0"/>
    <x v="8"/>
    <x v="0"/>
    <x v="1"/>
    <n v="1"/>
    <n v="3112.14"/>
    <n v="10844.01"/>
    <x v="1"/>
  </r>
  <r>
    <x v="1"/>
    <x v="1"/>
    <x v="6"/>
    <x v="1"/>
    <x v="9"/>
    <x v="1"/>
    <x v="1"/>
    <n v="4"/>
    <n v="9042.36"/>
    <n v="21251.25"/>
    <x v="1"/>
  </r>
  <r>
    <x v="1"/>
    <x v="1"/>
    <x v="6"/>
    <x v="1"/>
    <x v="31"/>
    <x v="1"/>
    <x v="0"/>
    <n v="3"/>
    <n v="9139.7999999999993"/>
    <n v="22760.51"/>
    <x v="1"/>
  </r>
  <r>
    <x v="1"/>
    <x v="1"/>
    <x v="6"/>
    <x v="1"/>
    <x v="10"/>
    <x v="0"/>
    <x v="1"/>
    <n v="4"/>
    <n v="11583.04"/>
    <n v="40053.339999999997"/>
    <x v="1"/>
  </r>
  <r>
    <x v="1"/>
    <x v="1"/>
    <x v="6"/>
    <x v="1"/>
    <x v="10"/>
    <x v="1"/>
    <x v="0"/>
    <n v="5"/>
    <n v="13329.65"/>
    <n v="31184.83"/>
    <x v="1"/>
  </r>
  <r>
    <x v="1"/>
    <x v="1"/>
    <x v="6"/>
    <x v="1"/>
    <x v="10"/>
    <x v="1"/>
    <x v="1"/>
    <n v="26"/>
    <n v="70142.880000000005"/>
    <n v="169638.12"/>
    <x v="1"/>
  </r>
  <r>
    <x v="1"/>
    <x v="1"/>
    <x v="6"/>
    <x v="1"/>
    <x v="11"/>
    <x v="0"/>
    <x v="1"/>
    <n v="16"/>
    <n v="41989.64"/>
    <n v="147314.46"/>
    <x v="1"/>
  </r>
  <r>
    <x v="1"/>
    <x v="1"/>
    <x v="6"/>
    <x v="1"/>
    <x v="11"/>
    <x v="1"/>
    <x v="1"/>
    <n v="20"/>
    <n v="52802.239999999998"/>
    <n v="118320.04"/>
    <x v="1"/>
  </r>
  <r>
    <x v="1"/>
    <x v="1"/>
    <x v="6"/>
    <x v="1"/>
    <x v="12"/>
    <x v="1"/>
    <x v="1"/>
    <n v="8"/>
    <n v="22932.32"/>
    <n v="54312.05"/>
    <x v="1"/>
  </r>
  <r>
    <x v="1"/>
    <x v="1"/>
    <x v="6"/>
    <x v="1"/>
    <x v="13"/>
    <x v="0"/>
    <x v="1"/>
    <n v="7"/>
    <n v="20113.82"/>
    <n v="68891.16"/>
    <x v="1"/>
  </r>
  <r>
    <x v="1"/>
    <x v="1"/>
    <x v="6"/>
    <x v="1"/>
    <x v="13"/>
    <x v="1"/>
    <x v="0"/>
    <n v="3"/>
    <n v="8260.36"/>
    <n v="20084.490000000002"/>
    <x v="1"/>
  </r>
  <r>
    <x v="1"/>
    <x v="1"/>
    <x v="6"/>
    <x v="1"/>
    <x v="13"/>
    <x v="1"/>
    <x v="1"/>
    <n v="9"/>
    <n v="18857.080000000002"/>
    <n v="46148.26"/>
    <x v="1"/>
  </r>
  <r>
    <x v="1"/>
    <x v="1"/>
    <x v="6"/>
    <x v="1"/>
    <x v="14"/>
    <x v="0"/>
    <x v="1"/>
    <n v="2"/>
    <n v="6067.52"/>
    <n v="21360.03"/>
    <x v="1"/>
  </r>
  <r>
    <x v="1"/>
    <x v="1"/>
    <x v="6"/>
    <x v="1"/>
    <x v="14"/>
    <x v="1"/>
    <x v="0"/>
    <n v="8"/>
    <n v="25049.67"/>
    <n v="58109.21"/>
    <x v="1"/>
  </r>
  <r>
    <x v="1"/>
    <x v="1"/>
    <x v="6"/>
    <x v="1"/>
    <x v="14"/>
    <x v="1"/>
    <x v="1"/>
    <n v="3"/>
    <n v="6840.43"/>
    <n v="16152.2"/>
    <x v="1"/>
  </r>
  <r>
    <x v="1"/>
    <x v="1"/>
    <x v="6"/>
    <x v="1"/>
    <x v="15"/>
    <x v="1"/>
    <x v="0"/>
    <n v="1"/>
    <n v="2077.87"/>
    <n v="5321.14"/>
    <x v="1"/>
  </r>
  <r>
    <x v="1"/>
    <x v="1"/>
    <x v="6"/>
    <x v="1"/>
    <x v="16"/>
    <x v="1"/>
    <x v="0"/>
    <n v="8"/>
    <n v="19705.53"/>
    <n v="45806.95"/>
    <x v="1"/>
  </r>
  <r>
    <x v="1"/>
    <x v="1"/>
    <x v="6"/>
    <x v="1"/>
    <x v="16"/>
    <x v="1"/>
    <x v="1"/>
    <n v="15"/>
    <n v="47169.34"/>
    <n v="107062.11"/>
    <x v="1"/>
  </r>
  <r>
    <x v="1"/>
    <x v="1"/>
    <x v="6"/>
    <x v="1"/>
    <x v="17"/>
    <x v="0"/>
    <x v="1"/>
    <n v="1"/>
    <n v="3055.54"/>
    <n v="10676.11"/>
    <x v="1"/>
  </r>
  <r>
    <x v="1"/>
    <x v="1"/>
    <x v="6"/>
    <x v="1"/>
    <x v="17"/>
    <x v="1"/>
    <x v="0"/>
    <n v="5"/>
    <n v="13633.5"/>
    <n v="30866.29"/>
    <x v="1"/>
  </r>
  <r>
    <x v="1"/>
    <x v="1"/>
    <x v="6"/>
    <x v="1"/>
    <x v="17"/>
    <x v="1"/>
    <x v="1"/>
    <n v="1"/>
    <n v="3315.76"/>
    <n v="7210.27"/>
    <x v="1"/>
  </r>
  <r>
    <x v="1"/>
    <x v="1"/>
    <x v="6"/>
    <x v="1"/>
    <x v="18"/>
    <x v="0"/>
    <x v="1"/>
    <n v="11"/>
    <n v="32494.89"/>
    <n v="110506.11"/>
    <x v="1"/>
  </r>
  <r>
    <x v="1"/>
    <x v="1"/>
    <x v="6"/>
    <x v="1"/>
    <x v="18"/>
    <x v="1"/>
    <x v="0"/>
    <n v="5"/>
    <n v="12916.48"/>
    <n v="31370.23"/>
    <x v="1"/>
  </r>
  <r>
    <x v="1"/>
    <x v="1"/>
    <x v="6"/>
    <x v="1"/>
    <x v="18"/>
    <x v="1"/>
    <x v="1"/>
    <n v="16"/>
    <n v="40992.29"/>
    <n v="97042.86"/>
    <x v="1"/>
  </r>
  <r>
    <x v="1"/>
    <x v="1"/>
    <x v="6"/>
    <x v="1"/>
    <x v="19"/>
    <x v="0"/>
    <x v="1"/>
    <n v="5"/>
    <n v="14034.33"/>
    <n v="48135.040000000001"/>
    <x v="1"/>
  </r>
  <r>
    <x v="1"/>
    <x v="1"/>
    <x v="6"/>
    <x v="1"/>
    <x v="19"/>
    <x v="1"/>
    <x v="0"/>
    <n v="16"/>
    <n v="38947.81"/>
    <n v="94384.14"/>
    <x v="1"/>
  </r>
  <r>
    <x v="1"/>
    <x v="1"/>
    <x v="6"/>
    <x v="1"/>
    <x v="19"/>
    <x v="1"/>
    <x v="1"/>
    <n v="5"/>
    <n v="11698.14"/>
    <n v="28389.599999999999"/>
    <x v="1"/>
  </r>
  <r>
    <x v="1"/>
    <x v="1"/>
    <x v="6"/>
    <x v="1"/>
    <x v="20"/>
    <x v="0"/>
    <x v="0"/>
    <n v="1"/>
    <n v="3239.81"/>
    <n v="10942.82"/>
    <x v="1"/>
  </r>
  <r>
    <x v="1"/>
    <x v="1"/>
    <x v="6"/>
    <x v="1"/>
    <x v="20"/>
    <x v="0"/>
    <x v="1"/>
    <n v="3"/>
    <n v="9150.1"/>
    <n v="32990.980000000003"/>
    <x v="1"/>
  </r>
  <r>
    <x v="1"/>
    <x v="1"/>
    <x v="6"/>
    <x v="1"/>
    <x v="20"/>
    <x v="1"/>
    <x v="0"/>
    <n v="11"/>
    <n v="28066.01"/>
    <n v="65034.27"/>
    <x v="1"/>
  </r>
  <r>
    <x v="1"/>
    <x v="1"/>
    <x v="6"/>
    <x v="1"/>
    <x v="20"/>
    <x v="1"/>
    <x v="1"/>
    <n v="30"/>
    <n v="73873.820000000007"/>
    <n v="177908"/>
    <x v="1"/>
  </r>
  <r>
    <x v="1"/>
    <x v="1"/>
    <x v="6"/>
    <x v="2"/>
    <x v="21"/>
    <x v="0"/>
    <x v="0"/>
    <n v="3"/>
    <n v="9221.5400000000009"/>
    <n v="32546.25"/>
    <x v="1"/>
  </r>
  <r>
    <x v="1"/>
    <x v="1"/>
    <x v="6"/>
    <x v="2"/>
    <x v="22"/>
    <x v="0"/>
    <x v="1"/>
    <n v="1"/>
    <n v="2171.71"/>
    <n v="7808.58"/>
    <x v="1"/>
  </r>
  <r>
    <x v="1"/>
    <x v="1"/>
    <x v="6"/>
    <x v="2"/>
    <x v="22"/>
    <x v="1"/>
    <x v="0"/>
    <n v="6"/>
    <n v="15477.54"/>
    <n v="34073.08"/>
    <x v="1"/>
  </r>
  <r>
    <x v="1"/>
    <x v="1"/>
    <x v="6"/>
    <x v="2"/>
    <x v="22"/>
    <x v="1"/>
    <x v="1"/>
    <n v="13"/>
    <n v="40226.67"/>
    <n v="82245.649999999994"/>
    <x v="1"/>
  </r>
  <r>
    <x v="1"/>
    <x v="1"/>
    <x v="6"/>
    <x v="2"/>
    <x v="29"/>
    <x v="0"/>
    <x v="1"/>
    <n v="1"/>
    <n v="2209.7399999999998"/>
    <n v="7800.39"/>
    <x v="1"/>
  </r>
  <r>
    <x v="1"/>
    <x v="1"/>
    <x v="6"/>
    <x v="2"/>
    <x v="24"/>
    <x v="0"/>
    <x v="1"/>
    <n v="1"/>
    <n v="3096.13"/>
    <n v="10797.96"/>
    <x v="1"/>
  </r>
  <r>
    <x v="1"/>
    <x v="1"/>
    <x v="6"/>
    <x v="3"/>
    <x v="25"/>
    <x v="1"/>
    <x v="0"/>
    <n v="5"/>
    <n v="12875.24"/>
    <n v="31043.83"/>
    <x v="1"/>
  </r>
  <r>
    <x v="1"/>
    <x v="1"/>
    <x v="6"/>
    <x v="3"/>
    <x v="25"/>
    <x v="1"/>
    <x v="1"/>
    <n v="5"/>
    <n v="16496.3"/>
    <n v="36151.24"/>
    <x v="1"/>
  </r>
  <r>
    <x v="1"/>
    <x v="1"/>
    <x v="6"/>
    <x v="3"/>
    <x v="26"/>
    <x v="0"/>
    <x v="0"/>
    <n v="1"/>
    <n v="2086.7199999999998"/>
    <n v="7800.39"/>
    <x v="1"/>
  </r>
  <r>
    <x v="1"/>
    <x v="1"/>
    <x v="6"/>
    <x v="3"/>
    <x v="26"/>
    <x v="0"/>
    <x v="1"/>
    <n v="1"/>
    <n v="2080.65"/>
    <n v="7853.04"/>
    <x v="1"/>
  </r>
  <r>
    <x v="1"/>
    <x v="1"/>
    <x v="6"/>
    <x v="3"/>
    <x v="26"/>
    <x v="1"/>
    <x v="1"/>
    <n v="11"/>
    <n v="28994.97"/>
    <n v="69662.39"/>
    <x v="1"/>
  </r>
  <r>
    <x v="1"/>
    <x v="1"/>
    <x v="6"/>
    <x v="3"/>
    <x v="27"/>
    <x v="0"/>
    <x v="1"/>
    <n v="3"/>
    <n v="8485.69"/>
    <n v="28486.48"/>
    <x v="1"/>
  </r>
  <r>
    <x v="1"/>
    <x v="1"/>
    <x v="6"/>
    <x v="3"/>
    <x v="27"/>
    <x v="1"/>
    <x v="0"/>
    <n v="3"/>
    <n v="9081.42"/>
    <n v="22035.93"/>
    <x v="1"/>
  </r>
  <r>
    <x v="1"/>
    <x v="1"/>
    <x v="6"/>
    <x v="3"/>
    <x v="27"/>
    <x v="1"/>
    <x v="1"/>
    <n v="19"/>
    <n v="45790.27"/>
    <n v="110104.24"/>
    <x v="1"/>
  </r>
  <r>
    <x v="1"/>
    <x v="1"/>
    <x v="7"/>
    <x v="0"/>
    <x v="0"/>
    <x v="0"/>
    <x v="0"/>
    <n v="1"/>
    <n v="5809.88"/>
    <n v="22556.44"/>
    <x v="1"/>
  </r>
  <r>
    <x v="1"/>
    <x v="1"/>
    <x v="7"/>
    <x v="0"/>
    <x v="0"/>
    <x v="0"/>
    <x v="1"/>
    <n v="3"/>
    <n v="15539.79"/>
    <n v="60391.54"/>
    <x v="1"/>
  </r>
  <r>
    <x v="1"/>
    <x v="1"/>
    <x v="7"/>
    <x v="0"/>
    <x v="0"/>
    <x v="1"/>
    <x v="1"/>
    <n v="9"/>
    <n v="35149.53"/>
    <n v="93122.64"/>
    <x v="1"/>
  </r>
  <r>
    <x v="1"/>
    <x v="1"/>
    <x v="7"/>
    <x v="0"/>
    <x v="1"/>
    <x v="0"/>
    <x v="1"/>
    <n v="2"/>
    <n v="8332.51"/>
    <n v="31187.29"/>
    <x v="1"/>
  </r>
  <r>
    <x v="1"/>
    <x v="1"/>
    <x v="7"/>
    <x v="0"/>
    <x v="1"/>
    <x v="1"/>
    <x v="0"/>
    <n v="7"/>
    <n v="26659.33"/>
    <n v="66848.479999999996"/>
    <x v="1"/>
  </r>
  <r>
    <x v="1"/>
    <x v="1"/>
    <x v="7"/>
    <x v="0"/>
    <x v="1"/>
    <x v="1"/>
    <x v="1"/>
    <n v="20"/>
    <n v="88613.42"/>
    <n v="219575.29"/>
    <x v="1"/>
  </r>
  <r>
    <x v="1"/>
    <x v="1"/>
    <x v="7"/>
    <x v="0"/>
    <x v="2"/>
    <x v="0"/>
    <x v="1"/>
    <n v="2"/>
    <n v="11422.15"/>
    <n v="45634.15"/>
    <x v="1"/>
  </r>
  <r>
    <x v="1"/>
    <x v="1"/>
    <x v="7"/>
    <x v="0"/>
    <x v="2"/>
    <x v="1"/>
    <x v="0"/>
    <n v="7"/>
    <n v="33006.959999999999"/>
    <n v="79422.899999999994"/>
    <x v="1"/>
  </r>
  <r>
    <x v="1"/>
    <x v="1"/>
    <x v="7"/>
    <x v="0"/>
    <x v="2"/>
    <x v="1"/>
    <x v="1"/>
    <n v="9"/>
    <n v="53638.04"/>
    <n v="120306.02"/>
    <x v="1"/>
  </r>
  <r>
    <x v="1"/>
    <x v="1"/>
    <x v="7"/>
    <x v="0"/>
    <x v="3"/>
    <x v="0"/>
    <x v="0"/>
    <n v="2"/>
    <n v="8816.1200000000008"/>
    <n v="36054.44"/>
    <x v="1"/>
  </r>
  <r>
    <x v="1"/>
    <x v="1"/>
    <x v="7"/>
    <x v="0"/>
    <x v="3"/>
    <x v="1"/>
    <x v="0"/>
    <n v="14"/>
    <n v="68296.03"/>
    <n v="165495.25"/>
    <x v="1"/>
  </r>
  <r>
    <x v="1"/>
    <x v="1"/>
    <x v="7"/>
    <x v="0"/>
    <x v="3"/>
    <x v="1"/>
    <x v="1"/>
    <n v="14"/>
    <n v="64155.1"/>
    <n v="154115.07999999999"/>
    <x v="1"/>
  </r>
  <r>
    <x v="1"/>
    <x v="1"/>
    <x v="7"/>
    <x v="0"/>
    <x v="4"/>
    <x v="0"/>
    <x v="1"/>
    <n v="1"/>
    <n v="3826.92"/>
    <n v="14893.31"/>
    <x v="1"/>
  </r>
  <r>
    <x v="1"/>
    <x v="1"/>
    <x v="7"/>
    <x v="0"/>
    <x v="4"/>
    <x v="1"/>
    <x v="0"/>
    <n v="8"/>
    <n v="40662.28"/>
    <n v="100807.9"/>
    <x v="1"/>
  </r>
  <r>
    <x v="1"/>
    <x v="1"/>
    <x v="7"/>
    <x v="0"/>
    <x v="4"/>
    <x v="1"/>
    <x v="1"/>
    <n v="5"/>
    <n v="27172.97"/>
    <n v="67934.679999999993"/>
    <x v="1"/>
  </r>
  <r>
    <x v="1"/>
    <x v="1"/>
    <x v="7"/>
    <x v="0"/>
    <x v="5"/>
    <x v="0"/>
    <x v="1"/>
    <n v="1"/>
    <n v="3390.41"/>
    <n v="14166.09"/>
    <x v="1"/>
  </r>
  <r>
    <x v="1"/>
    <x v="1"/>
    <x v="7"/>
    <x v="0"/>
    <x v="5"/>
    <x v="1"/>
    <x v="1"/>
    <n v="3"/>
    <n v="11604.94"/>
    <n v="30492.54"/>
    <x v="1"/>
  </r>
  <r>
    <x v="1"/>
    <x v="1"/>
    <x v="7"/>
    <x v="0"/>
    <x v="6"/>
    <x v="0"/>
    <x v="1"/>
    <n v="3"/>
    <n v="11377.19"/>
    <n v="44519.89"/>
    <x v="1"/>
  </r>
  <r>
    <x v="1"/>
    <x v="1"/>
    <x v="7"/>
    <x v="0"/>
    <x v="7"/>
    <x v="1"/>
    <x v="1"/>
    <n v="5"/>
    <n v="17155.8"/>
    <n v="47706.81"/>
    <x v="1"/>
  </r>
  <r>
    <x v="1"/>
    <x v="1"/>
    <x v="7"/>
    <x v="0"/>
    <x v="8"/>
    <x v="0"/>
    <x v="1"/>
    <n v="1"/>
    <n v="4272.8500000000004"/>
    <n v="16212.45"/>
    <x v="1"/>
  </r>
  <r>
    <x v="1"/>
    <x v="1"/>
    <x v="7"/>
    <x v="0"/>
    <x v="8"/>
    <x v="1"/>
    <x v="1"/>
    <n v="2"/>
    <n v="10931.78"/>
    <n v="28965.360000000001"/>
    <x v="1"/>
  </r>
  <r>
    <x v="1"/>
    <x v="1"/>
    <x v="7"/>
    <x v="1"/>
    <x v="30"/>
    <x v="1"/>
    <x v="0"/>
    <n v="1"/>
    <n v="4080.69"/>
    <n v="10256.549999999999"/>
    <x v="1"/>
  </r>
  <r>
    <x v="1"/>
    <x v="1"/>
    <x v="7"/>
    <x v="1"/>
    <x v="9"/>
    <x v="1"/>
    <x v="1"/>
    <n v="4"/>
    <n v="19021.599999999999"/>
    <n v="51134.38"/>
    <x v="1"/>
  </r>
  <r>
    <x v="1"/>
    <x v="1"/>
    <x v="7"/>
    <x v="1"/>
    <x v="10"/>
    <x v="0"/>
    <x v="1"/>
    <n v="2"/>
    <n v="11421.93"/>
    <n v="45481.14"/>
    <x v="1"/>
  </r>
  <r>
    <x v="1"/>
    <x v="1"/>
    <x v="7"/>
    <x v="1"/>
    <x v="10"/>
    <x v="1"/>
    <x v="0"/>
    <n v="1"/>
    <n v="5424.43"/>
    <n v="15427.94"/>
    <x v="1"/>
  </r>
  <r>
    <x v="1"/>
    <x v="1"/>
    <x v="7"/>
    <x v="1"/>
    <x v="10"/>
    <x v="1"/>
    <x v="1"/>
    <n v="20"/>
    <n v="98239.6"/>
    <n v="253991.83"/>
    <x v="1"/>
  </r>
  <r>
    <x v="1"/>
    <x v="1"/>
    <x v="7"/>
    <x v="1"/>
    <x v="11"/>
    <x v="0"/>
    <x v="1"/>
    <n v="8"/>
    <n v="43825.61"/>
    <n v="164829.23000000001"/>
    <x v="1"/>
  </r>
  <r>
    <x v="1"/>
    <x v="1"/>
    <x v="7"/>
    <x v="1"/>
    <x v="11"/>
    <x v="1"/>
    <x v="1"/>
    <n v="14"/>
    <n v="63724.41"/>
    <n v="165024.47"/>
    <x v="1"/>
  </r>
  <r>
    <x v="1"/>
    <x v="1"/>
    <x v="7"/>
    <x v="1"/>
    <x v="13"/>
    <x v="0"/>
    <x v="1"/>
    <n v="4"/>
    <n v="18892.38"/>
    <n v="74368.06"/>
    <x v="1"/>
  </r>
  <r>
    <x v="1"/>
    <x v="1"/>
    <x v="7"/>
    <x v="1"/>
    <x v="13"/>
    <x v="1"/>
    <x v="1"/>
    <n v="6"/>
    <n v="28597.99"/>
    <n v="73721.06"/>
    <x v="1"/>
  </r>
  <r>
    <x v="1"/>
    <x v="1"/>
    <x v="7"/>
    <x v="1"/>
    <x v="14"/>
    <x v="1"/>
    <x v="0"/>
    <n v="16"/>
    <n v="68401.279999999999"/>
    <n v="173844.67"/>
    <x v="1"/>
  </r>
  <r>
    <x v="1"/>
    <x v="1"/>
    <x v="7"/>
    <x v="1"/>
    <x v="14"/>
    <x v="1"/>
    <x v="1"/>
    <n v="11"/>
    <n v="63845.919999999998"/>
    <n v="154101.20000000001"/>
    <x v="1"/>
  </r>
  <r>
    <x v="1"/>
    <x v="1"/>
    <x v="7"/>
    <x v="1"/>
    <x v="15"/>
    <x v="1"/>
    <x v="0"/>
    <n v="13"/>
    <n v="46792.94"/>
    <n v="130167.3"/>
    <x v="1"/>
  </r>
  <r>
    <x v="1"/>
    <x v="1"/>
    <x v="7"/>
    <x v="1"/>
    <x v="15"/>
    <x v="1"/>
    <x v="1"/>
    <n v="3"/>
    <n v="16259.37"/>
    <n v="47224.72"/>
    <x v="1"/>
  </r>
  <r>
    <x v="1"/>
    <x v="1"/>
    <x v="7"/>
    <x v="1"/>
    <x v="16"/>
    <x v="1"/>
    <x v="0"/>
    <n v="5"/>
    <n v="29061.5"/>
    <n v="75188.210000000006"/>
    <x v="1"/>
  </r>
  <r>
    <x v="1"/>
    <x v="1"/>
    <x v="7"/>
    <x v="1"/>
    <x v="16"/>
    <x v="1"/>
    <x v="1"/>
    <n v="14"/>
    <n v="63714.53"/>
    <n v="165406.39000000001"/>
    <x v="1"/>
  </r>
  <r>
    <x v="1"/>
    <x v="1"/>
    <x v="7"/>
    <x v="1"/>
    <x v="17"/>
    <x v="0"/>
    <x v="1"/>
    <n v="1"/>
    <n v="3774.96"/>
    <n v="14872.29"/>
    <x v="1"/>
  </r>
  <r>
    <x v="1"/>
    <x v="1"/>
    <x v="7"/>
    <x v="1"/>
    <x v="17"/>
    <x v="1"/>
    <x v="0"/>
    <n v="5"/>
    <n v="24881.95"/>
    <n v="61598.58"/>
    <x v="1"/>
  </r>
  <r>
    <x v="1"/>
    <x v="1"/>
    <x v="7"/>
    <x v="1"/>
    <x v="18"/>
    <x v="0"/>
    <x v="1"/>
    <n v="12"/>
    <n v="51178.81"/>
    <n v="196273.67"/>
    <x v="1"/>
  </r>
  <r>
    <x v="1"/>
    <x v="1"/>
    <x v="7"/>
    <x v="1"/>
    <x v="18"/>
    <x v="1"/>
    <x v="0"/>
    <n v="3"/>
    <n v="12821.63"/>
    <n v="35751.879999999997"/>
    <x v="1"/>
  </r>
  <r>
    <x v="1"/>
    <x v="1"/>
    <x v="7"/>
    <x v="1"/>
    <x v="18"/>
    <x v="1"/>
    <x v="1"/>
    <n v="17"/>
    <n v="66208.009999999995"/>
    <n v="172808.9"/>
    <x v="1"/>
  </r>
  <r>
    <x v="1"/>
    <x v="1"/>
    <x v="7"/>
    <x v="1"/>
    <x v="19"/>
    <x v="0"/>
    <x v="1"/>
    <n v="5"/>
    <n v="30827.919999999998"/>
    <n v="113644.87"/>
    <x v="1"/>
  </r>
  <r>
    <x v="1"/>
    <x v="1"/>
    <x v="7"/>
    <x v="1"/>
    <x v="19"/>
    <x v="1"/>
    <x v="0"/>
    <n v="2"/>
    <n v="7607.9"/>
    <n v="20529.28"/>
    <x v="1"/>
  </r>
  <r>
    <x v="1"/>
    <x v="1"/>
    <x v="7"/>
    <x v="1"/>
    <x v="19"/>
    <x v="1"/>
    <x v="1"/>
    <n v="21"/>
    <n v="98663.13"/>
    <n v="264788.36"/>
    <x v="1"/>
  </r>
  <r>
    <x v="1"/>
    <x v="1"/>
    <x v="7"/>
    <x v="1"/>
    <x v="20"/>
    <x v="0"/>
    <x v="1"/>
    <n v="4"/>
    <n v="21806.400000000001"/>
    <n v="91991.9"/>
    <x v="1"/>
  </r>
  <r>
    <x v="1"/>
    <x v="1"/>
    <x v="7"/>
    <x v="1"/>
    <x v="20"/>
    <x v="1"/>
    <x v="0"/>
    <n v="12"/>
    <n v="65024.79"/>
    <n v="160934.91"/>
    <x v="1"/>
  </r>
  <r>
    <x v="1"/>
    <x v="1"/>
    <x v="7"/>
    <x v="1"/>
    <x v="20"/>
    <x v="1"/>
    <x v="1"/>
    <n v="9"/>
    <n v="45015.32"/>
    <n v="114172.74"/>
    <x v="1"/>
  </r>
  <r>
    <x v="1"/>
    <x v="1"/>
    <x v="7"/>
    <x v="2"/>
    <x v="21"/>
    <x v="0"/>
    <x v="0"/>
    <n v="2"/>
    <n v="6879.72"/>
    <n v="28366.85"/>
    <x v="1"/>
  </r>
  <r>
    <x v="1"/>
    <x v="1"/>
    <x v="7"/>
    <x v="2"/>
    <x v="22"/>
    <x v="0"/>
    <x v="1"/>
    <n v="1"/>
    <n v="3409.14"/>
    <n v="14157.9"/>
    <x v="1"/>
  </r>
  <r>
    <x v="1"/>
    <x v="1"/>
    <x v="7"/>
    <x v="2"/>
    <x v="22"/>
    <x v="1"/>
    <x v="0"/>
    <n v="5"/>
    <n v="24101.56"/>
    <n v="53186.15"/>
    <x v="1"/>
  </r>
  <r>
    <x v="1"/>
    <x v="1"/>
    <x v="7"/>
    <x v="2"/>
    <x v="22"/>
    <x v="1"/>
    <x v="1"/>
    <n v="12"/>
    <n v="71611.899999999994"/>
    <n v="159269.38"/>
    <x v="1"/>
  </r>
  <r>
    <x v="1"/>
    <x v="1"/>
    <x v="7"/>
    <x v="2"/>
    <x v="29"/>
    <x v="0"/>
    <x v="1"/>
    <n v="1"/>
    <n v="3881.67"/>
    <n v="14807.54"/>
    <x v="1"/>
  </r>
  <r>
    <x v="1"/>
    <x v="1"/>
    <x v="7"/>
    <x v="2"/>
    <x v="24"/>
    <x v="1"/>
    <x v="0"/>
    <n v="1"/>
    <n v="5561.36"/>
    <n v="14059.84"/>
    <x v="1"/>
  </r>
  <r>
    <x v="1"/>
    <x v="1"/>
    <x v="7"/>
    <x v="3"/>
    <x v="25"/>
    <x v="0"/>
    <x v="1"/>
    <n v="2"/>
    <n v="12516.27"/>
    <n v="45303.199999999997"/>
    <x v="1"/>
  </r>
  <r>
    <x v="1"/>
    <x v="1"/>
    <x v="7"/>
    <x v="3"/>
    <x v="25"/>
    <x v="1"/>
    <x v="0"/>
    <n v="11"/>
    <n v="49979.44"/>
    <n v="130452.97"/>
    <x v="1"/>
  </r>
  <r>
    <x v="1"/>
    <x v="1"/>
    <x v="7"/>
    <x v="3"/>
    <x v="25"/>
    <x v="1"/>
    <x v="1"/>
    <n v="2"/>
    <n v="8066.86"/>
    <n v="20513.7"/>
    <x v="1"/>
  </r>
  <r>
    <x v="1"/>
    <x v="1"/>
    <x v="7"/>
    <x v="3"/>
    <x v="26"/>
    <x v="0"/>
    <x v="0"/>
    <n v="1"/>
    <n v="5544.65"/>
    <n v="22789.97"/>
    <x v="1"/>
  </r>
  <r>
    <x v="1"/>
    <x v="1"/>
    <x v="7"/>
    <x v="3"/>
    <x v="26"/>
    <x v="0"/>
    <x v="1"/>
    <n v="4"/>
    <n v="17375.060000000001"/>
    <n v="66943.460000000006"/>
    <x v="1"/>
  </r>
  <r>
    <x v="1"/>
    <x v="1"/>
    <x v="7"/>
    <x v="3"/>
    <x v="26"/>
    <x v="1"/>
    <x v="1"/>
    <n v="20"/>
    <n v="94926.99"/>
    <n v="252108.97"/>
    <x v="1"/>
  </r>
  <r>
    <x v="1"/>
    <x v="1"/>
    <x v="7"/>
    <x v="3"/>
    <x v="27"/>
    <x v="0"/>
    <x v="0"/>
    <n v="2"/>
    <n v="7491.44"/>
    <n v="29680.9"/>
    <x v="1"/>
  </r>
  <r>
    <x v="1"/>
    <x v="1"/>
    <x v="7"/>
    <x v="3"/>
    <x v="27"/>
    <x v="0"/>
    <x v="1"/>
    <n v="4"/>
    <n v="20026.32"/>
    <n v="75232.570000000007"/>
    <x v="1"/>
  </r>
  <r>
    <x v="1"/>
    <x v="1"/>
    <x v="7"/>
    <x v="3"/>
    <x v="27"/>
    <x v="1"/>
    <x v="0"/>
    <n v="22"/>
    <n v="118062.75"/>
    <n v="304320.40000000002"/>
    <x v="1"/>
  </r>
  <r>
    <x v="1"/>
    <x v="1"/>
    <x v="7"/>
    <x v="3"/>
    <x v="27"/>
    <x v="1"/>
    <x v="1"/>
    <n v="34"/>
    <n v="167142.57"/>
    <n v="433983.68"/>
    <x v="1"/>
  </r>
  <r>
    <x v="1"/>
    <x v="1"/>
    <x v="8"/>
    <x v="0"/>
    <x v="0"/>
    <x v="0"/>
    <x v="0"/>
    <n v="1"/>
    <n v="2957.73"/>
    <n v="10319.59"/>
    <x v="1"/>
  </r>
  <r>
    <x v="1"/>
    <x v="1"/>
    <x v="8"/>
    <x v="0"/>
    <x v="0"/>
    <x v="0"/>
    <x v="1"/>
    <n v="1"/>
    <n v="2498.29"/>
    <n v="9480.0499999999993"/>
    <x v="1"/>
  </r>
  <r>
    <x v="1"/>
    <x v="1"/>
    <x v="8"/>
    <x v="0"/>
    <x v="0"/>
    <x v="1"/>
    <x v="1"/>
    <n v="4"/>
    <n v="13180.4"/>
    <n v="30532.68"/>
    <x v="1"/>
  </r>
  <r>
    <x v="1"/>
    <x v="1"/>
    <x v="8"/>
    <x v="0"/>
    <x v="1"/>
    <x v="0"/>
    <x v="0"/>
    <n v="5"/>
    <n v="14349.6"/>
    <n v="52638.86"/>
    <x v="1"/>
  </r>
  <r>
    <x v="1"/>
    <x v="1"/>
    <x v="8"/>
    <x v="0"/>
    <x v="1"/>
    <x v="0"/>
    <x v="1"/>
    <n v="10"/>
    <n v="32352.11"/>
    <n v="115067"/>
    <x v="1"/>
  </r>
  <r>
    <x v="1"/>
    <x v="1"/>
    <x v="8"/>
    <x v="0"/>
    <x v="1"/>
    <x v="1"/>
    <x v="0"/>
    <n v="4"/>
    <n v="14490.31"/>
    <n v="34183.75"/>
    <x v="1"/>
  </r>
  <r>
    <x v="1"/>
    <x v="1"/>
    <x v="8"/>
    <x v="0"/>
    <x v="1"/>
    <x v="1"/>
    <x v="1"/>
    <n v="18"/>
    <n v="63002.07"/>
    <n v="142279.04999999999"/>
    <x v="1"/>
  </r>
  <r>
    <x v="1"/>
    <x v="1"/>
    <x v="8"/>
    <x v="0"/>
    <x v="2"/>
    <x v="0"/>
    <x v="1"/>
    <n v="2"/>
    <n v="6853.24"/>
    <n v="24794.1"/>
    <x v="1"/>
  </r>
  <r>
    <x v="1"/>
    <x v="1"/>
    <x v="8"/>
    <x v="0"/>
    <x v="2"/>
    <x v="1"/>
    <x v="1"/>
    <n v="7"/>
    <n v="20072.939999999999"/>
    <n v="44310.09"/>
    <x v="1"/>
  </r>
  <r>
    <x v="1"/>
    <x v="1"/>
    <x v="8"/>
    <x v="0"/>
    <x v="3"/>
    <x v="0"/>
    <x v="0"/>
    <n v="2"/>
    <n v="8607.5"/>
    <n v="28025.17"/>
    <x v="1"/>
  </r>
  <r>
    <x v="1"/>
    <x v="1"/>
    <x v="8"/>
    <x v="0"/>
    <x v="3"/>
    <x v="0"/>
    <x v="1"/>
    <n v="4"/>
    <n v="13742.42"/>
    <n v="48198.89"/>
    <x v="1"/>
  </r>
  <r>
    <x v="1"/>
    <x v="1"/>
    <x v="8"/>
    <x v="0"/>
    <x v="3"/>
    <x v="1"/>
    <x v="0"/>
    <n v="16"/>
    <n v="60179.66"/>
    <n v="134468.35"/>
    <x v="1"/>
  </r>
  <r>
    <x v="1"/>
    <x v="1"/>
    <x v="8"/>
    <x v="0"/>
    <x v="3"/>
    <x v="1"/>
    <x v="1"/>
    <n v="15"/>
    <n v="56043.7"/>
    <n v="124896.9"/>
    <x v="1"/>
  </r>
  <r>
    <x v="1"/>
    <x v="1"/>
    <x v="8"/>
    <x v="0"/>
    <x v="4"/>
    <x v="0"/>
    <x v="1"/>
    <n v="2"/>
    <n v="8553.4"/>
    <n v="28730.6"/>
    <x v="1"/>
  </r>
  <r>
    <x v="1"/>
    <x v="1"/>
    <x v="8"/>
    <x v="0"/>
    <x v="4"/>
    <x v="1"/>
    <x v="0"/>
    <n v="11"/>
    <n v="43056.67"/>
    <n v="94768.27"/>
    <x v="1"/>
  </r>
  <r>
    <x v="1"/>
    <x v="1"/>
    <x v="8"/>
    <x v="0"/>
    <x v="4"/>
    <x v="1"/>
    <x v="1"/>
    <n v="13"/>
    <n v="38647.19"/>
    <n v="89590.61"/>
    <x v="1"/>
  </r>
  <r>
    <x v="1"/>
    <x v="1"/>
    <x v="8"/>
    <x v="0"/>
    <x v="5"/>
    <x v="0"/>
    <x v="1"/>
    <n v="3"/>
    <n v="9840.02"/>
    <n v="34031.71"/>
    <x v="1"/>
  </r>
  <r>
    <x v="1"/>
    <x v="1"/>
    <x v="8"/>
    <x v="0"/>
    <x v="5"/>
    <x v="1"/>
    <x v="0"/>
    <n v="3"/>
    <n v="7332.51"/>
    <n v="18502.7"/>
    <x v="1"/>
  </r>
  <r>
    <x v="1"/>
    <x v="1"/>
    <x v="8"/>
    <x v="0"/>
    <x v="5"/>
    <x v="1"/>
    <x v="1"/>
    <n v="25"/>
    <n v="81893.08"/>
    <n v="185315.45"/>
    <x v="1"/>
  </r>
  <r>
    <x v="1"/>
    <x v="1"/>
    <x v="8"/>
    <x v="0"/>
    <x v="7"/>
    <x v="1"/>
    <x v="1"/>
    <n v="1"/>
    <n v="2607.66"/>
    <n v="6886.03"/>
    <x v="1"/>
  </r>
  <r>
    <x v="1"/>
    <x v="1"/>
    <x v="8"/>
    <x v="0"/>
    <x v="8"/>
    <x v="0"/>
    <x v="1"/>
    <n v="3"/>
    <n v="11374.34"/>
    <n v="37634.5"/>
    <x v="1"/>
  </r>
  <r>
    <x v="1"/>
    <x v="1"/>
    <x v="8"/>
    <x v="0"/>
    <x v="8"/>
    <x v="1"/>
    <x v="1"/>
    <n v="4"/>
    <n v="10605.12"/>
    <n v="26313.25"/>
    <x v="1"/>
  </r>
  <r>
    <x v="1"/>
    <x v="1"/>
    <x v="8"/>
    <x v="1"/>
    <x v="30"/>
    <x v="1"/>
    <x v="0"/>
    <n v="1"/>
    <n v="4079.89"/>
    <n v="9763.8799999999992"/>
    <x v="1"/>
  </r>
  <r>
    <x v="1"/>
    <x v="1"/>
    <x v="8"/>
    <x v="1"/>
    <x v="9"/>
    <x v="1"/>
    <x v="1"/>
    <n v="10"/>
    <n v="41238.35"/>
    <n v="96953.77"/>
    <x v="1"/>
  </r>
  <r>
    <x v="1"/>
    <x v="1"/>
    <x v="8"/>
    <x v="1"/>
    <x v="31"/>
    <x v="1"/>
    <x v="0"/>
    <n v="2"/>
    <n v="8198.2800000000007"/>
    <n v="19896.330000000002"/>
    <x v="1"/>
  </r>
  <r>
    <x v="1"/>
    <x v="1"/>
    <x v="8"/>
    <x v="1"/>
    <x v="10"/>
    <x v="0"/>
    <x v="0"/>
    <n v="4"/>
    <n v="14744.84"/>
    <n v="52278.02"/>
    <x v="1"/>
  </r>
  <r>
    <x v="1"/>
    <x v="1"/>
    <x v="8"/>
    <x v="1"/>
    <x v="10"/>
    <x v="0"/>
    <x v="1"/>
    <n v="2"/>
    <n v="5600.97"/>
    <n v="20678.13"/>
    <x v="1"/>
  </r>
  <r>
    <x v="1"/>
    <x v="1"/>
    <x v="8"/>
    <x v="1"/>
    <x v="10"/>
    <x v="1"/>
    <x v="0"/>
    <n v="11"/>
    <n v="39320.42"/>
    <n v="98114.36"/>
    <x v="1"/>
  </r>
  <r>
    <x v="1"/>
    <x v="1"/>
    <x v="8"/>
    <x v="1"/>
    <x v="10"/>
    <x v="1"/>
    <x v="1"/>
    <n v="29"/>
    <n v="106269.02"/>
    <n v="241141.31"/>
    <x v="1"/>
  </r>
  <r>
    <x v="1"/>
    <x v="1"/>
    <x v="8"/>
    <x v="1"/>
    <x v="11"/>
    <x v="0"/>
    <x v="1"/>
    <n v="9"/>
    <n v="30651.75"/>
    <n v="110131.19"/>
    <x v="1"/>
  </r>
  <r>
    <x v="1"/>
    <x v="1"/>
    <x v="8"/>
    <x v="1"/>
    <x v="11"/>
    <x v="1"/>
    <x v="1"/>
    <n v="28"/>
    <n v="105489.72"/>
    <n v="233423.04"/>
    <x v="1"/>
  </r>
  <r>
    <x v="1"/>
    <x v="1"/>
    <x v="8"/>
    <x v="1"/>
    <x v="12"/>
    <x v="1"/>
    <x v="1"/>
    <n v="1"/>
    <n v="4296.47"/>
    <n v="9658.14"/>
    <x v="1"/>
  </r>
  <r>
    <x v="1"/>
    <x v="1"/>
    <x v="8"/>
    <x v="1"/>
    <x v="13"/>
    <x v="0"/>
    <x v="1"/>
    <n v="11"/>
    <n v="37228.94"/>
    <n v="131335.82999999999"/>
    <x v="1"/>
  </r>
  <r>
    <x v="1"/>
    <x v="1"/>
    <x v="8"/>
    <x v="1"/>
    <x v="13"/>
    <x v="1"/>
    <x v="0"/>
    <n v="2"/>
    <n v="8324.73"/>
    <n v="19635.59"/>
    <x v="1"/>
  </r>
  <r>
    <x v="1"/>
    <x v="1"/>
    <x v="8"/>
    <x v="1"/>
    <x v="13"/>
    <x v="1"/>
    <x v="1"/>
    <n v="24"/>
    <n v="89417.25"/>
    <n v="208289.39"/>
    <x v="1"/>
  </r>
  <r>
    <x v="1"/>
    <x v="1"/>
    <x v="8"/>
    <x v="1"/>
    <x v="14"/>
    <x v="0"/>
    <x v="1"/>
    <n v="3"/>
    <n v="8422.52"/>
    <n v="29405.42"/>
    <x v="1"/>
  </r>
  <r>
    <x v="1"/>
    <x v="1"/>
    <x v="8"/>
    <x v="1"/>
    <x v="14"/>
    <x v="1"/>
    <x v="0"/>
    <n v="14"/>
    <n v="36595.410000000003"/>
    <n v="93264.94"/>
    <x v="1"/>
  </r>
  <r>
    <x v="1"/>
    <x v="1"/>
    <x v="8"/>
    <x v="1"/>
    <x v="14"/>
    <x v="1"/>
    <x v="1"/>
    <n v="7"/>
    <n v="25084.48"/>
    <n v="58730.82"/>
    <x v="1"/>
  </r>
  <r>
    <x v="1"/>
    <x v="1"/>
    <x v="8"/>
    <x v="1"/>
    <x v="15"/>
    <x v="1"/>
    <x v="0"/>
    <n v="3"/>
    <n v="8397.7199999999993"/>
    <n v="18675.810000000001"/>
    <x v="1"/>
  </r>
  <r>
    <x v="1"/>
    <x v="1"/>
    <x v="8"/>
    <x v="1"/>
    <x v="16"/>
    <x v="1"/>
    <x v="0"/>
    <n v="15"/>
    <n v="51569.86"/>
    <n v="119254.25"/>
    <x v="1"/>
  </r>
  <r>
    <x v="1"/>
    <x v="1"/>
    <x v="8"/>
    <x v="1"/>
    <x v="16"/>
    <x v="1"/>
    <x v="1"/>
    <n v="22"/>
    <n v="73273.53"/>
    <n v="174971.2"/>
    <x v="1"/>
  </r>
  <r>
    <x v="1"/>
    <x v="1"/>
    <x v="8"/>
    <x v="1"/>
    <x v="17"/>
    <x v="1"/>
    <x v="0"/>
    <n v="7"/>
    <n v="27490.95"/>
    <n v="59390.14"/>
    <x v="1"/>
  </r>
  <r>
    <x v="1"/>
    <x v="1"/>
    <x v="8"/>
    <x v="1"/>
    <x v="17"/>
    <x v="1"/>
    <x v="1"/>
    <n v="7"/>
    <n v="28339.18"/>
    <n v="65514.99"/>
    <x v="1"/>
  </r>
  <r>
    <x v="1"/>
    <x v="1"/>
    <x v="8"/>
    <x v="1"/>
    <x v="18"/>
    <x v="0"/>
    <x v="1"/>
    <n v="15"/>
    <n v="53927.17"/>
    <n v="185805.77"/>
    <x v="1"/>
  </r>
  <r>
    <x v="1"/>
    <x v="1"/>
    <x v="8"/>
    <x v="1"/>
    <x v="18"/>
    <x v="1"/>
    <x v="0"/>
    <n v="5"/>
    <n v="21530.04"/>
    <n v="48570.89"/>
    <x v="1"/>
  </r>
  <r>
    <x v="1"/>
    <x v="1"/>
    <x v="8"/>
    <x v="1"/>
    <x v="18"/>
    <x v="1"/>
    <x v="1"/>
    <n v="25"/>
    <n v="89111.24"/>
    <n v="211450.02"/>
    <x v="1"/>
  </r>
  <r>
    <x v="1"/>
    <x v="1"/>
    <x v="8"/>
    <x v="1"/>
    <x v="19"/>
    <x v="0"/>
    <x v="1"/>
    <n v="4"/>
    <n v="13537.87"/>
    <n v="49413.13"/>
    <x v="1"/>
  </r>
  <r>
    <x v="1"/>
    <x v="1"/>
    <x v="8"/>
    <x v="1"/>
    <x v="19"/>
    <x v="1"/>
    <x v="0"/>
    <n v="3"/>
    <n v="12758.84"/>
    <n v="28980.639999999999"/>
    <x v="1"/>
  </r>
  <r>
    <x v="1"/>
    <x v="1"/>
    <x v="8"/>
    <x v="1"/>
    <x v="19"/>
    <x v="1"/>
    <x v="1"/>
    <n v="7"/>
    <n v="29479.13"/>
    <n v="67870.09"/>
    <x v="1"/>
  </r>
  <r>
    <x v="1"/>
    <x v="1"/>
    <x v="8"/>
    <x v="1"/>
    <x v="20"/>
    <x v="0"/>
    <x v="0"/>
    <n v="3"/>
    <n v="11151.15"/>
    <n v="38222.04"/>
    <x v="1"/>
  </r>
  <r>
    <x v="1"/>
    <x v="1"/>
    <x v="8"/>
    <x v="1"/>
    <x v="20"/>
    <x v="0"/>
    <x v="1"/>
    <n v="18"/>
    <n v="65733.23"/>
    <n v="232862.55"/>
    <x v="1"/>
  </r>
  <r>
    <x v="1"/>
    <x v="1"/>
    <x v="8"/>
    <x v="1"/>
    <x v="20"/>
    <x v="1"/>
    <x v="0"/>
    <n v="13"/>
    <n v="49039.91"/>
    <n v="114245.54"/>
    <x v="1"/>
  </r>
  <r>
    <x v="1"/>
    <x v="1"/>
    <x v="8"/>
    <x v="1"/>
    <x v="20"/>
    <x v="1"/>
    <x v="1"/>
    <n v="13"/>
    <n v="41876.28"/>
    <n v="100728"/>
    <x v="1"/>
  </r>
  <r>
    <x v="1"/>
    <x v="1"/>
    <x v="8"/>
    <x v="2"/>
    <x v="21"/>
    <x v="0"/>
    <x v="0"/>
    <n v="5"/>
    <n v="19375.759999999998"/>
    <n v="67918.210000000006"/>
    <x v="1"/>
  </r>
  <r>
    <x v="1"/>
    <x v="1"/>
    <x v="8"/>
    <x v="2"/>
    <x v="21"/>
    <x v="1"/>
    <x v="1"/>
    <n v="4"/>
    <n v="16959.62"/>
    <n v="35246.44"/>
    <x v="1"/>
  </r>
  <r>
    <x v="1"/>
    <x v="1"/>
    <x v="8"/>
    <x v="2"/>
    <x v="22"/>
    <x v="0"/>
    <x v="1"/>
    <n v="1"/>
    <n v="2684.74"/>
    <n v="10382.92"/>
    <x v="1"/>
  </r>
  <r>
    <x v="1"/>
    <x v="1"/>
    <x v="8"/>
    <x v="2"/>
    <x v="22"/>
    <x v="1"/>
    <x v="0"/>
    <n v="7"/>
    <n v="25689.4"/>
    <n v="55691.14"/>
    <x v="1"/>
  </r>
  <r>
    <x v="1"/>
    <x v="1"/>
    <x v="8"/>
    <x v="2"/>
    <x v="22"/>
    <x v="1"/>
    <x v="1"/>
    <n v="13"/>
    <n v="45199"/>
    <n v="96323.29"/>
    <x v="1"/>
  </r>
  <r>
    <x v="1"/>
    <x v="1"/>
    <x v="8"/>
    <x v="2"/>
    <x v="29"/>
    <x v="1"/>
    <x v="1"/>
    <n v="2"/>
    <n v="5009.78"/>
    <n v="12271.22"/>
    <x v="1"/>
  </r>
  <r>
    <x v="1"/>
    <x v="1"/>
    <x v="8"/>
    <x v="2"/>
    <x v="24"/>
    <x v="0"/>
    <x v="1"/>
    <n v="8"/>
    <n v="30293.56"/>
    <n v="107020.11"/>
    <x v="1"/>
  </r>
  <r>
    <x v="1"/>
    <x v="1"/>
    <x v="8"/>
    <x v="2"/>
    <x v="24"/>
    <x v="1"/>
    <x v="1"/>
    <n v="2"/>
    <n v="7874.42"/>
    <n v="17781.5"/>
    <x v="1"/>
  </r>
  <r>
    <x v="1"/>
    <x v="1"/>
    <x v="8"/>
    <x v="3"/>
    <x v="25"/>
    <x v="0"/>
    <x v="1"/>
    <n v="3"/>
    <n v="9637.3799999999992"/>
    <n v="33714.6"/>
    <x v="1"/>
  </r>
  <r>
    <x v="1"/>
    <x v="1"/>
    <x v="8"/>
    <x v="3"/>
    <x v="25"/>
    <x v="1"/>
    <x v="0"/>
    <n v="1"/>
    <n v="2984.29"/>
    <n v="7112.43"/>
    <x v="1"/>
  </r>
  <r>
    <x v="1"/>
    <x v="1"/>
    <x v="8"/>
    <x v="3"/>
    <x v="25"/>
    <x v="1"/>
    <x v="1"/>
    <n v="6"/>
    <n v="22149.51"/>
    <n v="52597.91"/>
    <x v="1"/>
  </r>
  <r>
    <x v="1"/>
    <x v="1"/>
    <x v="8"/>
    <x v="3"/>
    <x v="26"/>
    <x v="0"/>
    <x v="0"/>
    <n v="1"/>
    <n v="4430.12"/>
    <n v="14429.11"/>
    <x v="1"/>
  </r>
  <r>
    <x v="1"/>
    <x v="1"/>
    <x v="8"/>
    <x v="3"/>
    <x v="26"/>
    <x v="0"/>
    <x v="1"/>
    <n v="10"/>
    <n v="29937.08"/>
    <n v="103165.74"/>
    <x v="1"/>
  </r>
  <r>
    <x v="1"/>
    <x v="1"/>
    <x v="8"/>
    <x v="3"/>
    <x v="26"/>
    <x v="1"/>
    <x v="0"/>
    <n v="7"/>
    <n v="22739.62"/>
    <n v="54755.82"/>
    <x v="1"/>
  </r>
  <r>
    <x v="1"/>
    <x v="1"/>
    <x v="8"/>
    <x v="3"/>
    <x v="26"/>
    <x v="1"/>
    <x v="1"/>
    <n v="24"/>
    <n v="81019.27"/>
    <n v="195366.58"/>
    <x v="1"/>
  </r>
  <r>
    <x v="1"/>
    <x v="1"/>
    <x v="8"/>
    <x v="3"/>
    <x v="27"/>
    <x v="0"/>
    <x v="0"/>
    <n v="4"/>
    <n v="13760.94"/>
    <n v="49603.41"/>
    <x v="1"/>
  </r>
  <r>
    <x v="1"/>
    <x v="1"/>
    <x v="8"/>
    <x v="3"/>
    <x v="27"/>
    <x v="0"/>
    <x v="1"/>
    <n v="13"/>
    <n v="48983.69"/>
    <n v="173753.15"/>
    <x v="1"/>
  </r>
  <r>
    <x v="1"/>
    <x v="1"/>
    <x v="8"/>
    <x v="3"/>
    <x v="27"/>
    <x v="1"/>
    <x v="0"/>
    <n v="15"/>
    <n v="58210.97"/>
    <n v="137258.23999999999"/>
    <x v="1"/>
  </r>
  <r>
    <x v="1"/>
    <x v="1"/>
    <x v="8"/>
    <x v="3"/>
    <x v="27"/>
    <x v="1"/>
    <x v="1"/>
    <n v="35"/>
    <n v="118890.64"/>
    <n v="280654.53999999998"/>
    <x v="1"/>
  </r>
  <r>
    <x v="1"/>
    <x v="1"/>
    <x v="9"/>
    <x v="0"/>
    <x v="0"/>
    <x v="0"/>
    <x v="0"/>
    <n v="2"/>
    <n v="5693.42"/>
    <n v="19640.98"/>
    <x v="1"/>
  </r>
  <r>
    <x v="1"/>
    <x v="1"/>
    <x v="9"/>
    <x v="0"/>
    <x v="0"/>
    <x v="0"/>
    <x v="1"/>
    <n v="2"/>
    <n v="4545.67"/>
    <n v="15747.16"/>
    <x v="1"/>
  </r>
  <r>
    <x v="1"/>
    <x v="1"/>
    <x v="9"/>
    <x v="0"/>
    <x v="0"/>
    <x v="1"/>
    <x v="1"/>
    <n v="17"/>
    <n v="53306.09"/>
    <n v="116989.03"/>
    <x v="1"/>
  </r>
  <r>
    <x v="1"/>
    <x v="1"/>
    <x v="9"/>
    <x v="0"/>
    <x v="1"/>
    <x v="0"/>
    <x v="0"/>
    <n v="3"/>
    <n v="6792.96"/>
    <n v="23821.24"/>
    <x v="1"/>
  </r>
  <r>
    <x v="1"/>
    <x v="1"/>
    <x v="9"/>
    <x v="0"/>
    <x v="1"/>
    <x v="0"/>
    <x v="1"/>
    <n v="10"/>
    <n v="25041.01"/>
    <n v="87636.57"/>
    <x v="1"/>
  </r>
  <r>
    <x v="1"/>
    <x v="1"/>
    <x v="9"/>
    <x v="0"/>
    <x v="1"/>
    <x v="1"/>
    <x v="0"/>
    <n v="8"/>
    <n v="22031.67"/>
    <n v="45664.07"/>
    <x v="1"/>
  </r>
  <r>
    <x v="1"/>
    <x v="1"/>
    <x v="9"/>
    <x v="0"/>
    <x v="1"/>
    <x v="1"/>
    <x v="1"/>
    <n v="25"/>
    <n v="72840.539999999994"/>
    <n v="158833.63"/>
    <x v="1"/>
  </r>
  <r>
    <x v="1"/>
    <x v="1"/>
    <x v="9"/>
    <x v="0"/>
    <x v="2"/>
    <x v="0"/>
    <x v="1"/>
    <n v="1"/>
    <n v="2067.2399999999998"/>
    <n v="7494.21"/>
    <x v="1"/>
  </r>
  <r>
    <x v="1"/>
    <x v="1"/>
    <x v="9"/>
    <x v="0"/>
    <x v="2"/>
    <x v="1"/>
    <x v="0"/>
    <n v="3"/>
    <n v="9697.8700000000008"/>
    <n v="18893.55"/>
    <x v="1"/>
  </r>
  <r>
    <x v="1"/>
    <x v="1"/>
    <x v="9"/>
    <x v="0"/>
    <x v="2"/>
    <x v="1"/>
    <x v="1"/>
    <n v="11"/>
    <n v="26136.09"/>
    <n v="54677.120000000003"/>
    <x v="1"/>
  </r>
  <r>
    <x v="1"/>
    <x v="1"/>
    <x v="9"/>
    <x v="0"/>
    <x v="3"/>
    <x v="0"/>
    <x v="1"/>
    <n v="7"/>
    <n v="21526.959999999999"/>
    <n v="69727.81"/>
    <x v="1"/>
  </r>
  <r>
    <x v="1"/>
    <x v="1"/>
    <x v="9"/>
    <x v="0"/>
    <x v="3"/>
    <x v="1"/>
    <x v="0"/>
    <n v="8"/>
    <n v="26784.41"/>
    <n v="54419.5"/>
    <x v="1"/>
  </r>
  <r>
    <x v="1"/>
    <x v="1"/>
    <x v="9"/>
    <x v="0"/>
    <x v="3"/>
    <x v="1"/>
    <x v="1"/>
    <n v="30"/>
    <n v="89713.279999999999"/>
    <n v="188529.91"/>
    <x v="1"/>
  </r>
  <r>
    <x v="1"/>
    <x v="1"/>
    <x v="9"/>
    <x v="0"/>
    <x v="4"/>
    <x v="0"/>
    <x v="1"/>
    <n v="1"/>
    <n v="3553.71"/>
    <n v="12002.72"/>
    <x v="1"/>
  </r>
  <r>
    <x v="1"/>
    <x v="1"/>
    <x v="9"/>
    <x v="0"/>
    <x v="4"/>
    <x v="1"/>
    <x v="0"/>
    <n v="4"/>
    <n v="14361.6"/>
    <n v="30728.42"/>
    <x v="1"/>
  </r>
  <r>
    <x v="1"/>
    <x v="1"/>
    <x v="9"/>
    <x v="0"/>
    <x v="4"/>
    <x v="1"/>
    <x v="1"/>
    <n v="10"/>
    <n v="21023.46"/>
    <n v="48721.33"/>
    <x v="1"/>
  </r>
  <r>
    <x v="1"/>
    <x v="1"/>
    <x v="9"/>
    <x v="0"/>
    <x v="5"/>
    <x v="0"/>
    <x v="1"/>
    <n v="3"/>
    <n v="6662.01"/>
    <n v="23215.58"/>
    <x v="1"/>
  </r>
  <r>
    <x v="1"/>
    <x v="1"/>
    <x v="9"/>
    <x v="0"/>
    <x v="5"/>
    <x v="1"/>
    <x v="0"/>
    <n v="1"/>
    <n v="3551.44"/>
    <n v="7862.03"/>
    <x v="1"/>
  </r>
  <r>
    <x v="1"/>
    <x v="1"/>
    <x v="9"/>
    <x v="0"/>
    <x v="5"/>
    <x v="1"/>
    <x v="1"/>
    <n v="27"/>
    <n v="74144.320000000007"/>
    <n v="164042.03"/>
    <x v="1"/>
  </r>
  <r>
    <x v="1"/>
    <x v="1"/>
    <x v="9"/>
    <x v="0"/>
    <x v="6"/>
    <x v="0"/>
    <x v="1"/>
    <n v="1"/>
    <n v="3569.98"/>
    <n v="11993"/>
    <x v="1"/>
  </r>
  <r>
    <x v="1"/>
    <x v="1"/>
    <x v="9"/>
    <x v="0"/>
    <x v="8"/>
    <x v="0"/>
    <x v="1"/>
    <n v="2"/>
    <n v="5805"/>
    <n v="19496.79"/>
    <x v="1"/>
  </r>
  <r>
    <x v="1"/>
    <x v="1"/>
    <x v="9"/>
    <x v="0"/>
    <x v="8"/>
    <x v="1"/>
    <x v="1"/>
    <n v="6"/>
    <n v="13548.65"/>
    <n v="29049.93"/>
    <x v="1"/>
  </r>
  <r>
    <x v="1"/>
    <x v="1"/>
    <x v="9"/>
    <x v="1"/>
    <x v="30"/>
    <x v="1"/>
    <x v="0"/>
    <n v="4"/>
    <n v="9478.32"/>
    <n v="20173.52"/>
    <x v="1"/>
  </r>
  <r>
    <x v="1"/>
    <x v="1"/>
    <x v="9"/>
    <x v="1"/>
    <x v="9"/>
    <x v="1"/>
    <x v="1"/>
    <n v="2"/>
    <n v="6327.6"/>
    <n v="14264.88"/>
    <x v="1"/>
  </r>
  <r>
    <x v="1"/>
    <x v="1"/>
    <x v="9"/>
    <x v="1"/>
    <x v="31"/>
    <x v="1"/>
    <x v="0"/>
    <n v="1"/>
    <n v="3734.28"/>
    <n v="8338.27"/>
    <x v="1"/>
  </r>
  <r>
    <x v="1"/>
    <x v="1"/>
    <x v="9"/>
    <x v="1"/>
    <x v="10"/>
    <x v="0"/>
    <x v="1"/>
    <n v="3"/>
    <n v="8597.44"/>
    <n v="28493.55"/>
    <x v="1"/>
  </r>
  <r>
    <x v="1"/>
    <x v="1"/>
    <x v="9"/>
    <x v="1"/>
    <x v="10"/>
    <x v="1"/>
    <x v="0"/>
    <n v="1"/>
    <n v="3771.73"/>
    <n v="8073.09"/>
    <x v="1"/>
  </r>
  <r>
    <x v="1"/>
    <x v="1"/>
    <x v="9"/>
    <x v="1"/>
    <x v="10"/>
    <x v="1"/>
    <x v="1"/>
    <n v="25"/>
    <n v="76912.14"/>
    <n v="174515.96"/>
    <x v="1"/>
  </r>
  <r>
    <x v="1"/>
    <x v="1"/>
    <x v="9"/>
    <x v="1"/>
    <x v="11"/>
    <x v="0"/>
    <x v="1"/>
    <n v="10"/>
    <n v="24154.09"/>
    <n v="83852.13"/>
    <x v="1"/>
  </r>
  <r>
    <x v="1"/>
    <x v="1"/>
    <x v="9"/>
    <x v="1"/>
    <x v="11"/>
    <x v="1"/>
    <x v="0"/>
    <n v="1"/>
    <n v="2137.69"/>
    <n v="4777.8100000000004"/>
    <x v="1"/>
  </r>
  <r>
    <x v="1"/>
    <x v="1"/>
    <x v="9"/>
    <x v="1"/>
    <x v="11"/>
    <x v="1"/>
    <x v="1"/>
    <n v="20"/>
    <n v="63327.78"/>
    <n v="137379.28"/>
    <x v="1"/>
  </r>
  <r>
    <x v="1"/>
    <x v="1"/>
    <x v="9"/>
    <x v="1"/>
    <x v="12"/>
    <x v="1"/>
    <x v="1"/>
    <n v="5"/>
    <n v="18682.2"/>
    <n v="40340.97"/>
    <x v="1"/>
  </r>
  <r>
    <x v="1"/>
    <x v="1"/>
    <x v="9"/>
    <x v="1"/>
    <x v="13"/>
    <x v="0"/>
    <x v="1"/>
    <n v="5"/>
    <n v="15683.66"/>
    <n v="50729.91"/>
    <x v="1"/>
  </r>
  <r>
    <x v="1"/>
    <x v="1"/>
    <x v="9"/>
    <x v="1"/>
    <x v="13"/>
    <x v="1"/>
    <x v="0"/>
    <n v="7"/>
    <n v="18535.09"/>
    <n v="41629.910000000003"/>
    <x v="1"/>
  </r>
  <r>
    <x v="1"/>
    <x v="1"/>
    <x v="9"/>
    <x v="1"/>
    <x v="13"/>
    <x v="1"/>
    <x v="1"/>
    <n v="12"/>
    <n v="32872.06"/>
    <n v="75113.86"/>
    <x v="1"/>
  </r>
  <r>
    <x v="1"/>
    <x v="1"/>
    <x v="9"/>
    <x v="1"/>
    <x v="14"/>
    <x v="0"/>
    <x v="1"/>
    <n v="4"/>
    <n v="10187.85"/>
    <n v="34985.97"/>
    <x v="1"/>
  </r>
  <r>
    <x v="1"/>
    <x v="1"/>
    <x v="9"/>
    <x v="1"/>
    <x v="14"/>
    <x v="1"/>
    <x v="0"/>
    <n v="12"/>
    <n v="43025.98"/>
    <n v="89328.04"/>
    <x v="1"/>
  </r>
  <r>
    <x v="1"/>
    <x v="1"/>
    <x v="9"/>
    <x v="1"/>
    <x v="14"/>
    <x v="1"/>
    <x v="1"/>
    <n v="1"/>
    <n v="2034.07"/>
    <n v="4960.95"/>
    <x v="1"/>
  </r>
  <r>
    <x v="1"/>
    <x v="1"/>
    <x v="9"/>
    <x v="1"/>
    <x v="15"/>
    <x v="1"/>
    <x v="1"/>
    <n v="2"/>
    <n v="7366.62"/>
    <n v="16651.62"/>
    <x v="1"/>
  </r>
  <r>
    <x v="1"/>
    <x v="1"/>
    <x v="9"/>
    <x v="1"/>
    <x v="16"/>
    <x v="0"/>
    <x v="1"/>
    <n v="2"/>
    <n v="7108"/>
    <n v="24041.29"/>
    <x v="1"/>
  </r>
  <r>
    <x v="1"/>
    <x v="1"/>
    <x v="9"/>
    <x v="1"/>
    <x v="16"/>
    <x v="1"/>
    <x v="0"/>
    <n v="4"/>
    <n v="8892.32"/>
    <n v="20656.259999999998"/>
    <x v="1"/>
  </r>
  <r>
    <x v="1"/>
    <x v="1"/>
    <x v="9"/>
    <x v="1"/>
    <x v="17"/>
    <x v="1"/>
    <x v="0"/>
    <n v="4"/>
    <n v="8304"/>
    <n v="19930.5"/>
    <x v="1"/>
  </r>
  <r>
    <x v="1"/>
    <x v="1"/>
    <x v="9"/>
    <x v="1"/>
    <x v="17"/>
    <x v="1"/>
    <x v="1"/>
    <n v="5"/>
    <n v="12915.05"/>
    <n v="28533.62"/>
    <x v="1"/>
  </r>
  <r>
    <x v="1"/>
    <x v="1"/>
    <x v="9"/>
    <x v="1"/>
    <x v="18"/>
    <x v="0"/>
    <x v="1"/>
    <n v="4"/>
    <n v="10780.56"/>
    <n v="35203.49"/>
    <x v="1"/>
  </r>
  <r>
    <x v="1"/>
    <x v="1"/>
    <x v="9"/>
    <x v="1"/>
    <x v="18"/>
    <x v="1"/>
    <x v="1"/>
    <n v="17"/>
    <n v="51325.56"/>
    <n v="113352.79"/>
    <x v="1"/>
  </r>
  <r>
    <x v="1"/>
    <x v="1"/>
    <x v="9"/>
    <x v="1"/>
    <x v="19"/>
    <x v="0"/>
    <x v="1"/>
    <n v="7"/>
    <n v="19156.25"/>
    <n v="66593.17"/>
    <x v="1"/>
  </r>
  <r>
    <x v="1"/>
    <x v="1"/>
    <x v="9"/>
    <x v="1"/>
    <x v="19"/>
    <x v="1"/>
    <x v="0"/>
    <n v="4"/>
    <n v="11670.94"/>
    <n v="26783.78"/>
    <x v="1"/>
  </r>
  <r>
    <x v="1"/>
    <x v="1"/>
    <x v="9"/>
    <x v="1"/>
    <x v="19"/>
    <x v="1"/>
    <x v="1"/>
    <n v="6"/>
    <n v="14860.61"/>
    <n v="33811.65"/>
    <x v="1"/>
  </r>
  <r>
    <x v="1"/>
    <x v="1"/>
    <x v="9"/>
    <x v="1"/>
    <x v="20"/>
    <x v="0"/>
    <x v="1"/>
    <n v="8"/>
    <n v="22884.240000000002"/>
    <n v="76775.41"/>
    <x v="1"/>
  </r>
  <r>
    <x v="1"/>
    <x v="1"/>
    <x v="9"/>
    <x v="1"/>
    <x v="20"/>
    <x v="1"/>
    <x v="0"/>
    <n v="6"/>
    <n v="13086.39"/>
    <n v="30875.21"/>
    <x v="1"/>
  </r>
  <r>
    <x v="1"/>
    <x v="1"/>
    <x v="9"/>
    <x v="1"/>
    <x v="20"/>
    <x v="1"/>
    <x v="1"/>
    <n v="8"/>
    <n v="17016.599999999999"/>
    <n v="40816.28"/>
    <x v="1"/>
  </r>
  <r>
    <x v="1"/>
    <x v="1"/>
    <x v="9"/>
    <x v="2"/>
    <x v="21"/>
    <x v="0"/>
    <x v="0"/>
    <n v="4"/>
    <n v="11830.23"/>
    <n v="39337.17"/>
    <x v="1"/>
  </r>
  <r>
    <x v="1"/>
    <x v="1"/>
    <x v="9"/>
    <x v="2"/>
    <x v="22"/>
    <x v="0"/>
    <x v="1"/>
    <n v="2"/>
    <n v="6234.4"/>
    <n v="20664.43"/>
    <x v="1"/>
  </r>
  <r>
    <x v="1"/>
    <x v="1"/>
    <x v="9"/>
    <x v="2"/>
    <x v="22"/>
    <x v="1"/>
    <x v="0"/>
    <n v="5"/>
    <n v="12790.32"/>
    <n v="25779.77"/>
    <x v="1"/>
  </r>
  <r>
    <x v="1"/>
    <x v="1"/>
    <x v="9"/>
    <x v="2"/>
    <x v="22"/>
    <x v="1"/>
    <x v="1"/>
    <n v="4"/>
    <n v="15091.28"/>
    <n v="29021.45"/>
    <x v="1"/>
  </r>
  <r>
    <x v="1"/>
    <x v="1"/>
    <x v="9"/>
    <x v="2"/>
    <x v="29"/>
    <x v="0"/>
    <x v="1"/>
    <n v="1"/>
    <n v="2061.62"/>
    <n v="7515.68"/>
    <x v="1"/>
  </r>
  <r>
    <x v="1"/>
    <x v="1"/>
    <x v="9"/>
    <x v="2"/>
    <x v="29"/>
    <x v="1"/>
    <x v="1"/>
    <n v="1"/>
    <n v="2159.15"/>
    <n v="5125.54"/>
    <x v="1"/>
  </r>
  <r>
    <x v="1"/>
    <x v="1"/>
    <x v="9"/>
    <x v="2"/>
    <x v="23"/>
    <x v="1"/>
    <x v="1"/>
    <n v="3"/>
    <n v="7575.27"/>
    <n v="17153.79"/>
    <x v="1"/>
  </r>
  <r>
    <x v="1"/>
    <x v="1"/>
    <x v="9"/>
    <x v="2"/>
    <x v="24"/>
    <x v="0"/>
    <x v="1"/>
    <n v="3"/>
    <n v="6748.65"/>
    <n v="22538.73"/>
    <x v="1"/>
  </r>
  <r>
    <x v="1"/>
    <x v="1"/>
    <x v="9"/>
    <x v="2"/>
    <x v="24"/>
    <x v="1"/>
    <x v="1"/>
    <n v="5"/>
    <n v="15225.16"/>
    <n v="31584.7"/>
    <x v="1"/>
  </r>
  <r>
    <x v="1"/>
    <x v="1"/>
    <x v="9"/>
    <x v="3"/>
    <x v="25"/>
    <x v="0"/>
    <x v="1"/>
    <n v="1"/>
    <n v="2588.6799999999998"/>
    <n v="8562.8799999999992"/>
    <x v="1"/>
  </r>
  <r>
    <x v="1"/>
    <x v="1"/>
    <x v="9"/>
    <x v="3"/>
    <x v="25"/>
    <x v="1"/>
    <x v="0"/>
    <n v="2"/>
    <n v="7302.04"/>
    <n v="16451.77"/>
    <x v="1"/>
  </r>
  <r>
    <x v="1"/>
    <x v="1"/>
    <x v="9"/>
    <x v="3"/>
    <x v="25"/>
    <x v="1"/>
    <x v="1"/>
    <n v="9"/>
    <n v="28289.759999999998"/>
    <n v="63563.53"/>
    <x v="1"/>
  </r>
  <r>
    <x v="1"/>
    <x v="1"/>
    <x v="9"/>
    <x v="3"/>
    <x v="26"/>
    <x v="1"/>
    <x v="1"/>
    <n v="22"/>
    <n v="51292.31"/>
    <n v="121338.27"/>
    <x v="1"/>
  </r>
  <r>
    <x v="1"/>
    <x v="1"/>
    <x v="9"/>
    <x v="3"/>
    <x v="27"/>
    <x v="0"/>
    <x v="0"/>
    <n v="1"/>
    <n v="2200.6799999999998"/>
    <n v="7931.91"/>
    <x v="1"/>
  </r>
  <r>
    <x v="1"/>
    <x v="1"/>
    <x v="9"/>
    <x v="3"/>
    <x v="27"/>
    <x v="0"/>
    <x v="1"/>
    <n v="7"/>
    <n v="17923.82"/>
    <n v="59547.99"/>
    <x v="1"/>
  </r>
  <r>
    <x v="1"/>
    <x v="1"/>
    <x v="9"/>
    <x v="3"/>
    <x v="27"/>
    <x v="1"/>
    <x v="0"/>
    <n v="5"/>
    <n v="18569.27"/>
    <n v="40310.69"/>
    <x v="1"/>
  </r>
  <r>
    <x v="1"/>
    <x v="1"/>
    <x v="9"/>
    <x v="3"/>
    <x v="27"/>
    <x v="1"/>
    <x v="1"/>
    <n v="19"/>
    <n v="52617.98"/>
    <n v="117935.75"/>
    <x v="1"/>
  </r>
  <r>
    <x v="2"/>
    <x v="0"/>
    <x v="0"/>
    <x v="0"/>
    <x v="0"/>
    <x v="0"/>
    <x v="0"/>
    <n v="1"/>
    <n v="7662.44"/>
    <n v="32105.41"/>
    <x v="0"/>
  </r>
  <r>
    <x v="2"/>
    <x v="0"/>
    <x v="0"/>
    <x v="0"/>
    <x v="0"/>
    <x v="0"/>
    <x v="1"/>
    <n v="3"/>
    <n v="22160.31"/>
    <n v="96316.23"/>
    <x v="0"/>
  </r>
  <r>
    <x v="2"/>
    <x v="0"/>
    <x v="0"/>
    <x v="0"/>
    <x v="0"/>
    <x v="1"/>
    <x v="0"/>
    <n v="7"/>
    <n v="42860.13"/>
    <n v="121533.42"/>
    <x v="0"/>
  </r>
  <r>
    <x v="2"/>
    <x v="0"/>
    <x v="0"/>
    <x v="0"/>
    <x v="0"/>
    <x v="1"/>
    <x v="1"/>
    <n v="22"/>
    <n v="152977.13"/>
    <n v="437430.7"/>
    <x v="0"/>
  </r>
  <r>
    <x v="2"/>
    <x v="0"/>
    <x v="0"/>
    <x v="0"/>
    <x v="1"/>
    <x v="0"/>
    <x v="0"/>
    <n v="1"/>
    <n v="5304.58"/>
    <n v="23075.77"/>
    <x v="0"/>
  </r>
  <r>
    <x v="2"/>
    <x v="0"/>
    <x v="0"/>
    <x v="0"/>
    <x v="1"/>
    <x v="0"/>
    <x v="1"/>
    <n v="4"/>
    <n v="20747.84"/>
    <n v="90296.49"/>
    <x v="0"/>
  </r>
  <r>
    <x v="2"/>
    <x v="0"/>
    <x v="0"/>
    <x v="0"/>
    <x v="1"/>
    <x v="1"/>
    <x v="0"/>
    <n v="12"/>
    <n v="79984.44"/>
    <n v="223465.86"/>
    <x v="0"/>
  </r>
  <r>
    <x v="2"/>
    <x v="0"/>
    <x v="0"/>
    <x v="0"/>
    <x v="1"/>
    <x v="1"/>
    <x v="1"/>
    <n v="26"/>
    <n v="163084.68"/>
    <n v="454808.3"/>
    <x v="0"/>
  </r>
  <r>
    <x v="2"/>
    <x v="0"/>
    <x v="0"/>
    <x v="0"/>
    <x v="2"/>
    <x v="0"/>
    <x v="1"/>
    <n v="4"/>
    <n v="27652.31"/>
    <n v="119392"/>
    <x v="0"/>
  </r>
  <r>
    <x v="2"/>
    <x v="0"/>
    <x v="0"/>
    <x v="0"/>
    <x v="2"/>
    <x v="1"/>
    <x v="0"/>
    <n v="9"/>
    <n v="55942.85"/>
    <n v="151400.10999999999"/>
    <x v="0"/>
  </r>
  <r>
    <x v="2"/>
    <x v="0"/>
    <x v="0"/>
    <x v="0"/>
    <x v="2"/>
    <x v="1"/>
    <x v="1"/>
    <n v="11"/>
    <n v="73933.960000000006"/>
    <n v="196882.43"/>
    <x v="0"/>
  </r>
  <r>
    <x v="2"/>
    <x v="0"/>
    <x v="0"/>
    <x v="0"/>
    <x v="3"/>
    <x v="0"/>
    <x v="0"/>
    <n v="3"/>
    <n v="17611.79"/>
    <n v="76250.36"/>
    <x v="0"/>
  </r>
  <r>
    <x v="2"/>
    <x v="0"/>
    <x v="0"/>
    <x v="0"/>
    <x v="3"/>
    <x v="0"/>
    <x v="1"/>
    <n v="4"/>
    <n v="25877.73"/>
    <n v="110362.36"/>
    <x v="0"/>
  </r>
  <r>
    <x v="2"/>
    <x v="0"/>
    <x v="0"/>
    <x v="0"/>
    <x v="3"/>
    <x v="1"/>
    <x v="0"/>
    <n v="5"/>
    <n v="26505.55"/>
    <n v="74534.740000000005"/>
    <x v="0"/>
  </r>
  <r>
    <x v="2"/>
    <x v="0"/>
    <x v="0"/>
    <x v="0"/>
    <x v="3"/>
    <x v="1"/>
    <x v="1"/>
    <n v="19"/>
    <n v="122210.27"/>
    <n v="331053.95"/>
    <x v="0"/>
  </r>
  <r>
    <x v="2"/>
    <x v="0"/>
    <x v="0"/>
    <x v="0"/>
    <x v="28"/>
    <x v="1"/>
    <x v="1"/>
    <n v="6"/>
    <n v="31330.13"/>
    <n v="89237.01"/>
    <x v="0"/>
  </r>
  <r>
    <x v="2"/>
    <x v="0"/>
    <x v="0"/>
    <x v="0"/>
    <x v="4"/>
    <x v="0"/>
    <x v="1"/>
    <n v="2"/>
    <n v="14392.17"/>
    <n v="64210.82"/>
    <x v="0"/>
  </r>
  <r>
    <x v="2"/>
    <x v="0"/>
    <x v="0"/>
    <x v="0"/>
    <x v="4"/>
    <x v="1"/>
    <x v="1"/>
    <n v="3"/>
    <n v="16468.580000000002"/>
    <n v="44305.48"/>
    <x v="0"/>
  </r>
  <r>
    <x v="2"/>
    <x v="0"/>
    <x v="0"/>
    <x v="0"/>
    <x v="5"/>
    <x v="0"/>
    <x v="1"/>
    <n v="6"/>
    <n v="37511.22"/>
    <n v="165543.54"/>
    <x v="0"/>
  </r>
  <r>
    <x v="2"/>
    <x v="0"/>
    <x v="0"/>
    <x v="0"/>
    <x v="5"/>
    <x v="1"/>
    <x v="0"/>
    <n v="3"/>
    <n v="22589.84"/>
    <n v="61517.7"/>
    <x v="0"/>
  </r>
  <r>
    <x v="2"/>
    <x v="0"/>
    <x v="0"/>
    <x v="0"/>
    <x v="5"/>
    <x v="1"/>
    <x v="1"/>
    <n v="41"/>
    <n v="262841.06"/>
    <n v="747784.24"/>
    <x v="0"/>
  </r>
  <r>
    <x v="2"/>
    <x v="0"/>
    <x v="0"/>
    <x v="0"/>
    <x v="6"/>
    <x v="0"/>
    <x v="1"/>
    <n v="1"/>
    <n v="7758.9"/>
    <n v="32105.41"/>
    <x v="0"/>
  </r>
  <r>
    <x v="2"/>
    <x v="0"/>
    <x v="0"/>
    <x v="0"/>
    <x v="7"/>
    <x v="1"/>
    <x v="1"/>
    <n v="4"/>
    <n v="25333.74"/>
    <n v="73722.06"/>
    <x v="0"/>
  </r>
  <r>
    <x v="2"/>
    <x v="0"/>
    <x v="0"/>
    <x v="0"/>
    <x v="8"/>
    <x v="0"/>
    <x v="1"/>
    <n v="5"/>
    <n v="34639.870000000003"/>
    <n v="151497.41"/>
    <x v="0"/>
  </r>
  <r>
    <x v="2"/>
    <x v="0"/>
    <x v="0"/>
    <x v="0"/>
    <x v="8"/>
    <x v="1"/>
    <x v="1"/>
    <n v="1"/>
    <n v="5214.4399999999996"/>
    <n v="14699.27"/>
    <x v="0"/>
  </r>
  <r>
    <x v="2"/>
    <x v="0"/>
    <x v="0"/>
    <x v="1"/>
    <x v="9"/>
    <x v="1"/>
    <x v="1"/>
    <n v="13"/>
    <n v="71399.03"/>
    <n v="212810.83"/>
    <x v="0"/>
  </r>
  <r>
    <x v="2"/>
    <x v="0"/>
    <x v="0"/>
    <x v="1"/>
    <x v="31"/>
    <x v="1"/>
    <x v="0"/>
    <n v="6"/>
    <n v="35252.370000000003"/>
    <n v="102501.56"/>
    <x v="0"/>
  </r>
  <r>
    <x v="2"/>
    <x v="0"/>
    <x v="0"/>
    <x v="1"/>
    <x v="10"/>
    <x v="0"/>
    <x v="0"/>
    <n v="6"/>
    <n v="36288.36"/>
    <n v="156513.9"/>
    <x v="0"/>
  </r>
  <r>
    <x v="2"/>
    <x v="0"/>
    <x v="0"/>
    <x v="1"/>
    <x v="10"/>
    <x v="0"/>
    <x v="1"/>
    <n v="5"/>
    <n v="35038.79"/>
    <n v="151497.41"/>
    <x v="0"/>
  </r>
  <r>
    <x v="2"/>
    <x v="0"/>
    <x v="0"/>
    <x v="1"/>
    <x v="10"/>
    <x v="1"/>
    <x v="0"/>
    <n v="8"/>
    <n v="54051.97"/>
    <n v="162850.70000000001"/>
    <x v="0"/>
  </r>
  <r>
    <x v="2"/>
    <x v="0"/>
    <x v="0"/>
    <x v="1"/>
    <x v="10"/>
    <x v="1"/>
    <x v="1"/>
    <n v="18"/>
    <n v="123135.67"/>
    <n v="363334.95"/>
    <x v="0"/>
  </r>
  <r>
    <x v="2"/>
    <x v="0"/>
    <x v="0"/>
    <x v="1"/>
    <x v="11"/>
    <x v="0"/>
    <x v="1"/>
    <n v="15"/>
    <n v="98188.7"/>
    <n v="427403.31"/>
    <x v="0"/>
  </r>
  <r>
    <x v="2"/>
    <x v="0"/>
    <x v="0"/>
    <x v="1"/>
    <x v="11"/>
    <x v="1"/>
    <x v="0"/>
    <n v="4"/>
    <n v="29121.58"/>
    <n v="82440.77"/>
    <x v="0"/>
  </r>
  <r>
    <x v="2"/>
    <x v="0"/>
    <x v="0"/>
    <x v="1"/>
    <x v="11"/>
    <x v="1"/>
    <x v="1"/>
    <n v="41"/>
    <n v="278839.51"/>
    <n v="789863.06"/>
    <x v="0"/>
  </r>
  <r>
    <x v="2"/>
    <x v="0"/>
    <x v="0"/>
    <x v="1"/>
    <x v="12"/>
    <x v="1"/>
    <x v="0"/>
    <n v="2"/>
    <n v="14613.56"/>
    <n v="43920.2"/>
    <x v="0"/>
  </r>
  <r>
    <x v="2"/>
    <x v="0"/>
    <x v="0"/>
    <x v="1"/>
    <x v="12"/>
    <x v="1"/>
    <x v="1"/>
    <n v="2"/>
    <n v="14916.16"/>
    <n v="43920.2"/>
    <x v="0"/>
  </r>
  <r>
    <x v="2"/>
    <x v="0"/>
    <x v="0"/>
    <x v="1"/>
    <x v="13"/>
    <x v="0"/>
    <x v="1"/>
    <n v="7"/>
    <n v="39277.279999999999"/>
    <n v="168553.44"/>
    <x v="0"/>
  </r>
  <r>
    <x v="2"/>
    <x v="0"/>
    <x v="0"/>
    <x v="1"/>
    <x v="13"/>
    <x v="1"/>
    <x v="0"/>
    <n v="1"/>
    <n v="4654.7700000000004"/>
    <n v="14348.11"/>
    <x v="0"/>
  </r>
  <r>
    <x v="2"/>
    <x v="0"/>
    <x v="0"/>
    <x v="1"/>
    <x v="13"/>
    <x v="1"/>
    <x v="1"/>
    <n v="9"/>
    <n v="56721.16"/>
    <n v="169444.34"/>
    <x v="0"/>
  </r>
  <r>
    <x v="2"/>
    <x v="0"/>
    <x v="0"/>
    <x v="1"/>
    <x v="14"/>
    <x v="0"/>
    <x v="1"/>
    <n v="5"/>
    <n v="29104.54"/>
    <n v="124408.49"/>
    <x v="0"/>
  </r>
  <r>
    <x v="2"/>
    <x v="0"/>
    <x v="0"/>
    <x v="1"/>
    <x v="14"/>
    <x v="1"/>
    <x v="0"/>
    <n v="22"/>
    <n v="128089.89"/>
    <n v="369400.9"/>
    <x v="0"/>
  </r>
  <r>
    <x v="2"/>
    <x v="0"/>
    <x v="0"/>
    <x v="1"/>
    <x v="14"/>
    <x v="1"/>
    <x v="1"/>
    <n v="6"/>
    <n v="41930.69"/>
    <n v="121306.28"/>
    <x v="0"/>
  </r>
  <r>
    <x v="2"/>
    <x v="0"/>
    <x v="0"/>
    <x v="1"/>
    <x v="15"/>
    <x v="1"/>
    <x v="0"/>
    <n v="4"/>
    <n v="27158.54"/>
    <n v="82499.87"/>
    <x v="0"/>
  </r>
  <r>
    <x v="2"/>
    <x v="0"/>
    <x v="0"/>
    <x v="1"/>
    <x v="15"/>
    <x v="1"/>
    <x v="1"/>
    <n v="1"/>
    <n v="7530.6"/>
    <n v="22184.84"/>
    <x v="0"/>
  </r>
  <r>
    <x v="2"/>
    <x v="0"/>
    <x v="0"/>
    <x v="1"/>
    <x v="16"/>
    <x v="0"/>
    <x v="1"/>
    <n v="3"/>
    <n v="22143.63"/>
    <n v="96316.23"/>
    <x v="0"/>
  </r>
  <r>
    <x v="2"/>
    <x v="0"/>
    <x v="0"/>
    <x v="1"/>
    <x v="16"/>
    <x v="1"/>
    <x v="0"/>
    <n v="11"/>
    <n v="73659.95"/>
    <n v="208612.94"/>
    <x v="0"/>
  </r>
  <r>
    <x v="2"/>
    <x v="0"/>
    <x v="0"/>
    <x v="1"/>
    <x v="16"/>
    <x v="1"/>
    <x v="1"/>
    <n v="11"/>
    <n v="67313.070000000007"/>
    <n v="194089.26"/>
    <x v="0"/>
  </r>
  <r>
    <x v="2"/>
    <x v="0"/>
    <x v="0"/>
    <x v="1"/>
    <x v="17"/>
    <x v="0"/>
    <x v="1"/>
    <n v="4"/>
    <n v="24393.97"/>
    <n v="108355.77"/>
    <x v="0"/>
  </r>
  <r>
    <x v="2"/>
    <x v="0"/>
    <x v="0"/>
    <x v="1"/>
    <x v="17"/>
    <x v="1"/>
    <x v="0"/>
    <n v="5"/>
    <n v="33731.83"/>
    <n v="94598.6"/>
    <x v="0"/>
  </r>
  <r>
    <x v="2"/>
    <x v="0"/>
    <x v="0"/>
    <x v="1"/>
    <x v="17"/>
    <x v="1"/>
    <x v="1"/>
    <n v="5"/>
    <n v="35465.699999999997"/>
    <n v="106589.96"/>
    <x v="0"/>
  </r>
  <r>
    <x v="2"/>
    <x v="0"/>
    <x v="0"/>
    <x v="1"/>
    <x v="18"/>
    <x v="0"/>
    <x v="1"/>
    <n v="6"/>
    <n v="39724.57"/>
    <n v="174573.18"/>
    <x v="0"/>
  </r>
  <r>
    <x v="2"/>
    <x v="0"/>
    <x v="0"/>
    <x v="1"/>
    <x v="18"/>
    <x v="1"/>
    <x v="0"/>
    <n v="8"/>
    <n v="58463.88"/>
    <n v="178506.08"/>
    <x v="0"/>
  </r>
  <r>
    <x v="2"/>
    <x v="0"/>
    <x v="0"/>
    <x v="1"/>
    <x v="18"/>
    <x v="1"/>
    <x v="1"/>
    <n v="17"/>
    <n v="117697.25"/>
    <n v="353558.81"/>
    <x v="0"/>
  </r>
  <r>
    <x v="2"/>
    <x v="0"/>
    <x v="0"/>
    <x v="1"/>
    <x v="19"/>
    <x v="0"/>
    <x v="1"/>
    <n v="5"/>
    <n v="32807.72"/>
    <n v="142467.76999999999"/>
    <x v="0"/>
  </r>
  <r>
    <x v="2"/>
    <x v="0"/>
    <x v="0"/>
    <x v="1"/>
    <x v="19"/>
    <x v="1"/>
    <x v="0"/>
    <n v="17"/>
    <n v="107568.86"/>
    <n v="319175.96999999997"/>
    <x v="0"/>
  </r>
  <r>
    <x v="2"/>
    <x v="0"/>
    <x v="0"/>
    <x v="1"/>
    <x v="19"/>
    <x v="1"/>
    <x v="1"/>
    <n v="17"/>
    <n v="122257.15"/>
    <n v="358931.16"/>
    <x v="0"/>
  </r>
  <r>
    <x v="2"/>
    <x v="0"/>
    <x v="0"/>
    <x v="1"/>
    <x v="20"/>
    <x v="0"/>
    <x v="0"/>
    <n v="6"/>
    <n v="40833.440000000002"/>
    <n v="174573.18"/>
    <x v="0"/>
  </r>
  <r>
    <x v="2"/>
    <x v="0"/>
    <x v="0"/>
    <x v="1"/>
    <x v="20"/>
    <x v="0"/>
    <x v="1"/>
    <n v="10"/>
    <n v="66512.490000000005"/>
    <n v="284935.53999999998"/>
    <x v="0"/>
  </r>
  <r>
    <x v="2"/>
    <x v="0"/>
    <x v="0"/>
    <x v="1"/>
    <x v="20"/>
    <x v="1"/>
    <x v="0"/>
    <n v="9"/>
    <n v="55436.22"/>
    <n v="155653.07999999999"/>
    <x v="0"/>
  </r>
  <r>
    <x v="2"/>
    <x v="0"/>
    <x v="0"/>
    <x v="1"/>
    <x v="20"/>
    <x v="1"/>
    <x v="1"/>
    <n v="37"/>
    <n v="229183.93"/>
    <n v="659197.39"/>
    <x v="0"/>
  </r>
  <r>
    <x v="2"/>
    <x v="0"/>
    <x v="0"/>
    <x v="2"/>
    <x v="21"/>
    <x v="0"/>
    <x v="0"/>
    <n v="2"/>
    <n v="12387"/>
    <n v="53174.59"/>
    <x v="0"/>
  </r>
  <r>
    <x v="2"/>
    <x v="0"/>
    <x v="0"/>
    <x v="2"/>
    <x v="21"/>
    <x v="1"/>
    <x v="1"/>
    <n v="2"/>
    <n v="10656.62"/>
    <n v="28106.29"/>
    <x v="0"/>
  </r>
  <r>
    <x v="2"/>
    <x v="0"/>
    <x v="0"/>
    <x v="2"/>
    <x v="22"/>
    <x v="0"/>
    <x v="1"/>
    <n v="2"/>
    <n v="14568.86"/>
    <n v="64210.82"/>
    <x v="0"/>
  </r>
  <r>
    <x v="2"/>
    <x v="0"/>
    <x v="0"/>
    <x v="2"/>
    <x v="22"/>
    <x v="1"/>
    <x v="0"/>
    <n v="23"/>
    <n v="146367.78"/>
    <n v="380111.24"/>
    <x v="0"/>
  </r>
  <r>
    <x v="2"/>
    <x v="0"/>
    <x v="0"/>
    <x v="2"/>
    <x v="22"/>
    <x v="1"/>
    <x v="1"/>
    <n v="17"/>
    <n v="101748.17"/>
    <n v="265841.65000000002"/>
    <x v="0"/>
  </r>
  <r>
    <x v="2"/>
    <x v="0"/>
    <x v="0"/>
    <x v="2"/>
    <x v="29"/>
    <x v="0"/>
    <x v="1"/>
    <n v="4"/>
    <n v="29297.19"/>
    <n v="128421.64"/>
    <x v="0"/>
  </r>
  <r>
    <x v="2"/>
    <x v="0"/>
    <x v="0"/>
    <x v="2"/>
    <x v="29"/>
    <x v="1"/>
    <x v="1"/>
    <n v="8"/>
    <n v="55462.44"/>
    <n v="153276.5"/>
    <x v="0"/>
  </r>
  <r>
    <x v="2"/>
    <x v="0"/>
    <x v="0"/>
    <x v="2"/>
    <x v="23"/>
    <x v="1"/>
    <x v="1"/>
    <n v="2"/>
    <n v="15093.58"/>
    <n v="40709.660000000003"/>
    <x v="0"/>
  </r>
  <r>
    <x v="2"/>
    <x v="0"/>
    <x v="0"/>
    <x v="2"/>
    <x v="24"/>
    <x v="0"/>
    <x v="1"/>
    <n v="1"/>
    <n v="7387.15"/>
    <n v="32105.41"/>
    <x v="0"/>
  </r>
  <r>
    <x v="2"/>
    <x v="0"/>
    <x v="0"/>
    <x v="2"/>
    <x v="24"/>
    <x v="1"/>
    <x v="0"/>
    <n v="7"/>
    <n v="41318.82"/>
    <n v="109962.65"/>
    <x v="0"/>
  </r>
  <r>
    <x v="2"/>
    <x v="0"/>
    <x v="0"/>
    <x v="3"/>
    <x v="25"/>
    <x v="0"/>
    <x v="1"/>
    <n v="3"/>
    <n v="20274.18"/>
    <n v="87286.59"/>
    <x v="0"/>
  </r>
  <r>
    <x v="2"/>
    <x v="0"/>
    <x v="0"/>
    <x v="3"/>
    <x v="25"/>
    <x v="1"/>
    <x v="0"/>
    <n v="15"/>
    <n v="98184.6"/>
    <n v="292526.71999999997"/>
    <x v="0"/>
  </r>
  <r>
    <x v="2"/>
    <x v="0"/>
    <x v="0"/>
    <x v="3"/>
    <x v="25"/>
    <x v="1"/>
    <x v="1"/>
    <n v="5"/>
    <n v="29305.41"/>
    <n v="87826.880000000005"/>
    <x v="0"/>
  </r>
  <r>
    <x v="2"/>
    <x v="0"/>
    <x v="0"/>
    <x v="3"/>
    <x v="26"/>
    <x v="0"/>
    <x v="0"/>
    <n v="3"/>
    <n v="17376.439999999999"/>
    <n v="76250.36"/>
    <x v="0"/>
  </r>
  <r>
    <x v="2"/>
    <x v="0"/>
    <x v="0"/>
    <x v="3"/>
    <x v="26"/>
    <x v="0"/>
    <x v="1"/>
    <n v="1"/>
    <n v="7112.41"/>
    <n v="32105.41"/>
    <x v="0"/>
  </r>
  <r>
    <x v="2"/>
    <x v="0"/>
    <x v="0"/>
    <x v="3"/>
    <x v="26"/>
    <x v="1"/>
    <x v="0"/>
    <n v="4"/>
    <n v="21382.23"/>
    <n v="65765.929999999993"/>
    <x v="0"/>
  </r>
  <r>
    <x v="2"/>
    <x v="0"/>
    <x v="0"/>
    <x v="3"/>
    <x v="26"/>
    <x v="1"/>
    <x v="1"/>
    <n v="11"/>
    <n v="79412.5"/>
    <n v="234956.76"/>
    <x v="0"/>
  </r>
  <r>
    <x v="2"/>
    <x v="0"/>
    <x v="0"/>
    <x v="3"/>
    <x v="27"/>
    <x v="0"/>
    <x v="0"/>
    <n v="4"/>
    <n v="27985.16"/>
    <n v="119392"/>
    <x v="0"/>
  </r>
  <r>
    <x v="2"/>
    <x v="0"/>
    <x v="0"/>
    <x v="3"/>
    <x v="27"/>
    <x v="0"/>
    <x v="1"/>
    <n v="8"/>
    <n v="50713.39"/>
    <n v="220724.72"/>
    <x v="0"/>
  </r>
  <r>
    <x v="2"/>
    <x v="0"/>
    <x v="0"/>
    <x v="3"/>
    <x v="27"/>
    <x v="1"/>
    <x v="0"/>
    <n v="10"/>
    <n v="53702.73"/>
    <n v="158260.64000000001"/>
    <x v="0"/>
  </r>
  <r>
    <x v="2"/>
    <x v="0"/>
    <x v="0"/>
    <x v="3"/>
    <x v="27"/>
    <x v="1"/>
    <x v="1"/>
    <n v="34"/>
    <n v="233437.46"/>
    <n v="675560.41"/>
    <x v="0"/>
  </r>
  <r>
    <x v="2"/>
    <x v="0"/>
    <x v="1"/>
    <x v="0"/>
    <x v="0"/>
    <x v="0"/>
    <x v="0"/>
    <n v="4"/>
    <n v="11653.04"/>
    <n v="40510.32"/>
    <x v="0"/>
  </r>
  <r>
    <x v="2"/>
    <x v="0"/>
    <x v="1"/>
    <x v="0"/>
    <x v="0"/>
    <x v="0"/>
    <x v="1"/>
    <n v="1"/>
    <n v="2006.02"/>
    <n v="6984.54"/>
    <x v="0"/>
  </r>
  <r>
    <x v="2"/>
    <x v="0"/>
    <x v="1"/>
    <x v="0"/>
    <x v="0"/>
    <x v="1"/>
    <x v="0"/>
    <n v="3"/>
    <n v="9844.32"/>
    <n v="21925.86"/>
    <x v="0"/>
  </r>
  <r>
    <x v="2"/>
    <x v="0"/>
    <x v="1"/>
    <x v="0"/>
    <x v="0"/>
    <x v="1"/>
    <x v="1"/>
    <n v="6"/>
    <n v="12325.56"/>
    <n v="28549.29"/>
    <x v="0"/>
  </r>
  <r>
    <x v="2"/>
    <x v="0"/>
    <x v="1"/>
    <x v="0"/>
    <x v="1"/>
    <x v="0"/>
    <x v="0"/>
    <n v="1"/>
    <n v="2066.7199999999998"/>
    <n v="7333.76"/>
    <x v="0"/>
  </r>
  <r>
    <x v="2"/>
    <x v="0"/>
    <x v="1"/>
    <x v="0"/>
    <x v="1"/>
    <x v="0"/>
    <x v="1"/>
    <n v="2"/>
    <n v="4117.1400000000003"/>
    <n v="14667.52"/>
    <x v="0"/>
  </r>
  <r>
    <x v="2"/>
    <x v="0"/>
    <x v="1"/>
    <x v="0"/>
    <x v="1"/>
    <x v="1"/>
    <x v="0"/>
    <n v="17"/>
    <n v="37691.199999999997"/>
    <n v="84656.46"/>
    <x v="0"/>
  </r>
  <r>
    <x v="2"/>
    <x v="0"/>
    <x v="1"/>
    <x v="0"/>
    <x v="1"/>
    <x v="1"/>
    <x v="1"/>
    <n v="10"/>
    <n v="23375.25"/>
    <n v="52964.09"/>
    <x v="0"/>
  </r>
  <r>
    <x v="2"/>
    <x v="0"/>
    <x v="1"/>
    <x v="0"/>
    <x v="2"/>
    <x v="0"/>
    <x v="1"/>
    <n v="3"/>
    <n v="7218.53"/>
    <n v="25493.56"/>
    <x v="0"/>
  </r>
  <r>
    <x v="2"/>
    <x v="0"/>
    <x v="1"/>
    <x v="0"/>
    <x v="2"/>
    <x v="1"/>
    <x v="1"/>
    <n v="14"/>
    <n v="40723.26"/>
    <n v="87398.55"/>
    <x v="0"/>
  </r>
  <r>
    <x v="2"/>
    <x v="0"/>
    <x v="1"/>
    <x v="0"/>
    <x v="3"/>
    <x v="0"/>
    <x v="1"/>
    <n v="4"/>
    <n v="9427.18"/>
    <n v="33176.54"/>
    <x v="0"/>
  </r>
  <r>
    <x v="2"/>
    <x v="0"/>
    <x v="1"/>
    <x v="0"/>
    <x v="3"/>
    <x v="1"/>
    <x v="0"/>
    <n v="13"/>
    <n v="34236.080000000002"/>
    <n v="78290.33"/>
    <x v="0"/>
  </r>
  <r>
    <x v="2"/>
    <x v="0"/>
    <x v="1"/>
    <x v="0"/>
    <x v="3"/>
    <x v="1"/>
    <x v="1"/>
    <n v="18"/>
    <n v="49394.09"/>
    <n v="112143.75"/>
    <x v="0"/>
  </r>
  <r>
    <x v="2"/>
    <x v="0"/>
    <x v="1"/>
    <x v="0"/>
    <x v="28"/>
    <x v="1"/>
    <x v="1"/>
    <n v="3"/>
    <n v="9998.5400000000009"/>
    <n v="21925.86"/>
    <x v="0"/>
  </r>
  <r>
    <x v="2"/>
    <x v="0"/>
    <x v="1"/>
    <x v="0"/>
    <x v="5"/>
    <x v="0"/>
    <x v="1"/>
    <n v="1"/>
    <n v="2046.58"/>
    <n v="7333.76"/>
    <x v="0"/>
  </r>
  <r>
    <x v="2"/>
    <x v="0"/>
    <x v="1"/>
    <x v="0"/>
    <x v="5"/>
    <x v="1"/>
    <x v="1"/>
    <n v="14"/>
    <n v="35180.68"/>
    <n v="82473.820000000007"/>
    <x v="0"/>
  </r>
  <r>
    <x v="2"/>
    <x v="0"/>
    <x v="1"/>
    <x v="0"/>
    <x v="6"/>
    <x v="0"/>
    <x v="1"/>
    <n v="1"/>
    <n v="3232.17"/>
    <n v="11175.26"/>
    <x v="0"/>
  </r>
  <r>
    <x v="2"/>
    <x v="0"/>
    <x v="1"/>
    <x v="0"/>
    <x v="7"/>
    <x v="1"/>
    <x v="1"/>
    <n v="5"/>
    <n v="12066.62"/>
    <n v="28927.17"/>
    <x v="0"/>
  </r>
  <r>
    <x v="2"/>
    <x v="0"/>
    <x v="1"/>
    <x v="0"/>
    <x v="8"/>
    <x v="0"/>
    <x v="1"/>
    <n v="4"/>
    <n v="10833.32"/>
    <n v="37018.04"/>
    <x v="0"/>
  </r>
  <r>
    <x v="2"/>
    <x v="0"/>
    <x v="1"/>
    <x v="0"/>
    <x v="8"/>
    <x v="1"/>
    <x v="1"/>
    <n v="2"/>
    <n v="4128.12"/>
    <n v="9069.02"/>
    <x v="0"/>
  </r>
  <r>
    <x v="2"/>
    <x v="0"/>
    <x v="1"/>
    <x v="1"/>
    <x v="10"/>
    <x v="0"/>
    <x v="0"/>
    <n v="2"/>
    <n v="4288.13"/>
    <n v="14667.52"/>
    <x v="0"/>
  </r>
  <r>
    <x v="2"/>
    <x v="0"/>
    <x v="1"/>
    <x v="1"/>
    <x v="10"/>
    <x v="1"/>
    <x v="0"/>
    <n v="9"/>
    <n v="23078.12"/>
    <n v="55494.22"/>
    <x v="0"/>
  </r>
  <r>
    <x v="2"/>
    <x v="0"/>
    <x v="1"/>
    <x v="1"/>
    <x v="10"/>
    <x v="1"/>
    <x v="1"/>
    <n v="11"/>
    <n v="31978.59"/>
    <n v="73369.83"/>
    <x v="0"/>
  </r>
  <r>
    <x v="2"/>
    <x v="0"/>
    <x v="1"/>
    <x v="1"/>
    <x v="11"/>
    <x v="0"/>
    <x v="1"/>
    <n v="5"/>
    <n v="11751.27"/>
    <n v="40510.300000000003"/>
    <x v="0"/>
  </r>
  <r>
    <x v="2"/>
    <x v="0"/>
    <x v="1"/>
    <x v="1"/>
    <x v="11"/>
    <x v="1"/>
    <x v="0"/>
    <n v="7"/>
    <n v="19855.23"/>
    <n v="44779.45"/>
    <x v="0"/>
  </r>
  <r>
    <x v="2"/>
    <x v="0"/>
    <x v="1"/>
    <x v="1"/>
    <x v="11"/>
    <x v="1"/>
    <x v="1"/>
    <n v="17"/>
    <n v="42528.29"/>
    <n v="97381.92"/>
    <x v="0"/>
  </r>
  <r>
    <x v="2"/>
    <x v="0"/>
    <x v="1"/>
    <x v="1"/>
    <x v="13"/>
    <x v="0"/>
    <x v="1"/>
    <n v="2"/>
    <n v="4313.34"/>
    <n v="14667.52"/>
    <x v="0"/>
  </r>
  <r>
    <x v="2"/>
    <x v="0"/>
    <x v="1"/>
    <x v="1"/>
    <x v="13"/>
    <x v="1"/>
    <x v="0"/>
    <n v="2"/>
    <n v="6150.84"/>
    <n v="15220.7"/>
    <x v="0"/>
  </r>
  <r>
    <x v="2"/>
    <x v="0"/>
    <x v="1"/>
    <x v="1"/>
    <x v="13"/>
    <x v="1"/>
    <x v="1"/>
    <n v="13"/>
    <n v="38044.11"/>
    <n v="91086.39"/>
    <x v="0"/>
  </r>
  <r>
    <x v="2"/>
    <x v="0"/>
    <x v="1"/>
    <x v="1"/>
    <x v="14"/>
    <x v="0"/>
    <x v="1"/>
    <n v="1"/>
    <n v="3340.57"/>
    <n v="11175.26"/>
    <x v="0"/>
  </r>
  <r>
    <x v="2"/>
    <x v="0"/>
    <x v="1"/>
    <x v="1"/>
    <x v="14"/>
    <x v="1"/>
    <x v="0"/>
    <n v="3"/>
    <n v="7628.95"/>
    <n v="17262.97"/>
    <x v="0"/>
  </r>
  <r>
    <x v="2"/>
    <x v="0"/>
    <x v="1"/>
    <x v="1"/>
    <x v="16"/>
    <x v="0"/>
    <x v="1"/>
    <n v="2"/>
    <n v="5358.49"/>
    <n v="18509.02"/>
    <x v="0"/>
  </r>
  <r>
    <x v="2"/>
    <x v="0"/>
    <x v="1"/>
    <x v="1"/>
    <x v="16"/>
    <x v="1"/>
    <x v="0"/>
    <n v="4"/>
    <n v="10438.52"/>
    <n v="23898.29"/>
    <x v="0"/>
  </r>
  <r>
    <x v="2"/>
    <x v="0"/>
    <x v="1"/>
    <x v="1"/>
    <x v="16"/>
    <x v="1"/>
    <x v="1"/>
    <n v="3"/>
    <n v="8319.31"/>
    <n v="19302.47"/>
    <x v="0"/>
  </r>
  <r>
    <x v="2"/>
    <x v="0"/>
    <x v="1"/>
    <x v="1"/>
    <x v="17"/>
    <x v="0"/>
    <x v="1"/>
    <n v="2"/>
    <n v="4060.16"/>
    <n v="14667.52"/>
    <x v="0"/>
  </r>
  <r>
    <x v="2"/>
    <x v="0"/>
    <x v="1"/>
    <x v="1"/>
    <x v="17"/>
    <x v="1"/>
    <x v="0"/>
    <n v="3"/>
    <n v="7380.99"/>
    <n v="17159.61"/>
    <x v="0"/>
  </r>
  <r>
    <x v="2"/>
    <x v="0"/>
    <x v="1"/>
    <x v="1"/>
    <x v="17"/>
    <x v="1"/>
    <x v="1"/>
    <n v="3"/>
    <n v="9770.67"/>
    <n v="22261.119999999999"/>
    <x v="0"/>
  </r>
  <r>
    <x v="2"/>
    <x v="0"/>
    <x v="1"/>
    <x v="1"/>
    <x v="18"/>
    <x v="0"/>
    <x v="1"/>
    <n v="9"/>
    <n v="25280.51"/>
    <n v="88005.18"/>
    <x v="0"/>
  </r>
  <r>
    <x v="2"/>
    <x v="0"/>
    <x v="1"/>
    <x v="1"/>
    <x v="18"/>
    <x v="1"/>
    <x v="0"/>
    <n v="2"/>
    <n v="4337.6000000000004"/>
    <n v="10193.93"/>
    <x v="0"/>
  </r>
  <r>
    <x v="2"/>
    <x v="0"/>
    <x v="1"/>
    <x v="1"/>
    <x v="18"/>
    <x v="1"/>
    <x v="1"/>
    <n v="17"/>
    <n v="38891.93"/>
    <n v="94900.68"/>
    <x v="0"/>
  </r>
  <r>
    <x v="2"/>
    <x v="0"/>
    <x v="1"/>
    <x v="1"/>
    <x v="19"/>
    <x v="0"/>
    <x v="1"/>
    <n v="3"/>
    <n v="8486.98"/>
    <n v="29684.28"/>
    <x v="0"/>
  </r>
  <r>
    <x v="2"/>
    <x v="0"/>
    <x v="1"/>
    <x v="1"/>
    <x v="19"/>
    <x v="1"/>
    <x v="0"/>
    <n v="6"/>
    <n v="16874.37"/>
    <n v="39737.71"/>
    <x v="0"/>
  </r>
  <r>
    <x v="2"/>
    <x v="0"/>
    <x v="1"/>
    <x v="1"/>
    <x v="19"/>
    <x v="1"/>
    <x v="1"/>
    <n v="4"/>
    <n v="11734.79"/>
    <n v="27539.33"/>
    <x v="0"/>
  </r>
  <r>
    <x v="2"/>
    <x v="0"/>
    <x v="1"/>
    <x v="1"/>
    <x v="20"/>
    <x v="0"/>
    <x v="0"/>
    <n v="2"/>
    <n v="4065.57"/>
    <n v="14318.3"/>
    <x v="0"/>
  </r>
  <r>
    <x v="2"/>
    <x v="0"/>
    <x v="1"/>
    <x v="1"/>
    <x v="20"/>
    <x v="0"/>
    <x v="1"/>
    <n v="5"/>
    <n v="11626.21"/>
    <n v="40161.08"/>
    <x v="0"/>
  </r>
  <r>
    <x v="2"/>
    <x v="0"/>
    <x v="1"/>
    <x v="1"/>
    <x v="20"/>
    <x v="1"/>
    <x v="0"/>
    <n v="1"/>
    <n v="3254.69"/>
    <n v="7409.2"/>
    <x v="0"/>
  </r>
  <r>
    <x v="2"/>
    <x v="0"/>
    <x v="1"/>
    <x v="1"/>
    <x v="20"/>
    <x v="1"/>
    <x v="1"/>
    <n v="7"/>
    <n v="16969.72"/>
    <n v="38610.67"/>
    <x v="0"/>
  </r>
  <r>
    <x v="2"/>
    <x v="0"/>
    <x v="1"/>
    <x v="2"/>
    <x v="21"/>
    <x v="1"/>
    <x v="1"/>
    <n v="3"/>
    <n v="6469.19"/>
    <n v="13398.78"/>
    <x v="0"/>
  </r>
  <r>
    <x v="2"/>
    <x v="0"/>
    <x v="1"/>
    <x v="2"/>
    <x v="22"/>
    <x v="0"/>
    <x v="1"/>
    <n v="2"/>
    <n v="5351.49"/>
    <n v="18509.02"/>
    <x v="0"/>
  </r>
  <r>
    <x v="2"/>
    <x v="0"/>
    <x v="1"/>
    <x v="2"/>
    <x v="22"/>
    <x v="1"/>
    <x v="0"/>
    <n v="3"/>
    <n v="9578.58"/>
    <n v="20417.2"/>
    <x v="0"/>
  </r>
  <r>
    <x v="2"/>
    <x v="0"/>
    <x v="1"/>
    <x v="2"/>
    <x v="22"/>
    <x v="1"/>
    <x v="1"/>
    <n v="1"/>
    <n v="3136.47"/>
    <n v="6805.73"/>
    <x v="0"/>
  </r>
  <r>
    <x v="2"/>
    <x v="0"/>
    <x v="1"/>
    <x v="2"/>
    <x v="29"/>
    <x v="0"/>
    <x v="1"/>
    <n v="1"/>
    <n v="2032.89"/>
    <n v="7333.76"/>
    <x v="0"/>
  </r>
  <r>
    <x v="2"/>
    <x v="0"/>
    <x v="1"/>
    <x v="2"/>
    <x v="23"/>
    <x v="1"/>
    <x v="1"/>
    <n v="3"/>
    <n v="5967.12"/>
    <n v="13284.6"/>
    <x v="0"/>
  </r>
  <r>
    <x v="2"/>
    <x v="0"/>
    <x v="1"/>
    <x v="2"/>
    <x v="24"/>
    <x v="0"/>
    <x v="1"/>
    <n v="3"/>
    <n v="7350.73"/>
    <n v="25842.78"/>
    <x v="0"/>
  </r>
  <r>
    <x v="2"/>
    <x v="0"/>
    <x v="1"/>
    <x v="3"/>
    <x v="25"/>
    <x v="0"/>
    <x v="1"/>
    <n v="3"/>
    <n v="7174.11"/>
    <n v="25493.56"/>
    <x v="0"/>
  </r>
  <r>
    <x v="2"/>
    <x v="0"/>
    <x v="1"/>
    <x v="3"/>
    <x v="25"/>
    <x v="1"/>
    <x v="0"/>
    <n v="6"/>
    <n v="14659.36"/>
    <n v="35404.6"/>
    <x v="0"/>
  </r>
  <r>
    <x v="2"/>
    <x v="0"/>
    <x v="1"/>
    <x v="3"/>
    <x v="25"/>
    <x v="1"/>
    <x v="1"/>
    <n v="5"/>
    <n v="15685.5"/>
    <n v="38275.269999999997"/>
    <x v="0"/>
  </r>
  <r>
    <x v="2"/>
    <x v="0"/>
    <x v="1"/>
    <x v="3"/>
    <x v="26"/>
    <x v="1"/>
    <x v="1"/>
    <n v="16"/>
    <n v="37739.120000000003"/>
    <n v="90362.44"/>
    <x v="0"/>
  </r>
  <r>
    <x v="2"/>
    <x v="0"/>
    <x v="1"/>
    <x v="3"/>
    <x v="27"/>
    <x v="0"/>
    <x v="1"/>
    <n v="5"/>
    <n v="14880.81"/>
    <n v="51685.58"/>
    <x v="0"/>
  </r>
  <r>
    <x v="2"/>
    <x v="0"/>
    <x v="1"/>
    <x v="3"/>
    <x v="27"/>
    <x v="1"/>
    <x v="0"/>
    <n v="3"/>
    <n v="8651.26"/>
    <n v="20096.259999999998"/>
    <x v="0"/>
  </r>
  <r>
    <x v="2"/>
    <x v="0"/>
    <x v="1"/>
    <x v="3"/>
    <x v="27"/>
    <x v="1"/>
    <x v="1"/>
    <n v="9"/>
    <n v="20773.830000000002"/>
    <n v="47285.3"/>
    <x v="0"/>
  </r>
  <r>
    <x v="2"/>
    <x v="0"/>
    <x v="2"/>
    <x v="0"/>
    <x v="0"/>
    <x v="0"/>
    <x v="0"/>
    <n v="5"/>
    <n v="26811.83"/>
    <n v="115918.41"/>
    <x v="0"/>
  </r>
  <r>
    <x v="2"/>
    <x v="0"/>
    <x v="2"/>
    <x v="0"/>
    <x v="0"/>
    <x v="0"/>
    <x v="1"/>
    <n v="2"/>
    <n v="9156.27"/>
    <n v="38956.19"/>
    <x v="0"/>
  </r>
  <r>
    <x v="2"/>
    <x v="0"/>
    <x v="2"/>
    <x v="0"/>
    <x v="0"/>
    <x v="1"/>
    <x v="0"/>
    <n v="5"/>
    <n v="29415.16"/>
    <n v="79445.710000000006"/>
    <x v="0"/>
  </r>
  <r>
    <x v="2"/>
    <x v="0"/>
    <x v="2"/>
    <x v="0"/>
    <x v="0"/>
    <x v="1"/>
    <x v="1"/>
    <n v="21"/>
    <n v="131696.89000000001"/>
    <n v="357875.45"/>
    <x v="0"/>
  </r>
  <r>
    <x v="2"/>
    <x v="0"/>
    <x v="2"/>
    <x v="0"/>
    <x v="1"/>
    <x v="0"/>
    <x v="0"/>
    <n v="3"/>
    <n v="17306.5"/>
    <n v="74111.77"/>
    <x v="0"/>
  </r>
  <r>
    <x v="2"/>
    <x v="0"/>
    <x v="2"/>
    <x v="0"/>
    <x v="1"/>
    <x v="0"/>
    <x v="1"/>
    <n v="4"/>
    <n v="20489.34"/>
    <n v="85513.58"/>
    <x v="0"/>
  </r>
  <r>
    <x v="2"/>
    <x v="0"/>
    <x v="2"/>
    <x v="0"/>
    <x v="1"/>
    <x v="1"/>
    <x v="0"/>
    <n v="22"/>
    <n v="112763.62"/>
    <n v="309139.20000000001"/>
    <x v="0"/>
  </r>
  <r>
    <x v="2"/>
    <x v="0"/>
    <x v="2"/>
    <x v="0"/>
    <x v="1"/>
    <x v="1"/>
    <x v="1"/>
    <n v="24"/>
    <n v="122407.13"/>
    <n v="336020.87"/>
    <x v="0"/>
  </r>
  <r>
    <x v="2"/>
    <x v="0"/>
    <x v="2"/>
    <x v="0"/>
    <x v="2"/>
    <x v="0"/>
    <x v="1"/>
    <n v="3"/>
    <n v="13837.38"/>
    <n v="59859.51"/>
    <x v="0"/>
  </r>
  <r>
    <x v="2"/>
    <x v="0"/>
    <x v="2"/>
    <x v="0"/>
    <x v="2"/>
    <x v="1"/>
    <x v="0"/>
    <n v="1"/>
    <n v="7040.54"/>
    <n v="18881.400000000001"/>
    <x v="0"/>
  </r>
  <r>
    <x v="2"/>
    <x v="0"/>
    <x v="2"/>
    <x v="0"/>
    <x v="2"/>
    <x v="1"/>
    <x v="1"/>
    <n v="20"/>
    <n v="120860.71"/>
    <n v="323571.17"/>
    <x v="0"/>
  </r>
  <r>
    <x v="2"/>
    <x v="0"/>
    <x v="2"/>
    <x v="0"/>
    <x v="3"/>
    <x v="0"/>
    <x v="0"/>
    <n v="3"/>
    <n v="16069.33"/>
    <n v="69361.02"/>
    <x v="0"/>
  </r>
  <r>
    <x v="2"/>
    <x v="0"/>
    <x v="2"/>
    <x v="0"/>
    <x v="3"/>
    <x v="0"/>
    <x v="1"/>
    <n v="3"/>
    <n v="13427.19"/>
    <n v="57959.21"/>
    <x v="0"/>
  </r>
  <r>
    <x v="2"/>
    <x v="0"/>
    <x v="2"/>
    <x v="0"/>
    <x v="3"/>
    <x v="1"/>
    <x v="0"/>
    <n v="16"/>
    <n v="82288.38"/>
    <n v="221393.37"/>
    <x v="0"/>
  </r>
  <r>
    <x v="2"/>
    <x v="0"/>
    <x v="2"/>
    <x v="0"/>
    <x v="3"/>
    <x v="1"/>
    <x v="1"/>
    <n v="24"/>
    <n v="132353.76"/>
    <n v="364605.12"/>
    <x v="0"/>
  </r>
  <r>
    <x v="2"/>
    <x v="0"/>
    <x v="2"/>
    <x v="0"/>
    <x v="28"/>
    <x v="1"/>
    <x v="1"/>
    <n v="11"/>
    <n v="61101.78"/>
    <n v="165186.70000000001"/>
    <x v="0"/>
  </r>
  <r>
    <x v="2"/>
    <x v="0"/>
    <x v="2"/>
    <x v="0"/>
    <x v="4"/>
    <x v="0"/>
    <x v="1"/>
    <n v="3"/>
    <n v="21272.17"/>
    <n v="91214.49"/>
    <x v="0"/>
  </r>
  <r>
    <x v="2"/>
    <x v="0"/>
    <x v="2"/>
    <x v="0"/>
    <x v="4"/>
    <x v="1"/>
    <x v="0"/>
    <n v="14"/>
    <n v="67845.37"/>
    <n v="187901.85"/>
    <x v="0"/>
  </r>
  <r>
    <x v="2"/>
    <x v="0"/>
    <x v="2"/>
    <x v="0"/>
    <x v="4"/>
    <x v="1"/>
    <x v="1"/>
    <n v="1"/>
    <n v="5123.16"/>
    <n v="13986.22"/>
    <x v="0"/>
  </r>
  <r>
    <x v="2"/>
    <x v="0"/>
    <x v="2"/>
    <x v="0"/>
    <x v="5"/>
    <x v="0"/>
    <x v="1"/>
    <n v="3"/>
    <n v="17100.32"/>
    <n v="72211.47"/>
    <x v="0"/>
  </r>
  <r>
    <x v="2"/>
    <x v="0"/>
    <x v="2"/>
    <x v="0"/>
    <x v="5"/>
    <x v="1"/>
    <x v="0"/>
    <n v="2"/>
    <n v="11531.32"/>
    <n v="31737.87"/>
    <x v="0"/>
  </r>
  <r>
    <x v="2"/>
    <x v="0"/>
    <x v="2"/>
    <x v="0"/>
    <x v="5"/>
    <x v="1"/>
    <x v="1"/>
    <n v="30"/>
    <n v="153985.37"/>
    <n v="434547.74"/>
    <x v="0"/>
  </r>
  <r>
    <x v="2"/>
    <x v="0"/>
    <x v="2"/>
    <x v="0"/>
    <x v="6"/>
    <x v="0"/>
    <x v="1"/>
    <n v="5"/>
    <n v="26154.17"/>
    <n v="111167.66"/>
    <x v="0"/>
  </r>
  <r>
    <x v="2"/>
    <x v="0"/>
    <x v="2"/>
    <x v="0"/>
    <x v="6"/>
    <x v="1"/>
    <x v="1"/>
    <n v="8"/>
    <n v="41337.26"/>
    <n v="118607.35"/>
    <x v="0"/>
  </r>
  <r>
    <x v="2"/>
    <x v="0"/>
    <x v="2"/>
    <x v="0"/>
    <x v="7"/>
    <x v="1"/>
    <x v="1"/>
    <n v="4"/>
    <n v="19272.68"/>
    <n v="54584.27"/>
    <x v="0"/>
  </r>
  <r>
    <x v="2"/>
    <x v="0"/>
    <x v="2"/>
    <x v="0"/>
    <x v="8"/>
    <x v="0"/>
    <x v="1"/>
    <n v="2"/>
    <n v="10266.290000000001"/>
    <n v="43706.94"/>
    <x v="0"/>
  </r>
  <r>
    <x v="2"/>
    <x v="0"/>
    <x v="2"/>
    <x v="0"/>
    <x v="8"/>
    <x v="1"/>
    <x v="1"/>
    <n v="1"/>
    <n v="4597.9399999999996"/>
    <n v="12710.17"/>
    <x v="0"/>
  </r>
  <r>
    <x v="2"/>
    <x v="0"/>
    <x v="2"/>
    <x v="1"/>
    <x v="30"/>
    <x v="1"/>
    <x v="0"/>
    <n v="2"/>
    <n v="14389.8"/>
    <n v="41897.86"/>
    <x v="0"/>
  </r>
  <r>
    <x v="2"/>
    <x v="0"/>
    <x v="2"/>
    <x v="1"/>
    <x v="9"/>
    <x v="1"/>
    <x v="1"/>
    <n v="5"/>
    <n v="24821.05"/>
    <n v="75175.94"/>
    <x v="0"/>
  </r>
  <r>
    <x v="2"/>
    <x v="0"/>
    <x v="2"/>
    <x v="1"/>
    <x v="31"/>
    <x v="1"/>
    <x v="0"/>
    <n v="1"/>
    <n v="4597.37"/>
    <n v="13867.45"/>
    <x v="0"/>
  </r>
  <r>
    <x v="2"/>
    <x v="0"/>
    <x v="2"/>
    <x v="1"/>
    <x v="10"/>
    <x v="0"/>
    <x v="0"/>
    <n v="2"/>
    <n v="11554.13"/>
    <n v="49407.85"/>
    <x v="0"/>
  </r>
  <r>
    <x v="2"/>
    <x v="0"/>
    <x v="2"/>
    <x v="1"/>
    <x v="10"/>
    <x v="0"/>
    <x v="1"/>
    <n v="5"/>
    <n v="22838.31"/>
    <n v="97865.55"/>
    <x v="0"/>
  </r>
  <r>
    <x v="2"/>
    <x v="0"/>
    <x v="2"/>
    <x v="1"/>
    <x v="10"/>
    <x v="1"/>
    <x v="0"/>
    <n v="10"/>
    <n v="47539.83"/>
    <n v="137697.26999999999"/>
    <x v="0"/>
  </r>
  <r>
    <x v="2"/>
    <x v="0"/>
    <x v="2"/>
    <x v="1"/>
    <x v="10"/>
    <x v="1"/>
    <x v="1"/>
    <n v="48"/>
    <n v="261831.95"/>
    <n v="761941.28"/>
    <x v="0"/>
  </r>
  <r>
    <x v="2"/>
    <x v="0"/>
    <x v="2"/>
    <x v="1"/>
    <x v="11"/>
    <x v="0"/>
    <x v="1"/>
    <n v="13"/>
    <n v="65879.929999999993"/>
    <n v="283144.96999999997"/>
    <x v="0"/>
  </r>
  <r>
    <x v="2"/>
    <x v="0"/>
    <x v="2"/>
    <x v="1"/>
    <x v="11"/>
    <x v="1"/>
    <x v="0"/>
    <n v="14"/>
    <n v="74779.8"/>
    <n v="212506.48"/>
    <x v="0"/>
  </r>
  <r>
    <x v="2"/>
    <x v="0"/>
    <x v="2"/>
    <x v="1"/>
    <x v="11"/>
    <x v="1"/>
    <x v="1"/>
    <n v="35"/>
    <n v="189727.64"/>
    <n v="527491.28"/>
    <x v="0"/>
  </r>
  <r>
    <x v="2"/>
    <x v="0"/>
    <x v="2"/>
    <x v="1"/>
    <x v="12"/>
    <x v="1"/>
    <x v="0"/>
    <n v="2"/>
    <n v="9349.4599999999991"/>
    <n v="27295.94"/>
    <x v="0"/>
  </r>
  <r>
    <x v="2"/>
    <x v="0"/>
    <x v="2"/>
    <x v="1"/>
    <x v="12"/>
    <x v="1"/>
    <x v="1"/>
    <n v="9"/>
    <n v="54707.38"/>
    <n v="158589.60999999999"/>
    <x v="0"/>
  </r>
  <r>
    <x v="2"/>
    <x v="0"/>
    <x v="2"/>
    <x v="1"/>
    <x v="13"/>
    <x v="0"/>
    <x v="1"/>
    <n v="3"/>
    <n v="15019.1"/>
    <n v="63660.11"/>
    <x v="0"/>
  </r>
  <r>
    <x v="2"/>
    <x v="0"/>
    <x v="2"/>
    <x v="1"/>
    <x v="13"/>
    <x v="1"/>
    <x v="0"/>
    <n v="3"/>
    <n v="13950.12"/>
    <n v="38823.17"/>
    <x v="0"/>
  </r>
  <r>
    <x v="2"/>
    <x v="0"/>
    <x v="2"/>
    <x v="1"/>
    <x v="13"/>
    <x v="1"/>
    <x v="1"/>
    <n v="21"/>
    <n v="103317.52"/>
    <n v="303467.76"/>
    <x v="0"/>
  </r>
  <r>
    <x v="2"/>
    <x v="0"/>
    <x v="2"/>
    <x v="1"/>
    <x v="14"/>
    <x v="0"/>
    <x v="1"/>
    <n v="1"/>
    <n v="7247.4"/>
    <n v="30404.83"/>
    <x v="0"/>
  </r>
  <r>
    <x v="2"/>
    <x v="0"/>
    <x v="2"/>
    <x v="1"/>
    <x v="14"/>
    <x v="1"/>
    <x v="0"/>
    <n v="17"/>
    <n v="95749.03"/>
    <n v="274825.46999999997"/>
    <x v="0"/>
  </r>
  <r>
    <x v="2"/>
    <x v="0"/>
    <x v="2"/>
    <x v="1"/>
    <x v="14"/>
    <x v="1"/>
    <x v="1"/>
    <n v="3"/>
    <n v="15778.73"/>
    <n v="43794.36"/>
    <x v="0"/>
  </r>
  <r>
    <x v="2"/>
    <x v="0"/>
    <x v="2"/>
    <x v="1"/>
    <x v="15"/>
    <x v="1"/>
    <x v="1"/>
    <n v="1"/>
    <n v="4599.8999999999996"/>
    <n v="13787.64"/>
    <x v="0"/>
  </r>
  <r>
    <x v="2"/>
    <x v="0"/>
    <x v="2"/>
    <x v="1"/>
    <x v="16"/>
    <x v="0"/>
    <x v="1"/>
    <n v="3"/>
    <n v="14370.92"/>
    <n v="61759.81"/>
    <x v="0"/>
  </r>
  <r>
    <x v="2"/>
    <x v="0"/>
    <x v="2"/>
    <x v="1"/>
    <x v="16"/>
    <x v="1"/>
    <x v="0"/>
    <n v="6"/>
    <n v="27683.65"/>
    <n v="78149.919999999998"/>
    <x v="0"/>
  </r>
  <r>
    <x v="2"/>
    <x v="0"/>
    <x v="2"/>
    <x v="1"/>
    <x v="16"/>
    <x v="1"/>
    <x v="1"/>
    <n v="19"/>
    <n v="92567.73"/>
    <n v="256208.88"/>
    <x v="0"/>
  </r>
  <r>
    <x v="2"/>
    <x v="0"/>
    <x v="2"/>
    <x v="1"/>
    <x v="17"/>
    <x v="0"/>
    <x v="1"/>
    <n v="2"/>
    <n v="14490.32"/>
    <n v="60809.66"/>
    <x v="0"/>
  </r>
  <r>
    <x v="2"/>
    <x v="0"/>
    <x v="2"/>
    <x v="1"/>
    <x v="18"/>
    <x v="0"/>
    <x v="1"/>
    <n v="8"/>
    <n v="37519.379999999997"/>
    <n v="160575.51"/>
    <x v="0"/>
  </r>
  <r>
    <x v="2"/>
    <x v="0"/>
    <x v="2"/>
    <x v="1"/>
    <x v="18"/>
    <x v="1"/>
    <x v="0"/>
    <n v="8"/>
    <n v="48891.4"/>
    <n v="144510.35"/>
    <x v="0"/>
  </r>
  <r>
    <x v="2"/>
    <x v="0"/>
    <x v="2"/>
    <x v="1"/>
    <x v="18"/>
    <x v="1"/>
    <x v="1"/>
    <n v="39"/>
    <n v="199677.45"/>
    <n v="591677.98"/>
    <x v="0"/>
  </r>
  <r>
    <x v="2"/>
    <x v="0"/>
    <x v="2"/>
    <x v="1"/>
    <x v="19"/>
    <x v="0"/>
    <x v="1"/>
    <n v="4"/>
    <n v="19130.060000000001"/>
    <n v="80762.83"/>
    <x v="0"/>
  </r>
  <r>
    <x v="2"/>
    <x v="0"/>
    <x v="2"/>
    <x v="1"/>
    <x v="19"/>
    <x v="1"/>
    <x v="0"/>
    <n v="13"/>
    <n v="71003.539999999994"/>
    <n v="202685.97"/>
    <x v="0"/>
  </r>
  <r>
    <x v="2"/>
    <x v="0"/>
    <x v="2"/>
    <x v="1"/>
    <x v="19"/>
    <x v="1"/>
    <x v="1"/>
    <n v="2"/>
    <n v="9553.5499999999993"/>
    <n v="28177.68"/>
    <x v="0"/>
  </r>
  <r>
    <x v="2"/>
    <x v="0"/>
    <x v="2"/>
    <x v="1"/>
    <x v="20"/>
    <x v="0"/>
    <x v="0"/>
    <n v="2"/>
    <n v="9014"/>
    <n v="38956.19"/>
    <x v="0"/>
  </r>
  <r>
    <x v="2"/>
    <x v="0"/>
    <x v="2"/>
    <x v="1"/>
    <x v="20"/>
    <x v="0"/>
    <x v="1"/>
    <n v="14"/>
    <n v="76732.03"/>
    <n v="327802.07"/>
    <x v="0"/>
  </r>
  <r>
    <x v="2"/>
    <x v="0"/>
    <x v="2"/>
    <x v="1"/>
    <x v="20"/>
    <x v="1"/>
    <x v="0"/>
    <n v="11"/>
    <n v="50129.64"/>
    <n v="143575.06"/>
    <x v="0"/>
  </r>
  <r>
    <x v="2"/>
    <x v="0"/>
    <x v="2"/>
    <x v="1"/>
    <x v="20"/>
    <x v="1"/>
    <x v="1"/>
    <n v="23"/>
    <n v="126594.69"/>
    <n v="356551.73"/>
    <x v="0"/>
  </r>
  <r>
    <x v="2"/>
    <x v="0"/>
    <x v="2"/>
    <x v="2"/>
    <x v="21"/>
    <x v="0"/>
    <x v="0"/>
    <n v="2"/>
    <n v="11583.97"/>
    <n v="49407.85"/>
    <x v="0"/>
  </r>
  <r>
    <x v="2"/>
    <x v="0"/>
    <x v="2"/>
    <x v="2"/>
    <x v="21"/>
    <x v="1"/>
    <x v="1"/>
    <n v="3"/>
    <n v="15559.01"/>
    <n v="38208.35"/>
    <x v="0"/>
  </r>
  <r>
    <x v="2"/>
    <x v="0"/>
    <x v="2"/>
    <x v="2"/>
    <x v="22"/>
    <x v="0"/>
    <x v="1"/>
    <n v="4"/>
    <n v="25954.86"/>
    <n v="110217.51"/>
    <x v="0"/>
  </r>
  <r>
    <x v="2"/>
    <x v="0"/>
    <x v="2"/>
    <x v="2"/>
    <x v="22"/>
    <x v="1"/>
    <x v="0"/>
    <n v="13"/>
    <n v="81369.05"/>
    <n v="214097.51"/>
    <x v="0"/>
  </r>
  <r>
    <x v="2"/>
    <x v="0"/>
    <x v="2"/>
    <x v="2"/>
    <x v="22"/>
    <x v="1"/>
    <x v="1"/>
    <n v="20"/>
    <n v="97238.25"/>
    <n v="254602.44"/>
    <x v="0"/>
  </r>
  <r>
    <x v="2"/>
    <x v="0"/>
    <x v="2"/>
    <x v="2"/>
    <x v="29"/>
    <x v="0"/>
    <x v="1"/>
    <n v="2"/>
    <n v="11831.21"/>
    <n v="50358"/>
    <x v="0"/>
  </r>
  <r>
    <x v="2"/>
    <x v="0"/>
    <x v="2"/>
    <x v="2"/>
    <x v="24"/>
    <x v="0"/>
    <x v="1"/>
    <n v="1"/>
    <n v="4415.91"/>
    <n v="19003.02"/>
    <x v="0"/>
  </r>
  <r>
    <x v="2"/>
    <x v="0"/>
    <x v="2"/>
    <x v="2"/>
    <x v="24"/>
    <x v="1"/>
    <x v="0"/>
    <n v="5"/>
    <n v="31886.1"/>
    <n v="83651.28"/>
    <x v="0"/>
  </r>
  <r>
    <x v="2"/>
    <x v="0"/>
    <x v="2"/>
    <x v="2"/>
    <x v="24"/>
    <x v="1"/>
    <x v="1"/>
    <n v="1"/>
    <n v="6976.34"/>
    <n v="18850.990000000002"/>
    <x v="0"/>
  </r>
  <r>
    <x v="2"/>
    <x v="0"/>
    <x v="2"/>
    <x v="3"/>
    <x v="25"/>
    <x v="0"/>
    <x v="1"/>
    <n v="2"/>
    <n v="11976.66"/>
    <n v="52258.3"/>
    <x v="0"/>
  </r>
  <r>
    <x v="2"/>
    <x v="0"/>
    <x v="2"/>
    <x v="3"/>
    <x v="25"/>
    <x v="1"/>
    <x v="0"/>
    <n v="6"/>
    <n v="27810.92"/>
    <n v="82007.53"/>
    <x v="0"/>
  </r>
  <r>
    <x v="2"/>
    <x v="0"/>
    <x v="2"/>
    <x v="3"/>
    <x v="25"/>
    <x v="1"/>
    <x v="1"/>
    <n v="19"/>
    <n v="105713.12"/>
    <n v="309155.36"/>
    <x v="0"/>
  </r>
  <r>
    <x v="2"/>
    <x v="0"/>
    <x v="2"/>
    <x v="3"/>
    <x v="26"/>
    <x v="0"/>
    <x v="0"/>
    <n v="1"/>
    <n v="4507.88"/>
    <n v="19953.169999999998"/>
    <x v="0"/>
  </r>
  <r>
    <x v="2"/>
    <x v="0"/>
    <x v="2"/>
    <x v="3"/>
    <x v="26"/>
    <x v="0"/>
    <x v="1"/>
    <n v="2"/>
    <n v="8944.77"/>
    <n v="38956.19"/>
    <x v="0"/>
  </r>
  <r>
    <x v="2"/>
    <x v="0"/>
    <x v="2"/>
    <x v="3"/>
    <x v="26"/>
    <x v="1"/>
    <x v="0"/>
    <n v="1"/>
    <n v="4473.49"/>
    <n v="13767.69"/>
    <x v="0"/>
  </r>
  <r>
    <x v="2"/>
    <x v="0"/>
    <x v="2"/>
    <x v="3"/>
    <x v="26"/>
    <x v="1"/>
    <x v="1"/>
    <n v="28"/>
    <n v="166539.43"/>
    <n v="494284.67"/>
    <x v="0"/>
  </r>
  <r>
    <x v="2"/>
    <x v="0"/>
    <x v="2"/>
    <x v="3"/>
    <x v="27"/>
    <x v="0"/>
    <x v="0"/>
    <n v="2"/>
    <n v="9148.18"/>
    <n v="39906.339999999997"/>
    <x v="0"/>
  </r>
  <r>
    <x v="2"/>
    <x v="0"/>
    <x v="2"/>
    <x v="3"/>
    <x v="27"/>
    <x v="0"/>
    <x v="1"/>
    <n v="4"/>
    <n v="23128.93"/>
    <n v="99765.85"/>
    <x v="0"/>
  </r>
  <r>
    <x v="2"/>
    <x v="0"/>
    <x v="2"/>
    <x v="3"/>
    <x v="27"/>
    <x v="1"/>
    <x v="0"/>
    <n v="12"/>
    <n v="65352.7"/>
    <n v="191045.9"/>
    <x v="0"/>
  </r>
  <r>
    <x v="2"/>
    <x v="0"/>
    <x v="2"/>
    <x v="3"/>
    <x v="27"/>
    <x v="1"/>
    <x v="1"/>
    <n v="22"/>
    <n v="109773.41"/>
    <n v="320022.40999999997"/>
    <x v="0"/>
  </r>
  <r>
    <x v="2"/>
    <x v="0"/>
    <x v="3"/>
    <x v="0"/>
    <x v="0"/>
    <x v="0"/>
    <x v="0"/>
    <n v="1"/>
    <n v="5689.86"/>
    <n v="25060.18"/>
    <x v="0"/>
  </r>
  <r>
    <x v="2"/>
    <x v="0"/>
    <x v="3"/>
    <x v="0"/>
    <x v="0"/>
    <x v="0"/>
    <x v="1"/>
    <n v="3"/>
    <n v="16700.84"/>
    <n v="75180.539999999994"/>
    <x v="0"/>
  </r>
  <r>
    <x v="2"/>
    <x v="0"/>
    <x v="3"/>
    <x v="0"/>
    <x v="0"/>
    <x v="1"/>
    <x v="0"/>
    <n v="3"/>
    <n v="15192.15"/>
    <n v="44892.58"/>
    <x v="0"/>
  </r>
  <r>
    <x v="2"/>
    <x v="0"/>
    <x v="3"/>
    <x v="0"/>
    <x v="0"/>
    <x v="1"/>
    <x v="1"/>
    <n v="12"/>
    <n v="75792.22"/>
    <n v="225384.42"/>
    <x v="0"/>
  </r>
  <r>
    <x v="2"/>
    <x v="0"/>
    <x v="3"/>
    <x v="0"/>
    <x v="1"/>
    <x v="0"/>
    <x v="0"/>
    <n v="8"/>
    <n v="46431.8"/>
    <n v="210022.92"/>
    <x v="0"/>
  </r>
  <r>
    <x v="2"/>
    <x v="0"/>
    <x v="3"/>
    <x v="0"/>
    <x v="1"/>
    <x v="0"/>
    <x v="1"/>
    <n v="8"/>
    <n v="42369.13"/>
    <n v="190675.28"/>
    <x v="0"/>
  </r>
  <r>
    <x v="2"/>
    <x v="0"/>
    <x v="3"/>
    <x v="0"/>
    <x v="1"/>
    <x v="1"/>
    <x v="0"/>
    <n v="19"/>
    <n v="123497.18"/>
    <n v="362691.15"/>
    <x v="0"/>
  </r>
  <r>
    <x v="2"/>
    <x v="0"/>
    <x v="3"/>
    <x v="0"/>
    <x v="1"/>
    <x v="1"/>
    <x v="1"/>
    <n v="14"/>
    <n v="84240.12"/>
    <n v="242150.77"/>
    <x v="0"/>
  </r>
  <r>
    <x v="2"/>
    <x v="0"/>
    <x v="3"/>
    <x v="0"/>
    <x v="2"/>
    <x v="0"/>
    <x v="1"/>
    <n v="6"/>
    <n v="34571.9"/>
    <n v="155676.60999999999"/>
    <x v="0"/>
  </r>
  <r>
    <x v="2"/>
    <x v="0"/>
    <x v="3"/>
    <x v="0"/>
    <x v="2"/>
    <x v="1"/>
    <x v="0"/>
    <n v="4"/>
    <n v="20912.830000000002"/>
    <n v="60219.62"/>
    <x v="0"/>
  </r>
  <r>
    <x v="2"/>
    <x v="0"/>
    <x v="3"/>
    <x v="0"/>
    <x v="2"/>
    <x v="1"/>
    <x v="1"/>
    <n v="7"/>
    <n v="36771.89"/>
    <n v="102170.34"/>
    <x v="0"/>
  </r>
  <r>
    <x v="2"/>
    <x v="0"/>
    <x v="3"/>
    <x v="0"/>
    <x v="3"/>
    <x v="0"/>
    <x v="0"/>
    <n v="1"/>
    <n v="5663.83"/>
    <n v="25060.18"/>
    <x v="0"/>
  </r>
  <r>
    <x v="2"/>
    <x v="0"/>
    <x v="3"/>
    <x v="0"/>
    <x v="3"/>
    <x v="0"/>
    <x v="1"/>
    <n v="7"/>
    <n v="44717.04"/>
    <n v="206489.54"/>
    <x v="0"/>
  </r>
  <r>
    <x v="2"/>
    <x v="0"/>
    <x v="3"/>
    <x v="0"/>
    <x v="3"/>
    <x v="1"/>
    <x v="0"/>
    <n v="8"/>
    <n v="43603.32"/>
    <n v="125287.82"/>
    <x v="0"/>
  </r>
  <r>
    <x v="2"/>
    <x v="0"/>
    <x v="3"/>
    <x v="0"/>
    <x v="3"/>
    <x v="1"/>
    <x v="1"/>
    <n v="26"/>
    <n v="155114.54999999999"/>
    <n v="454630.74"/>
    <x v="0"/>
  </r>
  <r>
    <x v="2"/>
    <x v="0"/>
    <x v="3"/>
    <x v="0"/>
    <x v="4"/>
    <x v="1"/>
    <x v="0"/>
    <n v="2"/>
    <n v="10812.68"/>
    <n v="32077.03"/>
    <x v="0"/>
  </r>
  <r>
    <x v="2"/>
    <x v="0"/>
    <x v="3"/>
    <x v="0"/>
    <x v="4"/>
    <x v="1"/>
    <x v="1"/>
    <n v="6"/>
    <n v="35199.339999999997"/>
    <n v="101725.02"/>
    <x v="0"/>
  </r>
  <r>
    <x v="2"/>
    <x v="0"/>
    <x v="3"/>
    <x v="0"/>
    <x v="5"/>
    <x v="0"/>
    <x v="1"/>
    <n v="3"/>
    <n v="17182"/>
    <n v="78316.92"/>
    <x v="0"/>
  </r>
  <r>
    <x v="2"/>
    <x v="0"/>
    <x v="3"/>
    <x v="0"/>
    <x v="5"/>
    <x v="1"/>
    <x v="0"/>
    <n v="10"/>
    <n v="56083.1"/>
    <n v="165146.57999999999"/>
    <x v="0"/>
  </r>
  <r>
    <x v="2"/>
    <x v="0"/>
    <x v="3"/>
    <x v="0"/>
    <x v="5"/>
    <x v="1"/>
    <x v="1"/>
    <n v="16"/>
    <n v="92313.25"/>
    <n v="274850.12"/>
    <x v="0"/>
  </r>
  <r>
    <x v="2"/>
    <x v="0"/>
    <x v="3"/>
    <x v="0"/>
    <x v="6"/>
    <x v="1"/>
    <x v="1"/>
    <n v="1"/>
    <n v="5469.09"/>
    <n v="16464.54"/>
    <x v="0"/>
  </r>
  <r>
    <x v="2"/>
    <x v="0"/>
    <x v="3"/>
    <x v="0"/>
    <x v="7"/>
    <x v="1"/>
    <x v="1"/>
    <n v="3"/>
    <n v="21681.9"/>
    <n v="67423.44"/>
    <x v="0"/>
  </r>
  <r>
    <x v="2"/>
    <x v="0"/>
    <x v="3"/>
    <x v="0"/>
    <x v="8"/>
    <x v="0"/>
    <x v="1"/>
    <n v="2"/>
    <n v="13500.61"/>
    <n v="58704.61"/>
    <x v="0"/>
  </r>
  <r>
    <x v="2"/>
    <x v="0"/>
    <x v="3"/>
    <x v="0"/>
    <x v="8"/>
    <x v="1"/>
    <x v="1"/>
    <n v="9"/>
    <n v="58249.24"/>
    <n v="168928.67"/>
    <x v="0"/>
  </r>
  <r>
    <x v="2"/>
    <x v="0"/>
    <x v="3"/>
    <x v="1"/>
    <x v="30"/>
    <x v="1"/>
    <x v="0"/>
    <n v="2"/>
    <n v="10198.26"/>
    <n v="31530.06"/>
    <x v="0"/>
  </r>
  <r>
    <x v="2"/>
    <x v="0"/>
    <x v="3"/>
    <x v="1"/>
    <x v="9"/>
    <x v="1"/>
    <x v="1"/>
    <n v="4"/>
    <n v="21656.53"/>
    <n v="66716.73"/>
    <x v="0"/>
  </r>
  <r>
    <x v="2"/>
    <x v="0"/>
    <x v="3"/>
    <x v="1"/>
    <x v="31"/>
    <x v="1"/>
    <x v="0"/>
    <n v="1"/>
    <n v="4836.12"/>
    <n v="14539.99"/>
    <x v="0"/>
  </r>
  <r>
    <x v="2"/>
    <x v="0"/>
    <x v="3"/>
    <x v="1"/>
    <x v="10"/>
    <x v="0"/>
    <x v="0"/>
    <n v="1"/>
    <n v="7287.73"/>
    <n v="33644.43"/>
    <x v="0"/>
  </r>
  <r>
    <x v="2"/>
    <x v="0"/>
    <x v="3"/>
    <x v="1"/>
    <x v="10"/>
    <x v="0"/>
    <x v="1"/>
    <n v="6"/>
    <n v="33515.46"/>
    <n v="150361.07999999999"/>
    <x v="0"/>
  </r>
  <r>
    <x v="2"/>
    <x v="0"/>
    <x v="3"/>
    <x v="1"/>
    <x v="10"/>
    <x v="1"/>
    <x v="0"/>
    <n v="3"/>
    <n v="15695.09"/>
    <n v="49043.87"/>
    <x v="0"/>
  </r>
  <r>
    <x v="2"/>
    <x v="0"/>
    <x v="3"/>
    <x v="1"/>
    <x v="10"/>
    <x v="1"/>
    <x v="1"/>
    <n v="25"/>
    <n v="155317.85"/>
    <n v="469936.53"/>
    <x v="0"/>
  </r>
  <r>
    <x v="2"/>
    <x v="0"/>
    <x v="3"/>
    <x v="1"/>
    <x v="11"/>
    <x v="0"/>
    <x v="1"/>
    <n v="8"/>
    <n v="46920.15"/>
    <n v="213291.64"/>
    <x v="0"/>
  </r>
  <r>
    <x v="2"/>
    <x v="0"/>
    <x v="3"/>
    <x v="1"/>
    <x v="11"/>
    <x v="1"/>
    <x v="0"/>
    <n v="10"/>
    <n v="64851.54"/>
    <n v="186540.64"/>
    <x v="0"/>
  </r>
  <r>
    <x v="2"/>
    <x v="0"/>
    <x v="3"/>
    <x v="1"/>
    <x v="11"/>
    <x v="1"/>
    <x v="1"/>
    <n v="15"/>
    <n v="87287.73"/>
    <n v="256740.69"/>
    <x v="0"/>
  </r>
  <r>
    <x v="2"/>
    <x v="0"/>
    <x v="3"/>
    <x v="1"/>
    <x v="12"/>
    <x v="1"/>
    <x v="1"/>
    <n v="6"/>
    <n v="38962.26"/>
    <n v="120461.86"/>
    <x v="0"/>
  </r>
  <r>
    <x v="2"/>
    <x v="0"/>
    <x v="3"/>
    <x v="1"/>
    <x v="13"/>
    <x v="0"/>
    <x v="1"/>
    <n v="5"/>
    <n v="27447.47"/>
    <n v="123121.75"/>
    <x v="0"/>
  </r>
  <r>
    <x v="2"/>
    <x v="0"/>
    <x v="3"/>
    <x v="1"/>
    <x v="13"/>
    <x v="1"/>
    <x v="1"/>
    <n v="7"/>
    <n v="41449.980000000003"/>
    <n v="127443.62"/>
    <x v="0"/>
  </r>
  <r>
    <x v="2"/>
    <x v="0"/>
    <x v="3"/>
    <x v="1"/>
    <x v="14"/>
    <x v="0"/>
    <x v="1"/>
    <n v="2"/>
    <n v="10799.09"/>
    <n v="47941.21"/>
    <x v="0"/>
  </r>
  <r>
    <x v="2"/>
    <x v="0"/>
    <x v="3"/>
    <x v="1"/>
    <x v="14"/>
    <x v="1"/>
    <x v="0"/>
    <n v="23"/>
    <n v="143479.07"/>
    <n v="424463.38"/>
    <x v="0"/>
  </r>
  <r>
    <x v="2"/>
    <x v="0"/>
    <x v="3"/>
    <x v="1"/>
    <x v="14"/>
    <x v="1"/>
    <x v="1"/>
    <n v="3"/>
    <n v="16665.02"/>
    <n v="50220.6"/>
    <x v="0"/>
  </r>
  <r>
    <x v="2"/>
    <x v="0"/>
    <x v="3"/>
    <x v="1"/>
    <x v="15"/>
    <x v="1"/>
    <x v="0"/>
    <n v="1"/>
    <n v="4908.13"/>
    <n v="15057.9"/>
    <x v="0"/>
  </r>
  <r>
    <x v="2"/>
    <x v="0"/>
    <x v="3"/>
    <x v="1"/>
    <x v="16"/>
    <x v="0"/>
    <x v="1"/>
    <n v="6"/>
    <n v="38648.050000000003"/>
    <n v="169576.39"/>
    <x v="0"/>
  </r>
  <r>
    <x v="2"/>
    <x v="0"/>
    <x v="3"/>
    <x v="1"/>
    <x v="16"/>
    <x v="1"/>
    <x v="0"/>
    <n v="6"/>
    <n v="37873.5"/>
    <n v="108648.67"/>
    <x v="0"/>
  </r>
  <r>
    <x v="2"/>
    <x v="0"/>
    <x v="3"/>
    <x v="1"/>
    <x v="16"/>
    <x v="1"/>
    <x v="1"/>
    <n v="23"/>
    <n v="127785.8"/>
    <n v="381867.27"/>
    <x v="0"/>
  </r>
  <r>
    <x v="2"/>
    <x v="0"/>
    <x v="3"/>
    <x v="1"/>
    <x v="17"/>
    <x v="0"/>
    <x v="1"/>
    <n v="1"/>
    <n v="4878.37"/>
    <n v="21791.46"/>
    <x v="0"/>
  </r>
  <r>
    <x v="2"/>
    <x v="0"/>
    <x v="3"/>
    <x v="1"/>
    <x v="17"/>
    <x v="1"/>
    <x v="0"/>
    <n v="18"/>
    <n v="100480.3"/>
    <n v="301601.83"/>
    <x v="0"/>
  </r>
  <r>
    <x v="2"/>
    <x v="0"/>
    <x v="3"/>
    <x v="1"/>
    <x v="17"/>
    <x v="1"/>
    <x v="1"/>
    <n v="4"/>
    <n v="28362.62"/>
    <n v="82212.7"/>
    <x v="0"/>
  </r>
  <r>
    <x v="2"/>
    <x v="0"/>
    <x v="3"/>
    <x v="1"/>
    <x v="18"/>
    <x v="0"/>
    <x v="1"/>
    <n v="9"/>
    <n v="58103.01"/>
    <n v="263015"/>
    <x v="0"/>
  </r>
  <r>
    <x v="2"/>
    <x v="0"/>
    <x v="3"/>
    <x v="1"/>
    <x v="18"/>
    <x v="1"/>
    <x v="0"/>
    <n v="2"/>
    <n v="11004.3"/>
    <n v="34833.660000000003"/>
    <x v="0"/>
  </r>
  <r>
    <x v="2"/>
    <x v="0"/>
    <x v="3"/>
    <x v="1"/>
    <x v="18"/>
    <x v="1"/>
    <x v="1"/>
    <n v="34"/>
    <n v="217401.71"/>
    <n v="669344.68000000005"/>
    <x v="0"/>
  </r>
  <r>
    <x v="2"/>
    <x v="0"/>
    <x v="3"/>
    <x v="1"/>
    <x v="19"/>
    <x v="0"/>
    <x v="1"/>
    <n v="1"/>
    <n v="5825.37"/>
    <n v="25060.18"/>
    <x v="0"/>
  </r>
  <r>
    <x v="2"/>
    <x v="0"/>
    <x v="3"/>
    <x v="1"/>
    <x v="19"/>
    <x v="1"/>
    <x v="0"/>
    <n v="9"/>
    <n v="57147.25"/>
    <n v="170890.22"/>
    <x v="0"/>
  </r>
  <r>
    <x v="2"/>
    <x v="0"/>
    <x v="3"/>
    <x v="1"/>
    <x v="19"/>
    <x v="1"/>
    <x v="1"/>
    <n v="11"/>
    <n v="65339.35"/>
    <n v="192080.86"/>
    <x v="0"/>
  </r>
  <r>
    <x v="2"/>
    <x v="0"/>
    <x v="3"/>
    <x v="1"/>
    <x v="20"/>
    <x v="0"/>
    <x v="0"/>
    <n v="7"/>
    <n v="43825.69"/>
    <n v="197905.29"/>
    <x v="0"/>
  </r>
  <r>
    <x v="2"/>
    <x v="0"/>
    <x v="3"/>
    <x v="1"/>
    <x v="20"/>
    <x v="0"/>
    <x v="1"/>
    <n v="13"/>
    <n v="73952.19"/>
    <n v="333012.34000000003"/>
    <x v="0"/>
  </r>
  <r>
    <x v="2"/>
    <x v="0"/>
    <x v="3"/>
    <x v="1"/>
    <x v="20"/>
    <x v="1"/>
    <x v="0"/>
    <n v="14"/>
    <n v="88553.21"/>
    <n v="261065.39"/>
    <x v="0"/>
  </r>
  <r>
    <x v="2"/>
    <x v="0"/>
    <x v="3"/>
    <x v="1"/>
    <x v="20"/>
    <x v="1"/>
    <x v="1"/>
    <n v="10"/>
    <n v="64343.14"/>
    <n v="191861.39"/>
    <x v="0"/>
  </r>
  <r>
    <x v="2"/>
    <x v="0"/>
    <x v="3"/>
    <x v="2"/>
    <x v="21"/>
    <x v="0"/>
    <x v="0"/>
    <n v="3"/>
    <n v="17114.7"/>
    <n v="77227.350000000006"/>
    <x v="0"/>
  </r>
  <r>
    <x v="2"/>
    <x v="0"/>
    <x v="3"/>
    <x v="2"/>
    <x v="22"/>
    <x v="1"/>
    <x v="0"/>
    <n v="2"/>
    <n v="10568.74"/>
    <n v="28532.65"/>
    <x v="0"/>
  </r>
  <r>
    <x v="2"/>
    <x v="0"/>
    <x v="3"/>
    <x v="2"/>
    <x v="22"/>
    <x v="1"/>
    <x v="1"/>
    <n v="13"/>
    <n v="74374.960000000006"/>
    <n v="206705.22"/>
    <x v="0"/>
  </r>
  <r>
    <x v="2"/>
    <x v="0"/>
    <x v="3"/>
    <x v="2"/>
    <x v="29"/>
    <x v="0"/>
    <x v="1"/>
    <n v="5"/>
    <n v="24858.17"/>
    <n v="113315.58"/>
    <x v="0"/>
  </r>
  <r>
    <x v="2"/>
    <x v="0"/>
    <x v="3"/>
    <x v="2"/>
    <x v="29"/>
    <x v="1"/>
    <x v="1"/>
    <n v="4"/>
    <n v="23235.56"/>
    <n v="67589.94"/>
    <x v="0"/>
  </r>
  <r>
    <x v="2"/>
    <x v="0"/>
    <x v="3"/>
    <x v="2"/>
    <x v="23"/>
    <x v="1"/>
    <x v="1"/>
    <n v="4"/>
    <n v="22408.19"/>
    <n v="63552.61"/>
    <x v="0"/>
  </r>
  <r>
    <x v="2"/>
    <x v="0"/>
    <x v="3"/>
    <x v="2"/>
    <x v="24"/>
    <x v="0"/>
    <x v="1"/>
    <n v="1"/>
    <n v="5463.52"/>
    <n v="25060.18"/>
    <x v="0"/>
  </r>
  <r>
    <x v="2"/>
    <x v="0"/>
    <x v="3"/>
    <x v="3"/>
    <x v="25"/>
    <x v="0"/>
    <x v="1"/>
    <n v="2"/>
    <n v="11079.4"/>
    <n v="50120.36"/>
    <x v="0"/>
  </r>
  <r>
    <x v="2"/>
    <x v="0"/>
    <x v="3"/>
    <x v="3"/>
    <x v="25"/>
    <x v="1"/>
    <x v="0"/>
    <n v="7"/>
    <n v="43688.37"/>
    <n v="134800.71"/>
    <x v="0"/>
  </r>
  <r>
    <x v="2"/>
    <x v="0"/>
    <x v="3"/>
    <x v="3"/>
    <x v="25"/>
    <x v="1"/>
    <x v="1"/>
    <n v="13"/>
    <n v="77003.27"/>
    <n v="240801.54"/>
    <x v="0"/>
  </r>
  <r>
    <x v="2"/>
    <x v="0"/>
    <x v="3"/>
    <x v="3"/>
    <x v="26"/>
    <x v="0"/>
    <x v="1"/>
    <n v="4"/>
    <n v="25556.92"/>
    <n v="117409.22"/>
    <x v="0"/>
  </r>
  <r>
    <x v="2"/>
    <x v="0"/>
    <x v="3"/>
    <x v="3"/>
    <x v="26"/>
    <x v="1"/>
    <x v="0"/>
    <n v="8"/>
    <n v="43388.04"/>
    <n v="135324.96"/>
    <x v="0"/>
  </r>
  <r>
    <x v="2"/>
    <x v="0"/>
    <x v="3"/>
    <x v="3"/>
    <x v="26"/>
    <x v="1"/>
    <x v="1"/>
    <n v="19"/>
    <n v="124413.04"/>
    <n v="389934.38"/>
    <x v="0"/>
  </r>
  <r>
    <x v="2"/>
    <x v="0"/>
    <x v="3"/>
    <x v="3"/>
    <x v="27"/>
    <x v="0"/>
    <x v="0"/>
    <n v="1"/>
    <n v="5509.22"/>
    <n v="25060.18"/>
    <x v="0"/>
  </r>
  <r>
    <x v="2"/>
    <x v="0"/>
    <x v="3"/>
    <x v="3"/>
    <x v="27"/>
    <x v="0"/>
    <x v="1"/>
    <n v="8"/>
    <n v="47694.69"/>
    <n v="212202.07"/>
    <x v="0"/>
  </r>
  <r>
    <x v="2"/>
    <x v="0"/>
    <x v="3"/>
    <x v="3"/>
    <x v="27"/>
    <x v="1"/>
    <x v="0"/>
    <n v="23"/>
    <n v="127350.42"/>
    <n v="387839.38"/>
    <x v="0"/>
  </r>
  <r>
    <x v="2"/>
    <x v="0"/>
    <x v="3"/>
    <x v="3"/>
    <x v="27"/>
    <x v="1"/>
    <x v="1"/>
    <n v="31"/>
    <n v="180127.63"/>
    <n v="543775.26"/>
    <x v="0"/>
  </r>
  <r>
    <x v="2"/>
    <x v="0"/>
    <x v="4"/>
    <x v="0"/>
    <x v="0"/>
    <x v="0"/>
    <x v="0"/>
    <n v="1"/>
    <n v="4739.08"/>
    <n v="21659.360000000001"/>
    <x v="0"/>
  </r>
  <r>
    <x v="2"/>
    <x v="0"/>
    <x v="4"/>
    <x v="0"/>
    <x v="0"/>
    <x v="1"/>
    <x v="0"/>
    <n v="9"/>
    <n v="53621.78"/>
    <n v="163051.70000000001"/>
    <x v="0"/>
  </r>
  <r>
    <x v="2"/>
    <x v="0"/>
    <x v="4"/>
    <x v="0"/>
    <x v="0"/>
    <x v="1"/>
    <x v="1"/>
    <n v="13"/>
    <n v="66568.570000000007"/>
    <n v="194934.81"/>
    <x v="0"/>
  </r>
  <r>
    <x v="2"/>
    <x v="0"/>
    <x v="4"/>
    <x v="0"/>
    <x v="1"/>
    <x v="0"/>
    <x v="1"/>
    <n v="1"/>
    <n v="4627.07"/>
    <n v="21659.360000000001"/>
    <x v="0"/>
  </r>
  <r>
    <x v="2"/>
    <x v="0"/>
    <x v="4"/>
    <x v="0"/>
    <x v="1"/>
    <x v="1"/>
    <x v="0"/>
    <n v="12"/>
    <n v="60245.1"/>
    <n v="178961.58"/>
    <x v="0"/>
  </r>
  <r>
    <x v="2"/>
    <x v="0"/>
    <x v="4"/>
    <x v="0"/>
    <x v="1"/>
    <x v="1"/>
    <x v="1"/>
    <n v="9"/>
    <n v="49154.3"/>
    <n v="140071.66"/>
    <x v="0"/>
  </r>
  <r>
    <x v="2"/>
    <x v="0"/>
    <x v="4"/>
    <x v="0"/>
    <x v="2"/>
    <x v="0"/>
    <x v="1"/>
    <n v="3"/>
    <n v="14792.89"/>
    <n v="68226.990000000005"/>
    <x v="0"/>
  </r>
  <r>
    <x v="2"/>
    <x v="0"/>
    <x v="4"/>
    <x v="0"/>
    <x v="2"/>
    <x v="1"/>
    <x v="0"/>
    <n v="8"/>
    <n v="40254.83"/>
    <n v="115030.26"/>
    <x v="0"/>
  </r>
  <r>
    <x v="2"/>
    <x v="0"/>
    <x v="4"/>
    <x v="0"/>
    <x v="2"/>
    <x v="1"/>
    <x v="1"/>
    <n v="16"/>
    <n v="84258.81"/>
    <n v="232481"/>
    <x v="0"/>
  </r>
  <r>
    <x v="2"/>
    <x v="0"/>
    <x v="4"/>
    <x v="0"/>
    <x v="3"/>
    <x v="0"/>
    <x v="0"/>
    <n v="3"/>
    <n v="16481.23"/>
    <n v="75854.14"/>
    <x v="0"/>
  </r>
  <r>
    <x v="2"/>
    <x v="0"/>
    <x v="4"/>
    <x v="0"/>
    <x v="3"/>
    <x v="0"/>
    <x v="1"/>
    <n v="5"/>
    <n v="27270.52"/>
    <n v="126753.65"/>
    <x v="0"/>
  </r>
  <r>
    <x v="2"/>
    <x v="0"/>
    <x v="4"/>
    <x v="0"/>
    <x v="3"/>
    <x v="1"/>
    <x v="0"/>
    <n v="5"/>
    <n v="24025.87"/>
    <n v="69598.8"/>
    <x v="0"/>
  </r>
  <r>
    <x v="2"/>
    <x v="0"/>
    <x v="4"/>
    <x v="0"/>
    <x v="3"/>
    <x v="1"/>
    <x v="1"/>
    <n v="16"/>
    <n v="88489.279999999999"/>
    <n v="266026.75"/>
    <x v="0"/>
  </r>
  <r>
    <x v="2"/>
    <x v="0"/>
    <x v="4"/>
    <x v="0"/>
    <x v="28"/>
    <x v="1"/>
    <x v="1"/>
    <n v="2"/>
    <n v="9522.24"/>
    <n v="28330.44"/>
    <x v="0"/>
  </r>
  <r>
    <x v="2"/>
    <x v="0"/>
    <x v="4"/>
    <x v="0"/>
    <x v="4"/>
    <x v="0"/>
    <x v="1"/>
    <n v="1"/>
    <n v="4858.7"/>
    <n v="21659.360000000001"/>
    <x v="0"/>
  </r>
  <r>
    <x v="2"/>
    <x v="0"/>
    <x v="4"/>
    <x v="0"/>
    <x v="4"/>
    <x v="1"/>
    <x v="0"/>
    <n v="3"/>
    <n v="14295.96"/>
    <n v="43665.27"/>
    <x v="0"/>
  </r>
  <r>
    <x v="2"/>
    <x v="0"/>
    <x v="4"/>
    <x v="0"/>
    <x v="4"/>
    <x v="1"/>
    <x v="1"/>
    <n v="7"/>
    <n v="37400.959999999999"/>
    <n v="109509.74"/>
    <x v="0"/>
  </r>
  <r>
    <x v="2"/>
    <x v="0"/>
    <x v="4"/>
    <x v="0"/>
    <x v="5"/>
    <x v="0"/>
    <x v="1"/>
    <n v="3"/>
    <n v="15282.63"/>
    <n v="68226.990000000005"/>
    <x v="0"/>
  </r>
  <r>
    <x v="2"/>
    <x v="0"/>
    <x v="4"/>
    <x v="0"/>
    <x v="5"/>
    <x v="1"/>
    <x v="1"/>
    <n v="17"/>
    <n v="97282.76"/>
    <n v="293747.73"/>
    <x v="0"/>
  </r>
  <r>
    <x v="2"/>
    <x v="0"/>
    <x v="4"/>
    <x v="0"/>
    <x v="6"/>
    <x v="1"/>
    <x v="1"/>
    <n v="5"/>
    <n v="25028.799999999999"/>
    <n v="71151"/>
    <x v="0"/>
  </r>
  <r>
    <x v="2"/>
    <x v="0"/>
    <x v="4"/>
    <x v="0"/>
    <x v="7"/>
    <x v="1"/>
    <x v="1"/>
    <n v="5"/>
    <n v="26648.3"/>
    <n v="83193.62"/>
    <x v="0"/>
  </r>
  <r>
    <x v="2"/>
    <x v="0"/>
    <x v="4"/>
    <x v="0"/>
    <x v="8"/>
    <x v="0"/>
    <x v="1"/>
    <n v="2"/>
    <n v="10804.88"/>
    <n v="49816.54"/>
    <x v="0"/>
  </r>
  <r>
    <x v="2"/>
    <x v="0"/>
    <x v="4"/>
    <x v="0"/>
    <x v="8"/>
    <x v="1"/>
    <x v="1"/>
    <n v="8"/>
    <n v="48762.35"/>
    <n v="144532.22"/>
    <x v="0"/>
  </r>
  <r>
    <x v="2"/>
    <x v="0"/>
    <x v="4"/>
    <x v="1"/>
    <x v="9"/>
    <x v="1"/>
    <x v="1"/>
    <n v="12"/>
    <n v="57155.17"/>
    <n v="176882.05"/>
    <x v="0"/>
  </r>
  <r>
    <x v="2"/>
    <x v="0"/>
    <x v="4"/>
    <x v="1"/>
    <x v="10"/>
    <x v="0"/>
    <x v="1"/>
    <n v="3"/>
    <n v="14857.91"/>
    <n v="64978.080000000002"/>
    <x v="0"/>
  </r>
  <r>
    <x v="2"/>
    <x v="0"/>
    <x v="4"/>
    <x v="1"/>
    <x v="10"/>
    <x v="1"/>
    <x v="0"/>
    <n v="9"/>
    <n v="45025.99"/>
    <n v="143113.35"/>
    <x v="0"/>
  </r>
  <r>
    <x v="2"/>
    <x v="0"/>
    <x v="4"/>
    <x v="1"/>
    <x v="10"/>
    <x v="1"/>
    <x v="1"/>
    <n v="37"/>
    <n v="191768.85"/>
    <n v="599563.71"/>
    <x v="0"/>
  </r>
  <r>
    <x v="2"/>
    <x v="0"/>
    <x v="4"/>
    <x v="1"/>
    <x v="11"/>
    <x v="0"/>
    <x v="1"/>
    <n v="11"/>
    <n v="59723.59"/>
    <n v="274130.05"/>
    <x v="0"/>
  </r>
  <r>
    <x v="2"/>
    <x v="0"/>
    <x v="4"/>
    <x v="1"/>
    <x v="11"/>
    <x v="1"/>
    <x v="0"/>
    <n v="11"/>
    <n v="63100.84"/>
    <n v="189890.98"/>
    <x v="0"/>
  </r>
  <r>
    <x v="2"/>
    <x v="0"/>
    <x v="4"/>
    <x v="1"/>
    <x v="11"/>
    <x v="1"/>
    <x v="1"/>
    <n v="18"/>
    <n v="91752.08"/>
    <n v="275861.36"/>
    <x v="0"/>
  </r>
  <r>
    <x v="2"/>
    <x v="0"/>
    <x v="4"/>
    <x v="1"/>
    <x v="12"/>
    <x v="1"/>
    <x v="1"/>
    <n v="1"/>
    <n v="4804.04"/>
    <n v="15555.75"/>
    <x v="0"/>
  </r>
  <r>
    <x v="2"/>
    <x v="0"/>
    <x v="4"/>
    <x v="1"/>
    <x v="13"/>
    <x v="0"/>
    <x v="1"/>
    <n v="5"/>
    <n v="27417.41"/>
    <n v="125670.68"/>
    <x v="0"/>
  </r>
  <r>
    <x v="2"/>
    <x v="0"/>
    <x v="4"/>
    <x v="1"/>
    <x v="13"/>
    <x v="1"/>
    <x v="0"/>
    <n v="10"/>
    <n v="48516.89"/>
    <n v="151925.25"/>
    <x v="0"/>
  </r>
  <r>
    <x v="2"/>
    <x v="0"/>
    <x v="4"/>
    <x v="1"/>
    <x v="13"/>
    <x v="1"/>
    <x v="1"/>
    <n v="10"/>
    <n v="59439.27"/>
    <n v="186745.73"/>
    <x v="0"/>
  </r>
  <r>
    <x v="2"/>
    <x v="0"/>
    <x v="4"/>
    <x v="1"/>
    <x v="14"/>
    <x v="0"/>
    <x v="1"/>
    <n v="2"/>
    <n v="11634.79"/>
    <n v="54194.78"/>
    <x v="0"/>
  </r>
  <r>
    <x v="2"/>
    <x v="0"/>
    <x v="4"/>
    <x v="1"/>
    <x v="14"/>
    <x v="1"/>
    <x v="0"/>
    <n v="10"/>
    <n v="52352.94"/>
    <n v="159876.43"/>
    <x v="0"/>
  </r>
  <r>
    <x v="2"/>
    <x v="0"/>
    <x v="4"/>
    <x v="1"/>
    <x v="14"/>
    <x v="1"/>
    <x v="1"/>
    <n v="5"/>
    <n v="29017.37"/>
    <n v="86872.67"/>
    <x v="0"/>
  </r>
  <r>
    <x v="2"/>
    <x v="0"/>
    <x v="4"/>
    <x v="1"/>
    <x v="15"/>
    <x v="1"/>
    <x v="0"/>
    <n v="9"/>
    <n v="53764.09"/>
    <n v="172276.36"/>
    <x v="0"/>
  </r>
  <r>
    <x v="2"/>
    <x v="0"/>
    <x v="4"/>
    <x v="1"/>
    <x v="15"/>
    <x v="1"/>
    <x v="1"/>
    <n v="1"/>
    <n v="4786.43"/>
    <n v="15714.95"/>
    <x v="0"/>
  </r>
  <r>
    <x v="2"/>
    <x v="0"/>
    <x v="4"/>
    <x v="1"/>
    <x v="16"/>
    <x v="1"/>
    <x v="0"/>
    <n v="2"/>
    <n v="11835.62"/>
    <n v="34736.18"/>
    <x v="0"/>
  </r>
  <r>
    <x v="2"/>
    <x v="0"/>
    <x v="4"/>
    <x v="1"/>
    <x v="16"/>
    <x v="1"/>
    <x v="1"/>
    <n v="11"/>
    <n v="55153.1"/>
    <n v="167459.35"/>
    <x v="0"/>
  </r>
  <r>
    <x v="2"/>
    <x v="0"/>
    <x v="4"/>
    <x v="1"/>
    <x v="17"/>
    <x v="0"/>
    <x v="1"/>
    <n v="2"/>
    <n v="10317.049999999999"/>
    <n v="46567.63"/>
    <x v="0"/>
  </r>
  <r>
    <x v="2"/>
    <x v="0"/>
    <x v="4"/>
    <x v="1"/>
    <x v="17"/>
    <x v="1"/>
    <x v="0"/>
    <n v="8"/>
    <n v="46295.65"/>
    <n v="139845.43"/>
    <x v="0"/>
  </r>
  <r>
    <x v="2"/>
    <x v="0"/>
    <x v="4"/>
    <x v="1"/>
    <x v="17"/>
    <x v="1"/>
    <x v="1"/>
    <n v="3"/>
    <n v="20955.18"/>
    <n v="64810.559999999998"/>
    <x v="0"/>
  </r>
  <r>
    <x v="2"/>
    <x v="0"/>
    <x v="4"/>
    <x v="1"/>
    <x v="18"/>
    <x v="0"/>
    <x v="1"/>
    <n v="4"/>
    <n v="19944.53"/>
    <n v="89886.35"/>
    <x v="0"/>
  </r>
  <r>
    <x v="2"/>
    <x v="0"/>
    <x v="4"/>
    <x v="1"/>
    <x v="18"/>
    <x v="1"/>
    <x v="0"/>
    <n v="6"/>
    <n v="28957.81"/>
    <n v="91354.09"/>
    <x v="0"/>
  </r>
  <r>
    <x v="2"/>
    <x v="0"/>
    <x v="4"/>
    <x v="1"/>
    <x v="18"/>
    <x v="1"/>
    <x v="1"/>
    <n v="45"/>
    <n v="226784.52"/>
    <n v="721115.27"/>
    <x v="0"/>
  </r>
  <r>
    <x v="2"/>
    <x v="0"/>
    <x v="4"/>
    <x v="1"/>
    <x v="19"/>
    <x v="0"/>
    <x v="1"/>
    <n v="5"/>
    <n v="23729.47"/>
    <n v="108296.8"/>
    <x v="0"/>
  </r>
  <r>
    <x v="2"/>
    <x v="0"/>
    <x v="4"/>
    <x v="1"/>
    <x v="19"/>
    <x v="1"/>
    <x v="0"/>
    <n v="8"/>
    <n v="48481.21"/>
    <n v="154899.44"/>
    <x v="0"/>
  </r>
  <r>
    <x v="2"/>
    <x v="0"/>
    <x v="4"/>
    <x v="1"/>
    <x v="19"/>
    <x v="1"/>
    <x v="1"/>
    <n v="19"/>
    <n v="95161.98"/>
    <n v="294641.58"/>
    <x v="0"/>
  </r>
  <r>
    <x v="2"/>
    <x v="0"/>
    <x v="4"/>
    <x v="1"/>
    <x v="20"/>
    <x v="0"/>
    <x v="0"/>
    <n v="2"/>
    <n v="13805.04"/>
    <n v="65070.84"/>
    <x v="0"/>
  </r>
  <r>
    <x v="2"/>
    <x v="0"/>
    <x v="4"/>
    <x v="1"/>
    <x v="20"/>
    <x v="0"/>
    <x v="1"/>
    <n v="2"/>
    <n v="11659.74"/>
    <n v="55277.75"/>
    <x v="0"/>
  </r>
  <r>
    <x v="2"/>
    <x v="0"/>
    <x v="4"/>
    <x v="1"/>
    <x v="20"/>
    <x v="1"/>
    <x v="0"/>
    <n v="3"/>
    <n v="14543.81"/>
    <n v="44516.49"/>
    <x v="0"/>
  </r>
  <r>
    <x v="2"/>
    <x v="0"/>
    <x v="4"/>
    <x v="1"/>
    <x v="20"/>
    <x v="1"/>
    <x v="1"/>
    <n v="31"/>
    <n v="158962.04999999999"/>
    <n v="485434.82"/>
    <x v="0"/>
  </r>
  <r>
    <x v="2"/>
    <x v="0"/>
    <x v="4"/>
    <x v="2"/>
    <x v="21"/>
    <x v="0"/>
    <x v="0"/>
    <n v="4"/>
    <n v="21412.68"/>
    <n v="96384.17"/>
    <x v="0"/>
  </r>
  <r>
    <x v="2"/>
    <x v="0"/>
    <x v="4"/>
    <x v="2"/>
    <x v="21"/>
    <x v="1"/>
    <x v="1"/>
    <n v="3"/>
    <n v="14181.03"/>
    <n v="39571.65"/>
    <x v="0"/>
  </r>
  <r>
    <x v="2"/>
    <x v="0"/>
    <x v="4"/>
    <x v="2"/>
    <x v="22"/>
    <x v="0"/>
    <x v="1"/>
    <n v="1"/>
    <n v="5548.28"/>
    <n v="24908.27"/>
    <x v="0"/>
  </r>
  <r>
    <x v="2"/>
    <x v="0"/>
    <x v="4"/>
    <x v="2"/>
    <x v="22"/>
    <x v="1"/>
    <x v="0"/>
    <n v="8"/>
    <n v="41126.559999999998"/>
    <n v="115417.33"/>
    <x v="0"/>
  </r>
  <r>
    <x v="2"/>
    <x v="0"/>
    <x v="4"/>
    <x v="2"/>
    <x v="22"/>
    <x v="1"/>
    <x v="1"/>
    <n v="3"/>
    <n v="14054.98"/>
    <n v="39571.65"/>
    <x v="0"/>
  </r>
  <r>
    <x v="2"/>
    <x v="0"/>
    <x v="4"/>
    <x v="2"/>
    <x v="29"/>
    <x v="0"/>
    <x v="1"/>
    <n v="1"/>
    <n v="5432.02"/>
    <n v="24908.27"/>
    <x v="0"/>
  </r>
  <r>
    <x v="2"/>
    <x v="0"/>
    <x v="4"/>
    <x v="2"/>
    <x v="29"/>
    <x v="1"/>
    <x v="1"/>
    <n v="4"/>
    <n v="19380.47"/>
    <n v="56054.43"/>
    <x v="0"/>
  </r>
  <r>
    <x v="2"/>
    <x v="0"/>
    <x v="4"/>
    <x v="2"/>
    <x v="23"/>
    <x v="1"/>
    <x v="1"/>
    <n v="3"/>
    <n v="14887.68"/>
    <n v="41196.1"/>
    <x v="0"/>
  </r>
  <r>
    <x v="2"/>
    <x v="0"/>
    <x v="4"/>
    <x v="2"/>
    <x v="24"/>
    <x v="0"/>
    <x v="1"/>
    <n v="1"/>
    <n v="4636.17"/>
    <n v="21659.360000000001"/>
    <x v="0"/>
  </r>
  <r>
    <x v="2"/>
    <x v="0"/>
    <x v="4"/>
    <x v="2"/>
    <x v="24"/>
    <x v="1"/>
    <x v="1"/>
    <n v="2"/>
    <n v="9516.2199999999993"/>
    <n v="26857.61"/>
    <x v="0"/>
  </r>
  <r>
    <x v="2"/>
    <x v="0"/>
    <x v="4"/>
    <x v="3"/>
    <x v="25"/>
    <x v="1"/>
    <x v="0"/>
    <n v="5"/>
    <n v="25818.959999999999"/>
    <n v="76876.820000000007"/>
    <x v="0"/>
  </r>
  <r>
    <x v="2"/>
    <x v="0"/>
    <x v="4"/>
    <x v="3"/>
    <x v="25"/>
    <x v="1"/>
    <x v="1"/>
    <n v="5"/>
    <n v="28395.200000000001"/>
    <n v="91309.02"/>
    <x v="0"/>
  </r>
  <r>
    <x v="2"/>
    <x v="0"/>
    <x v="4"/>
    <x v="3"/>
    <x v="26"/>
    <x v="0"/>
    <x v="0"/>
    <n v="1"/>
    <n v="5005.8100000000004"/>
    <n v="21659.360000000001"/>
    <x v="0"/>
  </r>
  <r>
    <x v="2"/>
    <x v="0"/>
    <x v="4"/>
    <x v="3"/>
    <x v="26"/>
    <x v="0"/>
    <x v="1"/>
    <n v="3"/>
    <n v="17283.39"/>
    <n v="79103.05"/>
    <x v="0"/>
  </r>
  <r>
    <x v="2"/>
    <x v="0"/>
    <x v="4"/>
    <x v="3"/>
    <x v="26"/>
    <x v="1"/>
    <x v="0"/>
    <n v="8"/>
    <n v="38638.42"/>
    <n v="123295.93"/>
    <x v="0"/>
  </r>
  <r>
    <x v="2"/>
    <x v="0"/>
    <x v="4"/>
    <x v="3"/>
    <x v="26"/>
    <x v="1"/>
    <x v="1"/>
    <n v="17"/>
    <n v="90343.55"/>
    <n v="283815.59999999998"/>
    <x v="0"/>
  </r>
  <r>
    <x v="2"/>
    <x v="0"/>
    <x v="4"/>
    <x v="3"/>
    <x v="27"/>
    <x v="0"/>
    <x v="0"/>
    <n v="2"/>
    <n v="12277.46"/>
    <n v="57443.69"/>
    <x v="0"/>
  </r>
  <r>
    <x v="2"/>
    <x v="0"/>
    <x v="4"/>
    <x v="3"/>
    <x v="27"/>
    <x v="0"/>
    <x v="1"/>
    <n v="1"/>
    <n v="5441.36"/>
    <n v="24908.27"/>
    <x v="0"/>
  </r>
  <r>
    <x v="2"/>
    <x v="0"/>
    <x v="4"/>
    <x v="3"/>
    <x v="27"/>
    <x v="1"/>
    <x v="0"/>
    <n v="6"/>
    <n v="35757.83"/>
    <n v="113002.29"/>
    <x v="0"/>
  </r>
  <r>
    <x v="2"/>
    <x v="0"/>
    <x v="4"/>
    <x v="3"/>
    <x v="27"/>
    <x v="1"/>
    <x v="1"/>
    <n v="23"/>
    <n v="117456.95"/>
    <n v="364028.29"/>
    <x v="0"/>
  </r>
  <r>
    <x v="2"/>
    <x v="0"/>
    <x v="5"/>
    <x v="0"/>
    <x v="0"/>
    <x v="0"/>
    <x v="0"/>
    <n v="2"/>
    <n v="10276.84"/>
    <n v="43670.41"/>
    <x v="0"/>
  </r>
  <r>
    <x v="2"/>
    <x v="0"/>
    <x v="5"/>
    <x v="0"/>
    <x v="0"/>
    <x v="0"/>
    <x v="1"/>
    <n v="3"/>
    <n v="14853.77"/>
    <n v="60973.78"/>
    <x v="0"/>
  </r>
  <r>
    <x v="2"/>
    <x v="0"/>
    <x v="5"/>
    <x v="0"/>
    <x v="0"/>
    <x v="1"/>
    <x v="0"/>
    <n v="3"/>
    <n v="13340.64"/>
    <n v="33949.21"/>
    <x v="0"/>
  </r>
  <r>
    <x v="2"/>
    <x v="0"/>
    <x v="5"/>
    <x v="0"/>
    <x v="0"/>
    <x v="1"/>
    <x v="1"/>
    <n v="9"/>
    <n v="49879.47"/>
    <n v="129869.19"/>
    <x v="0"/>
  </r>
  <r>
    <x v="2"/>
    <x v="0"/>
    <x v="5"/>
    <x v="0"/>
    <x v="1"/>
    <x v="0"/>
    <x v="0"/>
    <n v="3"/>
    <n v="13487.21"/>
    <n v="55205.99"/>
    <x v="0"/>
  </r>
  <r>
    <x v="2"/>
    <x v="0"/>
    <x v="5"/>
    <x v="0"/>
    <x v="1"/>
    <x v="0"/>
    <x v="1"/>
    <n v="4"/>
    <n v="19077.240000000002"/>
    <n v="78277.149999999994"/>
    <x v="0"/>
  </r>
  <r>
    <x v="2"/>
    <x v="0"/>
    <x v="5"/>
    <x v="0"/>
    <x v="1"/>
    <x v="1"/>
    <x v="0"/>
    <n v="4"/>
    <n v="21145.02"/>
    <n v="55608.54"/>
    <x v="0"/>
  </r>
  <r>
    <x v="2"/>
    <x v="0"/>
    <x v="5"/>
    <x v="0"/>
    <x v="1"/>
    <x v="1"/>
    <x v="1"/>
    <n v="12"/>
    <n v="65578.600000000006"/>
    <n v="172064.8"/>
    <x v="0"/>
  </r>
  <r>
    <x v="2"/>
    <x v="0"/>
    <x v="5"/>
    <x v="0"/>
    <x v="2"/>
    <x v="0"/>
    <x v="1"/>
    <n v="3"/>
    <n v="15671.38"/>
    <n v="64269.66"/>
    <x v="0"/>
  </r>
  <r>
    <x v="2"/>
    <x v="0"/>
    <x v="5"/>
    <x v="0"/>
    <x v="2"/>
    <x v="1"/>
    <x v="1"/>
    <n v="8"/>
    <n v="41321.440000000002"/>
    <n v="102848.75"/>
    <x v="0"/>
  </r>
  <r>
    <x v="2"/>
    <x v="0"/>
    <x v="5"/>
    <x v="0"/>
    <x v="3"/>
    <x v="0"/>
    <x v="1"/>
    <n v="11"/>
    <n v="57588.28"/>
    <n v="231535.57"/>
    <x v="0"/>
  </r>
  <r>
    <x v="2"/>
    <x v="0"/>
    <x v="5"/>
    <x v="0"/>
    <x v="3"/>
    <x v="1"/>
    <x v="0"/>
    <n v="20"/>
    <n v="110081.05"/>
    <n v="287965.98"/>
    <x v="0"/>
  </r>
  <r>
    <x v="2"/>
    <x v="0"/>
    <x v="5"/>
    <x v="0"/>
    <x v="3"/>
    <x v="1"/>
    <x v="1"/>
    <n v="28"/>
    <n v="139236.82999999999"/>
    <n v="364082.69"/>
    <x v="0"/>
  </r>
  <r>
    <x v="2"/>
    <x v="0"/>
    <x v="5"/>
    <x v="0"/>
    <x v="28"/>
    <x v="1"/>
    <x v="1"/>
    <n v="1"/>
    <n v="4395.1400000000003"/>
    <n v="10947.7"/>
    <x v="0"/>
  </r>
  <r>
    <x v="2"/>
    <x v="0"/>
    <x v="5"/>
    <x v="0"/>
    <x v="4"/>
    <x v="1"/>
    <x v="1"/>
    <n v="5"/>
    <n v="23244.75"/>
    <n v="60644.19"/>
    <x v="0"/>
  </r>
  <r>
    <x v="2"/>
    <x v="0"/>
    <x v="5"/>
    <x v="0"/>
    <x v="5"/>
    <x v="0"/>
    <x v="1"/>
    <n v="5"/>
    <n v="30288.68"/>
    <n v="124419.47"/>
    <x v="0"/>
  </r>
  <r>
    <x v="2"/>
    <x v="0"/>
    <x v="5"/>
    <x v="0"/>
    <x v="5"/>
    <x v="1"/>
    <x v="1"/>
    <n v="17"/>
    <n v="92961.14"/>
    <n v="248149.28"/>
    <x v="0"/>
  </r>
  <r>
    <x v="2"/>
    <x v="0"/>
    <x v="5"/>
    <x v="0"/>
    <x v="6"/>
    <x v="0"/>
    <x v="1"/>
    <n v="2"/>
    <n v="10956.39"/>
    <n v="43670.41"/>
    <x v="0"/>
  </r>
  <r>
    <x v="2"/>
    <x v="0"/>
    <x v="5"/>
    <x v="0"/>
    <x v="8"/>
    <x v="0"/>
    <x v="1"/>
    <n v="1"/>
    <n v="4242.4399999999996"/>
    <n v="17303.37"/>
    <x v="0"/>
  </r>
  <r>
    <x v="2"/>
    <x v="0"/>
    <x v="5"/>
    <x v="1"/>
    <x v="30"/>
    <x v="1"/>
    <x v="0"/>
    <n v="3"/>
    <n v="19613.7"/>
    <n v="54500.67"/>
    <x v="0"/>
  </r>
  <r>
    <x v="2"/>
    <x v="0"/>
    <x v="5"/>
    <x v="1"/>
    <x v="9"/>
    <x v="1"/>
    <x v="1"/>
    <n v="6"/>
    <n v="29323.27"/>
    <n v="82199.240000000005"/>
    <x v="0"/>
  </r>
  <r>
    <x v="2"/>
    <x v="0"/>
    <x v="5"/>
    <x v="1"/>
    <x v="31"/>
    <x v="1"/>
    <x v="0"/>
    <n v="5"/>
    <n v="22440.6"/>
    <n v="65855.8"/>
    <x v="0"/>
  </r>
  <r>
    <x v="2"/>
    <x v="0"/>
    <x v="5"/>
    <x v="1"/>
    <x v="10"/>
    <x v="0"/>
    <x v="0"/>
    <n v="2"/>
    <n v="11097.18"/>
    <n v="45318.35"/>
    <x v="0"/>
  </r>
  <r>
    <x v="2"/>
    <x v="0"/>
    <x v="5"/>
    <x v="1"/>
    <x v="10"/>
    <x v="0"/>
    <x v="1"/>
    <n v="2"/>
    <n v="11156.44"/>
    <n v="45318.35"/>
    <x v="0"/>
  </r>
  <r>
    <x v="2"/>
    <x v="0"/>
    <x v="5"/>
    <x v="1"/>
    <x v="10"/>
    <x v="1"/>
    <x v="0"/>
    <n v="8"/>
    <n v="38498.800000000003"/>
    <n v="107893.92"/>
    <x v="0"/>
  </r>
  <r>
    <x v="2"/>
    <x v="0"/>
    <x v="5"/>
    <x v="1"/>
    <x v="10"/>
    <x v="1"/>
    <x v="1"/>
    <n v="21"/>
    <n v="130654.63"/>
    <n v="362456.14"/>
    <x v="0"/>
  </r>
  <r>
    <x v="2"/>
    <x v="0"/>
    <x v="5"/>
    <x v="1"/>
    <x v="11"/>
    <x v="0"/>
    <x v="1"/>
    <n v="8"/>
    <n v="46000.94"/>
    <n v="187041.19"/>
    <x v="0"/>
  </r>
  <r>
    <x v="2"/>
    <x v="0"/>
    <x v="5"/>
    <x v="1"/>
    <x v="11"/>
    <x v="1"/>
    <x v="0"/>
    <n v="2"/>
    <n v="12278.84"/>
    <n v="34277.15"/>
    <x v="0"/>
  </r>
  <r>
    <x v="2"/>
    <x v="0"/>
    <x v="5"/>
    <x v="1"/>
    <x v="11"/>
    <x v="1"/>
    <x v="1"/>
    <n v="9"/>
    <n v="45953.34"/>
    <n v="119970.14"/>
    <x v="0"/>
  </r>
  <r>
    <x v="2"/>
    <x v="0"/>
    <x v="5"/>
    <x v="1"/>
    <x v="12"/>
    <x v="1"/>
    <x v="1"/>
    <n v="3"/>
    <n v="19159.21"/>
    <n v="54105.17"/>
    <x v="0"/>
  </r>
  <r>
    <x v="2"/>
    <x v="0"/>
    <x v="5"/>
    <x v="1"/>
    <x v="13"/>
    <x v="0"/>
    <x v="1"/>
    <n v="2"/>
    <n v="9322.9599999999991"/>
    <n v="37902.620000000003"/>
    <x v="0"/>
  </r>
  <r>
    <x v="2"/>
    <x v="0"/>
    <x v="5"/>
    <x v="1"/>
    <x v="13"/>
    <x v="1"/>
    <x v="0"/>
    <n v="10"/>
    <n v="55958.95"/>
    <n v="154308.98000000001"/>
    <x v="0"/>
  </r>
  <r>
    <x v="2"/>
    <x v="0"/>
    <x v="5"/>
    <x v="1"/>
    <x v="13"/>
    <x v="1"/>
    <x v="1"/>
    <n v="16"/>
    <n v="82452.91"/>
    <n v="228938.41"/>
    <x v="0"/>
  </r>
  <r>
    <x v="2"/>
    <x v="0"/>
    <x v="5"/>
    <x v="1"/>
    <x v="14"/>
    <x v="1"/>
    <x v="0"/>
    <n v="15"/>
    <n v="74857.429999999993"/>
    <n v="199978.34"/>
    <x v="0"/>
  </r>
  <r>
    <x v="2"/>
    <x v="0"/>
    <x v="5"/>
    <x v="1"/>
    <x v="14"/>
    <x v="1"/>
    <x v="1"/>
    <n v="8"/>
    <n v="52121.64"/>
    <n v="140905.47"/>
    <x v="0"/>
  </r>
  <r>
    <x v="2"/>
    <x v="0"/>
    <x v="5"/>
    <x v="1"/>
    <x v="15"/>
    <x v="1"/>
    <x v="0"/>
    <n v="6"/>
    <n v="35213"/>
    <n v="103054.75"/>
    <x v="0"/>
  </r>
  <r>
    <x v="2"/>
    <x v="0"/>
    <x v="5"/>
    <x v="1"/>
    <x v="15"/>
    <x v="1"/>
    <x v="1"/>
    <n v="1"/>
    <n v="4814.62"/>
    <n v="13095.36"/>
    <x v="0"/>
  </r>
  <r>
    <x v="2"/>
    <x v="0"/>
    <x v="5"/>
    <x v="1"/>
    <x v="16"/>
    <x v="1"/>
    <x v="0"/>
    <n v="3"/>
    <n v="17291.88"/>
    <n v="47168.98"/>
    <x v="0"/>
  </r>
  <r>
    <x v="2"/>
    <x v="0"/>
    <x v="5"/>
    <x v="1"/>
    <x v="16"/>
    <x v="1"/>
    <x v="1"/>
    <n v="8"/>
    <n v="38617.300000000003"/>
    <n v="102470.55"/>
    <x v="0"/>
  </r>
  <r>
    <x v="2"/>
    <x v="0"/>
    <x v="5"/>
    <x v="1"/>
    <x v="17"/>
    <x v="0"/>
    <x v="1"/>
    <n v="1"/>
    <n v="4649.82"/>
    <n v="18951.310000000001"/>
    <x v="0"/>
  </r>
  <r>
    <x v="2"/>
    <x v="0"/>
    <x v="5"/>
    <x v="1"/>
    <x v="17"/>
    <x v="1"/>
    <x v="0"/>
    <n v="2"/>
    <n v="13519.54"/>
    <n v="35015.43"/>
    <x v="0"/>
  </r>
  <r>
    <x v="2"/>
    <x v="0"/>
    <x v="5"/>
    <x v="1"/>
    <x v="17"/>
    <x v="1"/>
    <x v="1"/>
    <n v="7"/>
    <n v="45630.239999999998"/>
    <n v="122554"/>
    <x v="0"/>
  </r>
  <r>
    <x v="2"/>
    <x v="0"/>
    <x v="5"/>
    <x v="1"/>
    <x v="18"/>
    <x v="0"/>
    <x v="1"/>
    <n v="9"/>
    <n v="49739.95"/>
    <n v="201048.68"/>
    <x v="0"/>
  </r>
  <r>
    <x v="2"/>
    <x v="0"/>
    <x v="5"/>
    <x v="1"/>
    <x v="18"/>
    <x v="1"/>
    <x v="0"/>
    <n v="1"/>
    <n v="4742.49"/>
    <n v="13171.16"/>
    <x v="0"/>
  </r>
  <r>
    <x v="2"/>
    <x v="0"/>
    <x v="5"/>
    <x v="1"/>
    <x v="18"/>
    <x v="1"/>
    <x v="1"/>
    <n v="16"/>
    <n v="100862.84"/>
    <n v="285466.96000000002"/>
    <x v="0"/>
  </r>
  <r>
    <x v="2"/>
    <x v="0"/>
    <x v="5"/>
    <x v="1"/>
    <x v="19"/>
    <x v="0"/>
    <x v="1"/>
    <n v="7"/>
    <n v="41403.300000000003"/>
    <n v="168089.88"/>
    <x v="0"/>
  </r>
  <r>
    <x v="2"/>
    <x v="0"/>
    <x v="5"/>
    <x v="1"/>
    <x v="19"/>
    <x v="1"/>
    <x v="0"/>
    <n v="4"/>
    <n v="20110.52"/>
    <n v="56090.93"/>
    <x v="0"/>
  </r>
  <r>
    <x v="2"/>
    <x v="0"/>
    <x v="5"/>
    <x v="1"/>
    <x v="19"/>
    <x v="1"/>
    <x v="1"/>
    <n v="12"/>
    <n v="57059.519999999997"/>
    <n v="156054.81"/>
    <x v="0"/>
  </r>
  <r>
    <x v="2"/>
    <x v="0"/>
    <x v="5"/>
    <x v="1"/>
    <x v="20"/>
    <x v="0"/>
    <x v="0"/>
    <n v="6"/>
    <n v="35285.269999999997"/>
    <n v="141722.84"/>
    <x v="0"/>
  </r>
  <r>
    <x v="2"/>
    <x v="0"/>
    <x v="5"/>
    <x v="1"/>
    <x v="20"/>
    <x v="0"/>
    <x v="1"/>
    <n v="6"/>
    <n v="28581.06"/>
    <n v="114531.83"/>
    <x v="0"/>
  </r>
  <r>
    <x v="2"/>
    <x v="0"/>
    <x v="5"/>
    <x v="1"/>
    <x v="20"/>
    <x v="1"/>
    <x v="0"/>
    <n v="20"/>
    <n v="119917.52"/>
    <n v="325590.09000000003"/>
    <x v="0"/>
  </r>
  <r>
    <x v="2"/>
    <x v="0"/>
    <x v="5"/>
    <x v="1"/>
    <x v="20"/>
    <x v="1"/>
    <x v="1"/>
    <n v="24"/>
    <n v="125067.39"/>
    <n v="341978.86"/>
    <x v="0"/>
  </r>
  <r>
    <x v="2"/>
    <x v="0"/>
    <x v="5"/>
    <x v="2"/>
    <x v="21"/>
    <x v="1"/>
    <x v="1"/>
    <n v="2"/>
    <n v="9211.1200000000008"/>
    <n v="23082.7"/>
    <x v="0"/>
  </r>
  <r>
    <x v="2"/>
    <x v="0"/>
    <x v="5"/>
    <x v="2"/>
    <x v="22"/>
    <x v="0"/>
    <x v="1"/>
    <n v="3"/>
    <n v="17111.560000000001"/>
    <n v="71685.39"/>
    <x v="0"/>
  </r>
  <r>
    <x v="2"/>
    <x v="0"/>
    <x v="5"/>
    <x v="2"/>
    <x v="22"/>
    <x v="1"/>
    <x v="0"/>
    <n v="8"/>
    <n v="53909.73"/>
    <n v="128460.22"/>
    <x v="0"/>
  </r>
  <r>
    <x v="2"/>
    <x v="0"/>
    <x v="5"/>
    <x v="2"/>
    <x v="22"/>
    <x v="1"/>
    <x v="1"/>
    <n v="9"/>
    <n v="49880.82"/>
    <n v="122438.65"/>
    <x v="0"/>
  </r>
  <r>
    <x v="2"/>
    <x v="0"/>
    <x v="5"/>
    <x v="2"/>
    <x v="29"/>
    <x v="0"/>
    <x v="1"/>
    <n v="3"/>
    <n v="17282.240000000002"/>
    <n v="70037.45"/>
    <x v="0"/>
  </r>
  <r>
    <x v="2"/>
    <x v="0"/>
    <x v="5"/>
    <x v="2"/>
    <x v="24"/>
    <x v="0"/>
    <x v="1"/>
    <n v="2"/>
    <n v="11056.11"/>
    <n v="45318.35"/>
    <x v="0"/>
  </r>
  <r>
    <x v="2"/>
    <x v="0"/>
    <x v="5"/>
    <x v="2"/>
    <x v="24"/>
    <x v="1"/>
    <x v="0"/>
    <n v="2"/>
    <n v="12290.18"/>
    <n v="32695.13"/>
    <x v="0"/>
  </r>
  <r>
    <x v="2"/>
    <x v="0"/>
    <x v="5"/>
    <x v="2"/>
    <x v="24"/>
    <x v="1"/>
    <x v="1"/>
    <n v="1"/>
    <n v="4657.4799999999996"/>
    <n v="11749.81"/>
    <x v="0"/>
  </r>
  <r>
    <x v="2"/>
    <x v="0"/>
    <x v="5"/>
    <x v="3"/>
    <x v="25"/>
    <x v="0"/>
    <x v="1"/>
    <n v="1"/>
    <n v="4651.7700000000004"/>
    <n v="18951.310000000001"/>
    <x v="0"/>
  </r>
  <r>
    <x v="2"/>
    <x v="0"/>
    <x v="5"/>
    <x v="3"/>
    <x v="25"/>
    <x v="1"/>
    <x v="0"/>
    <n v="2"/>
    <n v="12608.38"/>
    <n v="36122.839999999997"/>
    <x v="0"/>
  </r>
  <r>
    <x v="2"/>
    <x v="0"/>
    <x v="5"/>
    <x v="3"/>
    <x v="26"/>
    <x v="0"/>
    <x v="0"/>
    <n v="1"/>
    <n v="6643.57"/>
    <n v="26367.040000000001"/>
    <x v="0"/>
  </r>
  <r>
    <x v="2"/>
    <x v="0"/>
    <x v="5"/>
    <x v="3"/>
    <x v="26"/>
    <x v="0"/>
    <x v="1"/>
    <n v="1"/>
    <n v="4689.57"/>
    <n v="18951.310000000001"/>
    <x v="0"/>
  </r>
  <r>
    <x v="2"/>
    <x v="0"/>
    <x v="5"/>
    <x v="3"/>
    <x v="26"/>
    <x v="1"/>
    <x v="0"/>
    <n v="1"/>
    <n v="4259.74"/>
    <n v="11939.33"/>
    <x v="0"/>
  </r>
  <r>
    <x v="2"/>
    <x v="0"/>
    <x v="5"/>
    <x v="3"/>
    <x v="26"/>
    <x v="1"/>
    <x v="1"/>
    <n v="7"/>
    <n v="38604.839999999997"/>
    <n v="108591.02"/>
    <x v="0"/>
  </r>
  <r>
    <x v="2"/>
    <x v="0"/>
    <x v="5"/>
    <x v="3"/>
    <x v="27"/>
    <x v="0"/>
    <x v="0"/>
    <n v="1"/>
    <n v="4655.7299999999996"/>
    <n v="18951.310000000001"/>
    <x v="0"/>
  </r>
  <r>
    <x v="2"/>
    <x v="0"/>
    <x v="5"/>
    <x v="3"/>
    <x v="27"/>
    <x v="0"/>
    <x v="1"/>
    <n v="3"/>
    <n v="17462.78"/>
    <n v="71685.39"/>
    <x v="0"/>
  </r>
  <r>
    <x v="2"/>
    <x v="0"/>
    <x v="5"/>
    <x v="3"/>
    <x v="27"/>
    <x v="1"/>
    <x v="0"/>
    <n v="14"/>
    <n v="73910.720000000001"/>
    <n v="199837.82"/>
    <x v="0"/>
  </r>
  <r>
    <x v="2"/>
    <x v="0"/>
    <x v="5"/>
    <x v="3"/>
    <x v="27"/>
    <x v="1"/>
    <x v="1"/>
    <n v="28"/>
    <n v="150823.66"/>
    <n v="412992.41"/>
    <x v="0"/>
  </r>
  <r>
    <x v="2"/>
    <x v="0"/>
    <x v="6"/>
    <x v="0"/>
    <x v="0"/>
    <x v="0"/>
    <x v="0"/>
    <n v="2"/>
    <n v="5839.78"/>
    <n v="20631.36"/>
    <x v="0"/>
  </r>
  <r>
    <x v="2"/>
    <x v="0"/>
    <x v="6"/>
    <x v="0"/>
    <x v="0"/>
    <x v="0"/>
    <x v="1"/>
    <n v="2"/>
    <n v="4712.95"/>
    <n v="16762.98"/>
    <x v="0"/>
  </r>
  <r>
    <x v="2"/>
    <x v="0"/>
    <x v="6"/>
    <x v="0"/>
    <x v="0"/>
    <x v="1"/>
    <x v="0"/>
    <n v="8"/>
    <n v="23585.84"/>
    <n v="53971.63"/>
    <x v="0"/>
  </r>
  <r>
    <x v="2"/>
    <x v="0"/>
    <x v="6"/>
    <x v="0"/>
    <x v="0"/>
    <x v="1"/>
    <x v="1"/>
    <n v="6"/>
    <n v="15622.16"/>
    <n v="35418.89"/>
    <x v="0"/>
  </r>
  <r>
    <x v="2"/>
    <x v="0"/>
    <x v="6"/>
    <x v="0"/>
    <x v="1"/>
    <x v="0"/>
    <x v="0"/>
    <n v="1"/>
    <n v="2097.19"/>
    <n v="7414.4"/>
    <x v="0"/>
  </r>
  <r>
    <x v="2"/>
    <x v="0"/>
    <x v="6"/>
    <x v="0"/>
    <x v="1"/>
    <x v="0"/>
    <x v="1"/>
    <n v="4"/>
    <n v="10995.35"/>
    <n v="38361.440000000002"/>
    <x v="0"/>
  </r>
  <r>
    <x v="2"/>
    <x v="0"/>
    <x v="6"/>
    <x v="0"/>
    <x v="1"/>
    <x v="1"/>
    <x v="0"/>
    <n v="18"/>
    <n v="48044.76"/>
    <n v="107578.7"/>
    <x v="0"/>
  </r>
  <r>
    <x v="2"/>
    <x v="0"/>
    <x v="6"/>
    <x v="0"/>
    <x v="1"/>
    <x v="1"/>
    <x v="1"/>
    <n v="22"/>
    <n v="65303.91"/>
    <n v="144060.07999999999"/>
    <x v="0"/>
  </r>
  <r>
    <x v="2"/>
    <x v="0"/>
    <x v="6"/>
    <x v="0"/>
    <x v="2"/>
    <x v="0"/>
    <x v="1"/>
    <n v="1"/>
    <n v="3060.57"/>
    <n v="10315.68"/>
    <x v="0"/>
  </r>
  <r>
    <x v="2"/>
    <x v="0"/>
    <x v="6"/>
    <x v="0"/>
    <x v="2"/>
    <x v="1"/>
    <x v="0"/>
    <n v="2"/>
    <n v="3574.84"/>
    <n v="8007.55"/>
    <x v="0"/>
  </r>
  <r>
    <x v="2"/>
    <x v="0"/>
    <x v="6"/>
    <x v="0"/>
    <x v="2"/>
    <x v="1"/>
    <x v="1"/>
    <n v="5"/>
    <n v="14709.37"/>
    <n v="31785.85"/>
    <x v="0"/>
  </r>
  <r>
    <x v="2"/>
    <x v="0"/>
    <x v="6"/>
    <x v="0"/>
    <x v="3"/>
    <x v="0"/>
    <x v="1"/>
    <n v="6"/>
    <n v="15570.69"/>
    <n v="54157.32"/>
    <x v="0"/>
  </r>
  <r>
    <x v="2"/>
    <x v="0"/>
    <x v="6"/>
    <x v="0"/>
    <x v="3"/>
    <x v="1"/>
    <x v="0"/>
    <n v="12"/>
    <n v="33163.97"/>
    <n v="73719.73"/>
    <x v="0"/>
  </r>
  <r>
    <x v="2"/>
    <x v="0"/>
    <x v="6"/>
    <x v="0"/>
    <x v="3"/>
    <x v="1"/>
    <x v="1"/>
    <n v="7"/>
    <n v="20667.52"/>
    <n v="45953.23"/>
    <x v="0"/>
  </r>
  <r>
    <x v="2"/>
    <x v="0"/>
    <x v="6"/>
    <x v="0"/>
    <x v="28"/>
    <x v="1"/>
    <x v="1"/>
    <n v="5"/>
    <n v="10300.299999999999"/>
    <n v="24245.09"/>
    <x v="0"/>
  </r>
  <r>
    <x v="2"/>
    <x v="0"/>
    <x v="6"/>
    <x v="0"/>
    <x v="4"/>
    <x v="0"/>
    <x v="1"/>
    <n v="2"/>
    <n v="5908.37"/>
    <n v="20631.36"/>
    <x v="0"/>
  </r>
  <r>
    <x v="2"/>
    <x v="0"/>
    <x v="6"/>
    <x v="0"/>
    <x v="4"/>
    <x v="1"/>
    <x v="0"/>
    <n v="1"/>
    <n v="3063.5"/>
    <n v="6602.04"/>
    <x v="0"/>
  </r>
  <r>
    <x v="2"/>
    <x v="0"/>
    <x v="6"/>
    <x v="0"/>
    <x v="4"/>
    <x v="1"/>
    <x v="1"/>
    <n v="9"/>
    <n v="20465.66"/>
    <n v="45718.25"/>
    <x v="0"/>
  </r>
  <r>
    <x v="2"/>
    <x v="0"/>
    <x v="6"/>
    <x v="0"/>
    <x v="5"/>
    <x v="0"/>
    <x v="1"/>
    <n v="4"/>
    <n v="10104.86"/>
    <n v="35460.160000000003"/>
    <x v="0"/>
  </r>
  <r>
    <x v="2"/>
    <x v="0"/>
    <x v="6"/>
    <x v="0"/>
    <x v="5"/>
    <x v="1"/>
    <x v="0"/>
    <n v="2"/>
    <n v="4212.24"/>
    <n v="9772.18"/>
    <x v="0"/>
  </r>
  <r>
    <x v="2"/>
    <x v="0"/>
    <x v="6"/>
    <x v="0"/>
    <x v="5"/>
    <x v="1"/>
    <x v="1"/>
    <n v="7"/>
    <n v="15167.22"/>
    <n v="34697.96"/>
    <x v="0"/>
  </r>
  <r>
    <x v="2"/>
    <x v="0"/>
    <x v="6"/>
    <x v="0"/>
    <x v="6"/>
    <x v="1"/>
    <x v="1"/>
    <n v="3"/>
    <n v="8815.61"/>
    <n v="20332.2"/>
    <x v="0"/>
  </r>
  <r>
    <x v="2"/>
    <x v="0"/>
    <x v="6"/>
    <x v="0"/>
    <x v="7"/>
    <x v="1"/>
    <x v="1"/>
    <n v="1"/>
    <n v="3003.2"/>
    <n v="6890.87"/>
    <x v="0"/>
  </r>
  <r>
    <x v="2"/>
    <x v="0"/>
    <x v="6"/>
    <x v="0"/>
    <x v="8"/>
    <x v="0"/>
    <x v="1"/>
    <n v="1"/>
    <n v="2869.96"/>
    <n v="10315.68"/>
    <x v="0"/>
  </r>
  <r>
    <x v="2"/>
    <x v="0"/>
    <x v="6"/>
    <x v="0"/>
    <x v="8"/>
    <x v="1"/>
    <x v="1"/>
    <n v="4"/>
    <n v="10728.31"/>
    <n v="23089.119999999999"/>
    <x v="0"/>
  </r>
  <r>
    <x v="2"/>
    <x v="0"/>
    <x v="6"/>
    <x v="1"/>
    <x v="30"/>
    <x v="1"/>
    <x v="0"/>
    <n v="1"/>
    <n v="2057.89"/>
    <n v="5108.5200000000004"/>
    <x v="0"/>
  </r>
  <r>
    <x v="2"/>
    <x v="0"/>
    <x v="6"/>
    <x v="1"/>
    <x v="9"/>
    <x v="1"/>
    <x v="1"/>
    <n v="6"/>
    <n v="15396.84"/>
    <n v="37260.230000000003"/>
    <x v="0"/>
  </r>
  <r>
    <x v="2"/>
    <x v="0"/>
    <x v="6"/>
    <x v="1"/>
    <x v="10"/>
    <x v="0"/>
    <x v="0"/>
    <n v="2"/>
    <n v="6088.95"/>
    <n v="20631.36"/>
    <x v="0"/>
  </r>
  <r>
    <x v="2"/>
    <x v="0"/>
    <x v="6"/>
    <x v="1"/>
    <x v="10"/>
    <x v="0"/>
    <x v="1"/>
    <n v="4"/>
    <n v="10655.9"/>
    <n v="37394.339999999997"/>
    <x v="0"/>
  </r>
  <r>
    <x v="2"/>
    <x v="0"/>
    <x v="6"/>
    <x v="1"/>
    <x v="10"/>
    <x v="1"/>
    <x v="0"/>
    <n v="21"/>
    <n v="58002.28"/>
    <n v="137507.72"/>
    <x v="0"/>
  </r>
  <r>
    <x v="2"/>
    <x v="0"/>
    <x v="6"/>
    <x v="1"/>
    <x v="10"/>
    <x v="1"/>
    <x v="1"/>
    <n v="30"/>
    <n v="78543.63"/>
    <n v="186286.09"/>
    <x v="0"/>
  </r>
  <r>
    <x v="2"/>
    <x v="0"/>
    <x v="6"/>
    <x v="1"/>
    <x v="11"/>
    <x v="0"/>
    <x v="1"/>
    <n v="4"/>
    <n v="12033.55"/>
    <n v="41262.720000000001"/>
    <x v="0"/>
  </r>
  <r>
    <x v="2"/>
    <x v="0"/>
    <x v="6"/>
    <x v="1"/>
    <x v="11"/>
    <x v="1"/>
    <x v="0"/>
    <n v="8"/>
    <n v="18873.939999999999"/>
    <n v="42955.14"/>
    <x v="0"/>
  </r>
  <r>
    <x v="2"/>
    <x v="0"/>
    <x v="6"/>
    <x v="1"/>
    <x v="11"/>
    <x v="1"/>
    <x v="1"/>
    <n v="9"/>
    <n v="24352.58"/>
    <n v="55946.44"/>
    <x v="0"/>
  </r>
  <r>
    <x v="2"/>
    <x v="0"/>
    <x v="6"/>
    <x v="1"/>
    <x v="13"/>
    <x v="0"/>
    <x v="1"/>
    <n v="1"/>
    <n v="3084.22"/>
    <n v="10315.68"/>
    <x v="0"/>
  </r>
  <r>
    <x v="2"/>
    <x v="0"/>
    <x v="6"/>
    <x v="1"/>
    <x v="13"/>
    <x v="1"/>
    <x v="0"/>
    <n v="2"/>
    <n v="4261.1400000000003"/>
    <n v="10098.41"/>
    <x v="0"/>
  </r>
  <r>
    <x v="2"/>
    <x v="0"/>
    <x v="6"/>
    <x v="1"/>
    <x v="13"/>
    <x v="1"/>
    <x v="1"/>
    <n v="6"/>
    <n v="14329.94"/>
    <n v="33588.19"/>
    <x v="0"/>
  </r>
  <r>
    <x v="2"/>
    <x v="0"/>
    <x v="6"/>
    <x v="1"/>
    <x v="14"/>
    <x v="0"/>
    <x v="1"/>
    <n v="4"/>
    <n v="10208.58"/>
    <n v="35460.160000000003"/>
    <x v="0"/>
  </r>
  <r>
    <x v="2"/>
    <x v="0"/>
    <x v="6"/>
    <x v="1"/>
    <x v="14"/>
    <x v="1"/>
    <x v="0"/>
    <n v="6"/>
    <n v="13351.66"/>
    <n v="30878.02"/>
    <x v="0"/>
  </r>
  <r>
    <x v="2"/>
    <x v="0"/>
    <x v="6"/>
    <x v="1"/>
    <x v="15"/>
    <x v="1"/>
    <x v="0"/>
    <n v="3"/>
    <n v="5381.43"/>
    <n v="13365.25"/>
    <x v="0"/>
  </r>
  <r>
    <x v="2"/>
    <x v="0"/>
    <x v="6"/>
    <x v="1"/>
    <x v="15"/>
    <x v="1"/>
    <x v="1"/>
    <n v="6"/>
    <n v="17873.98"/>
    <n v="42768.800000000003"/>
    <x v="0"/>
  </r>
  <r>
    <x v="2"/>
    <x v="0"/>
    <x v="6"/>
    <x v="1"/>
    <x v="16"/>
    <x v="0"/>
    <x v="1"/>
    <n v="1"/>
    <n v="2078.59"/>
    <n v="7414.4"/>
    <x v="0"/>
  </r>
  <r>
    <x v="2"/>
    <x v="0"/>
    <x v="6"/>
    <x v="1"/>
    <x v="16"/>
    <x v="1"/>
    <x v="1"/>
    <n v="11"/>
    <n v="27327.71"/>
    <n v="62574.28"/>
    <x v="0"/>
  </r>
  <r>
    <x v="2"/>
    <x v="0"/>
    <x v="6"/>
    <x v="1"/>
    <x v="17"/>
    <x v="0"/>
    <x v="1"/>
    <n v="1"/>
    <n v="2940.37"/>
    <n v="10315.68"/>
    <x v="0"/>
  </r>
  <r>
    <x v="2"/>
    <x v="0"/>
    <x v="6"/>
    <x v="1"/>
    <x v="17"/>
    <x v="1"/>
    <x v="0"/>
    <n v="5"/>
    <n v="12538.82"/>
    <n v="29110.84"/>
    <x v="0"/>
  </r>
  <r>
    <x v="2"/>
    <x v="0"/>
    <x v="6"/>
    <x v="1"/>
    <x v="18"/>
    <x v="0"/>
    <x v="1"/>
    <n v="11"/>
    <n v="27749.65"/>
    <n v="97031.88"/>
    <x v="0"/>
  </r>
  <r>
    <x v="2"/>
    <x v="0"/>
    <x v="6"/>
    <x v="1"/>
    <x v="18"/>
    <x v="1"/>
    <x v="0"/>
    <n v="5"/>
    <n v="12253.01"/>
    <n v="29797.82"/>
    <x v="0"/>
  </r>
  <r>
    <x v="2"/>
    <x v="0"/>
    <x v="6"/>
    <x v="1"/>
    <x v="18"/>
    <x v="1"/>
    <x v="1"/>
    <n v="16"/>
    <n v="38780.19"/>
    <n v="94546.47"/>
    <x v="0"/>
  </r>
  <r>
    <x v="2"/>
    <x v="0"/>
    <x v="6"/>
    <x v="1"/>
    <x v="19"/>
    <x v="0"/>
    <x v="1"/>
    <n v="1"/>
    <n v="3006.26"/>
    <n v="10315.68"/>
    <x v="0"/>
  </r>
  <r>
    <x v="2"/>
    <x v="0"/>
    <x v="6"/>
    <x v="1"/>
    <x v="19"/>
    <x v="1"/>
    <x v="0"/>
    <n v="7"/>
    <n v="18344.740000000002"/>
    <n v="42510.37"/>
    <x v="0"/>
  </r>
  <r>
    <x v="2"/>
    <x v="0"/>
    <x v="6"/>
    <x v="1"/>
    <x v="19"/>
    <x v="1"/>
    <x v="1"/>
    <n v="10"/>
    <n v="28576.89"/>
    <n v="65616.75"/>
    <x v="0"/>
  </r>
  <r>
    <x v="2"/>
    <x v="0"/>
    <x v="6"/>
    <x v="1"/>
    <x v="20"/>
    <x v="0"/>
    <x v="0"/>
    <n v="2"/>
    <n v="6139.48"/>
    <n v="20631.36"/>
    <x v="0"/>
  </r>
  <r>
    <x v="2"/>
    <x v="0"/>
    <x v="6"/>
    <x v="1"/>
    <x v="20"/>
    <x v="0"/>
    <x v="1"/>
    <n v="9"/>
    <n v="24120.2"/>
    <n v="84137.279999999999"/>
    <x v="0"/>
  </r>
  <r>
    <x v="2"/>
    <x v="0"/>
    <x v="6"/>
    <x v="1"/>
    <x v="20"/>
    <x v="1"/>
    <x v="0"/>
    <n v="6"/>
    <n v="16952.3"/>
    <n v="38140.14"/>
    <x v="0"/>
  </r>
  <r>
    <x v="2"/>
    <x v="0"/>
    <x v="6"/>
    <x v="1"/>
    <x v="20"/>
    <x v="1"/>
    <x v="1"/>
    <n v="19"/>
    <n v="48764.639999999999"/>
    <n v="112634.69"/>
    <x v="0"/>
  </r>
  <r>
    <x v="2"/>
    <x v="0"/>
    <x v="6"/>
    <x v="2"/>
    <x v="21"/>
    <x v="0"/>
    <x v="0"/>
    <n v="1"/>
    <n v="3069.32"/>
    <n v="10315.68"/>
    <x v="0"/>
  </r>
  <r>
    <x v="2"/>
    <x v="0"/>
    <x v="6"/>
    <x v="2"/>
    <x v="21"/>
    <x v="1"/>
    <x v="1"/>
    <n v="1"/>
    <n v="3050.56"/>
    <n v="6282.25"/>
    <x v="0"/>
  </r>
  <r>
    <x v="2"/>
    <x v="0"/>
    <x v="6"/>
    <x v="2"/>
    <x v="22"/>
    <x v="1"/>
    <x v="0"/>
    <n v="4"/>
    <n v="8388.4500000000007"/>
    <n v="18061.47"/>
    <x v="0"/>
  </r>
  <r>
    <x v="2"/>
    <x v="0"/>
    <x v="6"/>
    <x v="2"/>
    <x v="22"/>
    <x v="1"/>
    <x v="1"/>
    <n v="7"/>
    <n v="19214.23"/>
    <n v="39421.769999999997"/>
    <x v="0"/>
  </r>
  <r>
    <x v="2"/>
    <x v="0"/>
    <x v="6"/>
    <x v="2"/>
    <x v="29"/>
    <x v="0"/>
    <x v="1"/>
    <n v="2"/>
    <n v="5942.09"/>
    <n v="20631.36"/>
    <x v="0"/>
  </r>
  <r>
    <x v="2"/>
    <x v="0"/>
    <x v="6"/>
    <x v="2"/>
    <x v="23"/>
    <x v="1"/>
    <x v="1"/>
    <n v="1"/>
    <n v="1779.58"/>
    <n v="4087.59"/>
    <x v="0"/>
  </r>
  <r>
    <x v="2"/>
    <x v="0"/>
    <x v="6"/>
    <x v="2"/>
    <x v="24"/>
    <x v="0"/>
    <x v="1"/>
    <n v="2"/>
    <n v="5865.51"/>
    <n v="20631.36"/>
    <x v="0"/>
  </r>
  <r>
    <x v="2"/>
    <x v="0"/>
    <x v="6"/>
    <x v="2"/>
    <x v="24"/>
    <x v="1"/>
    <x v="1"/>
    <n v="2"/>
    <n v="4235.72"/>
    <n v="9193.86"/>
    <x v="0"/>
  </r>
  <r>
    <x v="2"/>
    <x v="0"/>
    <x v="6"/>
    <x v="3"/>
    <x v="25"/>
    <x v="1"/>
    <x v="0"/>
    <n v="4"/>
    <n v="9511.5"/>
    <n v="22965.279999999999"/>
    <x v="0"/>
  </r>
  <r>
    <x v="2"/>
    <x v="0"/>
    <x v="6"/>
    <x v="3"/>
    <x v="25"/>
    <x v="1"/>
    <x v="1"/>
    <n v="17"/>
    <n v="49564.04"/>
    <n v="116351.1"/>
    <x v="0"/>
  </r>
  <r>
    <x v="2"/>
    <x v="0"/>
    <x v="6"/>
    <x v="3"/>
    <x v="26"/>
    <x v="0"/>
    <x v="0"/>
    <n v="1"/>
    <n v="3011.78"/>
    <n v="10315.68"/>
    <x v="0"/>
  </r>
  <r>
    <x v="2"/>
    <x v="0"/>
    <x v="6"/>
    <x v="3"/>
    <x v="26"/>
    <x v="0"/>
    <x v="1"/>
    <n v="1"/>
    <n v="1795.66"/>
    <n v="6447.3"/>
    <x v="0"/>
  </r>
  <r>
    <x v="2"/>
    <x v="0"/>
    <x v="6"/>
    <x v="3"/>
    <x v="26"/>
    <x v="1"/>
    <x v="0"/>
    <n v="2"/>
    <n v="6041.08"/>
    <n v="14235.64"/>
    <x v="0"/>
  </r>
  <r>
    <x v="2"/>
    <x v="0"/>
    <x v="6"/>
    <x v="3"/>
    <x v="26"/>
    <x v="1"/>
    <x v="1"/>
    <n v="12"/>
    <n v="27210.29"/>
    <n v="66062.27"/>
    <x v="0"/>
  </r>
  <r>
    <x v="2"/>
    <x v="0"/>
    <x v="6"/>
    <x v="3"/>
    <x v="27"/>
    <x v="0"/>
    <x v="1"/>
    <n v="6"/>
    <n v="17234.919999999998"/>
    <n v="58992.800000000003"/>
    <x v="0"/>
  </r>
  <r>
    <x v="2"/>
    <x v="0"/>
    <x v="6"/>
    <x v="3"/>
    <x v="27"/>
    <x v="1"/>
    <x v="0"/>
    <n v="7"/>
    <n v="18286.439999999999"/>
    <n v="42993.51"/>
    <x v="0"/>
  </r>
  <r>
    <x v="2"/>
    <x v="0"/>
    <x v="6"/>
    <x v="3"/>
    <x v="27"/>
    <x v="1"/>
    <x v="1"/>
    <n v="26"/>
    <n v="68147.399999999994"/>
    <n v="160155.64000000001"/>
    <x v="0"/>
  </r>
  <r>
    <x v="2"/>
    <x v="0"/>
    <x v="7"/>
    <x v="0"/>
    <x v="0"/>
    <x v="1"/>
    <x v="0"/>
    <n v="5"/>
    <n v="19525.29"/>
    <n v="50037.99"/>
    <x v="0"/>
  </r>
  <r>
    <x v="2"/>
    <x v="0"/>
    <x v="7"/>
    <x v="0"/>
    <x v="0"/>
    <x v="1"/>
    <x v="1"/>
    <n v="19"/>
    <n v="91911.38"/>
    <n v="228941.94"/>
    <x v="0"/>
  </r>
  <r>
    <x v="2"/>
    <x v="0"/>
    <x v="7"/>
    <x v="0"/>
    <x v="1"/>
    <x v="0"/>
    <x v="0"/>
    <n v="3"/>
    <n v="15033.21"/>
    <n v="57552.28"/>
    <x v="0"/>
  </r>
  <r>
    <x v="2"/>
    <x v="0"/>
    <x v="7"/>
    <x v="0"/>
    <x v="1"/>
    <x v="0"/>
    <x v="1"/>
    <n v="6"/>
    <n v="26450.91"/>
    <n v="101562.85"/>
    <x v="0"/>
  </r>
  <r>
    <x v="2"/>
    <x v="0"/>
    <x v="7"/>
    <x v="0"/>
    <x v="1"/>
    <x v="1"/>
    <x v="0"/>
    <n v="21"/>
    <n v="93383.32"/>
    <n v="229002.57"/>
    <x v="0"/>
  </r>
  <r>
    <x v="2"/>
    <x v="0"/>
    <x v="7"/>
    <x v="0"/>
    <x v="1"/>
    <x v="1"/>
    <x v="1"/>
    <n v="18"/>
    <n v="81195.81"/>
    <n v="203315.95"/>
    <x v="0"/>
  </r>
  <r>
    <x v="2"/>
    <x v="0"/>
    <x v="7"/>
    <x v="0"/>
    <x v="2"/>
    <x v="0"/>
    <x v="1"/>
    <n v="5"/>
    <n v="22693.07"/>
    <n v="86666.96"/>
    <x v="0"/>
  </r>
  <r>
    <x v="2"/>
    <x v="0"/>
    <x v="7"/>
    <x v="0"/>
    <x v="2"/>
    <x v="1"/>
    <x v="1"/>
    <n v="7"/>
    <n v="24654.9"/>
    <n v="61388.639999999999"/>
    <x v="0"/>
  </r>
  <r>
    <x v="2"/>
    <x v="0"/>
    <x v="7"/>
    <x v="0"/>
    <x v="3"/>
    <x v="0"/>
    <x v="0"/>
    <n v="2"/>
    <n v="9003.5499999999993"/>
    <n v="35208.449999999997"/>
    <x v="0"/>
  </r>
  <r>
    <x v="2"/>
    <x v="0"/>
    <x v="7"/>
    <x v="0"/>
    <x v="3"/>
    <x v="0"/>
    <x v="1"/>
    <n v="2"/>
    <n v="7443.53"/>
    <n v="29114.68"/>
    <x v="0"/>
  </r>
  <r>
    <x v="2"/>
    <x v="0"/>
    <x v="7"/>
    <x v="0"/>
    <x v="3"/>
    <x v="1"/>
    <x v="0"/>
    <n v="13"/>
    <n v="55249.9"/>
    <n v="141279.32"/>
    <x v="0"/>
  </r>
  <r>
    <x v="2"/>
    <x v="0"/>
    <x v="7"/>
    <x v="0"/>
    <x v="3"/>
    <x v="1"/>
    <x v="1"/>
    <n v="21"/>
    <n v="96142.29"/>
    <n v="237747.68"/>
    <x v="0"/>
  </r>
  <r>
    <x v="2"/>
    <x v="0"/>
    <x v="7"/>
    <x v="0"/>
    <x v="28"/>
    <x v="1"/>
    <x v="1"/>
    <n v="6"/>
    <n v="31263.23"/>
    <n v="80149.34"/>
    <x v="0"/>
  </r>
  <r>
    <x v="2"/>
    <x v="0"/>
    <x v="7"/>
    <x v="0"/>
    <x v="4"/>
    <x v="1"/>
    <x v="0"/>
    <n v="4"/>
    <n v="15745.86"/>
    <n v="39000.129999999997"/>
    <x v="0"/>
  </r>
  <r>
    <x v="2"/>
    <x v="0"/>
    <x v="7"/>
    <x v="0"/>
    <x v="4"/>
    <x v="1"/>
    <x v="1"/>
    <n v="4"/>
    <n v="18697.2"/>
    <n v="45933.49"/>
    <x v="0"/>
  </r>
  <r>
    <x v="2"/>
    <x v="0"/>
    <x v="7"/>
    <x v="0"/>
    <x v="5"/>
    <x v="0"/>
    <x v="1"/>
    <n v="3"/>
    <n v="12830.39"/>
    <n v="49427.25"/>
    <x v="0"/>
  </r>
  <r>
    <x v="2"/>
    <x v="0"/>
    <x v="7"/>
    <x v="0"/>
    <x v="5"/>
    <x v="1"/>
    <x v="1"/>
    <n v="9"/>
    <n v="38211.15"/>
    <n v="97717.67"/>
    <x v="0"/>
  </r>
  <r>
    <x v="2"/>
    <x v="0"/>
    <x v="7"/>
    <x v="0"/>
    <x v="6"/>
    <x v="0"/>
    <x v="1"/>
    <n v="2"/>
    <n v="7488.87"/>
    <n v="28437.599999999999"/>
    <x v="0"/>
  </r>
  <r>
    <x v="2"/>
    <x v="0"/>
    <x v="7"/>
    <x v="0"/>
    <x v="6"/>
    <x v="1"/>
    <x v="1"/>
    <n v="3"/>
    <n v="11035.16"/>
    <n v="28025.25"/>
    <x v="0"/>
  </r>
  <r>
    <x v="2"/>
    <x v="0"/>
    <x v="7"/>
    <x v="0"/>
    <x v="8"/>
    <x v="0"/>
    <x v="1"/>
    <n v="2"/>
    <n v="7826.93"/>
    <n v="29791.77"/>
    <x v="0"/>
  </r>
  <r>
    <x v="2"/>
    <x v="0"/>
    <x v="7"/>
    <x v="0"/>
    <x v="8"/>
    <x v="1"/>
    <x v="1"/>
    <n v="11"/>
    <n v="49652.92"/>
    <n v="123352.82"/>
    <x v="0"/>
  </r>
  <r>
    <x v="2"/>
    <x v="0"/>
    <x v="7"/>
    <x v="1"/>
    <x v="9"/>
    <x v="1"/>
    <x v="1"/>
    <n v="3"/>
    <n v="17396.79"/>
    <n v="44720.15"/>
    <x v="0"/>
  </r>
  <r>
    <x v="2"/>
    <x v="0"/>
    <x v="7"/>
    <x v="1"/>
    <x v="31"/>
    <x v="1"/>
    <x v="0"/>
    <n v="6"/>
    <n v="23610.53"/>
    <n v="63998.14"/>
    <x v="0"/>
  </r>
  <r>
    <x v="2"/>
    <x v="0"/>
    <x v="7"/>
    <x v="1"/>
    <x v="10"/>
    <x v="0"/>
    <x v="0"/>
    <n v="3"/>
    <n v="17183.55"/>
    <n v="65000.22"/>
    <x v="0"/>
  </r>
  <r>
    <x v="2"/>
    <x v="0"/>
    <x v="7"/>
    <x v="1"/>
    <x v="10"/>
    <x v="0"/>
    <x v="1"/>
    <n v="2"/>
    <n v="7978.85"/>
    <n v="31145.94"/>
    <x v="0"/>
  </r>
  <r>
    <x v="2"/>
    <x v="0"/>
    <x v="7"/>
    <x v="1"/>
    <x v="10"/>
    <x v="1"/>
    <x v="0"/>
    <n v="9"/>
    <n v="45529.62"/>
    <n v="122831.45"/>
    <x v="0"/>
  </r>
  <r>
    <x v="2"/>
    <x v="0"/>
    <x v="7"/>
    <x v="1"/>
    <x v="10"/>
    <x v="1"/>
    <x v="1"/>
    <n v="15"/>
    <n v="73957.27"/>
    <n v="193944.39"/>
    <x v="0"/>
  </r>
  <r>
    <x v="2"/>
    <x v="0"/>
    <x v="7"/>
    <x v="1"/>
    <x v="11"/>
    <x v="0"/>
    <x v="1"/>
    <n v="9"/>
    <n v="49784.12"/>
    <n v="188906.89"/>
    <x v="0"/>
  </r>
  <r>
    <x v="2"/>
    <x v="0"/>
    <x v="7"/>
    <x v="1"/>
    <x v="11"/>
    <x v="1"/>
    <x v="0"/>
    <n v="13"/>
    <n v="54385.760000000002"/>
    <n v="134232.23000000001"/>
    <x v="0"/>
  </r>
  <r>
    <x v="2"/>
    <x v="0"/>
    <x v="7"/>
    <x v="1"/>
    <x v="11"/>
    <x v="1"/>
    <x v="1"/>
    <n v="24"/>
    <n v="111790.57"/>
    <n v="280347.3"/>
    <x v="0"/>
  </r>
  <r>
    <x v="2"/>
    <x v="0"/>
    <x v="7"/>
    <x v="1"/>
    <x v="13"/>
    <x v="0"/>
    <x v="1"/>
    <n v="2"/>
    <n v="7186.42"/>
    <n v="28437.599999999999"/>
    <x v="0"/>
  </r>
  <r>
    <x v="2"/>
    <x v="0"/>
    <x v="7"/>
    <x v="1"/>
    <x v="13"/>
    <x v="1"/>
    <x v="0"/>
    <n v="2"/>
    <n v="8063.52"/>
    <n v="21210.39"/>
    <x v="0"/>
  </r>
  <r>
    <x v="2"/>
    <x v="0"/>
    <x v="7"/>
    <x v="1"/>
    <x v="13"/>
    <x v="1"/>
    <x v="1"/>
    <n v="17"/>
    <n v="66645.679999999993"/>
    <n v="176500.31"/>
    <x v="0"/>
  </r>
  <r>
    <x v="2"/>
    <x v="0"/>
    <x v="7"/>
    <x v="1"/>
    <x v="14"/>
    <x v="1"/>
    <x v="0"/>
    <n v="14"/>
    <n v="51992.95"/>
    <n v="135581.96"/>
    <x v="0"/>
  </r>
  <r>
    <x v="2"/>
    <x v="0"/>
    <x v="7"/>
    <x v="1"/>
    <x v="14"/>
    <x v="1"/>
    <x v="1"/>
    <n v="2"/>
    <n v="7097.04"/>
    <n v="18996.32"/>
    <x v="0"/>
  </r>
  <r>
    <x v="2"/>
    <x v="0"/>
    <x v="7"/>
    <x v="1"/>
    <x v="15"/>
    <x v="1"/>
    <x v="0"/>
    <n v="4"/>
    <n v="21314.29"/>
    <n v="55676.07"/>
    <x v="0"/>
  </r>
  <r>
    <x v="2"/>
    <x v="0"/>
    <x v="7"/>
    <x v="1"/>
    <x v="15"/>
    <x v="1"/>
    <x v="1"/>
    <n v="4"/>
    <n v="15053.26"/>
    <n v="40236.480000000003"/>
    <x v="0"/>
  </r>
  <r>
    <x v="2"/>
    <x v="0"/>
    <x v="7"/>
    <x v="1"/>
    <x v="16"/>
    <x v="0"/>
    <x v="1"/>
    <n v="1"/>
    <n v="3669.24"/>
    <n v="14218.8"/>
    <x v="0"/>
  </r>
  <r>
    <x v="2"/>
    <x v="0"/>
    <x v="7"/>
    <x v="1"/>
    <x v="16"/>
    <x v="1"/>
    <x v="0"/>
    <n v="1"/>
    <n v="5497.47"/>
    <n v="14256.71"/>
    <x v="0"/>
  </r>
  <r>
    <x v="2"/>
    <x v="0"/>
    <x v="7"/>
    <x v="1"/>
    <x v="16"/>
    <x v="1"/>
    <x v="1"/>
    <n v="3"/>
    <n v="11212.06"/>
    <n v="28513.43"/>
    <x v="0"/>
  </r>
  <r>
    <x v="2"/>
    <x v="0"/>
    <x v="7"/>
    <x v="1"/>
    <x v="17"/>
    <x v="1"/>
    <x v="0"/>
    <n v="17"/>
    <n v="79959.520000000004"/>
    <n v="205010.72"/>
    <x v="0"/>
  </r>
  <r>
    <x v="2"/>
    <x v="0"/>
    <x v="7"/>
    <x v="1"/>
    <x v="17"/>
    <x v="1"/>
    <x v="1"/>
    <n v="4"/>
    <n v="22531.27"/>
    <n v="56996.39"/>
    <x v="0"/>
  </r>
  <r>
    <x v="2"/>
    <x v="0"/>
    <x v="7"/>
    <x v="1"/>
    <x v="18"/>
    <x v="0"/>
    <x v="1"/>
    <n v="9"/>
    <n v="44095.68"/>
    <n v="172656.84"/>
    <x v="0"/>
  </r>
  <r>
    <x v="2"/>
    <x v="0"/>
    <x v="7"/>
    <x v="1"/>
    <x v="18"/>
    <x v="1"/>
    <x v="0"/>
    <n v="4"/>
    <n v="13931.36"/>
    <n v="38587.11"/>
    <x v="0"/>
  </r>
  <r>
    <x v="2"/>
    <x v="0"/>
    <x v="7"/>
    <x v="1"/>
    <x v="18"/>
    <x v="1"/>
    <x v="1"/>
    <n v="22"/>
    <n v="93124"/>
    <n v="246960.56"/>
    <x v="0"/>
  </r>
  <r>
    <x v="2"/>
    <x v="0"/>
    <x v="7"/>
    <x v="1"/>
    <x v="19"/>
    <x v="0"/>
    <x v="1"/>
    <n v="6"/>
    <n v="25367.74"/>
    <n v="99531.59"/>
    <x v="0"/>
  </r>
  <r>
    <x v="2"/>
    <x v="0"/>
    <x v="7"/>
    <x v="1"/>
    <x v="19"/>
    <x v="1"/>
    <x v="0"/>
    <n v="1"/>
    <n v="5348.09"/>
    <n v="14603.38"/>
    <x v="0"/>
  </r>
  <r>
    <x v="2"/>
    <x v="0"/>
    <x v="7"/>
    <x v="1"/>
    <x v="20"/>
    <x v="0"/>
    <x v="0"/>
    <n v="1"/>
    <n v="5436.41"/>
    <n v="21666.74"/>
    <x v="0"/>
  </r>
  <r>
    <x v="2"/>
    <x v="0"/>
    <x v="7"/>
    <x v="1"/>
    <x v="20"/>
    <x v="0"/>
    <x v="1"/>
    <n v="14"/>
    <n v="64897.26"/>
    <n v="252552.95"/>
    <x v="0"/>
  </r>
  <r>
    <x v="2"/>
    <x v="0"/>
    <x v="7"/>
    <x v="1"/>
    <x v="20"/>
    <x v="1"/>
    <x v="0"/>
    <n v="5"/>
    <n v="28203.85"/>
    <n v="71825.25"/>
    <x v="0"/>
  </r>
  <r>
    <x v="2"/>
    <x v="0"/>
    <x v="7"/>
    <x v="1"/>
    <x v="20"/>
    <x v="1"/>
    <x v="1"/>
    <n v="14"/>
    <n v="69242.100000000006"/>
    <n v="174810.79"/>
    <x v="0"/>
  </r>
  <r>
    <x v="2"/>
    <x v="0"/>
    <x v="7"/>
    <x v="2"/>
    <x v="21"/>
    <x v="0"/>
    <x v="0"/>
    <n v="1"/>
    <n v="5714.89"/>
    <n v="21666.74"/>
    <x v="0"/>
  </r>
  <r>
    <x v="2"/>
    <x v="0"/>
    <x v="7"/>
    <x v="2"/>
    <x v="22"/>
    <x v="0"/>
    <x v="1"/>
    <n v="2"/>
    <n v="6914.98"/>
    <n v="27760.51"/>
    <x v="0"/>
  </r>
  <r>
    <x v="2"/>
    <x v="0"/>
    <x v="7"/>
    <x v="2"/>
    <x v="22"/>
    <x v="1"/>
    <x v="0"/>
    <n v="9"/>
    <n v="46552.51"/>
    <n v="108029.5"/>
    <x v="0"/>
  </r>
  <r>
    <x v="2"/>
    <x v="0"/>
    <x v="7"/>
    <x v="2"/>
    <x v="22"/>
    <x v="1"/>
    <x v="1"/>
    <n v="20"/>
    <n v="89740.31"/>
    <n v="209987.92"/>
    <x v="0"/>
  </r>
  <r>
    <x v="2"/>
    <x v="0"/>
    <x v="7"/>
    <x v="2"/>
    <x v="29"/>
    <x v="0"/>
    <x v="1"/>
    <n v="3"/>
    <n v="15386.35"/>
    <n v="58906.45"/>
    <x v="0"/>
  </r>
  <r>
    <x v="2"/>
    <x v="0"/>
    <x v="7"/>
    <x v="2"/>
    <x v="24"/>
    <x v="0"/>
    <x v="1"/>
    <n v="4"/>
    <n v="22928.27"/>
    <n v="86666.96"/>
    <x v="0"/>
  </r>
  <r>
    <x v="2"/>
    <x v="0"/>
    <x v="7"/>
    <x v="2"/>
    <x v="24"/>
    <x v="1"/>
    <x v="1"/>
    <n v="5"/>
    <n v="24923.29"/>
    <n v="55914.66"/>
    <x v="0"/>
  </r>
  <r>
    <x v="2"/>
    <x v="0"/>
    <x v="7"/>
    <x v="3"/>
    <x v="25"/>
    <x v="1"/>
    <x v="0"/>
    <n v="1"/>
    <n v="5830"/>
    <n v="14841.72"/>
    <x v="0"/>
  </r>
  <r>
    <x v="2"/>
    <x v="0"/>
    <x v="7"/>
    <x v="3"/>
    <x v="25"/>
    <x v="1"/>
    <x v="1"/>
    <n v="3"/>
    <n v="12170.11"/>
    <n v="31368.43"/>
    <x v="0"/>
  </r>
  <r>
    <x v="2"/>
    <x v="0"/>
    <x v="7"/>
    <x v="3"/>
    <x v="26"/>
    <x v="0"/>
    <x v="0"/>
    <n v="1"/>
    <n v="3509.92"/>
    <n v="14218.8"/>
    <x v="0"/>
  </r>
  <r>
    <x v="2"/>
    <x v="0"/>
    <x v="7"/>
    <x v="3"/>
    <x v="26"/>
    <x v="0"/>
    <x v="1"/>
    <n v="4"/>
    <n v="23036.63"/>
    <n v="86666.96"/>
    <x v="0"/>
  </r>
  <r>
    <x v="2"/>
    <x v="0"/>
    <x v="7"/>
    <x v="3"/>
    <x v="26"/>
    <x v="1"/>
    <x v="0"/>
    <n v="10"/>
    <n v="45726.6"/>
    <n v="122642.63"/>
    <x v="0"/>
  </r>
  <r>
    <x v="2"/>
    <x v="0"/>
    <x v="7"/>
    <x v="3"/>
    <x v="26"/>
    <x v="1"/>
    <x v="1"/>
    <n v="12"/>
    <n v="46233.62"/>
    <n v="123878.18"/>
    <x v="0"/>
  </r>
  <r>
    <x v="2"/>
    <x v="0"/>
    <x v="7"/>
    <x v="3"/>
    <x v="27"/>
    <x v="0"/>
    <x v="0"/>
    <n v="1"/>
    <n v="3625.3"/>
    <n v="14218.8"/>
    <x v="0"/>
  </r>
  <r>
    <x v="2"/>
    <x v="0"/>
    <x v="7"/>
    <x v="3"/>
    <x v="27"/>
    <x v="0"/>
    <x v="1"/>
    <n v="5"/>
    <n v="24186.31"/>
    <n v="92760.73"/>
    <x v="0"/>
  </r>
  <r>
    <x v="2"/>
    <x v="0"/>
    <x v="7"/>
    <x v="3"/>
    <x v="27"/>
    <x v="1"/>
    <x v="0"/>
    <n v="1"/>
    <n v="3402.99"/>
    <n v="9167.74"/>
    <x v="0"/>
  </r>
  <r>
    <x v="2"/>
    <x v="0"/>
    <x v="7"/>
    <x v="3"/>
    <x v="27"/>
    <x v="1"/>
    <x v="1"/>
    <n v="20"/>
    <n v="103640.31"/>
    <n v="266020.18"/>
    <x v="0"/>
  </r>
  <r>
    <x v="2"/>
    <x v="0"/>
    <x v="8"/>
    <x v="0"/>
    <x v="0"/>
    <x v="0"/>
    <x v="1"/>
    <n v="1"/>
    <n v="2466.4699999999998"/>
    <n v="8989.48"/>
    <x v="0"/>
  </r>
  <r>
    <x v="2"/>
    <x v="0"/>
    <x v="8"/>
    <x v="0"/>
    <x v="0"/>
    <x v="1"/>
    <x v="0"/>
    <n v="11"/>
    <n v="37029.339999999997"/>
    <n v="87346.92"/>
    <x v="0"/>
  </r>
  <r>
    <x v="2"/>
    <x v="0"/>
    <x v="8"/>
    <x v="0"/>
    <x v="0"/>
    <x v="1"/>
    <x v="1"/>
    <n v="9"/>
    <n v="31523.3"/>
    <n v="72509.13"/>
    <x v="0"/>
  </r>
  <r>
    <x v="2"/>
    <x v="0"/>
    <x v="8"/>
    <x v="0"/>
    <x v="1"/>
    <x v="0"/>
    <x v="0"/>
    <n v="5"/>
    <n v="15828.15"/>
    <n v="55649.15"/>
    <x v="0"/>
  </r>
  <r>
    <x v="2"/>
    <x v="0"/>
    <x v="8"/>
    <x v="0"/>
    <x v="1"/>
    <x v="0"/>
    <x v="1"/>
    <n v="8"/>
    <n v="25869.71"/>
    <n v="93319.34"/>
    <x v="0"/>
  </r>
  <r>
    <x v="2"/>
    <x v="0"/>
    <x v="8"/>
    <x v="0"/>
    <x v="1"/>
    <x v="1"/>
    <x v="0"/>
    <n v="17"/>
    <n v="54094.5"/>
    <n v="122210.66"/>
    <x v="0"/>
  </r>
  <r>
    <x v="2"/>
    <x v="0"/>
    <x v="8"/>
    <x v="0"/>
    <x v="1"/>
    <x v="1"/>
    <x v="1"/>
    <n v="17"/>
    <n v="54324.49"/>
    <n v="124536.36"/>
    <x v="0"/>
  </r>
  <r>
    <x v="2"/>
    <x v="0"/>
    <x v="8"/>
    <x v="0"/>
    <x v="2"/>
    <x v="0"/>
    <x v="1"/>
    <n v="2"/>
    <n v="7866.68"/>
    <n v="27396.5"/>
    <x v="0"/>
  </r>
  <r>
    <x v="2"/>
    <x v="0"/>
    <x v="8"/>
    <x v="0"/>
    <x v="2"/>
    <x v="1"/>
    <x v="0"/>
    <n v="3"/>
    <n v="9162.42"/>
    <n v="20197.060000000001"/>
    <x v="0"/>
  </r>
  <r>
    <x v="2"/>
    <x v="0"/>
    <x v="8"/>
    <x v="0"/>
    <x v="2"/>
    <x v="1"/>
    <x v="1"/>
    <n v="24"/>
    <n v="72674.09"/>
    <n v="160019.56"/>
    <x v="0"/>
  </r>
  <r>
    <x v="2"/>
    <x v="0"/>
    <x v="8"/>
    <x v="0"/>
    <x v="3"/>
    <x v="0"/>
    <x v="0"/>
    <n v="3"/>
    <n v="7475.06"/>
    <n v="26968.44"/>
    <x v="0"/>
  </r>
  <r>
    <x v="2"/>
    <x v="0"/>
    <x v="8"/>
    <x v="0"/>
    <x v="3"/>
    <x v="0"/>
    <x v="1"/>
    <n v="9"/>
    <n v="29791.94"/>
    <n v="106589.52"/>
    <x v="0"/>
  </r>
  <r>
    <x v="2"/>
    <x v="0"/>
    <x v="8"/>
    <x v="0"/>
    <x v="3"/>
    <x v="1"/>
    <x v="0"/>
    <n v="11"/>
    <n v="35481.43"/>
    <n v="80941.63"/>
    <x v="0"/>
  </r>
  <r>
    <x v="2"/>
    <x v="0"/>
    <x v="8"/>
    <x v="0"/>
    <x v="3"/>
    <x v="1"/>
    <x v="1"/>
    <n v="28"/>
    <n v="86894.99"/>
    <n v="196675"/>
    <x v="0"/>
  </r>
  <r>
    <x v="2"/>
    <x v="0"/>
    <x v="8"/>
    <x v="0"/>
    <x v="28"/>
    <x v="1"/>
    <x v="1"/>
    <n v="4"/>
    <n v="14078.79"/>
    <n v="32475.13"/>
    <x v="0"/>
  </r>
  <r>
    <x v="2"/>
    <x v="0"/>
    <x v="8"/>
    <x v="0"/>
    <x v="4"/>
    <x v="0"/>
    <x v="1"/>
    <n v="1"/>
    <n v="2644.39"/>
    <n v="9845.6200000000008"/>
    <x v="0"/>
  </r>
  <r>
    <x v="2"/>
    <x v="0"/>
    <x v="8"/>
    <x v="0"/>
    <x v="4"/>
    <x v="1"/>
    <x v="0"/>
    <n v="6"/>
    <n v="23716.639999999999"/>
    <n v="52601.279999999999"/>
    <x v="0"/>
  </r>
  <r>
    <x v="2"/>
    <x v="0"/>
    <x v="8"/>
    <x v="0"/>
    <x v="4"/>
    <x v="1"/>
    <x v="1"/>
    <n v="3"/>
    <n v="11342.01"/>
    <n v="26300.639999999999"/>
    <x v="0"/>
  </r>
  <r>
    <x v="2"/>
    <x v="0"/>
    <x v="8"/>
    <x v="0"/>
    <x v="5"/>
    <x v="0"/>
    <x v="1"/>
    <n v="5"/>
    <n v="18306.77"/>
    <n v="64638.62"/>
    <x v="0"/>
  </r>
  <r>
    <x v="2"/>
    <x v="0"/>
    <x v="8"/>
    <x v="0"/>
    <x v="5"/>
    <x v="1"/>
    <x v="0"/>
    <n v="8"/>
    <n v="27296.12"/>
    <n v="62633.69"/>
    <x v="0"/>
  </r>
  <r>
    <x v="2"/>
    <x v="0"/>
    <x v="8"/>
    <x v="0"/>
    <x v="5"/>
    <x v="1"/>
    <x v="1"/>
    <n v="22"/>
    <n v="78982.38"/>
    <n v="184197.44"/>
    <x v="0"/>
  </r>
  <r>
    <x v="2"/>
    <x v="0"/>
    <x v="8"/>
    <x v="0"/>
    <x v="6"/>
    <x v="0"/>
    <x v="1"/>
    <n v="1"/>
    <n v="3929.78"/>
    <n v="13698.25"/>
    <x v="0"/>
  </r>
  <r>
    <x v="2"/>
    <x v="0"/>
    <x v="8"/>
    <x v="0"/>
    <x v="6"/>
    <x v="1"/>
    <x v="1"/>
    <n v="7"/>
    <n v="24899.63"/>
    <n v="57935.89"/>
    <x v="0"/>
  </r>
  <r>
    <x v="2"/>
    <x v="0"/>
    <x v="8"/>
    <x v="0"/>
    <x v="7"/>
    <x v="1"/>
    <x v="1"/>
    <n v="7"/>
    <n v="22084.42"/>
    <n v="51283.88"/>
    <x v="0"/>
  </r>
  <r>
    <x v="2"/>
    <x v="0"/>
    <x v="8"/>
    <x v="0"/>
    <x v="8"/>
    <x v="0"/>
    <x v="1"/>
    <n v="1"/>
    <n v="3968.21"/>
    <n v="13698.25"/>
    <x v="0"/>
  </r>
  <r>
    <x v="2"/>
    <x v="0"/>
    <x v="8"/>
    <x v="0"/>
    <x v="8"/>
    <x v="1"/>
    <x v="1"/>
    <n v="7"/>
    <n v="24243.34"/>
    <n v="55081.53"/>
    <x v="0"/>
  </r>
  <r>
    <x v="2"/>
    <x v="0"/>
    <x v="8"/>
    <x v="1"/>
    <x v="30"/>
    <x v="1"/>
    <x v="0"/>
    <n v="1"/>
    <n v="2457.4699999999998"/>
    <n v="6193.75"/>
    <x v="0"/>
  </r>
  <r>
    <x v="2"/>
    <x v="0"/>
    <x v="8"/>
    <x v="1"/>
    <x v="9"/>
    <x v="1"/>
    <x v="1"/>
    <n v="4"/>
    <n v="10756.88"/>
    <n v="27095.14"/>
    <x v="0"/>
  </r>
  <r>
    <x v="2"/>
    <x v="0"/>
    <x v="8"/>
    <x v="1"/>
    <x v="10"/>
    <x v="0"/>
    <x v="0"/>
    <n v="1"/>
    <n v="3858.37"/>
    <n v="13698.25"/>
    <x v="0"/>
  </r>
  <r>
    <x v="2"/>
    <x v="0"/>
    <x v="8"/>
    <x v="1"/>
    <x v="10"/>
    <x v="0"/>
    <x v="1"/>
    <n v="7"/>
    <n v="24849.98"/>
    <n v="88182.49"/>
    <x v="0"/>
  </r>
  <r>
    <x v="2"/>
    <x v="0"/>
    <x v="8"/>
    <x v="1"/>
    <x v="10"/>
    <x v="1"/>
    <x v="0"/>
    <n v="33"/>
    <n v="114009.54"/>
    <n v="278806.48"/>
    <x v="0"/>
  </r>
  <r>
    <x v="2"/>
    <x v="0"/>
    <x v="8"/>
    <x v="1"/>
    <x v="10"/>
    <x v="1"/>
    <x v="1"/>
    <n v="40"/>
    <n v="133145.07"/>
    <n v="321860.46000000002"/>
    <x v="0"/>
  </r>
  <r>
    <x v="2"/>
    <x v="0"/>
    <x v="8"/>
    <x v="1"/>
    <x v="11"/>
    <x v="0"/>
    <x v="1"/>
    <n v="10"/>
    <n v="32360.38"/>
    <n v="114294.79"/>
    <x v="0"/>
  </r>
  <r>
    <x v="2"/>
    <x v="0"/>
    <x v="8"/>
    <x v="1"/>
    <x v="11"/>
    <x v="1"/>
    <x v="0"/>
    <n v="9"/>
    <n v="31843.8"/>
    <n v="75126.350000000006"/>
    <x v="0"/>
  </r>
  <r>
    <x v="2"/>
    <x v="0"/>
    <x v="8"/>
    <x v="1"/>
    <x v="11"/>
    <x v="1"/>
    <x v="1"/>
    <n v="14"/>
    <n v="48048.06"/>
    <n v="111020.06"/>
    <x v="0"/>
  </r>
  <r>
    <x v="2"/>
    <x v="0"/>
    <x v="8"/>
    <x v="1"/>
    <x v="12"/>
    <x v="1"/>
    <x v="0"/>
    <n v="2"/>
    <n v="7331.12"/>
    <n v="18739.21"/>
    <x v="0"/>
  </r>
  <r>
    <x v="2"/>
    <x v="0"/>
    <x v="8"/>
    <x v="1"/>
    <x v="13"/>
    <x v="0"/>
    <x v="1"/>
    <n v="4"/>
    <n v="11815.03"/>
    <n v="42378.97"/>
    <x v="0"/>
  </r>
  <r>
    <x v="2"/>
    <x v="0"/>
    <x v="8"/>
    <x v="1"/>
    <x v="13"/>
    <x v="1"/>
    <x v="0"/>
    <n v="14"/>
    <n v="46350.67"/>
    <n v="109901.51"/>
    <x v="0"/>
  </r>
  <r>
    <x v="2"/>
    <x v="0"/>
    <x v="8"/>
    <x v="1"/>
    <x v="13"/>
    <x v="1"/>
    <x v="1"/>
    <n v="16"/>
    <n v="53303.68"/>
    <n v="127392.47"/>
    <x v="0"/>
  </r>
  <r>
    <x v="2"/>
    <x v="0"/>
    <x v="8"/>
    <x v="1"/>
    <x v="14"/>
    <x v="0"/>
    <x v="1"/>
    <n v="3"/>
    <n v="7805.92"/>
    <n v="28680.720000000001"/>
    <x v="0"/>
  </r>
  <r>
    <x v="2"/>
    <x v="0"/>
    <x v="8"/>
    <x v="1"/>
    <x v="14"/>
    <x v="1"/>
    <x v="0"/>
    <n v="14"/>
    <n v="43612.13"/>
    <n v="103228.31"/>
    <x v="0"/>
  </r>
  <r>
    <x v="2"/>
    <x v="0"/>
    <x v="8"/>
    <x v="1"/>
    <x v="14"/>
    <x v="1"/>
    <x v="1"/>
    <n v="5"/>
    <n v="19277.46"/>
    <n v="45555.32"/>
    <x v="0"/>
  </r>
  <r>
    <x v="2"/>
    <x v="0"/>
    <x v="8"/>
    <x v="1"/>
    <x v="15"/>
    <x v="1"/>
    <x v="0"/>
    <n v="2"/>
    <n v="7420.68"/>
    <n v="18930.98"/>
    <x v="0"/>
  </r>
  <r>
    <x v="2"/>
    <x v="0"/>
    <x v="8"/>
    <x v="1"/>
    <x v="16"/>
    <x v="0"/>
    <x v="1"/>
    <n v="2"/>
    <n v="7833.59"/>
    <n v="27396.5"/>
    <x v="0"/>
  </r>
  <r>
    <x v="2"/>
    <x v="0"/>
    <x v="8"/>
    <x v="1"/>
    <x v="16"/>
    <x v="1"/>
    <x v="0"/>
    <n v="4"/>
    <n v="10419.74"/>
    <n v="25350.33"/>
    <x v="0"/>
  </r>
  <r>
    <x v="2"/>
    <x v="0"/>
    <x v="8"/>
    <x v="1"/>
    <x v="16"/>
    <x v="1"/>
    <x v="1"/>
    <n v="2"/>
    <n v="7657.5"/>
    <n v="18026.900000000001"/>
    <x v="0"/>
  </r>
  <r>
    <x v="2"/>
    <x v="0"/>
    <x v="8"/>
    <x v="1"/>
    <x v="17"/>
    <x v="0"/>
    <x v="1"/>
    <n v="1"/>
    <n v="3786.3"/>
    <n v="13698.25"/>
    <x v="0"/>
  </r>
  <r>
    <x v="2"/>
    <x v="0"/>
    <x v="8"/>
    <x v="1"/>
    <x v="17"/>
    <x v="1"/>
    <x v="0"/>
    <n v="5"/>
    <n v="19641.32"/>
    <n v="43842.21"/>
    <x v="0"/>
  </r>
  <r>
    <x v="2"/>
    <x v="0"/>
    <x v="8"/>
    <x v="1"/>
    <x v="17"/>
    <x v="1"/>
    <x v="1"/>
    <n v="11"/>
    <n v="42425.9"/>
    <n v="97493.87"/>
    <x v="0"/>
  </r>
  <r>
    <x v="2"/>
    <x v="0"/>
    <x v="8"/>
    <x v="1"/>
    <x v="18"/>
    <x v="0"/>
    <x v="1"/>
    <n v="14"/>
    <n v="46584.55"/>
    <n v="164379.01999999999"/>
    <x v="0"/>
  </r>
  <r>
    <x v="2"/>
    <x v="0"/>
    <x v="8"/>
    <x v="1"/>
    <x v="18"/>
    <x v="1"/>
    <x v="0"/>
    <n v="7"/>
    <n v="17652.099999999999"/>
    <n v="43436.31"/>
    <x v="0"/>
  </r>
  <r>
    <x v="2"/>
    <x v="0"/>
    <x v="8"/>
    <x v="1"/>
    <x v="18"/>
    <x v="1"/>
    <x v="1"/>
    <n v="39"/>
    <n v="126843.04"/>
    <n v="313222.83"/>
    <x v="0"/>
  </r>
  <r>
    <x v="2"/>
    <x v="0"/>
    <x v="8"/>
    <x v="1"/>
    <x v="19"/>
    <x v="0"/>
    <x v="1"/>
    <n v="1"/>
    <n v="3721"/>
    <n v="13698.25"/>
    <x v="0"/>
  </r>
  <r>
    <x v="2"/>
    <x v="0"/>
    <x v="8"/>
    <x v="1"/>
    <x v="19"/>
    <x v="1"/>
    <x v="0"/>
    <n v="7"/>
    <n v="21135.09"/>
    <n v="51644.98"/>
    <x v="0"/>
  </r>
  <r>
    <x v="2"/>
    <x v="0"/>
    <x v="8"/>
    <x v="1"/>
    <x v="19"/>
    <x v="1"/>
    <x v="1"/>
    <n v="24"/>
    <n v="73960.820000000007"/>
    <n v="173688.71"/>
    <x v="0"/>
  </r>
  <r>
    <x v="2"/>
    <x v="0"/>
    <x v="8"/>
    <x v="1"/>
    <x v="20"/>
    <x v="0"/>
    <x v="0"/>
    <n v="5"/>
    <n v="17024.03"/>
    <n v="60785.99"/>
    <x v="0"/>
  </r>
  <r>
    <x v="2"/>
    <x v="0"/>
    <x v="8"/>
    <x v="1"/>
    <x v="20"/>
    <x v="0"/>
    <x v="1"/>
    <n v="18"/>
    <n v="54150.74"/>
    <n v="190063.26"/>
    <x v="0"/>
  </r>
  <r>
    <x v="2"/>
    <x v="0"/>
    <x v="8"/>
    <x v="1"/>
    <x v="20"/>
    <x v="1"/>
    <x v="0"/>
    <n v="7"/>
    <n v="23443.78"/>
    <n v="54207.839999999997"/>
    <x v="0"/>
  </r>
  <r>
    <x v="2"/>
    <x v="0"/>
    <x v="8"/>
    <x v="1"/>
    <x v="20"/>
    <x v="1"/>
    <x v="1"/>
    <n v="16"/>
    <n v="52263.54"/>
    <n v="123127.82"/>
    <x v="0"/>
  </r>
  <r>
    <x v="2"/>
    <x v="0"/>
    <x v="8"/>
    <x v="2"/>
    <x v="21"/>
    <x v="0"/>
    <x v="0"/>
    <n v="2"/>
    <n v="7741.31"/>
    <n v="27396.5"/>
    <x v="0"/>
  </r>
  <r>
    <x v="2"/>
    <x v="0"/>
    <x v="8"/>
    <x v="2"/>
    <x v="21"/>
    <x v="1"/>
    <x v="1"/>
    <n v="10"/>
    <n v="28182.55"/>
    <n v="60745.81"/>
    <x v="0"/>
  </r>
  <r>
    <x v="2"/>
    <x v="0"/>
    <x v="8"/>
    <x v="2"/>
    <x v="22"/>
    <x v="0"/>
    <x v="1"/>
    <n v="3"/>
    <n v="9429.9500000000007"/>
    <n v="33389.49"/>
    <x v="0"/>
  </r>
  <r>
    <x v="2"/>
    <x v="0"/>
    <x v="8"/>
    <x v="2"/>
    <x v="22"/>
    <x v="1"/>
    <x v="0"/>
    <n v="4"/>
    <n v="11856.89"/>
    <n v="26330.18"/>
    <x v="0"/>
  </r>
  <r>
    <x v="2"/>
    <x v="0"/>
    <x v="8"/>
    <x v="2"/>
    <x v="22"/>
    <x v="1"/>
    <x v="1"/>
    <n v="27"/>
    <n v="86282.73"/>
    <n v="183259.17"/>
    <x v="0"/>
  </r>
  <r>
    <x v="2"/>
    <x v="0"/>
    <x v="8"/>
    <x v="2"/>
    <x v="29"/>
    <x v="0"/>
    <x v="1"/>
    <n v="1"/>
    <n v="2440.5100000000002"/>
    <n v="8989.48"/>
    <x v="0"/>
  </r>
  <r>
    <x v="2"/>
    <x v="0"/>
    <x v="8"/>
    <x v="2"/>
    <x v="29"/>
    <x v="1"/>
    <x v="1"/>
    <n v="3"/>
    <n v="11904.87"/>
    <n v="26588.3"/>
    <x v="0"/>
  </r>
  <r>
    <x v="2"/>
    <x v="0"/>
    <x v="8"/>
    <x v="2"/>
    <x v="23"/>
    <x v="1"/>
    <x v="1"/>
    <n v="2"/>
    <n v="7604.82"/>
    <n v="16459.759999999998"/>
    <x v="0"/>
  </r>
  <r>
    <x v="2"/>
    <x v="0"/>
    <x v="8"/>
    <x v="2"/>
    <x v="24"/>
    <x v="0"/>
    <x v="1"/>
    <n v="4"/>
    <n v="13966.59"/>
    <n v="49656.160000000003"/>
    <x v="0"/>
  </r>
  <r>
    <x v="2"/>
    <x v="0"/>
    <x v="8"/>
    <x v="2"/>
    <x v="24"/>
    <x v="1"/>
    <x v="0"/>
    <n v="5"/>
    <n v="15746.87"/>
    <n v="34772.730000000003"/>
    <x v="0"/>
  </r>
  <r>
    <x v="2"/>
    <x v="0"/>
    <x v="8"/>
    <x v="2"/>
    <x v="24"/>
    <x v="1"/>
    <x v="1"/>
    <n v="2"/>
    <n v="7950.65"/>
    <n v="16985.82"/>
    <x v="0"/>
  </r>
  <r>
    <x v="2"/>
    <x v="0"/>
    <x v="8"/>
    <x v="3"/>
    <x v="25"/>
    <x v="1"/>
    <x v="0"/>
    <n v="16"/>
    <n v="42925.279999999999"/>
    <n v="103509.58"/>
    <x v="0"/>
  </r>
  <r>
    <x v="2"/>
    <x v="0"/>
    <x v="8"/>
    <x v="3"/>
    <x v="25"/>
    <x v="1"/>
    <x v="1"/>
    <n v="5"/>
    <n v="19501.03"/>
    <n v="46916.5"/>
    <x v="0"/>
  </r>
  <r>
    <x v="2"/>
    <x v="0"/>
    <x v="8"/>
    <x v="3"/>
    <x v="26"/>
    <x v="0"/>
    <x v="0"/>
    <n v="2"/>
    <n v="6193.92"/>
    <n v="22687.73"/>
    <x v="0"/>
  </r>
  <r>
    <x v="2"/>
    <x v="0"/>
    <x v="8"/>
    <x v="3"/>
    <x v="26"/>
    <x v="0"/>
    <x v="1"/>
    <n v="1"/>
    <n v="3776.8"/>
    <n v="13698.25"/>
    <x v="0"/>
  </r>
  <r>
    <x v="2"/>
    <x v="0"/>
    <x v="8"/>
    <x v="3"/>
    <x v="26"/>
    <x v="1"/>
    <x v="0"/>
    <n v="13"/>
    <n v="38123.589999999997"/>
    <n v="93631.85"/>
    <x v="0"/>
  </r>
  <r>
    <x v="2"/>
    <x v="0"/>
    <x v="8"/>
    <x v="3"/>
    <x v="26"/>
    <x v="1"/>
    <x v="1"/>
    <n v="24"/>
    <n v="67673.259999999995"/>
    <n v="169541.56"/>
    <x v="0"/>
  </r>
  <r>
    <x v="2"/>
    <x v="0"/>
    <x v="8"/>
    <x v="3"/>
    <x v="27"/>
    <x v="0"/>
    <x v="0"/>
    <n v="2"/>
    <n v="6485.85"/>
    <n v="22687.73"/>
    <x v="0"/>
  </r>
  <r>
    <x v="2"/>
    <x v="0"/>
    <x v="8"/>
    <x v="3"/>
    <x v="27"/>
    <x v="0"/>
    <x v="1"/>
    <n v="8"/>
    <n v="23014.89"/>
    <n v="83045.66"/>
    <x v="0"/>
  </r>
  <r>
    <x v="2"/>
    <x v="0"/>
    <x v="8"/>
    <x v="3"/>
    <x v="27"/>
    <x v="1"/>
    <x v="0"/>
    <n v="15"/>
    <n v="49966.29"/>
    <n v="120848.11"/>
    <x v="0"/>
  </r>
  <r>
    <x v="2"/>
    <x v="0"/>
    <x v="8"/>
    <x v="3"/>
    <x v="27"/>
    <x v="1"/>
    <x v="1"/>
    <n v="26"/>
    <n v="81498.52"/>
    <n v="196969.98"/>
    <x v="0"/>
  </r>
  <r>
    <x v="2"/>
    <x v="0"/>
    <x v="9"/>
    <x v="0"/>
    <x v="0"/>
    <x v="0"/>
    <x v="0"/>
    <n v="1"/>
    <n v="1980.32"/>
    <n v="7170.54"/>
    <x v="0"/>
  </r>
  <r>
    <x v="2"/>
    <x v="0"/>
    <x v="9"/>
    <x v="0"/>
    <x v="0"/>
    <x v="0"/>
    <x v="1"/>
    <n v="2"/>
    <n v="5383.31"/>
    <n v="18643.400000000001"/>
    <x v="0"/>
  </r>
  <r>
    <x v="2"/>
    <x v="0"/>
    <x v="9"/>
    <x v="0"/>
    <x v="0"/>
    <x v="1"/>
    <x v="0"/>
    <n v="6"/>
    <n v="13156.25"/>
    <n v="30481.95"/>
    <x v="0"/>
  </r>
  <r>
    <x v="2"/>
    <x v="0"/>
    <x v="9"/>
    <x v="0"/>
    <x v="0"/>
    <x v="1"/>
    <x v="1"/>
    <n v="14"/>
    <n v="40593.82"/>
    <n v="90976.92"/>
    <x v="0"/>
  </r>
  <r>
    <x v="2"/>
    <x v="0"/>
    <x v="9"/>
    <x v="0"/>
    <x v="1"/>
    <x v="0"/>
    <x v="0"/>
    <n v="4"/>
    <n v="9738.2199999999993"/>
    <n v="33343"/>
    <x v="0"/>
  </r>
  <r>
    <x v="2"/>
    <x v="0"/>
    <x v="9"/>
    <x v="0"/>
    <x v="1"/>
    <x v="0"/>
    <x v="1"/>
    <n v="6"/>
    <n v="18915.73"/>
    <n v="64534.84"/>
    <x v="0"/>
  </r>
  <r>
    <x v="2"/>
    <x v="0"/>
    <x v="9"/>
    <x v="0"/>
    <x v="1"/>
    <x v="1"/>
    <x v="0"/>
    <n v="4"/>
    <n v="9790.5400000000009"/>
    <n v="21209.02"/>
    <x v="0"/>
  </r>
  <r>
    <x v="2"/>
    <x v="0"/>
    <x v="9"/>
    <x v="0"/>
    <x v="1"/>
    <x v="1"/>
    <x v="1"/>
    <n v="10"/>
    <n v="22817.599999999999"/>
    <n v="51639.34"/>
    <x v="0"/>
  </r>
  <r>
    <x v="2"/>
    <x v="0"/>
    <x v="9"/>
    <x v="0"/>
    <x v="2"/>
    <x v="0"/>
    <x v="1"/>
    <n v="2"/>
    <n v="4373.62"/>
    <n v="14699.6"/>
    <x v="0"/>
  </r>
  <r>
    <x v="2"/>
    <x v="0"/>
    <x v="9"/>
    <x v="0"/>
    <x v="2"/>
    <x v="1"/>
    <x v="0"/>
    <n v="3"/>
    <n v="6147.93"/>
    <n v="13358.72"/>
    <x v="0"/>
  </r>
  <r>
    <x v="2"/>
    <x v="0"/>
    <x v="9"/>
    <x v="0"/>
    <x v="2"/>
    <x v="1"/>
    <x v="1"/>
    <n v="6"/>
    <n v="15340.66"/>
    <n v="32951.49"/>
    <x v="0"/>
  </r>
  <r>
    <x v="2"/>
    <x v="0"/>
    <x v="9"/>
    <x v="0"/>
    <x v="3"/>
    <x v="0"/>
    <x v="0"/>
    <n v="3"/>
    <n v="6271.61"/>
    <n v="21511.62"/>
    <x v="0"/>
  </r>
  <r>
    <x v="2"/>
    <x v="0"/>
    <x v="9"/>
    <x v="0"/>
    <x v="3"/>
    <x v="0"/>
    <x v="1"/>
    <n v="2"/>
    <n v="5845.13"/>
    <n v="19718.98"/>
    <x v="0"/>
  </r>
  <r>
    <x v="2"/>
    <x v="0"/>
    <x v="9"/>
    <x v="0"/>
    <x v="3"/>
    <x v="1"/>
    <x v="0"/>
    <n v="16"/>
    <n v="36100.300000000003"/>
    <n v="80665.100000000006"/>
    <x v="0"/>
  </r>
  <r>
    <x v="2"/>
    <x v="0"/>
    <x v="9"/>
    <x v="0"/>
    <x v="3"/>
    <x v="1"/>
    <x v="1"/>
    <n v="11"/>
    <n v="24636.84"/>
    <n v="54672.37"/>
    <x v="0"/>
  </r>
  <r>
    <x v="2"/>
    <x v="0"/>
    <x v="9"/>
    <x v="0"/>
    <x v="28"/>
    <x v="1"/>
    <x v="1"/>
    <n v="6"/>
    <n v="17599.810000000001"/>
    <n v="39392.07"/>
    <x v="0"/>
  </r>
  <r>
    <x v="2"/>
    <x v="0"/>
    <x v="9"/>
    <x v="0"/>
    <x v="4"/>
    <x v="0"/>
    <x v="1"/>
    <n v="3"/>
    <n v="7723.36"/>
    <n v="26530.98"/>
    <x v="0"/>
  </r>
  <r>
    <x v="2"/>
    <x v="0"/>
    <x v="9"/>
    <x v="0"/>
    <x v="4"/>
    <x v="1"/>
    <x v="0"/>
    <n v="11"/>
    <n v="24376.01"/>
    <n v="53692.97"/>
    <x v="0"/>
  </r>
  <r>
    <x v="2"/>
    <x v="0"/>
    <x v="9"/>
    <x v="0"/>
    <x v="4"/>
    <x v="1"/>
    <x v="1"/>
    <n v="8"/>
    <n v="20333.46"/>
    <n v="44055.38"/>
    <x v="0"/>
  </r>
  <r>
    <x v="2"/>
    <x v="0"/>
    <x v="9"/>
    <x v="0"/>
    <x v="5"/>
    <x v="0"/>
    <x v="1"/>
    <n v="5"/>
    <n v="14571.91"/>
    <n v="49835.24"/>
    <x v="0"/>
  </r>
  <r>
    <x v="2"/>
    <x v="0"/>
    <x v="9"/>
    <x v="0"/>
    <x v="5"/>
    <x v="1"/>
    <x v="0"/>
    <n v="3"/>
    <n v="8876.5"/>
    <n v="19846.62"/>
    <x v="0"/>
  </r>
  <r>
    <x v="2"/>
    <x v="0"/>
    <x v="9"/>
    <x v="0"/>
    <x v="5"/>
    <x v="1"/>
    <x v="1"/>
    <n v="7"/>
    <n v="18270.009999999998"/>
    <n v="40874.559999999998"/>
    <x v="0"/>
  </r>
  <r>
    <x v="2"/>
    <x v="0"/>
    <x v="9"/>
    <x v="0"/>
    <x v="6"/>
    <x v="0"/>
    <x v="1"/>
    <n v="3"/>
    <n v="6606.18"/>
    <n v="22587.200000000001"/>
    <x v="0"/>
  </r>
  <r>
    <x v="2"/>
    <x v="0"/>
    <x v="9"/>
    <x v="0"/>
    <x v="7"/>
    <x v="1"/>
    <x v="1"/>
    <n v="2"/>
    <n v="6831.08"/>
    <n v="15327.74"/>
    <x v="0"/>
  </r>
  <r>
    <x v="2"/>
    <x v="0"/>
    <x v="9"/>
    <x v="0"/>
    <x v="8"/>
    <x v="0"/>
    <x v="1"/>
    <n v="2"/>
    <n v="4181.3"/>
    <n v="14699.6"/>
    <x v="0"/>
  </r>
  <r>
    <x v="2"/>
    <x v="0"/>
    <x v="9"/>
    <x v="1"/>
    <x v="30"/>
    <x v="1"/>
    <x v="0"/>
    <n v="5"/>
    <n v="10585.6"/>
    <n v="24702.51"/>
    <x v="0"/>
  </r>
  <r>
    <x v="2"/>
    <x v="0"/>
    <x v="9"/>
    <x v="1"/>
    <x v="9"/>
    <x v="1"/>
    <x v="1"/>
    <n v="3"/>
    <n v="8156.43"/>
    <n v="19024.099999999999"/>
    <x v="0"/>
  </r>
  <r>
    <x v="2"/>
    <x v="0"/>
    <x v="9"/>
    <x v="1"/>
    <x v="31"/>
    <x v="1"/>
    <x v="0"/>
    <n v="1"/>
    <n v="2171.96"/>
    <n v="5232.7"/>
    <x v="0"/>
  </r>
  <r>
    <x v="2"/>
    <x v="0"/>
    <x v="9"/>
    <x v="1"/>
    <x v="10"/>
    <x v="0"/>
    <x v="1"/>
    <n v="5"/>
    <n v="10392.99"/>
    <n v="36928.26"/>
    <x v="0"/>
  </r>
  <r>
    <x v="2"/>
    <x v="0"/>
    <x v="9"/>
    <x v="1"/>
    <x v="10"/>
    <x v="1"/>
    <x v="0"/>
    <n v="8"/>
    <n v="18326.21"/>
    <n v="42545.65"/>
    <x v="0"/>
  </r>
  <r>
    <x v="2"/>
    <x v="0"/>
    <x v="9"/>
    <x v="1"/>
    <x v="10"/>
    <x v="1"/>
    <x v="1"/>
    <n v="17"/>
    <n v="41583.99"/>
    <n v="97607.58"/>
    <x v="0"/>
  </r>
  <r>
    <x v="2"/>
    <x v="0"/>
    <x v="9"/>
    <x v="1"/>
    <x v="11"/>
    <x v="0"/>
    <x v="1"/>
    <n v="15"/>
    <n v="37565.040000000001"/>
    <n v="130145.26"/>
    <x v="0"/>
  </r>
  <r>
    <x v="2"/>
    <x v="0"/>
    <x v="9"/>
    <x v="1"/>
    <x v="11"/>
    <x v="1"/>
    <x v="0"/>
    <n v="4"/>
    <n v="10735.1"/>
    <n v="24702.5"/>
    <x v="0"/>
  </r>
  <r>
    <x v="2"/>
    <x v="0"/>
    <x v="9"/>
    <x v="1"/>
    <x v="11"/>
    <x v="1"/>
    <x v="1"/>
    <n v="21"/>
    <n v="51133.62"/>
    <n v="114027.01"/>
    <x v="0"/>
  </r>
  <r>
    <x v="2"/>
    <x v="0"/>
    <x v="9"/>
    <x v="1"/>
    <x v="13"/>
    <x v="0"/>
    <x v="1"/>
    <n v="4"/>
    <n v="13230.76"/>
    <n v="45891.44"/>
    <x v="0"/>
  </r>
  <r>
    <x v="2"/>
    <x v="0"/>
    <x v="9"/>
    <x v="1"/>
    <x v="13"/>
    <x v="1"/>
    <x v="0"/>
    <n v="3"/>
    <n v="10281.120000000001"/>
    <n v="23439.05"/>
    <x v="0"/>
  </r>
  <r>
    <x v="2"/>
    <x v="0"/>
    <x v="9"/>
    <x v="1"/>
    <x v="13"/>
    <x v="1"/>
    <x v="1"/>
    <n v="14"/>
    <n v="33256.49"/>
    <n v="77701.05"/>
    <x v="0"/>
  </r>
  <r>
    <x v="2"/>
    <x v="0"/>
    <x v="9"/>
    <x v="1"/>
    <x v="14"/>
    <x v="0"/>
    <x v="1"/>
    <n v="1"/>
    <n v="2024.16"/>
    <n v="7170.54"/>
    <x v="0"/>
  </r>
  <r>
    <x v="2"/>
    <x v="0"/>
    <x v="9"/>
    <x v="1"/>
    <x v="14"/>
    <x v="1"/>
    <x v="0"/>
    <n v="6"/>
    <n v="13012.86"/>
    <n v="29697.5"/>
    <x v="0"/>
  </r>
  <r>
    <x v="2"/>
    <x v="0"/>
    <x v="9"/>
    <x v="1"/>
    <x v="14"/>
    <x v="1"/>
    <x v="1"/>
    <n v="5"/>
    <n v="14802.7"/>
    <n v="32434.080000000002"/>
    <x v="0"/>
  </r>
  <r>
    <x v="2"/>
    <x v="0"/>
    <x v="9"/>
    <x v="1"/>
    <x v="15"/>
    <x v="1"/>
    <x v="0"/>
    <n v="6"/>
    <n v="16166.97"/>
    <n v="38647.769999999997"/>
    <x v="0"/>
  </r>
  <r>
    <x v="2"/>
    <x v="0"/>
    <x v="9"/>
    <x v="1"/>
    <x v="15"/>
    <x v="1"/>
    <x v="1"/>
    <n v="2"/>
    <n v="3963.76"/>
    <n v="9909.69"/>
    <x v="0"/>
  </r>
  <r>
    <x v="2"/>
    <x v="0"/>
    <x v="9"/>
    <x v="1"/>
    <x v="16"/>
    <x v="1"/>
    <x v="0"/>
    <n v="7"/>
    <n v="21312.78"/>
    <n v="48125.78"/>
    <x v="0"/>
  </r>
  <r>
    <x v="2"/>
    <x v="0"/>
    <x v="9"/>
    <x v="1"/>
    <x v="16"/>
    <x v="1"/>
    <x v="1"/>
    <n v="10"/>
    <n v="22426.53"/>
    <n v="51664.42"/>
    <x v="0"/>
  </r>
  <r>
    <x v="2"/>
    <x v="0"/>
    <x v="9"/>
    <x v="1"/>
    <x v="17"/>
    <x v="0"/>
    <x v="1"/>
    <n v="1"/>
    <n v="2073.84"/>
    <n v="7529.06"/>
    <x v="0"/>
  </r>
  <r>
    <x v="2"/>
    <x v="0"/>
    <x v="9"/>
    <x v="1"/>
    <x v="17"/>
    <x v="1"/>
    <x v="0"/>
    <n v="8"/>
    <n v="22508.54"/>
    <n v="51187.62"/>
    <x v="0"/>
  </r>
  <r>
    <x v="2"/>
    <x v="0"/>
    <x v="9"/>
    <x v="1"/>
    <x v="18"/>
    <x v="0"/>
    <x v="1"/>
    <n v="4"/>
    <n v="9609.41"/>
    <n v="33343"/>
    <x v="0"/>
  </r>
  <r>
    <x v="2"/>
    <x v="0"/>
    <x v="9"/>
    <x v="1"/>
    <x v="18"/>
    <x v="1"/>
    <x v="0"/>
    <n v="5"/>
    <n v="12428.42"/>
    <n v="29437.99"/>
    <x v="0"/>
  </r>
  <r>
    <x v="2"/>
    <x v="0"/>
    <x v="9"/>
    <x v="1"/>
    <x v="18"/>
    <x v="1"/>
    <x v="1"/>
    <n v="26"/>
    <n v="63121.87"/>
    <n v="152112.65"/>
    <x v="0"/>
  </r>
  <r>
    <x v="2"/>
    <x v="0"/>
    <x v="9"/>
    <x v="1"/>
    <x v="19"/>
    <x v="0"/>
    <x v="1"/>
    <n v="4"/>
    <n v="12473.62"/>
    <n v="42664.7"/>
    <x v="0"/>
  </r>
  <r>
    <x v="2"/>
    <x v="0"/>
    <x v="9"/>
    <x v="1"/>
    <x v="19"/>
    <x v="1"/>
    <x v="0"/>
    <n v="16"/>
    <n v="38093.79"/>
    <n v="88926.15"/>
    <x v="0"/>
  </r>
  <r>
    <x v="2"/>
    <x v="0"/>
    <x v="9"/>
    <x v="1"/>
    <x v="19"/>
    <x v="1"/>
    <x v="1"/>
    <n v="4"/>
    <n v="13529.74"/>
    <n v="30601.95"/>
    <x v="0"/>
  </r>
  <r>
    <x v="2"/>
    <x v="0"/>
    <x v="9"/>
    <x v="1"/>
    <x v="20"/>
    <x v="0"/>
    <x v="0"/>
    <n v="1"/>
    <n v="1993.99"/>
    <n v="7170.54"/>
    <x v="0"/>
  </r>
  <r>
    <x v="2"/>
    <x v="0"/>
    <x v="9"/>
    <x v="1"/>
    <x v="20"/>
    <x v="0"/>
    <x v="1"/>
    <n v="5"/>
    <n v="13058.13"/>
    <n v="44815.86"/>
    <x v="0"/>
  </r>
  <r>
    <x v="2"/>
    <x v="0"/>
    <x v="9"/>
    <x v="1"/>
    <x v="20"/>
    <x v="1"/>
    <x v="0"/>
    <n v="16"/>
    <n v="36761.1"/>
    <n v="81604.02"/>
    <x v="0"/>
  </r>
  <r>
    <x v="2"/>
    <x v="0"/>
    <x v="9"/>
    <x v="1"/>
    <x v="20"/>
    <x v="1"/>
    <x v="1"/>
    <n v="9"/>
    <n v="23858.080000000002"/>
    <n v="52997.53"/>
    <x v="0"/>
  </r>
  <r>
    <x v="2"/>
    <x v="0"/>
    <x v="9"/>
    <x v="2"/>
    <x v="21"/>
    <x v="0"/>
    <x v="0"/>
    <n v="1"/>
    <n v="2102.46"/>
    <n v="7170.54"/>
    <x v="0"/>
  </r>
  <r>
    <x v="2"/>
    <x v="0"/>
    <x v="9"/>
    <x v="2"/>
    <x v="22"/>
    <x v="1"/>
    <x v="0"/>
    <n v="5"/>
    <n v="10443.33"/>
    <n v="22270.98"/>
    <x v="0"/>
  </r>
  <r>
    <x v="2"/>
    <x v="0"/>
    <x v="9"/>
    <x v="2"/>
    <x v="22"/>
    <x v="1"/>
    <x v="1"/>
    <n v="15"/>
    <n v="49227.47"/>
    <n v="102184.46"/>
    <x v="0"/>
  </r>
  <r>
    <x v="2"/>
    <x v="0"/>
    <x v="9"/>
    <x v="2"/>
    <x v="29"/>
    <x v="0"/>
    <x v="1"/>
    <n v="5"/>
    <n v="13415.96"/>
    <n v="45532.92"/>
    <x v="0"/>
  </r>
  <r>
    <x v="2"/>
    <x v="0"/>
    <x v="9"/>
    <x v="2"/>
    <x v="29"/>
    <x v="1"/>
    <x v="1"/>
    <n v="2"/>
    <n v="4367.24"/>
    <n v="9742.6"/>
    <x v="0"/>
  </r>
  <r>
    <x v="2"/>
    <x v="0"/>
    <x v="9"/>
    <x v="2"/>
    <x v="24"/>
    <x v="0"/>
    <x v="1"/>
    <n v="1"/>
    <n v="2049.9499999999998"/>
    <n v="7170.54"/>
    <x v="0"/>
  </r>
  <r>
    <x v="2"/>
    <x v="0"/>
    <x v="9"/>
    <x v="2"/>
    <x v="24"/>
    <x v="1"/>
    <x v="1"/>
    <n v="2"/>
    <n v="3979.46"/>
    <n v="8891.4699999999993"/>
    <x v="0"/>
  </r>
  <r>
    <x v="2"/>
    <x v="0"/>
    <x v="9"/>
    <x v="3"/>
    <x v="25"/>
    <x v="1"/>
    <x v="0"/>
    <n v="7"/>
    <n v="23287.31"/>
    <n v="55012.37"/>
    <x v="0"/>
  </r>
  <r>
    <x v="2"/>
    <x v="0"/>
    <x v="9"/>
    <x v="3"/>
    <x v="25"/>
    <x v="1"/>
    <x v="1"/>
    <n v="8"/>
    <n v="16263.94"/>
    <n v="39540.15"/>
    <x v="0"/>
  </r>
  <r>
    <x v="2"/>
    <x v="0"/>
    <x v="9"/>
    <x v="3"/>
    <x v="26"/>
    <x v="0"/>
    <x v="1"/>
    <n v="2"/>
    <n v="4614.3"/>
    <n v="15775.18"/>
    <x v="0"/>
  </r>
  <r>
    <x v="2"/>
    <x v="0"/>
    <x v="9"/>
    <x v="3"/>
    <x v="26"/>
    <x v="1"/>
    <x v="0"/>
    <n v="8"/>
    <n v="20380.259999999998"/>
    <n v="48487.19"/>
    <x v="0"/>
  </r>
  <r>
    <x v="2"/>
    <x v="0"/>
    <x v="9"/>
    <x v="3"/>
    <x v="26"/>
    <x v="1"/>
    <x v="1"/>
    <n v="23"/>
    <n v="58899.95"/>
    <n v="140761.26999999999"/>
    <x v="0"/>
  </r>
  <r>
    <x v="2"/>
    <x v="0"/>
    <x v="9"/>
    <x v="3"/>
    <x v="27"/>
    <x v="0"/>
    <x v="0"/>
    <n v="4"/>
    <n v="11300.08"/>
    <n v="38003.839999999997"/>
    <x v="0"/>
  </r>
  <r>
    <x v="2"/>
    <x v="0"/>
    <x v="9"/>
    <x v="3"/>
    <x v="27"/>
    <x v="0"/>
    <x v="1"/>
    <n v="6"/>
    <n v="14042.07"/>
    <n v="48401.120000000003"/>
    <x v="0"/>
  </r>
  <r>
    <x v="2"/>
    <x v="0"/>
    <x v="9"/>
    <x v="3"/>
    <x v="27"/>
    <x v="1"/>
    <x v="0"/>
    <n v="12"/>
    <n v="24449.95"/>
    <n v="58615.62"/>
    <x v="0"/>
  </r>
  <r>
    <x v="2"/>
    <x v="0"/>
    <x v="9"/>
    <x v="3"/>
    <x v="27"/>
    <x v="1"/>
    <x v="1"/>
    <n v="29"/>
    <n v="81567.05"/>
    <n v="188816.06"/>
    <x v="0"/>
  </r>
  <r>
    <x v="2"/>
    <x v="1"/>
    <x v="0"/>
    <x v="0"/>
    <x v="0"/>
    <x v="0"/>
    <x v="0"/>
    <n v="1"/>
    <n v="8327.7900000000009"/>
    <n v="33952.769999999997"/>
    <x v="1"/>
  </r>
  <r>
    <x v="2"/>
    <x v="1"/>
    <x v="0"/>
    <x v="0"/>
    <x v="0"/>
    <x v="0"/>
    <x v="1"/>
    <n v="3"/>
    <n v="23477.78"/>
    <n v="101588.89"/>
    <x v="1"/>
  </r>
  <r>
    <x v="2"/>
    <x v="1"/>
    <x v="0"/>
    <x v="0"/>
    <x v="0"/>
    <x v="1"/>
    <x v="0"/>
    <n v="9"/>
    <n v="56264.6"/>
    <n v="160723.07"/>
    <x v="1"/>
  </r>
  <r>
    <x v="2"/>
    <x v="1"/>
    <x v="0"/>
    <x v="0"/>
    <x v="0"/>
    <x v="1"/>
    <x v="1"/>
    <n v="21"/>
    <n v="153956.16"/>
    <n v="439989.48"/>
    <x v="1"/>
  </r>
  <r>
    <x v="2"/>
    <x v="1"/>
    <x v="0"/>
    <x v="0"/>
    <x v="1"/>
    <x v="0"/>
    <x v="0"/>
    <n v="1"/>
    <n v="5400.14"/>
    <n v="23909.77"/>
    <x v="1"/>
  </r>
  <r>
    <x v="2"/>
    <x v="1"/>
    <x v="0"/>
    <x v="0"/>
    <x v="1"/>
    <x v="0"/>
    <x v="1"/>
    <n v="4"/>
    <n v="21737.52"/>
    <n v="93582.71"/>
    <x v="1"/>
  </r>
  <r>
    <x v="2"/>
    <x v="1"/>
    <x v="0"/>
    <x v="0"/>
    <x v="1"/>
    <x v="1"/>
    <x v="0"/>
    <n v="13"/>
    <n v="88955.03"/>
    <n v="244966.42"/>
    <x v="1"/>
  </r>
  <r>
    <x v="2"/>
    <x v="1"/>
    <x v="0"/>
    <x v="0"/>
    <x v="1"/>
    <x v="1"/>
    <x v="1"/>
    <n v="28"/>
    <n v="186743.07"/>
    <n v="504411.61"/>
    <x v="1"/>
  </r>
  <r>
    <x v="2"/>
    <x v="1"/>
    <x v="0"/>
    <x v="0"/>
    <x v="2"/>
    <x v="0"/>
    <x v="1"/>
    <n v="4"/>
    <n v="29654.37"/>
    <n v="126190.32"/>
    <x v="1"/>
  </r>
  <r>
    <x v="2"/>
    <x v="1"/>
    <x v="0"/>
    <x v="0"/>
    <x v="2"/>
    <x v="1"/>
    <x v="0"/>
    <n v="9"/>
    <n v="57842.239999999998"/>
    <n v="160367.85999999999"/>
    <x v="1"/>
  </r>
  <r>
    <x v="2"/>
    <x v="1"/>
    <x v="0"/>
    <x v="0"/>
    <x v="2"/>
    <x v="1"/>
    <x v="1"/>
    <n v="9"/>
    <n v="65431.01"/>
    <n v="172354.98"/>
    <x v="1"/>
  </r>
  <r>
    <x v="2"/>
    <x v="1"/>
    <x v="0"/>
    <x v="0"/>
    <x v="3"/>
    <x v="0"/>
    <x v="0"/>
    <n v="4"/>
    <n v="23391.18"/>
    <n v="98650.13"/>
    <x v="1"/>
  </r>
  <r>
    <x v="2"/>
    <x v="1"/>
    <x v="0"/>
    <x v="0"/>
    <x v="3"/>
    <x v="0"/>
    <x v="1"/>
    <n v="6"/>
    <n v="43820.74"/>
    <n v="176832.95"/>
    <x v="1"/>
  </r>
  <r>
    <x v="2"/>
    <x v="1"/>
    <x v="0"/>
    <x v="0"/>
    <x v="3"/>
    <x v="1"/>
    <x v="0"/>
    <n v="5"/>
    <n v="27038.15"/>
    <n v="75776.710000000006"/>
    <x v="1"/>
  </r>
  <r>
    <x v="2"/>
    <x v="1"/>
    <x v="0"/>
    <x v="0"/>
    <x v="3"/>
    <x v="1"/>
    <x v="1"/>
    <n v="20"/>
    <n v="136062.45000000001"/>
    <n v="353068.71"/>
    <x v="1"/>
  </r>
  <r>
    <x v="2"/>
    <x v="1"/>
    <x v="0"/>
    <x v="0"/>
    <x v="28"/>
    <x v="1"/>
    <x v="1"/>
    <n v="6"/>
    <n v="33734.43"/>
    <n v="93813.4"/>
    <x v="1"/>
  </r>
  <r>
    <x v="2"/>
    <x v="1"/>
    <x v="0"/>
    <x v="0"/>
    <x v="4"/>
    <x v="0"/>
    <x v="1"/>
    <n v="2"/>
    <n v="14992.54"/>
    <n v="67406.64"/>
    <x v="1"/>
  </r>
  <r>
    <x v="2"/>
    <x v="1"/>
    <x v="0"/>
    <x v="0"/>
    <x v="4"/>
    <x v="1"/>
    <x v="1"/>
    <n v="3"/>
    <n v="18313.57"/>
    <n v="47022.75"/>
    <x v="1"/>
  </r>
  <r>
    <x v="2"/>
    <x v="1"/>
    <x v="0"/>
    <x v="0"/>
    <x v="5"/>
    <x v="0"/>
    <x v="1"/>
    <n v="6"/>
    <n v="39016.15"/>
    <n v="174282.59"/>
    <x v="1"/>
  </r>
  <r>
    <x v="2"/>
    <x v="1"/>
    <x v="0"/>
    <x v="0"/>
    <x v="5"/>
    <x v="1"/>
    <x v="0"/>
    <n v="3"/>
    <n v="23636.92"/>
    <n v="65102.57"/>
    <x v="1"/>
  </r>
  <r>
    <x v="2"/>
    <x v="1"/>
    <x v="0"/>
    <x v="0"/>
    <x v="5"/>
    <x v="1"/>
    <x v="1"/>
    <n v="45"/>
    <n v="298039.51"/>
    <n v="853057.42"/>
    <x v="1"/>
  </r>
  <r>
    <x v="2"/>
    <x v="1"/>
    <x v="0"/>
    <x v="0"/>
    <x v="6"/>
    <x v="0"/>
    <x v="1"/>
    <n v="1"/>
    <n v="8484.9500000000007"/>
    <n v="33725.410000000003"/>
    <x v="1"/>
  </r>
  <r>
    <x v="2"/>
    <x v="1"/>
    <x v="0"/>
    <x v="0"/>
    <x v="7"/>
    <x v="1"/>
    <x v="1"/>
    <n v="4"/>
    <n v="26384.66"/>
    <n v="78217.56"/>
    <x v="1"/>
  </r>
  <r>
    <x v="2"/>
    <x v="1"/>
    <x v="0"/>
    <x v="0"/>
    <x v="8"/>
    <x v="0"/>
    <x v="1"/>
    <n v="5"/>
    <n v="36694.32"/>
    <n v="160137.42000000001"/>
    <x v="1"/>
  </r>
  <r>
    <x v="2"/>
    <x v="1"/>
    <x v="0"/>
    <x v="0"/>
    <x v="8"/>
    <x v="1"/>
    <x v="1"/>
    <n v="1"/>
    <n v="5308.38"/>
    <n v="15554.75"/>
    <x v="1"/>
  </r>
  <r>
    <x v="2"/>
    <x v="1"/>
    <x v="0"/>
    <x v="1"/>
    <x v="9"/>
    <x v="1"/>
    <x v="1"/>
    <n v="14"/>
    <n v="79907.740000000005"/>
    <n v="233494.1"/>
    <x v="1"/>
  </r>
  <r>
    <x v="2"/>
    <x v="1"/>
    <x v="0"/>
    <x v="1"/>
    <x v="31"/>
    <x v="1"/>
    <x v="0"/>
    <n v="7"/>
    <n v="44952.34"/>
    <n v="121039.1"/>
    <x v="1"/>
  </r>
  <r>
    <x v="2"/>
    <x v="1"/>
    <x v="0"/>
    <x v="1"/>
    <x v="10"/>
    <x v="0"/>
    <x v="0"/>
    <n v="7"/>
    <n v="45827.26"/>
    <n v="191766.7"/>
    <x v="1"/>
  </r>
  <r>
    <x v="2"/>
    <x v="1"/>
    <x v="0"/>
    <x v="1"/>
    <x v="10"/>
    <x v="0"/>
    <x v="1"/>
    <n v="8"/>
    <n v="60727.6"/>
    <n v="252425.2"/>
    <x v="1"/>
  </r>
  <r>
    <x v="2"/>
    <x v="1"/>
    <x v="0"/>
    <x v="1"/>
    <x v="10"/>
    <x v="1"/>
    <x v="0"/>
    <n v="8"/>
    <n v="56841.4"/>
    <n v="166068.57"/>
    <x v="1"/>
  </r>
  <r>
    <x v="2"/>
    <x v="1"/>
    <x v="0"/>
    <x v="1"/>
    <x v="10"/>
    <x v="1"/>
    <x v="1"/>
    <n v="18"/>
    <n v="131252.39000000001"/>
    <n v="370012.59"/>
    <x v="1"/>
  </r>
  <r>
    <x v="2"/>
    <x v="1"/>
    <x v="0"/>
    <x v="1"/>
    <x v="11"/>
    <x v="0"/>
    <x v="1"/>
    <n v="17"/>
    <n v="119382.16"/>
    <n v="501523.85"/>
    <x v="1"/>
  </r>
  <r>
    <x v="2"/>
    <x v="1"/>
    <x v="0"/>
    <x v="1"/>
    <x v="11"/>
    <x v="1"/>
    <x v="0"/>
    <n v="4"/>
    <n v="30440.62"/>
    <n v="84034.880000000005"/>
    <x v="1"/>
  </r>
  <r>
    <x v="2"/>
    <x v="1"/>
    <x v="0"/>
    <x v="1"/>
    <x v="11"/>
    <x v="1"/>
    <x v="1"/>
    <n v="39"/>
    <n v="282792.2"/>
    <n v="769073.81"/>
    <x v="1"/>
  </r>
  <r>
    <x v="2"/>
    <x v="1"/>
    <x v="0"/>
    <x v="1"/>
    <x v="12"/>
    <x v="1"/>
    <x v="0"/>
    <n v="2"/>
    <n v="15439.46"/>
    <n v="44684.03"/>
    <x v="1"/>
  </r>
  <r>
    <x v="2"/>
    <x v="1"/>
    <x v="0"/>
    <x v="1"/>
    <x v="12"/>
    <x v="1"/>
    <x v="1"/>
    <n v="2"/>
    <n v="15567.26"/>
    <n v="44826.96"/>
    <x v="1"/>
  </r>
  <r>
    <x v="2"/>
    <x v="1"/>
    <x v="0"/>
    <x v="1"/>
    <x v="13"/>
    <x v="0"/>
    <x v="1"/>
    <n v="9"/>
    <n v="54029.39"/>
    <n v="219233.71"/>
    <x v="1"/>
  </r>
  <r>
    <x v="2"/>
    <x v="1"/>
    <x v="0"/>
    <x v="1"/>
    <x v="13"/>
    <x v="1"/>
    <x v="0"/>
    <n v="1"/>
    <n v="4845.34"/>
    <n v="14686.74"/>
    <x v="1"/>
  </r>
  <r>
    <x v="2"/>
    <x v="1"/>
    <x v="0"/>
    <x v="1"/>
    <x v="13"/>
    <x v="1"/>
    <x v="1"/>
    <n v="9"/>
    <n v="60068.29"/>
    <n v="172777.96"/>
    <x v="1"/>
  </r>
  <r>
    <x v="2"/>
    <x v="1"/>
    <x v="0"/>
    <x v="1"/>
    <x v="14"/>
    <x v="0"/>
    <x v="1"/>
    <n v="6"/>
    <n v="37632.1"/>
    <n v="150484.15"/>
    <x v="1"/>
  </r>
  <r>
    <x v="2"/>
    <x v="1"/>
    <x v="0"/>
    <x v="1"/>
    <x v="14"/>
    <x v="1"/>
    <x v="0"/>
    <n v="23"/>
    <n v="139585.82999999999"/>
    <n v="393115.88"/>
    <x v="1"/>
  </r>
  <r>
    <x v="2"/>
    <x v="1"/>
    <x v="0"/>
    <x v="1"/>
    <x v="14"/>
    <x v="1"/>
    <x v="1"/>
    <n v="6"/>
    <n v="44802.94"/>
    <n v="124014.59"/>
    <x v="1"/>
  </r>
  <r>
    <x v="2"/>
    <x v="1"/>
    <x v="0"/>
    <x v="1"/>
    <x v="15"/>
    <x v="1"/>
    <x v="0"/>
    <n v="4"/>
    <n v="28398.53"/>
    <n v="84515.58"/>
    <x v="1"/>
  </r>
  <r>
    <x v="2"/>
    <x v="1"/>
    <x v="0"/>
    <x v="1"/>
    <x v="15"/>
    <x v="1"/>
    <x v="1"/>
    <n v="1"/>
    <n v="8184.5"/>
    <n v="22517.360000000001"/>
    <x v="1"/>
  </r>
  <r>
    <x v="2"/>
    <x v="1"/>
    <x v="0"/>
    <x v="1"/>
    <x v="16"/>
    <x v="0"/>
    <x v="1"/>
    <n v="5"/>
    <n v="39395.410000000003"/>
    <n v="169168.28"/>
    <x v="1"/>
  </r>
  <r>
    <x v="2"/>
    <x v="1"/>
    <x v="0"/>
    <x v="1"/>
    <x v="16"/>
    <x v="1"/>
    <x v="0"/>
    <n v="11"/>
    <n v="78005.56"/>
    <n v="221291.34"/>
    <x v="1"/>
  </r>
  <r>
    <x v="2"/>
    <x v="1"/>
    <x v="0"/>
    <x v="1"/>
    <x v="16"/>
    <x v="1"/>
    <x v="1"/>
    <n v="12"/>
    <n v="79969.98"/>
    <n v="227268.77"/>
    <x v="1"/>
  </r>
  <r>
    <x v="2"/>
    <x v="1"/>
    <x v="0"/>
    <x v="1"/>
    <x v="17"/>
    <x v="0"/>
    <x v="1"/>
    <n v="6"/>
    <n v="38115.71"/>
    <n v="163786.98000000001"/>
    <x v="1"/>
  </r>
  <r>
    <x v="2"/>
    <x v="1"/>
    <x v="0"/>
    <x v="1"/>
    <x v="17"/>
    <x v="1"/>
    <x v="0"/>
    <n v="5"/>
    <n v="36119.230000000003"/>
    <n v="96699.93"/>
    <x v="1"/>
  </r>
  <r>
    <x v="2"/>
    <x v="1"/>
    <x v="0"/>
    <x v="1"/>
    <x v="17"/>
    <x v="1"/>
    <x v="1"/>
    <n v="5"/>
    <n v="36874.9"/>
    <n v="107934.72"/>
    <x v="1"/>
  </r>
  <r>
    <x v="2"/>
    <x v="1"/>
    <x v="0"/>
    <x v="1"/>
    <x v="18"/>
    <x v="0"/>
    <x v="1"/>
    <n v="7"/>
    <n v="48550.81"/>
    <n v="213079.21"/>
    <x v="1"/>
  </r>
  <r>
    <x v="2"/>
    <x v="1"/>
    <x v="0"/>
    <x v="1"/>
    <x v="18"/>
    <x v="1"/>
    <x v="0"/>
    <n v="8"/>
    <n v="61237.84"/>
    <n v="183961.8"/>
    <x v="1"/>
  </r>
  <r>
    <x v="2"/>
    <x v="1"/>
    <x v="0"/>
    <x v="1"/>
    <x v="18"/>
    <x v="1"/>
    <x v="1"/>
    <n v="18"/>
    <n v="132953.51999999999"/>
    <n v="386325.92"/>
    <x v="1"/>
  </r>
  <r>
    <x v="2"/>
    <x v="1"/>
    <x v="0"/>
    <x v="1"/>
    <x v="19"/>
    <x v="0"/>
    <x v="1"/>
    <n v="5"/>
    <n v="34598.050000000003"/>
    <n v="150721.73000000001"/>
    <x v="1"/>
  </r>
  <r>
    <x v="2"/>
    <x v="1"/>
    <x v="0"/>
    <x v="1"/>
    <x v="19"/>
    <x v="1"/>
    <x v="0"/>
    <n v="20"/>
    <n v="134187.25"/>
    <n v="398369.72"/>
    <x v="1"/>
  </r>
  <r>
    <x v="2"/>
    <x v="1"/>
    <x v="0"/>
    <x v="1"/>
    <x v="19"/>
    <x v="1"/>
    <x v="1"/>
    <n v="19"/>
    <n v="144291.85999999999"/>
    <n v="422701.22"/>
    <x v="1"/>
  </r>
  <r>
    <x v="2"/>
    <x v="1"/>
    <x v="0"/>
    <x v="1"/>
    <x v="20"/>
    <x v="0"/>
    <x v="0"/>
    <n v="8"/>
    <n v="58057.08"/>
    <n v="246511.08"/>
    <x v="1"/>
  </r>
  <r>
    <x v="2"/>
    <x v="1"/>
    <x v="0"/>
    <x v="1"/>
    <x v="20"/>
    <x v="0"/>
    <x v="1"/>
    <n v="11"/>
    <n v="77819.600000000006"/>
    <n v="342230.84"/>
    <x v="1"/>
  </r>
  <r>
    <x v="2"/>
    <x v="1"/>
    <x v="0"/>
    <x v="1"/>
    <x v="20"/>
    <x v="1"/>
    <x v="0"/>
    <n v="9"/>
    <n v="60095.39"/>
    <n v="166695.38"/>
    <x v="1"/>
  </r>
  <r>
    <x v="2"/>
    <x v="1"/>
    <x v="0"/>
    <x v="1"/>
    <x v="20"/>
    <x v="1"/>
    <x v="1"/>
    <n v="36"/>
    <n v="236435.98"/>
    <n v="686254.37"/>
    <x v="1"/>
  </r>
  <r>
    <x v="2"/>
    <x v="1"/>
    <x v="0"/>
    <x v="2"/>
    <x v="21"/>
    <x v="0"/>
    <x v="0"/>
    <n v="3"/>
    <n v="18159.240000000002"/>
    <n v="78344.7"/>
    <x v="1"/>
  </r>
  <r>
    <x v="2"/>
    <x v="1"/>
    <x v="0"/>
    <x v="2"/>
    <x v="21"/>
    <x v="1"/>
    <x v="1"/>
    <n v="3"/>
    <n v="16272.9"/>
    <n v="44604.97"/>
    <x v="1"/>
  </r>
  <r>
    <x v="2"/>
    <x v="1"/>
    <x v="0"/>
    <x v="2"/>
    <x v="22"/>
    <x v="0"/>
    <x v="1"/>
    <n v="2"/>
    <n v="15350.63"/>
    <n v="67702.55"/>
    <x v="1"/>
  </r>
  <r>
    <x v="2"/>
    <x v="1"/>
    <x v="0"/>
    <x v="2"/>
    <x v="22"/>
    <x v="1"/>
    <x v="0"/>
    <n v="23"/>
    <n v="157968.59"/>
    <n v="401068.49"/>
    <x v="1"/>
  </r>
  <r>
    <x v="2"/>
    <x v="1"/>
    <x v="0"/>
    <x v="2"/>
    <x v="22"/>
    <x v="1"/>
    <x v="1"/>
    <n v="18"/>
    <n v="113374.02"/>
    <n v="294746.59999999998"/>
    <x v="1"/>
  </r>
  <r>
    <x v="2"/>
    <x v="1"/>
    <x v="0"/>
    <x v="2"/>
    <x v="29"/>
    <x v="0"/>
    <x v="1"/>
    <n v="5"/>
    <n v="38719.919999999998"/>
    <n v="169509.61"/>
    <x v="1"/>
  </r>
  <r>
    <x v="2"/>
    <x v="1"/>
    <x v="0"/>
    <x v="2"/>
    <x v="29"/>
    <x v="1"/>
    <x v="1"/>
    <n v="8"/>
    <n v="59483.11"/>
    <n v="162402.35999999999"/>
    <x v="1"/>
  </r>
  <r>
    <x v="2"/>
    <x v="1"/>
    <x v="0"/>
    <x v="2"/>
    <x v="23"/>
    <x v="1"/>
    <x v="1"/>
    <n v="2"/>
    <n v="15752.44"/>
    <n v="43360.45"/>
    <x v="1"/>
  </r>
  <r>
    <x v="2"/>
    <x v="1"/>
    <x v="0"/>
    <x v="2"/>
    <x v="24"/>
    <x v="0"/>
    <x v="1"/>
    <n v="1"/>
    <n v="7769.79"/>
    <n v="33949.79"/>
    <x v="1"/>
  </r>
  <r>
    <x v="2"/>
    <x v="1"/>
    <x v="0"/>
    <x v="2"/>
    <x v="24"/>
    <x v="1"/>
    <x v="0"/>
    <n v="7"/>
    <n v="42448.77"/>
    <n v="116085.6"/>
    <x v="1"/>
  </r>
  <r>
    <x v="2"/>
    <x v="1"/>
    <x v="0"/>
    <x v="3"/>
    <x v="25"/>
    <x v="0"/>
    <x v="1"/>
    <n v="3"/>
    <n v="21572.58"/>
    <n v="92334.82"/>
    <x v="1"/>
  </r>
  <r>
    <x v="2"/>
    <x v="1"/>
    <x v="0"/>
    <x v="3"/>
    <x v="25"/>
    <x v="1"/>
    <x v="0"/>
    <n v="16"/>
    <n v="111834.81"/>
    <n v="332097.46000000002"/>
    <x v="1"/>
  </r>
  <r>
    <x v="2"/>
    <x v="1"/>
    <x v="0"/>
    <x v="3"/>
    <x v="25"/>
    <x v="1"/>
    <x v="1"/>
    <n v="5"/>
    <n v="30962.47"/>
    <n v="92559.79"/>
    <x v="1"/>
  </r>
  <r>
    <x v="2"/>
    <x v="1"/>
    <x v="0"/>
    <x v="3"/>
    <x v="26"/>
    <x v="0"/>
    <x v="0"/>
    <n v="3"/>
    <n v="18390.64"/>
    <n v="80282.89"/>
    <x v="1"/>
  </r>
  <r>
    <x v="2"/>
    <x v="1"/>
    <x v="0"/>
    <x v="3"/>
    <x v="26"/>
    <x v="0"/>
    <x v="1"/>
    <n v="1"/>
    <n v="7473.94"/>
    <n v="33664.43"/>
    <x v="1"/>
  </r>
  <r>
    <x v="2"/>
    <x v="1"/>
    <x v="0"/>
    <x v="3"/>
    <x v="26"/>
    <x v="1"/>
    <x v="0"/>
    <n v="4"/>
    <n v="22277.45"/>
    <n v="69593.429999999993"/>
    <x v="1"/>
  </r>
  <r>
    <x v="2"/>
    <x v="1"/>
    <x v="0"/>
    <x v="3"/>
    <x v="26"/>
    <x v="1"/>
    <x v="1"/>
    <n v="12"/>
    <n v="91497.72"/>
    <n v="271301.09000000003"/>
    <x v="1"/>
  </r>
  <r>
    <x v="2"/>
    <x v="1"/>
    <x v="0"/>
    <x v="3"/>
    <x v="27"/>
    <x v="0"/>
    <x v="0"/>
    <n v="5"/>
    <n v="34777.300000000003"/>
    <n v="150841.47"/>
    <x v="1"/>
  </r>
  <r>
    <x v="2"/>
    <x v="1"/>
    <x v="0"/>
    <x v="3"/>
    <x v="27"/>
    <x v="0"/>
    <x v="1"/>
    <n v="8"/>
    <n v="54636.19"/>
    <n v="232807.51"/>
    <x v="1"/>
  </r>
  <r>
    <x v="2"/>
    <x v="1"/>
    <x v="0"/>
    <x v="3"/>
    <x v="27"/>
    <x v="1"/>
    <x v="0"/>
    <n v="10"/>
    <n v="56245.96"/>
    <n v="166593.14000000001"/>
    <x v="1"/>
  </r>
  <r>
    <x v="2"/>
    <x v="1"/>
    <x v="0"/>
    <x v="3"/>
    <x v="27"/>
    <x v="1"/>
    <x v="1"/>
    <n v="35"/>
    <n v="260936.41"/>
    <n v="742954.86"/>
    <x v="1"/>
  </r>
  <r>
    <x v="2"/>
    <x v="1"/>
    <x v="1"/>
    <x v="0"/>
    <x v="0"/>
    <x v="0"/>
    <x v="0"/>
    <n v="6"/>
    <n v="19032.990000000002"/>
    <n v="66403.19"/>
    <x v="1"/>
  </r>
  <r>
    <x v="2"/>
    <x v="1"/>
    <x v="1"/>
    <x v="0"/>
    <x v="0"/>
    <x v="0"/>
    <x v="1"/>
    <n v="1"/>
    <n v="2004.79"/>
    <n v="7421.49"/>
    <x v="1"/>
  </r>
  <r>
    <x v="2"/>
    <x v="1"/>
    <x v="1"/>
    <x v="0"/>
    <x v="0"/>
    <x v="1"/>
    <x v="0"/>
    <n v="3"/>
    <n v="10570.62"/>
    <n v="23259.5"/>
    <x v="1"/>
  </r>
  <r>
    <x v="2"/>
    <x v="1"/>
    <x v="1"/>
    <x v="0"/>
    <x v="0"/>
    <x v="1"/>
    <x v="1"/>
    <n v="6"/>
    <n v="12564.8"/>
    <n v="30284.15"/>
    <x v="1"/>
  </r>
  <r>
    <x v="2"/>
    <x v="1"/>
    <x v="1"/>
    <x v="0"/>
    <x v="1"/>
    <x v="0"/>
    <x v="0"/>
    <n v="1"/>
    <n v="2076.4299999999998"/>
    <n v="7612.93"/>
    <x v="1"/>
  </r>
  <r>
    <x v="2"/>
    <x v="1"/>
    <x v="1"/>
    <x v="0"/>
    <x v="1"/>
    <x v="0"/>
    <x v="1"/>
    <n v="3"/>
    <n v="6236.28"/>
    <n v="22757.69"/>
    <x v="1"/>
  </r>
  <r>
    <x v="2"/>
    <x v="1"/>
    <x v="1"/>
    <x v="0"/>
    <x v="1"/>
    <x v="1"/>
    <x v="0"/>
    <n v="19"/>
    <n v="45096.39"/>
    <n v="102506.6"/>
    <x v="1"/>
  </r>
  <r>
    <x v="2"/>
    <x v="1"/>
    <x v="1"/>
    <x v="0"/>
    <x v="1"/>
    <x v="1"/>
    <x v="1"/>
    <n v="12"/>
    <n v="27845.21"/>
    <n v="64793.89"/>
    <x v="1"/>
  </r>
  <r>
    <x v="2"/>
    <x v="1"/>
    <x v="1"/>
    <x v="0"/>
    <x v="2"/>
    <x v="0"/>
    <x v="1"/>
    <n v="4"/>
    <n v="9828.16"/>
    <n v="34669.22"/>
    <x v="1"/>
  </r>
  <r>
    <x v="2"/>
    <x v="1"/>
    <x v="1"/>
    <x v="0"/>
    <x v="2"/>
    <x v="1"/>
    <x v="1"/>
    <n v="13"/>
    <n v="39488.81"/>
    <n v="85305.39"/>
    <x v="1"/>
  </r>
  <r>
    <x v="2"/>
    <x v="1"/>
    <x v="1"/>
    <x v="0"/>
    <x v="3"/>
    <x v="0"/>
    <x v="1"/>
    <n v="5"/>
    <n v="11912.75"/>
    <n v="41391.96"/>
    <x v="1"/>
  </r>
  <r>
    <x v="2"/>
    <x v="1"/>
    <x v="1"/>
    <x v="0"/>
    <x v="3"/>
    <x v="1"/>
    <x v="0"/>
    <n v="13"/>
    <n v="35508.31"/>
    <n v="79852.2"/>
    <x v="1"/>
  </r>
  <r>
    <x v="2"/>
    <x v="1"/>
    <x v="1"/>
    <x v="0"/>
    <x v="3"/>
    <x v="1"/>
    <x v="1"/>
    <n v="18"/>
    <n v="51921.79"/>
    <n v="114375.54"/>
    <x v="1"/>
  </r>
  <r>
    <x v="2"/>
    <x v="1"/>
    <x v="1"/>
    <x v="0"/>
    <x v="28"/>
    <x v="1"/>
    <x v="1"/>
    <n v="3"/>
    <n v="10736.21"/>
    <n v="23246.42"/>
    <x v="1"/>
  </r>
  <r>
    <x v="2"/>
    <x v="1"/>
    <x v="1"/>
    <x v="0"/>
    <x v="5"/>
    <x v="0"/>
    <x v="1"/>
    <n v="1"/>
    <n v="2056.1999999999998"/>
    <n v="7792.55"/>
    <x v="1"/>
  </r>
  <r>
    <x v="2"/>
    <x v="1"/>
    <x v="1"/>
    <x v="0"/>
    <x v="5"/>
    <x v="1"/>
    <x v="1"/>
    <n v="14"/>
    <n v="36824.1"/>
    <n v="87170.3"/>
    <x v="1"/>
  </r>
  <r>
    <x v="2"/>
    <x v="1"/>
    <x v="1"/>
    <x v="0"/>
    <x v="6"/>
    <x v="0"/>
    <x v="1"/>
    <n v="1"/>
    <n v="3354.83"/>
    <n v="11777.22"/>
    <x v="1"/>
  </r>
  <r>
    <x v="2"/>
    <x v="1"/>
    <x v="1"/>
    <x v="0"/>
    <x v="7"/>
    <x v="1"/>
    <x v="1"/>
    <n v="5"/>
    <n v="12344.14"/>
    <n v="30787.83"/>
    <x v="1"/>
  </r>
  <r>
    <x v="2"/>
    <x v="1"/>
    <x v="1"/>
    <x v="0"/>
    <x v="8"/>
    <x v="0"/>
    <x v="1"/>
    <n v="4"/>
    <n v="11538.84"/>
    <n v="39176.6"/>
    <x v="1"/>
  </r>
  <r>
    <x v="2"/>
    <x v="1"/>
    <x v="1"/>
    <x v="0"/>
    <x v="8"/>
    <x v="1"/>
    <x v="1"/>
    <n v="2"/>
    <n v="4147.5200000000004"/>
    <n v="9616.9699999999993"/>
    <x v="1"/>
  </r>
  <r>
    <x v="2"/>
    <x v="1"/>
    <x v="1"/>
    <x v="1"/>
    <x v="10"/>
    <x v="0"/>
    <x v="0"/>
    <n v="2"/>
    <n v="4520.6400000000003"/>
    <n v="14957.15"/>
    <x v="1"/>
  </r>
  <r>
    <x v="2"/>
    <x v="1"/>
    <x v="1"/>
    <x v="1"/>
    <x v="10"/>
    <x v="1"/>
    <x v="0"/>
    <n v="9"/>
    <n v="24208.66"/>
    <n v="56593.41"/>
    <x v="1"/>
  </r>
  <r>
    <x v="2"/>
    <x v="1"/>
    <x v="1"/>
    <x v="1"/>
    <x v="10"/>
    <x v="1"/>
    <x v="1"/>
    <n v="11"/>
    <n v="33856.620000000003"/>
    <n v="75005.61"/>
    <x v="1"/>
  </r>
  <r>
    <x v="2"/>
    <x v="1"/>
    <x v="1"/>
    <x v="1"/>
    <x v="11"/>
    <x v="0"/>
    <x v="1"/>
    <n v="5"/>
    <n v="12389.41"/>
    <n v="41448.379999999997"/>
    <x v="1"/>
  </r>
  <r>
    <x v="2"/>
    <x v="1"/>
    <x v="1"/>
    <x v="1"/>
    <x v="11"/>
    <x v="1"/>
    <x v="0"/>
    <n v="8"/>
    <n v="23852.62"/>
    <n v="52922.87"/>
    <x v="1"/>
  </r>
  <r>
    <x v="2"/>
    <x v="1"/>
    <x v="1"/>
    <x v="1"/>
    <x v="11"/>
    <x v="1"/>
    <x v="1"/>
    <n v="17"/>
    <n v="44110.03"/>
    <n v="99583.45"/>
    <x v="1"/>
  </r>
  <r>
    <x v="2"/>
    <x v="1"/>
    <x v="1"/>
    <x v="1"/>
    <x v="13"/>
    <x v="0"/>
    <x v="1"/>
    <n v="2"/>
    <n v="4623.68"/>
    <n v="15060.38"/>
    <x v="1"/>
  </r>
  <r>
    <x v="2"/>
    <x v="1"/>
    <x v="1"/>
    <x v="1"/>
    <x v="13"/>
    <x v="1"/>
    <x v="0"/>
    <n v="2"/>
    <n v="6430.24"/>
    <n v="15636.83"/>
    <x v="1"/>
  </r>
  <r>
    <x v="2"/>
    <x v="1"/>
    <x v="1"/>
    <x v="1"/>
    <x v="13"/>
    <x v="1"/>
    <x v="1"/>
    <n v="13"/>
    <n v="39614.65"/>
    <n v="93084.3"/>
    <x v="1"/>
  </r>
  <r>
    <x v="2"/>
    <x v="1"/>
    <x v="1"/>
    <x v="1"/>
    <x v="14"/>
    <x v="0"/>
    <x v="1"/>
    <n v="1"/>
    <n v="3587.03"/>
    <n v="11475.2"/>
    <x v="1"/>
  </r>
  <r>
    <x v="2"/>
    <x v="1"/>
    <x v="1"/>
    <x v="1"/>
    <x v="14"/>
    <x v="1"/>
    <x v="0"/>
    <n v="3"/>
    <n v="8178.07"/>
    <n v="17670.830000000002"/>
    <x v="1"/>
  </r>
  <r>
    <x v="2"/>
    <x v="1"/>
    <x v="1"/>
    <x v="1"/>
    <x v="16"/>
    <x v="0"/>
    <x v="1"/>
    <n v="2"/>
    <n v="5744.24"/>
    <n v="19598.66"/>
    <x v="1"/>
  </r>
  <r>
    <x v="2"/>
    <x v="1"/>
    <x v="1"/>
    <x v="1"/>
    <x v="16"/>
    <x v="1"/>
    <x v="0"/>
    <n v="4"/>
    <n v="10682.14"/>
    <n v="25234.5"/>
    <x v="1"/>
  </r>
  <r>
    <x v="2"/>
    <x v="1"/>
    <x v="1"/>
    <x v="1"/>
    <x v="16"/>
    <x v="1"/>
    <x v="1"/>
    <n v="3"/>
    <n v="8699.2800000000007"/>
    <n v="20382.580000000002"/>
    <x v="1"/>
  </r>
  <r>
    <x v="2"/>
    <x v="1"/>
    <x v="1"/>
    <x v="1"/>
    <x v="17"/>
    <x v="0"/>
    <x v="1"/>
    <n v="3"/>
    <n v="6306.33"/>
    <n v="22543.63"/>
    <x v="1"/>
  </r>
  <r>
    <x v="2"/>
    <x v="1"/>
    <x v="1"/>
    <x v="1"/>
    <x v="17"/>
    <x v="1"/>
    <x v="0"/>
    <n v="3"/>
    <n v="7638.21"/>
    <n v="17496.080000000002"/>
    <x v="1"/>
  </r>
  <r>
    <x v="2"/>
    <x v="1"/>
    <x v="1"/>
    <x v="1"/>
    <x v="17"/>
    <x v="1"/>
    <x v="1"/>
    <n v="3"/>
    <n v="10491.54"/>
    <n v="22642.06"/>
    <x v="1"/>
  </r>
  <r>
    <x v="2"/>
    <x v="1"/>
    <x v="1"/>
    <x v="1"/>
    <x v="18"/>
    <x v="0"/>
    <x v="1"/>
    <n v="11"/>
    <n v="33223.19"/>
    <n v="113572.6"/>
    <x v="1"/>
  </r>
  <r>
    <x v="2"/>
    <x v="1"/>
    <x v="1"/>
    <x v="1"/>
    <x v="18"/>
    <x v="1"/>
    <x v="0"/>
    <n v="2"/>
    <n v="4649.68"/>
    <n v="10519.51"/>
    <x v="1"/>
  </r>
  <r>
    <x v="2"/>
    <x v="1"/>
    <x v="1"/>
    <x v="1"/>
    <x v="18"/>
    <x v="1"/>
    <x v="1"/>
    <n v="17"/>
    <n v="39762.82"/>
    <n v="97696.18"/>
    <x v="1"/>
  </r>
  <r>
    <x v="2"/>
    <x v="1"/>
    <x v="1"/>
    <x v="1"/>
    <x v="19"/>
    <x v="0"/>
    <x v="1"/>
    <n v="3"/>
    <n v="8921.0400000000009"/>
    <n v="31290.41"/>
    <x v="1"/>
  </r>
  <r>
    <x v="2"/>
    <x v="1"/>
    <x v="1"/>
    <x v="1"/>
    <x v="19"/>
    <x v="1"/>
    <x v="0"/>
    <n v="6"/>
    <n v="17848.990000000002"/>
    <n v="42115.88"/>
    <x v="1"/>
  </r>
  <r>
    <x v="2"/>
    <x v="1"/>
    <x v="1"/>
    <x v="1"/>
    <x v="19"/>
    <x v="1"/>
    <x v="1"/>
    <n v="3"/>
    <n v="9034.7199999999993"/>
    <n v="21066.93"/>
    <x v="1"/>
  </r>
  <r>
    <x v="2"/>
    <x v="1"/>
    <x v="1"/>
    <x v="1"/>
    <x v="20"/>
    <x v="0"/>
    <x v="0"/>
    <n v="2"/>
    <n v="4138.34"/>
    <n v="15545.74"/>
    <x v="1"/>
  </r>
  <r>
    <x v="2"/>
    <x v="1"/>
    <x v="1"/>
    <x v="1"/>
    <x v="20"/>
    <x v="0"/>
    <x v="1"/>
    <n v="5"/>
    <n v="12244.39"/>
    <n v="43427.58"/>
    <x v="1"/>
  </r>
  <r>
    <x v="2"/>
    <x v="1"/>
    <x v="1"/>
    <x v="1"/>
    <x v="20"/>
    <x v="1"/>
    <x v="0"/>
    <n v="1"/>
    <n v="3489.08"/>
    <n v="7988.07"/>
    <x v="1"/>
  </r>
  <r>
    <x v="2"/>
    <x v="1"/>
    <x v="1"/>
    <x v="1"/>
    <x v="20"/>
    <x v="1"/>
    <x v="1"/>
    <n v="7"/>
    <n v="18026.78"/>
    <n v="41835.599999999999"/>
    <x v="1"/>
  </r>
  <r>
    <x v="2"/>
    <x v="1"/>
    <x v="1"/>
    <x v="2"/>
    <x v="21"/>
    <x v="1"/>
    <x v="1"/>
    <n v="3"/>
    <n v="6793.75"/>
    <n v="14244.16"/>
    <x v="1"/>
  </r>
  <r>
    <x v="2"/>
    <x v="1"/>
    <x v="1"/>
    <x v="2"/>
    <x v="22"/>
    <x v="0"/>
    <x v="1"/>
    <n v="2"/>
    <n v="5629.54"/>
    <n v="19583.8"/>
    <x v="1"/>
  </r>
  <r>
    <x v="2"/>
    <x v="1"/>
    <x v="1"/>
    <x v="2"/>
    <x v="22"/>
    <x v="1"/>
    <x v="0"/>
    <n v="3"/>
    <n v="10184"/>
    <n v="21690.3"/>
    <x v="1"/>
  </r>
  <r>
    <x v="2"/>
    <x v="1"/>
    <x v="1"/>
    <x v="2"/>
    <x v="22"/>
    <x v="1"/>
    <x v="1"/>
    <n v="1"/>
    <n v="3278.95"/>
    <n v="7167.73"/>
    <x v="1"/>
  </r>
  <r>
    <x v="2"/>
    <x v="1"/>
    <x v="1"/>
    <x v="2"/>
    <x v="29"/>
    <x v="0"/>
    <x v="1"/>
    <n v="1"/>
    <n v="2105.02"/>
    <n v="7730.84"/>
    <x v="1"/>
  </r>
  <r>
    <x v="2"/>
    <x v="1"/>
    <x v="1"/>
    <x v="2"/>
    <x v="23"/>
    <x v="1"/>
    <x v="1"/>
    <n v="3"/>
    <n v="5963.46"/>
    <n v="13992"/>
    <x v="1"/>
  </r>
  <r>
    <x v="2"/>
    <x v="1"/>
    <x v="1"/>
    <x v="2"/>
    <x v="24"/>
    <x v="0"/>
    <x v="1"/>
    <n v="3"/>
    <n v="7736.99"/>
    <n v="27440.11"/>
    <x v="1"/>
  </r>
  <r>
    <x v="2"/>
    <x v="1"/>
    <x v="1"/>
    <x v="3"/>
    <x v="25"/>
    <x v="0"/>
    <x v="1"/>
    <n v="3"/>
    <n v="7387.59"/>
    <n v="26964.29"/>
    <x v="1"/>
  </r>
  <r>
    <x v="2"/>
    <x v="1"/>
    <x v="1"/>
    <x v="3"/>
    <x v="25"/>
    <x v="1"/>
    <x v="0"/>
    <n v="6"/>
    <n v="15399.89"/>
    <n v="37353.39"/>
    <x v="1"/>
  </r>
  <r>
    <x v="2"/>
    <x v="1"/>
    <x v="1"/>
    <x v="3"/>
    <x v="25"/>
    <x v="1"/>
    <x v="1"/>
    <n v="5"/>
    <n v="16280.75"/>
    <n v="40853.14"/>
    <x v="1"/>
  </r>
  <r>
    <x v="2"/>
    <x v="1"/>
    <x v="1"/>
    <x v="3"/>
    <x v="26"/>
    <x v="1"/>
    <x v="1"/>
    <n v="18"/>
    <n v="43355.040000000001"/>
    <n v="105932.42"/>
    <x v="1"/>
  </r>
  <r>
    <x v="2"/>
    <x v="1"/>
    <x v="1"/>
    <x v="3"/>
    <x v="27"/>
    <x v="0"/>
    <x v="1"/>
    <n v="5"/>
    <n v="15654.57"/>
    <n v="54431.92"/>
    <x v="1"/>
  </r>
  <r>
    <x v="2"/>
    <x v="1"/>
    <x v="1"/>
    <x v="3"/>
    <x v="27"/>
    <x v="1"/>
    <x v="0"/>
    <n v="2"/>
    <n v="5626.58"/>
    <n v="13242.3"/>
    <x v="1"/>
  </r>
  <r>
    <x v="2"/>
    <x v="1"/>
    <x v="1"/>
    <x v="3"/>
    <x v="27"/>
    <x v="1"/>
    <x v="1"/>
    <n v="9"/>
    <n v="22268.69"/>
    <n v="50045.55"/>
    <x v="1"/>
  </r>
  <r>
    <x v="2"/>
    <x v="1"/>
    <x v="2"/>
    <x v="0"/>
    <x v="0"/>
    <x v="0"/>
    <x v="0"/>
    <n v="5"/>
    <n v="27942.12"/>
    <n v="122548.4"/>
    <x v="1"/>
  </r>
  <r>
    <x v="2"/>
    <x v="1"/>
    <x v="2"/>
    <x v="0"/>
    <x v="0"/>
    <x v="0"/>
    <x v="1"/>
    <n v="2"/>
    <n v="9771.0300000000007"/>
    <n v="41035.370000000003"/>
    <x v="1"/>
  </r>
  <r>
    <x v="2"/>
    <x v="1"/>
    <x v="2"/>
    <x v="0"/>
    <x v="0"/>
    <x v="1"/>
    <x v="0"/>
    <n v="5"/>
    <n v="31382.21"/>
    <n v="83954.84"/>
    <x v="1"/>
  </r>
  <r>
    <x v="2"/>
    <x v="1"/>
    <x v="2"/>
    <x v="0"/>
    <x v="0"/>
    <x v="1"/>
    <x v="1"/>
    <n v="22"/>
    <n v="142893.43"/>
    <n v="392183.03999999998"/>
    <x v="1"/>
  </r>
  <r>
    <x v="2"/>
    <x v="1"/>
    <x v="2"/>
    <x v="0"/>
    <x v="1"/>
    <x v="0"/>
    <x v="0"/>
    <n v="5"/>
    <n v="28683.38"/>
    <n v="121369.27"/>
    <x v="1"/>
  </r>
  <r>
    <x v="2"/>
    <x v="1"/>
    <x v="2"/>
    <x v="0"/>
    <x v="1"/>
    <x v="0"/>
    <x v="1"/>
    <n v="5"/>
    <n v="27800.83"/>
    <n v="108889.57"/>
    <x v="1"/>
  </r>
  <r>
    <x v="2"/>
    <x v="1"/>
    <x v="2"/>
    <x v="0"/>
    <x v="1"/>
    <x v="1"/>
    <x v="0"/>
    <n v="24"/>
    <n v="125966.68"/>
    <n v="348790.4"/>
    <x v="1"/>
  </r>
  <r>
    <x v="2"/>
    <x v="1"/>
    <x v="2"/>
    <x v="0"/>
    <x v="1"/>
    <x v="1"/>
    <x v="1"/>
    <n v="26"/>
    <n v="142500.01999999999"/>
    <n v="374352.31"/>
    <x v="1"/>
  </r>
  <r>
    <x v="2"/>
    <x v="1"/>
    <x v="2"/>
    <x v="0"/>
    <x v="2"/>
    <x v="0"/>
    <x v="1"/>
    <n v="4"/>
    <n v="18621.689999999999"/>
    <n v="82934.679999999993"/>
    <x v="1"/>
  </r>
  <r>
    <x v="2"/>
    <x v="1"/>
    <x v="2"/>
    <x v="0"/>
    <x v="2"/>
    <x v="1"/>
    <x v="0"/>
    <n v="2"/>
    <n v="14278.3"/>
    <n v="39912.82"/>
    <x v="1"/>
  </r>
  <r>
    <x v="2"/>
    <x v="1"/>
    <x v="2"/>
    <x v="0"/>
    <x v="2"/>
    <x v="1"/>
    <x v="1"/>
    <n v="21"/>
    <n v="131057.35"/>
    <n v="362273.74"/>
    <x v="1"/>
  </r>
  <r>
    <x v="2"/>
    <x v="1"/>
    <x v="2"/>
    <x v="0"/>
    <x v="3"/>
    <x v="0"/>
    <x v="0"/>
    <n v="4"/>
    <n v="21175.23"/>
    <n v="90049.31"/>
    <x v="1"/>
  </r>
  <r>
    <x v="2"/>
    <x v="1"/>
    <x v="2"/>
    <x v="0"/>
    <x v="3"/>
    <x v="0"/>
    <x v="1"/>
    <n v="4"/>
    <n v="19027.47"/>
    <n v="78321.36"/>
    <x v="1"/>
  </r>
  <r>
    <x v="2"/>
    <x v="1"/>
    <x v="2"/>
    <x v="0"/>
    <x v="3"/>
    <x v="1"/>
    <x v="0"/>
    <n v="18"/>
    <n v="99931.520000000004"/>
    <n v="258376.45"/>
    <x v="1"/>
  </r>
  <r>
    <x v="2"/>
    <x v="1"/>
    <x v="2"/>
    <x v="0"/>
    <x v="3"/>
    <x v="1"/>
    <x v="1"/>
    <n v="25"/>
    <n v="142347.16"/>
    <n v="384498.69"/>
    <x v="1"/>
  </r>
  <r>
    <x v="2"/>
    <x v="1"/>
    <x v="2"/>
    <x v="0"/>
    <x v="28"/>
    <x v="1"/>
    <x v="1"/>
    <n v="12"/>
    <n v="71624.399999999994"/>
    <n v="190152.17"/>
    <x v="1"/>
  </r>
  <r>
    <x v="2"/>
    <x v="1"/>
    <x v="2"/>
    <x v="0"/>
    <x v="4"/>
    <x v="0"/>
    <x v="1"/>
    <n v="3"/>
    <n v="22317.85"/>
    <n v="96454.47"/>
    <x v="1"/>
  </r>
  <r>
    <x v="2"/>
    <x v="1"/>
    <x v="2"/>
    <x v="0"/>
    <x v="4"/>
    <x v="1"/>
    <x v="0"/>
    <n v="15"/>
    <n v="75024.06"/>
    <n v="210734.48"/>
    <x v="1"/>
  </r>
  <r>
    <x v="2"/>
    <x v="1"/>
    <x v="2"/>
    <x v="0"/>
    <x v="4"/>
    <x v="1"/>
    <x v="1"/>
    <n v="1"/>
    <n v="5710.13"/>
    <n v="14791.73"/>
    <x v="1"/>
  </r>
  <r>
    <x v="2"/>
    <x v="1"/>
    <x v="2"/>
    <x v="0"/>
    <x v="5"/>
    <x v="0"/>
    <x v="1"/>
    <n v="3"/>
    <n v="18178.2"/>
    <n v="76624.66"/>
    <x v="1"/>
  </r>
  <r>
    <x v="2"/>
    <x v="1"/>
    <x v="2"/>
    <x v="0"/>
    <x v="5"/>
    <x v="1"/>
    <x v="0"/>
    <n v="2"/>
    <n v="12053.51"/>
    <n v="33513.17"/>
    <x v="1"/>
  </r>
  <r>
    <x v="2"/>
    <x v="1"/>
    <x v="2"/>
    <x v="0"/>
    <x v="5"/>
    <x v="1"/>
    <x v="1"/>
    <n v="35"/>
    <n v="188417.34"/>
    <n v="536012.27"/>
    <x v="1"/>
  </r>
  <r>
    <x v="2"/>
    <x v="1"/>
    <x v="2"/>
    <x v="0"/>
    <x v="6"/>
    <x v="0"/>
    <x v="1"/>
    <n v="8"/>
    <n v="47057"/>
    <n v="194456.37"/>
    <x v="1"/>
  </r>
  <r>
    <x v="2"/>
    <x v="1"/>
    <x v="2"/>
    <x v="0"/>
    <x v="6"/>
    <x v="1"/>
    <x v="1"/>
    <n v="8"/>
    <n v="42596.09"/>
    <n v="124838.7"/>
    <x v="1"/>
  </r>
  <r>
    <x v="2"/>
    <x v="1"/>
    <x v="2"/>
    <x v="0"/>
    <x v="7"/>
    <x v="1"/>
    <x v="1"/>
    <n v="5"/>
    <n v="25856.51"/>
    <n v="73435.69"/>
    <x v="1"/>
  </r>
  <r>
    <x v="2"/>
    <x v="1"/>
    <x v="2"/>
    <x v="0"/>
    <x v="8"/>
    <x v="0"/>
    <x v="1"/>
    <n v="3"/>
    <n v="15740.79"/>
    <n v="68851.16"/>
    <x v="1"/>
  </r>
  <r>
    <x v="2"/>
    <x v="1"/>
    <x v="2"/>
    <x v="0"/>
    <x v="8"/>
    <x v="1"/>
    <x v="1"/>
    <n v="1"/>
    <n v="4817.22"/>
    <n v="13268.6"/>
    <x v="1"/>
  </r>
  <r>
    <x v="2"/>
    <x v="1"/>
    <x v="2"/>
    <x v="1"/>
    <x v="30"/>
    <x v="1"/>
    <x v="0"/>
    <n v="2"/>
    <n v="15355.96"/>
    <n v="42907.64"/>
    <x v="1"/>
  </r>
  <r>
    <x v="2"/>
    <x v="1"/>
    <x v="2"/>
    <x v="1"/>
    <x v="9"/>
    <x v="1"/>
    <x v="1"/>
    <n v="5"/>
    <n v="24384.95"/>
    <n v="76567.55"/>
    <x v="1"/>
  </r>
  <r>
    <x v="2"/>
    <x v="1"/>
    <x v="2"/>
    <x v="1"/>
    <x v="31"/>
    <x v="1"/>
    <x v="0"/>
    <n v="1"/>
    <n v="4816.62"/>
    <n v="14208.59"/>
    <x v="1"/>
  </r>
  <r>
    <x v="2"/>
    <x v="1"/>
    <x v="2"/>
    <x v="1"/>
    <x v="10"/>
    <x v="0"/>
    <x v="0"/>
    <n v="2"/>
    <n v="11930.94"/>
    <n v="50393.68"/>
    <x v="1"/>
  </r>
  <r>
    <x v="2"/>
    <x v="1"/>
    <x v="2"/>
    <x v="1"/>
    <x v="10"/>
    <x v="0"/>
    <x v="1"/>
    <n v="5"/>
    <n v="23572.400000000001"/>
    <n v="99763.34"/>
    <x v="1"/>
  </r>
  <r>
    <x v="2"/>
    <x v="1"/>
    <x v="2"/>
    <x v="1"/>
    <x v="10"/>
    <x v="1"/>
    <x v="0"/>
    <n v="11"/>
    <n v="53896.43"/>
    <n v="153688.72"/>
    <x v="1"/>
  </r>
  <r>
    <x v="2"/>
    <x v="1"/>
    <x v="2"/>
    <x v="1"/>
    <x v="10"/>
    <x v="1"/>
    <x v="1"/>
    <n v="49"/>
    <n v="282806.48"/>
    <n v="796896.79"/>
    <x v="1"/>
  </r>
  <r>
    <x v="2"/>
    <x v="1"/>
    <x v="2"/>
    <x v="1"/>
    <x v="11"/>
    <x v="0"/>
    <x v="1"/>
    <n v="15"/>
    <n v="80049.929999999993"/>
    <n v="331658.74"/>
    <x v="1"/>
  </r>
  <r>
    <x v="2"/>
    <x v="1"/>
    <x v="2"/>
    <x v="1"/>
    <x v="11"/>
    <x v="1"/>
    <x v="0"/>
    <n v="14"/>
    <n v="76401.38"/>
    <n v="216811.96"/>
    <x v="1"/>
  </r>
  <r>
    <x v="2"/>
    <x v="1"/>
    <x v="2"/>
    <x v="1"/>
    <x v="11"/>
    <x v="1"/>
    <x v="1"/>
    <n v="36"/>
    <n v="199667.85"/>
    <n v="551079.47"/>
    <x v="1"/>
  </r>
  <r>
    <x v="2"/>
    <x v="1"/>
    <x v="2"/>
    <x v="1"/>
    <x v="12"/>
    <x v="1"/>
    <x v="0"/>
    <n v="2"/>
    <n v="10237.9"/>
    <n v="27624.49"/>
    <x v="1"/>
  </r>
  <r>
    <x v="2"/>
    <x v="1"/>
    <x v="2"/>
    <x v="1"/>
    <x v="12"/>
    <x v="1"/>
    <x v="1"/>
    <n v="10"/>
    <n v="60547.18"/>
    <n v="174378.97"/>
    <x v="1"/>
  </r>
  <r>
    <x v="2"/>
    <x v="1"/>
    <x v="2"/>
    <x v="1"/>
    <x v="13"/>
    <x v="0"/>
    <x v="1"/>
    <n v="4"/>
    <n v="22180.79"/>
    <n v="87502.26"/>
    <x v="1"/>
  </r>
  <r>
    <x v="2"/>
    <x v="1"/>
    <x v="2"/>
    <x v="1"/>
    <x v="13"/>
    <x v="1"/>
    <x v="0"/>
    <n v="3"/>
    <n v="15263.64"/>
    <n v="39382.25"/>
    <x v="1"/>
  </r>
  <r>
    <x v="2"/>
    <x v="1"/>
    <x v="2"/>
    <x v="1"/>
    <x v="13"/>
    <x v="1"/>
    <x v="1"/>
    <n v="22"/>
    <n v="113711.69"/>
    <n v="322790.61"/>
    <x v="1"/>
  </r>
  <r>
    <x v="2"/>
    <x v="1"/>
    <x v="2"/>
    <x v="1"/>
    <x v="14"/>
    <x v="0"/>
    <x v="1"/>
    <n v="1"/>
    <n v="7348.9"/>
    <n v="30959.03"/>
    <x v="1"/>
  </r>
  <r>
    <x v="2"/>
    <x v="1"/>
    <x v="2"/>
    <x v="1"/>
    <x v="14"/>
    <x v="1"/>
    <x v="0"/>
    <n v="16"/>
    <n v="94466.54"/>
    <n v="267083.36"/>
    <x v="1"/>
  </r>
  <r>
    <x v="2"/>
    <x v="1"/>
    <x v="2"/>
    <x v="1"/>
    <x v="14"/>
    <x v="1"/>
    <x v="1"/>
    <n v="3"/>
    <n v="17395.78"/>
    <n v="44672.75"/>
    <x v="1"/>
  </r>
  <r>
    <x v="2"/>
    <x v="1"/>
    <x v="2"/>
    <x v="1"/>
    <x v="15"/>
    <x v="1"/>
    <x v="1"/>
    <n v="1"/>
    <n v="4819.2700000000004"/>
    <n v="13986.27"/>
    <x v="1"/>
  </r>
  <r>
    <x v="2"/>
    <x v="1"/>
    <x v="2"/>
    <x v="1"/>
    <x v="16"/>
    <x v="0"/>
    <x v="1"/>
    <n v="3"/>
    <n v="14917.23"/>
    <n v="65061.91"/>
    <x v="1"/>
  </r>
  <r>
    <x v="2"/>
    <x v="1"/>
    <x v="2"/>
    <x v="1"/>
    <x v="16"/>
    <x v="1"/>
    <x v="0"/>
    <n v="7"/>
    <n v="35360.559999999998"/>
    <n v="95960.67"/>
    <x v="1"/>
  </r>
  <r>
    <x v="2"/>
    <x v="1"/>
    <x v="2"/>
    <x v="1"/>
    <x v="16"/>
    <x v="1"/>
    <x v="1"/>
    <n v="20"/>
    <n v="105542.18"/>
    <n v="286047.07"/>
    <x v="1"/>
  </r>
  <r>
    <x v="2"/>
    <x v="1"/>
    <x v="2"/>
    <x v="1"/>
    <x v="17"/>
    <x v="0"/>
    <x v="1"/>
    <n v="2"/>
    <n v="14693.26"/>
    <n v="62142.53"/>
    <x v="1"/>
  </r>
  <r>
    <x v="2"/>
    <x v="1"/>
    <x v="2"/>
    <x v="1"/>
    <x v="18"/>
    <x v="0"/>
    <x v="1"/>
    <n v="10"/>
    <n v="49782.77"/>
    <n v="204624.24"/>
    <x v="1"/>
  </r>
  <r>
    <x v="2"/>
    <x v="1"/>
    <x v="2"/>
    <x v="1"/>
    <x v="18"/>
    <x v="1"/>
    <x v="0"/>
    <n v="8"/>
    <n v="49892.17"/>
    <n v="148369"/>
    <x v="1"/>
  </r>
  <r>
    <x v="2"/>
    <x v="1"/>
    <x v="2"/>
    <x v="1"/>
    <x v="18"/>
    <x v="1"/>
    <x v="1"/>
    <n v="39"/>
    <n v="208983.92"/>
    <n v="607949.06000000006"/>
    <x v="1"/>
  </r>
  <r>
    <x v="2"/>
    <x v="1"/>
    <x v="2"/>
    <x v="1"/>
    <x v="19"/>
    <x v="0"/>
    <x v="1"/>
    <n v="4"/>
    <n v="21046.16"/>
    <n v="85466.14"/>
    <x v="1"/>
  </r>
  <r>
    <x v="2"/>
    <x v="1"/>
    <x v="2"/>
    <x v="1"/>
    <x v="19"/>
    <x v="1"/>
    <x v="0"/>
    <n v="14"/>
    <n v="80278.83"/>
    <n v="228942.04"/>
    <x v="1"/>
  </r>
  <r>
    <x v="2"/>
    <x v="1"/>
    <x v="2"/>
    <x v="1"/>
    <x v="19"/>
    <x v="1"/>
    <x v="1"/>
    <n v="2"/>
    <n v="9648.5400000000009"/>
    <n v="29722.71"/>
    <x v="1"/>
  </r>
  <r>
    <x v="2"/>
    <x v="1"/>
    <x v="2"/>
    <x v="1"/>
    <x v="20"/>
    <x v="0"/>
    <x v="0"/>
    <n v="2"/>
    <n v="9614.7800000000007"/>
    <n v="41807.03"/>
    <x v="1"/>
  </r>
  <r>
    <x v="2"/>
    <x v="1"/>
    <x v="2"/>
    <x v="1"/>
    <x v="20"/>
    <x v="0"/>
    <x v="1"/>
    <n v="17"/>
    <n v="95193.44"/>
    <n v="415889.74"/>
    <x v="1"/>
  </r>
  <r>
    <x v="2"/>
    <x v="1"/>
    <x v="2"/>
    <x v="1"/>
    <x v="20"/>
    <x v="1"/>
    <x v="0"/>
    <n v="11"/>
    <n v="50909.72"/>
    <n v="154540.74"/>
    <x v="1"/>
  </r>
  <r>
    <x v="2"/>
    <x v="1"/>
    <x v="2"/>
    <x v="1"/>
    <x v="20"/>
    <x v="1"/>
    <x v="1"/>
    <n v="23"/>
    <n v="133419.01"/>
    <n v="383398.19"/>
    <x v="1"/>
  </r>
  <r>
    <x v="2"/>
    <x v="1"/>
    <x v="2"/>
    <x v="2"/>
    <x v="21"/>
    <x v="0"/>
    <x v="0"/>
    <n v="2"/>
    <n v="11629.28"/>
    <n v="52215.25"/>
    <x v="1"/>
  </r>
  <r>
    <x v="2"/>
    <x v="1"/>
    <x v="2"/>
    <x v="2"/>
    <x v="21"/>
    <x v="1"/>
    <x v="1"/>
    <n v="3"/>
    <n v="17151.66"/>
    <n v="40310.33"/>
    <x v="1"/>
  </r>
  <r>
    <x v="2"/>
    <x v="1"/>
    <x v="2"/>
    <x v="2"/>
    <x v="22"/>
    <x v="0"/>
    <x v="1"/>
    <n v="4"/>
    <n v="26926.36"/>
    <n v="116419.27"/>
    <x v="1"/>
  </r>
  <r>
    <x v="2"/>
    <x v="1"/>
    <x v="2"/>
    <x v="2"/>
    <x v="22"/>
    <x v="1"/>
    <x v="0"/>
    <n v="12"/>
    <n v="77497.8"/>
    <n v="206562.77"/>
    <x v="1"/>
  </r>
  <r>
    <x v="2"/>
    <x v="1"/>
    <x v="2"/>
    <x v="2"/>
    <x v="22"/>
    <x v="1"/>
    <x v="1"/>
    <n v="20"/>
    <n v="101697.60000000001"/>
    <n v="268589.03000000003"/>
    <x v="1"/>
  </r>
  <r>
    <x v="2"/>
    <x v="1"/>
    <x v="2"/>
    <x v="2"/>
    <x v="29"/>
    <x v="0"/>
    <x v="1"/>
    <n v="3"/>
    <n v="20391.75"/>
    <n v="85542.5"/>
    <x v="1"/>
  </r>
  <r>
    <x v="2"/>
    <x v="1"/>
    <x v="2"/>
    <x v="2"/>
    <x v="24"/>
    <x v="0"/>
    <x v="1"/>
    <n v="1"/>
    <n v="4439.59"/>
    <n v="19961.830000000002"/>
    <x v="1"/>
  </r>
  <r>
    <x v="2"/>
    <x v="1"/>
    <x v="2"/>
    <x v="2"/>
    <x v="24"/>
    <x v="1"/>
    <x v="0"/>
    <n v="5"/>
    <n v="34149.949999999997"/>
    <n v="87891.5"/>
    <x v="1"/>
  </r>
  <r>
    <x v="2"/>
    <x v="1"/>
    <x v="2"/>
    <x v="2"/>
    <x v="24"/>
    <x v="1"/>
    <x v="1"/>
    <n v="1"/>
    <n v="6926.56"/>
    <n v="19963.27"/>
    <x v="1"/>
  </r>
  <r>
    <x v="2"/>
    <x v="1"/>
    <x v="2"/>
    <x v="3"/>
    <x v="25"/>
    <x v="0"/>
    <x v="1"/>
    <n v="2"/>
    <n v="11839.65"/>
    <n v="54957.59"/>
    <x v="1"/>
  </r>
  <r>
    <x v="2"/>
    <x v="1"/>
    <x v="2"/>
    <x v="3"/>
    <x v="25"/>
    <x v="1"/>
    <x v="0"/>
    <n v="7"/>
    <n v="33958.82"/>
    <n v="100502.63"/>
    <x v="1"/>
  </r>
  <r>
    <x v="2"/>
    <x v="1"/>
    <x v="2"/>
    <x v="3"/>
    <x v="25"/>
    <x v="1"/>
    <x v="1"/>
    <n v="21"/>
    <n v="120887.26"/>
    <n v="361885.39"/>
    <x v="1"/>
  </r>
  <r>
    <x v="2"/>
    <x v="1"/>
    <x v="2"/>
    <x v="3"/>
    <x v="26"/>
    <x v="0"/>
    <x v="0"/>
    <n v="2"/>
    <n v="9368.16"/>
    <n v="41820.199999999997"/>
    <x v="1"/>
  </r>
  <r>
    <x v="2"/>
    <x v="1"/>
    <x v="2"/>
    <x v="3"/>
    <x v="26"/>
    <x v="0"/>
    <x v="1"/>
    <n v="2"/>
    <n v="9071.16"/>
    <n v="41120.9"/>
    <x v="1"/>
  </r>
  <r>
    <x v="2"/>
    <x v="1"/>
    <x v="2"/>
    <x v="3"/>
    <x v="26"/>
    <x v="1"/>
    <x v="0"/>
    <n v="1"/>
    <n v="4686.83"/>
    <n v="14372.57"/>
    <x v="1"/>
  </r>
  <r>
    <x v="2"/>
    <x v="1"/>
    <x v="2"/>
    <x v="3"/>
    <x v="26"/>
    <x v="1"/>
    <x v="1"/>
    <n v="29"/>
    <n v="180743.96"/>
    <n v="543434.29"/>
    <x v="1"/>
  </r>
  <r>
    <x v="2"/>
    <x v="1"/>
    <x v="2"/>
    <x v="3"/>
    <x v="27"/>
    <x v="0"/>
    <x v="0"/>
    <n v="2"/>
    <n v="9505.76"/>
    <n v="42198.61"/>
    <x v="1"/>
  </r>
  <r>
    <x v="2"/>
    <x v="1"/>
    <x v="2"/>
    <x v="3"/>
    <x v="27"/>
    <x v="0"/>
    <x v="1"/>
    <n v="4"/>
    <n v="23486"/>
    <n v="104973.25"/>
    <x v="1"/>
  </r>
  <r>
    <x v="2"/>
    <x v="1"/>
    <x v="2"/>
    <x v="3"/>
    <x v="27"/>
    <x v="1"/>
    <x v="0"/>
    <n v="12"/>
    <n v="66068.02"/>
    <n v="201983.75"/>
    <x v="1"/>
  </r>
  <r>
    <x v="2"/>
    <x v="1"/>
    <x v="2"/>
    <x v="3"/>
    <x v="27"/>
    <x v="1"/>
    <x v="1"/>
    <n v="23"/>
    <n v="121991.31"/>
    <n v="353252.53"/>
    <x v="1"/>
  </r>
  <r>
    <x v="2"/>
    <x v="1"/>
    <x v="3"/>
    <x v="0"/>
    <x v="0"/>
    <x v="0"/>
    <x v="0"/>
    <n v="1"/>
    <n v="6282.06"/>
    <n v="26618.7"/>
    <x v="1"/>
  </r>
  <r>
    <x v="2"/>
    <x v="1"/>
    <x v="3"/>
    <x v="0"/>
    <x v="0"/>
    <x v="0"/>
    <x v="1"/>
    <n v="3"/>
    <n v="17338.419999999998"/>
    <n v="80194.39"/>
    <x v="1"/>
  </r>
  <r>
    <x v="2"/>
    <x v="1"/>
    <x v="3"/>
    <x v="0"/>
    <x v="0"/>
    <x v="1"/>
    <x v="0"/>
    <n v="3"/>
    <n v="15463.38"/>
    <n v="48115.27"/>
    <x v="1"/>
  </r>
  <r>
    <x v="2"/>
    <x v="1"/>
    <x v="3"/>
    <x v="0"/>
    <x v="0"/>
    <x v="1"/>
    <x v="1"/>
    <n v="12"/>
    <n v="77677.48"/>
    <n v="240803.14"/>
    <x v="1"/>
  </r>
  <r>
    <x v="2"/>
    <x v="1"/>
    <x v="3"/>
    <x v="0"/>
    <x v="1"/>
    <x v="0"/>
    <x v="0"/>
    <n v="10"/>
    <n v="62553.1"/>
    <n v="281014.65000000002"/>
    <x v="1"/>
  </r>
  <r>
    <x v="2"/>
    <x v="1"/>
    <x v="3"/>
    <x v="0"/>
    <x v="1"/>
    <x v="0"/>
    <x v="1"/>
    <n v="8"/>
    <n v="44536.12"/>
    <n v="199086.18"/>
    <x v="1"/>
  </r>
  <r>
    <x v="2"/>
    <x v="1"/>
    <x v="3"/>
    <x v="0"/>
    <x v="1"/>
    <x v="1"/>
    <x v="0"/>
    <n v="20"/>
    <n v="136674.94"/>
    <n v="398168.21"/>
    <x v="1"/>
  </r>
  <r>
    <x v="2"/>
    <x v="1"/>
    <x v="3"/>
    <x v="0"/>
    <x v="1"/>
    <x v="1"/>
    <x v="1"/>
    <n v="14"/>
    <n v="89391.46"/>
    <n v="253035.93"/>
    <x v="1"/>
  </r>
  <r>
    <x v="2"/>
    <x v="1"/>
    <x v="3"/>
    <x v="0"/>
    <x v="2"/>
    <x v="0"/>
    <x v="1"/>
    <n v="8"/>
    <n v="48168.97"/>
    <n v="225038.07999999999"/>
    <x v="1"/>
  </r>
  <r>
    <x v="2"/>
    <x v="1"/>
    <x v="3"/>
    <x v="0"/>
    <x v="2"/>
    <x v="1"/>
    <x v="0"/>
    <n v="4"/>
    <n v="21651.41"/>
    <n v="64514.53"/>
    <x v="1"/>
  </r>
  <r>
    <x v="2"/>
    <x v="1"/>
    <x v="3"/>
    <x v="0"/>
    <x v="2"/>
    <x v="1"/>
    <x v="1"/>
    <n v="7"/>
    <n v="37738.639999999999"/>
    <n v="109241.2"/>
    <x v="1"/>
  </r>
  <r>
    <x v="2"/>
    <x v="1"/>
    <x v="3"/>
    <x v="0"/>
    <x v="3"/>
    <x v="0"/>
    <x v="0"/>
    <n v="1"/>
    <n v="5866.42"/>
    <n v="25847.38"/>
    <x v="1"/>
  </r>
  <r>
    <x v="2"/>
    <x v="1"/>
    <x v="3"/>
    <x v="0"/>
    <x v="3"/>
    <x v="0"/>
    <x v="1"/>
    <n v="9"/>
    <n v="56797.41"/>
    <n v="259756.25"/>
    <x v="1"/>
  </r>
  <r>
    <x v="2"/>
    <x v="1"/>
    <x v="3"/>
    <x v="0"/>
    <x v="3"/>
    <x v="1"/>
    <x v="0"/>
    <n v="7"/>
    <n v="40641.96"/>
    <n v="113974.35"/>
    <x v="1"/>
  </r>
  <r>
    <x v="2"/>
    <x v="1"/>
    <x v="3"/>
    <x v="0"/>
    <x v="3"/>
    <x v="1"/>
    <x v="1"/>
    <n v="27"/>
    <n v="169877.45"/>
    <n v="483888.31"/>
    <x v="1"/>
  </r>
  <r>
    <x v="2"/>
    <x v="1"/>
    <x v="3"/>
    <x v="0"/>
    <x v="4"/>
    <x v="1"/>
    <x v="0"/>
    <n v="2"/>
    <n v="11306.72"/>
    <n v="34152.639999999999"/>
    <x v="1"/>
  </r>
  <r>
    <x v="2"/>
    <x v="1"/>
    <x v="3"/>
    <x v="0"/>
    <x v="4"/>
    <x v="1"/>
    <x v="1"/>
    <n v="6"/>
    <n v="36900.57"/>
    <n v="108346.43"/>
    <x v="1"/>
  </r>
  <r>
    <x v="2"/>
    <x v="1"/>
    <x v="3"/>
    <x v="0"/>
    <x v="5"/>
    <x v="0"/>
    <x v="1"/>
    <n v="4"/>
    <n v="23109.19"/>
    <n v="108101.91"/>
    <x v="1"/>
  </r>
  <r>
    <x v="2"/>
    <x v="1"/>
    <x v="3"/>
    <x v="0"/>
    <x v="5"/>
    <x v="1"/>
    <x v="0"/>
    <n v="11"/>
    <n v="66041.600000000006"/>
    <n v="194702.07"/>
    <x v="1"/>
  </r>
  <r>
    <x v="2"/>
    <x v="1"/>
    <x v="3"/>
    <x v="0"/>
    <x v="5"/>
    <x v="1"/>
    <x v="1"/>
    <n v="17"/>
    <n v="102232.77"/>
    <n v="317055.25"/>
    <x v="1"/>
  </r>
  <r>
    <x v="2"/>
    <x v="1"/>
    <x v="3"/>
    <x v="0"/>
    <x v="6"/>
    <x v="1"/>
    <x v="1"/>
    <n v="1"/>
    <n v="5718.97"/>
    <n v="17536.23"/>
    <x v="1"/>
  </r>
  <r>
    <x v="2"/>
    <x v="1"/>
    <x v="3"/>
    <x v="0"/>
    <x v="7"/>
    <x v="1"/>
    <x v="1"/>
    <n v="2"/>
    <n v="14590.26"/>
    <n v="48068.77"/>
    <x v="1"/>
  </r>
  <r>
    <x v="2"/>
    <x v="1"/>
    <x v="3"/>
    <x v="0"/>
    <x v="8"/>
    <x v="0"/>
    <x v="1"/>
    <n v="2"/>
    <n v="14683"/>
    <n v="62123.72"/>
    <x v="1"/>
  </r>
  <r>
    <x v="2"/>
    <x v="1"/>
    <x v="3"/>
    <x v="0"/>
    <x v="8"/>
    <x v="1"/>
    <x v="1"/>
    <n v="9"/>
    <n v="60547.87"/>
    <n v="179958.01"/>
    <x v="1"/>
  </r>
  <r>
    <x v="2"/>
    <x v="1"/>
    <x v="3"/>
    <x v="1"/>
    <x v="30"/>
    <x v="1"/>
    <x v="0"/>
    <n v="3"/>
    <n v="15570.51"/>
    <n v="48976.07"/>
    <x v="1"/>
  </r>
  <r>
    <x v="2"/>
    <x v="1"/>
    <x v="3"/>
    <x v="1"/>
    <x v="9"/>
    <x v="1"/>
    <x v="1"/>
    <n v="4"/>
    <n v="22475.01"/>
    <n v="68748.23"/>
    <x v="1"/>
  </r>
  <r>
    <x v="2"/>
    <x v="1"/>
    <x v="3"/>
    <x v="1"/>
    <x v="31"/>
    <x v="1"/>
    <x v="0"/>
    <n v="1"/>
    <n v="4970.38"/>
    <n v="15064.11"/>
    <x v="1"/>
  </r>
  <r>
    <x v="2"/>
    <x v="1"/>
    <x v="3"/>
    <x v="1"/>
    <x v="10"/>
    <x v="0"/>
    <x v="0"/>
    <n v="1"/>
    <n v="7909.41"/>
    <n v="34510.43"/>
    <x v="1"/>
  </r>
  <r>
    <x v="2"/>
    <x v="1"/>
    <x v="3"/>
    <x v="1"/>
    <x v="10"/>
    <x v="0"/>
    <x v="1"/>
    <n v="6"/>
    <n v="35242.730000000003"/>
    <n v="155395.43"/>
    <x v="1"/>
  </r>
  <r>
    <x v="2"/>
    <x v="1"/>
    <x v="3"/>
    <x v="1"/>
    <x v="10"/>
    <x v="1"/>
    <x v="0"/>
    <n v="3"/>
    <n v="16325.34"/>
    <n v="50384.92"/>
    <x v="1"/>
  </r>
  <r>
    <x v="2"/>
    <x v="1"/>
    <x v="3"/>
    <x v="1"/>
    <x v="10"/>
    <x v="1"/>
    <x v="1"/>
    <n v="25"/>
    <n v="166018.64000000001"/>
    <n v="483180.01"/>
    <x v="1"/>
  </r>
  <r>
    <x v="2"/>
    <x v="1"/>
    <x v="3"/>
    <x v="1"/>
    <x v="11"/>
    <x v="0"/>
    <x v="1"/>
    <n v="8"/>
    <n v="49137.1"/>
    <n v="220158.97"/>
    <x v="1"/>
  </r>
  <r>
    <x v="2"/>
    <x v="1"/>
    <x v="3"/>
    <x v="1"/>
    <x v="11"/>
    <x v="1"/>
    <x v="0"/>
    <n v="10"/>
    <n v="68410.759999999995"/>
    <n v="191991.88"/>
    <x v="1"/>
  </r>
  <r>
    <x v="2"/>
    <x v="1"/>
    <x v="3"/>
    <x v="1"/>
    <x v="11"/>
    <x v="1"/>
    <x v="1"/>
    <n v="15"/>
    <n v="91637.04"/>
    <n v="264893.21000000002"/>
    <x v="1"/>
  </r>
  <r>
    <x v="2"/>
    <x v="1"/>
    <x v="3"/>
    <x v="1"/>
    <x v="12"/>
    <x v="1"/>
    <x v="1"/>
    <n v="6"/>
    <n v="41331.839999999997"/>
    <n v="124062.53"/>
    <x v="1"/>
  </r>
  <r>
    <x v="2"/>
    <x v="1"/>
    <x v="3"/>
    <x v="1"/>
    <x v="13"/>
    <x v="0"/>
    <x v="1"/>
    <n v="7"/>
    <n v="40264.44"/>
    <n v="176104.03"/>
    <x v="1"/>
  </r>
  <r>
    <x v="2"/>
    <x v="1"/>
    <x v="3"/>
    <x v="1"/>
    <x v="13"/>
    <x v="1"/>
    <x v="1"/>
    <n v="7"/>
    <n v="43173.31"/>
    <n v="131498.26999999999"/>
    <x v="1"/>
  </r>
  <r>
    <x v="2"/>
    <x v="1"/>
    <x v="3"/>
    <x v="1"/>
    <x v="14"/>
    <x v="0"/>
    <x v="1"/>
    <n v="2"/>
    <n v="11483.1"/>
    <n v="49447.42"/>
    <x v="1"/>
  </r>
  <r>
    <x v="2"/>
    <x v="1"/>
    <x v="3"/>
    <x v="1"/>
    <x v="14"/>
    <x v="1"/>
    <x v="0"/>
    <n v="23"/>
    <n v="151905.29"/>
    <n v="437660.43"/>
    <x v="1"/>
  </r>
  <r>
    <x v="2"/>
    <x v="1"/>
    <x v="3"/>
    <x v="1"/>
    <x v="14"/>
    <x v="1"/>
    <x v="1"/>
    <n v="3"/>
    <n v="17370.86"/>
    <n v="51698.14"/>
    <x v="1"/>
  </r>
  <r>
    <x v="2"/>
    <x v="1"/>
    <x v="3"/>
    <x v="1"/>
    <x v="15"/>
    <x v="1"/>
    <x v="0"/>
    <n v="1"/>
    <n v="5012.8"/>
    <n v="15541.31"/>
    <x v="1"/>
  </r>
  <r>
    <x v="2"/>
    <x v="1"/>
    <x v="3"/>
    <x v="1"/>
    <x v="16"/>
    <x v="0"/>
    <x v="1"/>
    <n v="7"/>
    <n v="49587.09"/>
    <n v="217547.7"/>
    <x v="1"/>
  </r>
  <r>
    <x v="2"/>
    <x v="1"/>
    <x v="3"/>
    <x v="1"/>
    <x v="16"/>
    <x v="1"/>
    <x v="0"/>
    <n v="6"/>
    <n v="40511.620000000003"/>
    <n v="116444.65"/>
    <x v="1"/>
  </r>
  <r>
    <x v="2"/>
    <x v="1"/>
    <x v="3"/>
    <x v="1"/>
    <x v="16"/>
    <x v="1"/>
    <x v="1"/>
    <n v="24"/>
    <n v="137353.78"/>
    <n v="422833.74"/>
    <x v="1"/>
  </r>
  <r>
    <x v="2"/>
    <x v="1"/>
    <x v="3"/>
    <x v="1"/>
    <x v="17"/>
    <x v="0"/>
    <x v="1"/>
    <n v="1"/>
    <n v="5013.8"/>
    <n v="22424.43"/>
    <x v="1"/>
  </r>
  <r>
    <x v="2"/>
    <x v="1"/>
    <x v="3"/>
    <x v="1"/>
    <x v="17"/>
    <x v="1"/>
    <x v="0"/>
    <n v="18"/>
    <n v="103981.62"/>
    <n v="310740.03999999998"/>
    <x v="1"/>
  </r>
  <r>
    <x v="2"/>
    <x v="1"/>
    <x v="3"/>
    <x v="1"/>
    <x v="17"/>
    <x v="1"/>
    <x v="1"/>
    <n v="4"/>
    <n v="30208.6"/>
    <n v="84784.46"/>
    <x v="1"/>
  </r>
  <r>
    <x v="2"/>
    <x v="1"/>
    <x v="3"/>
    <x v="1"/>
    <x v="18"/>
    <x v="0"/>
    <x v="1"/>
    <n v="10"/>
    <n v="69797.13"/>
    <n v="308350.19"/>
    <x v="1"/>
  </r>
  <r>
    <x v="2"/>
    <x v="1"/>
    <x v="3"/>
    <x v="1"/>
    <x v="18"/>
    <x v="1"/>
    <x v="0"/>
    <n v="2"/>
    <n v="11473.16"/>
    <n v="35997.879999999997"/>
    <x v="1"/>
  </r>
  <r>
    <x v="2"/>
    <x v="1"/>
    <x v="3"/>
    <x v="1"/>
    <x v="18"/>
    <x v="1"/>
    <x v="1"/>
    <n v="35"/>
    <n v="237032.02"/>
    <n v="716685.73"/>
    <x v="1"/>
  </r>
  <r>
    <x v="2"/>
    <x v="1"/>
    <x v="3"/>
    <x v="1"/>
    <x v="19"/>
    <x v="0"/>
    <x v="1"/>
    <n v="1"/>
    <n v="6431.67"/>
    <n v="26780.54"/>
    <x v="1"/>
  </r>
  <r>
    <x v="2"/>
    <x v="1"/>
    <x v="3"/>
    <x v="1"/>
    <x v="19"/>
    <x v="1"/>
    <x v="0"/>
    <n v="9"/>
    <n v="59382.79"/>
    <n v="182660.88"/>
    <x v="1"/>
  </r>
  <r>
    <x v="2"/>
    <x v="1"/>
    <x v="3"/>
    <x v="1"/>
    <x v="19"/>
    <x v="1"/>
    <x v="1"/>
    <n v="11"/>
    <n v="69741.740000000005"/>
    <n v="205046.3"/>
    <x v="1"/>
  </r>
  <r>
    <x v="2"/>
    <x v="1"/>
    <x v="3"/>
    <x v="1"/>
    <x v="20"/>
    <x v="0"/>
    <x v="0"/>
    <n v="9"/>
    <n v="61687.93"/>
    <n v="289670.62"/>
    <x v="1"/>
  </r>
  <r>
    <x v="2"/>
    <x v="1"/>
    <x v="3"/>
    <x v="1"/>
    <x v="20"/>
    <x v="0"/>
    <x v="1"/>
    <n v="15"/>
    <n v="91060.2"/>
    <n v="425947.61"/>
    <x v="1"/>
  </r>
  <r>
    <x v="2"/>
    <x v="1"/>
    <x v="3"/>
    <x v="1"/>
    <x v="20"/>
    <x v="1"/>
    <x v="0"/>
    <n v="15"/>
    <n v="101618.47"/>
    <n v="307690.17"/>
    <x v="1"/>
  </r>
  <r>
    <x v="2"/>
    <x v="1"/>
    <x v="3"/>
    <x v="1"/>
    <x v="20"/>
    <x v="1"/>
    <x v="1"/>
    <n v="11"/>
    <n v="74888.600000000006"/>
    <n v="232275.22"/>
    <x v="1"/>
  </r>
  <r>
    <x v="2"/>
    <x v="1"/>
    <x v="3"/>
    <x v="2"/>
    <x v="21"/>
    <x v="0"/>
    <x v="0"/>
    <n v="3"/>
    <n v="17921.060000000001"/>
    <n v="82556.36"/>
    <x v="1"/>
  </r>
  <r>
    <x v="2"/>
    <x v="1"/>
    <x v="3"/>
    <x v="2"/>
    <x v="22"/>
    <x v="1"/>
    <x v="0"/>
    <n v="2"/>
    <n v="11303.24"/>
    <n v="30490.639999999999"/>
    <x v="1"/>
  </r>
  <r>
    <x v="2"/>
    <x v="1"/>
    <x v="3"/>
    <x v="2"/>
    <x v="22"/>
    <x v="1"/>
    <x v="1"/>
    <n v="12"/>
    <n v="71470.960000000006"/>
    <n v="205647.18"/>
    <x v="1"/>
  </r>
  <r>
    <x v="2"/>
    <x v="1"/>
    <x v="3"/>
    <x v="2"/>
    <x v="29"/>
    <x v="0"/>
    <x v="1"/>
    <n v="5"/>
    <n v="25318.799999999999"/>
    <n v="121075.96"/>
    <x v="1"/>
  </r>
  <r>
    <x v="2"/>
    <x v="1"/>
    <x v="3"/>
    <x v="2"/>
    <x v="29"/>
    <x v="1"/>
    <x v="1"/>
    <n v="4"/>
    <n v="24251.38"/>
    <n v="71963.360000000001"/>
    <x v="1"/>
  </r>
  <r>
    <x v="2"/>
    <x v="1"/>
    <x v="3"/>
    <x v="2"/>
    <x v="23"/>
    <x v="1"/>
    <x v="1"/>
    <n v="3"/>
    <n v="17546.57"/>
    <n v="51008.67"/>
    <x v="1"/>
  </r>
  <r>
    <x v="2"/>
    <x v="1"/>
    <x v="3"/>
    <x v="2"/>
    <x v="24"/>
    <x v="0"/>
    <x v="1"/>
    <n v="1"/>
    <n v="5686.08"/>
    <n v="26782.9"/>
    <x v="1"/>
  </r>
  <r>
    <x v="2"/>
    <x v="1"/>
    <x v="3"/>
    <x v="3"/>
    <x v="25"/>
    <x v="0"/>
    <x v="1"/>
    <n v="2"/>
    <n v="11557.68"/>
    <n v="53594.45"/>
    <x v="1"/>
  </r>
  <r>
    <x v="2"/>
    <x v="1"/>
    <x v="3"/>
    <x v="3"/>
    <x v="25"/>
    <x v="1"/>
    <x v="0"/>
    <n v="7"/>
    <n v="44671.6"/>
    <n v="144558.48000000001"/>
    <x v="1"/>
  </r>
  <r>
    <x v="2"/>
    <x v="1"/>
    <x v="3"/>
    <x v="3"/>
    <x v="25"/>
    <x v="1"/>
    <x v="1"/>
    <n v="14"/>
    <n v="85174.43"/>
    <n v="275593.73"/>
    <x v="1"/>
  </r>
  <r>
    <x v="2"/>
    <x v="1"/>
    <x v="3"/>
    <x v="3"/>
    <x v="26"/>
    <x v="0"/>
    <x v="1"/>
    <n v="5"/>
    <n v="32559.64"/>
    <n v="151667.79"/>
    <x v="1"/>
  </r>
  <r>
    <x v="2"/>
    <x v="1"/>
    <x v="3"/>
    <x v="3"/>
    <x v="26"/>
    <x v="1"/>
    <x v="0"/>
    <n v="8"/>
    <n v="44857.43"/>
    <n v="144069.9"/>
    <x v="1"/>
  </r>
  <r>
    <x v="2"/>
    <x v="1"/>
    <x v="3"/>
    <x v="3"/>
    <x v="26"/>
    <x v="1"/>
    <x v="1"/>
    <n v="21"/>
    <n v="142525.69"/>
    <n v="456799.37"/>
    <x v="1"/>
  </r>
  <r>
    <x v="2"/>
    <x v="1"/>
    <x v="3"/>
    <x v="3"/>
    <x v="27"/>
    <x v="0"/>
    <x v="0"/>
    <n v="1"/>
    <n v="5726.46"/>
    <n v="26920.35"/>
    <x v="1"/>
  </r>
  <r>
    <x v="2"/>
    <x v="1"/>
    <x v="3"/>
    <x v="3"/>
    <x v="27"/>
    <x v="0"/>
    <x v="1"/>
    <n v="8"/>
    <n v="50304.34"/>
    <n v="226784.2"/>
    <x v="1"/>
  </r>
  <r>
    <x v="2"/>
    <x v="1"/>
    <x v="3"/>
    <x v="3"/>
    <x v="27"/>
    <x v="1"/>
    <x v="0"/>
    <n v="24"/>
    <n v="138061.84"/>
    <n v="429553.5"/>
    <x v="1"/>
  </r>
  <r>
    <x v="2"/>
    <x v="1"/>
    <x v="3"/>
    <x v="3"/>
    <x v="27"/>
    <x v="1"/>
    <x v="1"/>
    <n v="30"/>
    <n v="183837.95"/>
    <n v="564062.14"/>
    <x v="1"/>
  </r>
  <r>
    <x v="2"/>
    <x v="1"/>
    <x v="4"/>
    <x v="0"/>
    <x v="0"/>
    <x v="0"/>
    <x v="0"/>
    <n v="2"/>
    <n v="10094.98"/>
    <n v="45656.800000000003"/>
    <x v="1"/>
  </r>
  <r>
    <x v="2"/>
    <x v="1"/>
    <x v="4"/>
    <x v="0"/>
    <x v="0"/>
    <x v="1"/>
    <x v="0"/>
    <n v="10"/>
    <n v="60994.98"/>
    <n v="192986.97"/>
    <x v="1"/>
  </r>
  <r>
    <x v="2"/>
    <x v="1"/>
    <x v="4"/>
    <x v="0"/>
    <x v="0"/>
    <x v="1"/>
    <x v="1"/>
    <n v="12"/>
    <n v="63758.720000000001"/>
    <n v="187176.5"/>
    <x v="1"/>
  </r>
  <r>
    <x v="2"/>
    <x v="1"/>
    <x v="4"/>
    <x v="0"/>
    <x v="1"/>
    <x v="0"/>
    <x v="1"/>
    <n v="1"/>
    <n v="4785.05"/>
    <n v="22104.82"/>
    <x v="1"/>
  </r>
  <r>
    <x v="2"/>
    <x v="1"/>
    <x v="4"/>
    <x v="0"/>
    <x v="1"/>
    <x v="1"/>
    <x v="0"/>
    <n v="12"/>
    <n v="60803.5"/>
    <n v="185201.01"/>
    <x v="1"/>
  </r>
  <r>
    <x v="2"/>
    <x v="1"/>
    <x v="4"/>
    <x v="0"/>
    <x v="1"/>
    <x v="1"/>
    <x v="1"/>
    <n v="9"/>
    <n v="52056.4"/>
    <n v="144184.81"/>
    <x v="1"/>
  </r>
  <r>
    <x v="2"/>
    <x v="1"/>
    <x v="4"/>
    <x v="0"/>
    <x v="2"/>
    <x v="0"/>
    <x v="1"/>
    <n v="4"/>
    <n v="20637.400000000001"/>
    <n v="97547.78"/>
    <x v="1"/>
  </r>
  <r>
    <x v="2"/>
    <x v="1"/>
    <x v="4"/>
    <x v="0"/>
    <x v="2"/>
    <x v="1"/>
    <x v="0"/>
    <n v="8"/>
    <n v="41729.97"/>
    <n v="120601.84"/>
    <x v="1"/>
  </r>
  <r>
    <x v="2"/>
    <x v="1"/>
    <x v="4"/>
    <x v="0"/>
    <x v="2"/>
    <x v="1"/>
    <x v="1"/>
    <n v="15"/>
    <n v="84042.9"/>
    <n v="230583.78"/>
    <x v="1"/>
  </r>
  <r>
    <x v="2"/>
    <x v="1"/>
    <x v="4"/>
    <x v="0"/>
    <x v="3"/>
    <x v="0"/>
    <x v="0"/>
    <n v="3"/>
    <n v="16674.95"/>
    <n v="76582.45"/>
    <x v="1"/>
  </r>
  <r>
    <x v="2"/>
    <x v="1"/>
    <x v="4"/>
    <x v="0"/>
    <x v="3"/>
    <x v="0"/>
    <x v="1"/>
    <n v="7"/>
    <n v="37532"/>
    <n v="172975.09"/>
    <x v="1"/>
  </r>
  <r>
    <x v="2"/>
    <x v="1"/>
    <x v="4"/>
    <x v="0"/>
    <x v="3"/>
    <x v="1"/>
    <x v="0"/>
    <n v="6"/>
    <n v="31570.79"/>
    <n v="85025.47"/>
    <x v="1"/>
  </r>
  <r>
    <x v="2"/>
    <x v="1"/>
    <x v="4"/>
    <x v="0"/>
    <x v="3"/>
    <x v="1"/>
    <x v="1"/>
    <n v="16"/>
    <n v="90126.97"/>
    <n v="269593.99"/>
    <x v="1"/>
  </r>
  <r>
    <x v="2"/>
    <x v="1"/>
    <x v="4"/>
    <x v="0"/>
    <x v="28"/>
    <x v="1"/>
    <x v="1"/>
    <n v="3"/>
    <n v="15212.88"/>
    <n v="44658.2"/>
    <x v="1"/>
  </r>
  <r>
    <x v="2"/>
    <x v="1"/>
    <x v="4"/>
    <x v="0"/>
    <x v="4"/>
    <x v="0"/>
    <x v="1"/>
    <n v="1"/>
    <n v="5378.27"/>
    <n v="22664.12"/>
    <x v="1"/>
  </r>
  <r>
    <x v="2"/>
    <x v="1"/>
    <x v="4"/>
    <x v="0"/>
    <x v="4"/>
    <x v="1"/>
    <x v="0"/>
    <n v="3"/>
    <n v="14036.25"/>
    <n v="45592.97"/>
    <x v="1"/>
  </r>
  <r>
    <x v="2"/>
    <x v="1"/>
    <x v="4"/>
    <x v="0"/>
    <x v="4"/>
    <x v="1"/>
    <x v="1"/>
    <n v="7"/>
    <n v="37729.97"/>
    <n v="115336.12"/>
    <x v="1"/>
  </r>
  <r>
    <x v="2"/>
    <x v="1"/>
    <x v="4"/>
    <x v="0"/>
    <x v="5"/>
    <x v="0"/>
    <x v="1"/>
    <n v="4"/>
    <n v="21770.07"/>
    <n v="94087.85"/>
    <x v="1"/>
  </r>
  <r>
    <x v="2"/>
    <x v="1"/>
    <x v="4"/>
    <x v="0"/>
    <x v="5"/>
    <x v="1"/>
    <x v="1"/>
    <n v="17"/>
    <n v="97081.09"/>
    <n v="307850.68"/>
    <x v="1"/>
  </r>
  <r>
    <x v="2"/>
    <x v="1"/>
    <x v="4"/>
    <x v="0"/>
    <x v="6"/>
    <x v="1"/>
    <x v="1"/>
    <n v="5"/>
    <n v="27721.15"/>
    <n v="74382.03"/>
    <x v="1"/>
  </r>
  <r>
    <x v="2"/>
    <x v="1"/>
    <x v="4"/>
    <x v="0"/>
    <x v="7"/>
    <x v="1"/>
    <x v="1"/>
    <n v="5"/>
    <n v="26092.2"/>
    <n v="87489.33"/>
    <x v="1"/>
  </r>
  <r>
    <x v="2"/>
    <x v="1"/>
    <x v="4"/>
    <x v="0"/>
    <x v="8"/>
    <x v="0"/>
    <x v="1"/>
    <n v="2"/>
    <n v="10579.4"/>
    <n v="52127.49"/>
    <x v="1"/>
  </r>
  <r>
    <x v="2"/>
    <x v="1"/>
    <x v="4"/>
    <x v="0"/>
    <x v="8"/>
    <x v="1"/>
    <x v="1"/>
    <n v="8"/>
    <n v="48117.63"/>
    <n v="151359.93"/>
    <x v="1"/>
  </r>
  <r>
    <x v="2"/>
    <x v="1"/>
    <x v="4"/>
    <x v="1"/>
    <x v="9"/>
    <x v="1"/>
    <x v="1"/>
    <n v="12"/>
    <n v="60618.61"/>
    <n v="179564.25"/>
    <x v="1"/>
  </r>
  <r>
    <x v="2"/>
    <x v="1"/>
    <x v="4"/>
    <x v="1"/>
    <x v="10"/>
    <x v="0"/>
    <x v="1"/>
    <n v="3"/>
    <n v="16250.6"/>
    <n v="66143.72"/>
    <x v="1"/>
  </r>
  <r>
    <x v="2"/>
    <x v="1"/>
    <x v="4"/>
    <x v="1"/>
    <x v="10"/>
    <x v="1"/>
    <x v="0"/>
    <n v="9"/>
    <n v="44580.08"/>
    <n v="145180.98000000001"/>
    <x v="1"/>
  </r>
  <r>
    <x v="2"/>
    <x v="1"/>
    <x v="4"/>
    <x v="1"/>
    <x v="10"/>
    <x v="1"/>
    <x v="1"/>
    <n v="41"/>
    <n v="215737.55"/>
    <n v="669781.47"/>
    <x v="1"/>
  </r>
  <r>
    <x v="2"/>
    <x v="1"/>
    <x v="4"/>
    <x v="1"/>
    <x v="11"/>
    <x v="0"/>
    <x v="1"/>
    <n v="11"/>
    <n v="61490.83"/>
    <n v="278010.07"/>
    <x v="1"/>
  </r>
  <r>
    <x v="2"/>
    <x v="1"/>
    <x v="4"/>
    <x v="1"/>
    <x v="11"/>
    <x v="1"/>
    <x v="0"/>
    <n v="11"/>
    <n v="64001.62"/>
    <n v="192409.02"/>
    <x v="1"/>
  </r>
  <r>
    <x v="2"/>
    <x v="1"/>
    <x v="4"/>
    <x v="1"/>
    <x v="11"/>
    <x v="1"/>
    <x v="1"/>
    <n v="18"/>
    <n v="94001.47"/>
    <n v="279643.21999999997"/>
    <x v="1"/>
  </r>
  <r>
    <x v="2"/>
    <x v="1"/>
    <x v="4"/>
    <x v="1"/>
    <x v="12"/>
    <x v="1"/>
    <x v="1"/>
    <n v="1"/>
    <n v="4716.7700000000004"/>
    <n v="15824.12"/>
    <x v="1"/>
  </r>
  <r>
    <x v="2"/>
    <x v="1"/>
    <x v="4"/>
    <x v="1"/>
    <x v="13"/>
    <x v="0"/>
    <x v="1"/>
    <n v="5"/>
    <n v="27804.73"/>
    <n v="127225.49"/>
    <x v="1"/>
  </r>
  <r>
    <x v="2"/>
    <x v="1"/>
    <x v="4"/>
    <x v="1"/>
    <x v="13"/>
    <x v="1"/>
    <x v="0"/>
    <n v="11"/>
    <n v="55545.83"/>
    <n v="171697.64"/>
    <x v="1"/>
  </r>
  <r>
    <x v="2"/>
    <x v="1"/>
    <x v="4"/>
    <x v="1"/>
    <x v="13"/>
    <x v="1"/>
    <x v="1"/>
    <n v="11"/>
    <n v="67011.64"/>
    <n v="211764.66"/>
    <x v="1"/>
  </r>
  <r>
    <x v="2"/>
    <x v="1"/>
    <x v="4"/>
    <x v="1"/>
    <x v="14"/>
    <x v="0"/>
    <x v="1"/>
    <n v="2"/>
    <n v="11650.47"/>
    <n v="54887.59"/>
    <x v="1"/>
  </r>
  <r>
    <x v="2"/>
    <x v="1"/>
    <x v="4"/>
    <x v="1"/>
    <x v="14"/>
    <x v="1"/>
    <x v="0"/>
    <n v="10"/>
    <n v="52726.27"/>
    <n v="162063.07999999999"/>
    <x v="1"/>
  </r>
  <r>
    <x v="2"/>
    <x v="1"/>
    <x v="4"/>
    <x v="1"/>
    <x v="14"/>
    <x v="1"/>
    <x v="1"/>
    <n v="5"/>
    <n v="30320.959999999999"/>
    <n v="88227.18"/>
    <x v="1"/>
  </r>
  <r>
    <x v="2"/>
    <x v="1"/>
    <x v="4"/>
    <x v="1"/>
    <x v="15"/>
    <x v="1"/>
    <x v="0"/>
    <n v="10"/>
    <n v="61166.22"/>
    <n v="196548.61"/>
    <x v="1"/>
  </r>
  <r>
    <x v="2"/>
    <x v="1"/>
    <x v="4"/>
    <x v="1"/>
    <x v="15"/>
    <x v="1"/>
    <x v="1"/>
    <n v="1"/>
    <n v="4699.4799999999996"/>
    <n v="15937.19"/>
    <x v="1"/>
  </r>
  <r>
    <x v="2"/>
    <x v="1"/>
    <x v="4"/>
    <x v="1"/>
    <x v="16"/>
    <x v="1"/>
    <x v="0"/>
    <n v="3"/>
    <n v="17737.82"/>
    <n v="51321.33"/>
    <x v="1"/>
  </r>
  <r>
    <x v="2"/>
    <x v="1"/>
    <x v="4"/>
    <x v="1"/>
    <x v="16"/>
    <x v="1"/>
    <x v="1"/>
    <n v="11"/>
    <n v="55403.49"/>
    <n v="175283.61"/>
    <x v="1"/>
  </r>
  <r>
    <x v="2"/>
    <x v="1"/>
    <x v="4"/>
    <x v="1"/>
    <x v="17"/>
    <x v="0"/>
    <x v="1"/>
    <n v="3"/>
    <n v="16011.69"/>
    <n v="72451.53"/>
    <x v="1"/>
  </r>
  <r>
    <x v="2"/>
    <x v="1"/>
    <x v="4"/>
    <x v="1"/>
    <x v="17"/>
    <x v="1"/>
    <x v="0"/>
    <n v="8"/>
    <n v="46379.29"/>
    <n v="141594.44"/>
    <x v="1"/>
  </r>
  <r>
    <x v="2"/>
    <x v="1"/>
    <x v="4"/>
    <x v="1"/>
    <x v="17"/>
    <x v="1"/>
    <x v="1"/>
    <n v="3"/>
    <n v="20511.240000000002"/>
    <n v="65221.14"/>
    <x v="1"/>
  </r>
  <r>
    <x v="2"/>
    <x v="1"/>
    <x v="4"/>
    <x v="1"/>
    <x v="18"/>
    <x v="0"/>
    <x v="1"/>
    <n v="4"/>
    <n v="20899.599999999999"/>
    <n v="91814.720000000001"/>
    <x v="1"/>
  </r>
  <r>
    <x v="2"/>
    <x v="1"/>
    <x v="4"/>
    <x v="1"/>
    <x v="18"/>
    <x v="1"/>
    <x v="0"/>
    <n v="6"/>
    <n v="30061.39"/>
    <n v="93540.61"/>
    <x v="1"/>
  </r>
  <r>
    <x v="2"/>
    <x v="1"/>
    <x v="4"/>
    <x v="1"/>
    <x v="18"/>
    <x v="1"/>
    <x v="1"/>
    <n v="46"/>
    <n v="236586.41"/>
    <n v="752240.86"/>
    <x v="1"/>
  </r>
  <r>
    <x v="2"/>
    <x v="1"/>
    <x v="4"/>
    <x v="1"/>
    <x v="19"/>
    <x v="0"/>
    <x v="1"/>
    <n v="5"/>
    <n v="24911.23"/>
    <n v="113303.66"/>
    <x v="1"/>
  </r>
  <r>
    <x v="2"/>
    <x v="1"/>
    <x v="4"/>
    <x v="1"/>
    <x v="19"/>
    <x v="1"/>
    <x v="0"/>
    <n v="8"/>
    <n v="47608.94"/>
    <n v="162829.21"/>
    <x v="1"/>
  </r>
  <r>
    <x v="2"/>
    <x v="1"/>
    <x v="4"/>
    <x v="1"/>
    <x v="19"/>
    <x v="1"/>
    <x v="1"/>
    <n v="20"/>
    <n v="101307.25"/>
    <n v="323778.8"/>
    <x v="1"/>
  </r>
  <r>
    <x v="2"/>
    <x v="1"/>
    <x v="4"/>
    <x v="1"/>
    <x v="20"/>
    <x v="0"/>
    <x v="0"/>
    <n v="2"/>
    <n v="13512.58"/>
    <n v="69714.97"/>
    <x v="1"/>
  </r>
  <r>
    <x v="2"/>
    <x v="1"/>
    <x v="4"/>
    <x v="1"/>
    <x v="20"/>
    <x v="0"/>
    <x v="1"/>
    <n v="3"/>
    <n v="16110.75"/>
    <n v="83086.16"/>
    <x v="1"/>
  </r>
  <r>
    <x v="2"/>
    <x v="1"/>
    <x v="4"/>
    <x v="1"/>
    <x v="20"/>
    <x v="1"/>
    <x v="0"/>
    <n v="3"/>
    <n v="14675.42"/>
    <n v="47843.8"/>
    <x v="1"/>
  </r>
  <r>
    <x v="2"/>
    <x v="1"/>
    <x v="4"/>
    <x v="1"/>
    <x v="20"/>
    <x v="1"/>
    <x v="1"/>
    <n v="33"/>
    <n v="173689.29"/>
    <n v="547950.14"/>
    <x v="1"/>
  </r>
  <r>
    <x v="2"/>
    <x v="1"/>
    <x v="4"/>
    <x v="2"/>
    <x v="21"/>
    <x v="0"/>
    <x v="0"/>
    <n v="4"/>
    <n v="21802.97"/>
    <n v="100569.01"/>
    <x v="1"/>
  </r>
  <r>
    <x v="2"/>
    <x v="1"/>
    <x v="4"/>
    <x v="2"/>
    <x v="21"/>
    <x v="1"/>
    <x v="1"/>
    <n v="3"/>
    <n v="14814.74"/>
    <n v="41700.550000000003"/>
    <x v="1"/>
  </r>
  <r>
    <x v="2"/>
    <x v="1"/>
    <x v="4"/>
    <x v="2"/>
    <x v="22"/>
    <x v="0"/>
    <x v="1"/>
    <n v="1"/>
    <n v="5573.78"/>
    <n v="26247.23"/>
    <x v="1"/>
  </r>
  <r>
    <x v="2"/>
    <x v="1"/>
    <x v="4"/>
    <x v="2"/>
    <x v="22"/>
    <x v="1"/>
    <x v="0"/>
    <n v="9"/>
    <n v="46732.17"/>
    <n v="136878.67000000001"/>
    <x v="1"/>
  </r>
  <r>
    <x v="2"/>
    <x v="1"/>
    <x v="4"/>
    <x v="2"/>
    <x v="22"/>
    <x v="1"/>
    <x v="1"/>
    <n v="4"/>
    <n v="18964.66"/>
    <n v="55079.360000000001"/>
    <x v="1"/>
  </r>
  <r>
    <x v="2"/>
    <x v="1"/>
    <x v="4"/>
    <x v="2"/>
    <x v="29"/>
    <x v="0"/>
    <x v="1"/>
    <n v="1"/>
    <n v="5456.98"/>
    <n v="25995.32"/>
    <x v="1"/>
  </r>
  <r>
    <x v="2"/>
    <x v="1"/>
    <x v="4"/>
    <x v="2"/>
    <x v="29"/>
    <x v="1"/>
    <x v="1"/>
    <n v="4"/>
    <n v="21119.16"/>
    <n v="58851.46"/>
    <x v="1"/>
  </r>
  <r>
    <x v="2"/>
    <x v="1"/>
    <x v="4"/>
    <x v="2"/>
    <x v="23"/>
    <x v="1"/>
    <x v="1"/>
    <n v="3"/>
    <n v="16479.72"/>
    <n v="43606.400000000001"/>
    <x v="1"/>
  </r>
  <r>
    <x v="2"/>
    <x v="1"/>
    <x v="4"/>
    <x v="2"/>
    <x v="24"/>
    <x v="0"/>
    <x v="1"/>
    <n v="1"/>
    <n v="4794.46"/>
    <n v="22717.47"/>
    <x v="1"/>
  </r>
  <r>
    <x v="2"/>
    <x v="1"/>
    <x v="4"/>
    <x v="2"/>
    <x v="24"/>
    <x v="1"/>
    <x v="1"/>
    <n v="2"/>
    <n v="9571.06"/>
    <n v="28051.78"/>
    <x v="1"/>
  </r>
  <r>
    <x v="2"/>
    <x v="1"/>
    <x v="4"/>
    <x v="3"/>
    <x v="25"/>
    <x v="1"/>
    <x v="0"/>
    <n v="5"/>
    <n v="27463.27"/>
    <n v="80255.03"/>
    <x v="1"/>
  </r>
  <r>
    <x v="2"/>
    <x v="1"/>
    <x v="4"/>
    <x v="3"/>
    <x v="25"/>
    <x v="1"/>
    <x v="1"/>
    <n v="5"/>
    <n v="27837.55"/>
    <n v="95360.59"/>
    <x v="1"/>
  </r>
  <r>
    <x v="2"/>
    <x v="1"/>
    <x v="4"/>
    <x v="3"/>
    <x v="26"/>
    <x v="0"/>
    <x v="0"/>
    <n v="1"/>
    <n v="5544.29"/>
    <n v="22786.42"/>
    <x v="1"/>
  </r>
  <r>
    <x v="2"/>
    <x v="1"/>
    <x v="4"/>
    <x v="3"/>
    <x v="26"/>
    <x v="0"/>
    <x v="1"/>
    <n v="3"/>
    <n v="17688.310000000001"/>
    <n v="83247.539999999994"/>
    <x v="1"/>
  </r>
  <r>
    <x v="2"/>
    <x v="1"/>
    <x v="4"/>
    <x v="3"/>
    <x v="26"/>
    <x v="1"/>
    <x v="0"/>
    <n v="9"/>
    <n v="45331.92"/>
    <n v="144446.99"/>
    <x v="1"/>
  </r>
  <r>
    <x v="2"/>
    <x v="1"/>
    <x v="4"/>
    <x v="3"/>
    <x v="26"/>
    <x v="1"/>
    <x v="1"/>
    <n v="17"/>
    <n v="91508.91"/>
    <n v="297629.77"/>
    <x v="1"/>
  </r>
  <r>
    <x v="2"/>
    <x v="1"/>
    <x v="4"/>
    <x v="3"/>
    <x v="27"/>
    <x v="0"/>
    <x v="0"/>
    <n v="2"/>
    <n v="12019.06"/>
    <n v="60292.46"/>
    <x v="1"/>
  </r>
  <r>
    <x v="2"/>
    <x v="1"/>
    <x v="4"/>
    <x v="3"/>
    <x v="27"/>
    <x v="0"/>
    <x v="1"/>
    <n v="1"/>
    <n v="5327.81"/>
    <n v="26284.27"/>
    <x v="1"/>
  </r>
  <r>
    <x v="2"/>
    <x v="1"/>
    <x v="4"/>
    <x v="3"/>
    <x v="27"/>
    <x v="1"/>
    <x v="0"/>
    <n v="6"/>
    <n v="35648.31"/>
    <n v="118655.54"/>
    <x v="1"/>
  </r>
  <r>
    <x v="2"/>
    <x v="1"/>
    <x v="4"/>
    <x v="3"/>
    <x v="27"/>
    <x v="1"/>
    <x v="1"/>
    <n v="24"/>
    <n v="126235.18"/>
    <n v="395941.24"/>
    <x v="1"/>
  </r>
  <r>
    <x v="2"/>
    <x v="1"/>
    <x v="5"/>
    <x v="0"/>
    <x v="0"/>
    <x v="0"/>
    <x v="0"/>
    <n v="2"/>
    <n v="10626.16"/>
    <n v="46377.43"/>
    <x v="1"/>
  </r>
  <r>
    <x v="2"/>
    <x v="1"/>
    <x v="5"/>
    <x v="0"/>
    <x v="0"/>
    <x v="0"/>
    <x v="1"/>
    <n v="3"/>
    <n v="15846.38"/>
    <n v="65034.42"/>
    <x v="1"/>
  </r>
  <r>
    <x v="2"/>
    <x v="1"/>
    <x v="5"/>
    <x v="0"/>
    <x v="0"/>
    <x v="1"/>
    <x v="0"/>
    <n v="3"/>
    <n v="14844.9"/>
    <n v="36300.410000000003"/>
    <x v="1"/>
  </r>
  <r>
    <x v="2"/>
    <x v="1"/>
    <x v="5"/>
    <x v="0"/>
    <x v="0"/>
    <x v="1"/>
    <x v="1"/>
    <n v="10"/>
    <n v="59918.67"/>
    <n v="151136.15"/>
    <x v="1"/>
  </r>
  <r>
    <x v="2"/>
    <x v="1"/>
    <x v="5"/>
    <x v="0"/>
    <x v="1"/>
    <x v="0"/>
    <x v="0"/>
    <n v="5"/>
    <n v="24195.39"/>
    <n v="95127.91"/>
    <x v="1"/>
  </r>
  <r>
    <x v="2"/>
    <x v="1"/>
    <x v="5"/>
    <x v="0"/>
    <x v="1"/>
    <x v="0"/>
    <x v="1"/>
    <n v="4"/>
    <n v="20276.14"/>
    <n v="81096.58"/>
    <x v="1"/>
  </r>
  <r>
    <x v="2"/>
    <x v="1"/>
    <x v="5"/>
    <x v="0"/>
    <x v="1"/>
    <x v="1"/>
    <x v="0"/>
    <n v="4"/>
    <n v="22146.62"/>
    <n v="58289.9"/>
    <x v="1"/>
  </r>
  <r>
    <x v="2"/>
    <x v="1"/>
    <x v="5"/>
    <x v="0"/>
    <x v="1"/>
    <x v="1"/>
    <x v="1"/>
    <n v="12"/>
    <n v="69500.5"/>
    <n v="180541.68"/>
    <x v="1"/>
  </r>
  <r>
    <x v="2"/>
    <x v="1"/>
    <x v="5"/>
    <x v="0"/>
    <x v="2"/>
    <x v="0"/>
    <x v="1"/>
    <n v="3"/>
    <n v="16486.2"/>
    <n v="68100.62"/>
    <x v="1"/>
  </r>
  <r>
    <x v="2"/>
    <x v="1"/>
    <x v="5"/>
    <x v="0"/>
    <x v="2"/>
    <x v="1"/>
    <x v="1"/>
    <n v="8"/>
    <n v="44690.19"/>
    <n v="109657.24"/>
    <x v="1"/>
  </r>
  <r>
    <x v="2"/>
    <x v="1"/>
    <x v="5"/>
    <x v="0"/>
    <x v="3"/>
    <x v="0"/>
    <x v="1"/>
    <n v="15"/>
    <n v="81335.820000000007"/>
    <n v="309699.76"/>
    <x v="1"/>
  </r>
  <r>
    <x v="2"/>
    <x v="1"/>
    <x v="5"/>
    <x v="0"/>
    <x v="3"/>
    <x v="1"/>
    <x v="0"/>
    <n v="22"/>
    <n v="132151.82"/>
    <n v="330527.26"/>
    <x v="1"/>
  </r>
  <r>
    <x v="2"/>
    <x v="1"/>
    <x v="5"/>
    <x v="0"/>
    <x v="3"/>
    <x v="1"/>
    <x v="1"/>
    <n v="29"/>
    <n v="156981.14000000001"/>
    <n v="386151.56"/>
    <x v="1"/>
  </r>
  <r>
    <x v="2"/>
    <x v="1"/>
    <x v="5"/>
    <x v="0"/>
    <x v="28"/>
    <x v="1"/>
    <x v="1"/>
    <n v="1"/>
    <n v="4890.7299999999996"/>
    <n v="11677.79"/>
    <x v="1"/>
  </r>
  <r>
    <x v="2"/>
    <x v="1"/>
    <x v="5"/>
    <x v="0"/>
    <x v="4"/>
    <x v="1"/>
    <x v="1"/>
    <n v="6"/>
    <n v="29457.48"/>
    <n v="77087.53"/>
    <x v="1"/>
  </r>
  <r>
    <x v="2"/>
    <x v="1"/>
    <x v="5"/>
    <x v="0"/>
    <x v="5"/>
    <x v="0"/>
    <x v="1"/>
    <n v="6"/>
    <n v="39798.9"/>
    <n v="160382.44"/>
    <x v="1"/>
  </r>
  <r>
    <x v="2"/>
    <x v="1"/>
    <x v="5"/>
    <x v="0"/>
    <x v="5"/>
    <x v="1"/>
    <x v="1"/>
    <n v="16"/>
    <n v="92833.05"/>
    <n v="246133.22"/>
    <x v="1"/>
  </r>
  <r>
    <x v="2"/>
    <x v="1"/>
    <x v="5"/>
    <x v="0"/>
    <x v="6"/>
    <x v="0"/>
    <x v="1"/>
    <n v="2"/>
    <n v="11474.16"/>
    <n v="46626.57"/>
    <x v="1"/>
  </r>
  <r>
    <x v="2"/>
    <x v="1"/>
    <x v="5"/>
    <x v="0"/>
    <x v="8"/>
    <x v="0"/>
    <x v="1"/>
    <n v="2"/>
    <n v="8897.36"/>
    <n v="36772.32"/>
    <x v="1"/>
  </r>
  <r>
    <x v="2"/>
    <x v="1"/>
    <x v="5"/>
    <x v="1"/>
    <x v="30"/>
    <x v="1"/>
    <x v="0"/>
    <n v="3"/>
    <n v="21378.75"/>
    <n v="56132.480000000003"/>
    <x v="1"/>
  </r>
  <r>
    <x v="2"/>
    <x v="1"/>
    <x v="5"/>
    <x v="1"/>
    <x v="9"/>
    <x v="1"/>
    <x v="1"/>
    <n v="6"/>
    <n v="31922.66"/>
    <n v="84607.08"/>
    <x v="1"/>
  </r>
  <r>
    <x v="2"/>
    <x v="1"/>
    <x v="5"/>
    <x v="1"/>
    <x v="31"/>
    <x v="1"/>
    <x v="0"/>
    <n v="4"/>
    <n v="18958.919999999998"/>
    <n v="54424.69"/>
    <x v="1"/>
  </r>
  <r>
    <x v="2"/>
    <x v="1"/>
    <x v="5"/>
    <x v="1"/>
    <x v="10"/>
    <x v="0"/>
    <x v="0"/>
    <n v="2"/>
    <n v="11921.76"/>
    <n v="46532.19"/>
    <x v="1"/>
  </r>
  <r>
    <x v="2"/>
    <x v="1"/>
    <x v="5"/>
    <x v="1"/>
    <x v="10"/>
    <x v="0"/>
    <x v="1"/>
    <n v="3"/>
    <n v="19082.900000000001"/>
    <n v="73977.649999999994"/>
    <x v="1"/>
  </r>
  <r>
    <x v="2"/>
    <x v="1"/>
    <x v="5"/>
    <x v="1"/>
    <x v="10"/>
    <x v="1"/>
    <x v="0"/>
    <n v="9"/>
    <n v="45231.82"/>
    <n v="124388.48"/>
    <x v="1"/>
  </r>
  <r>
    <x v="2"/>
    <x v="1"/>
    <x v="5"/>
    <x v="1"/>
    <x v="10"/>
    <x v="1"/>
    <x v="1"/>
    <n v="22"/>
    <n v="146182.82999999999"/>
    <n v="389953.13"/>
    <x v="1"/>
  </r>
  <r>
    <x v="2"/>
    <x v="1"/>
    <x v="5"/>
    <x v="1"/>
    <x v="11"/>
    <x v="0"/>
    <x v="1"/>
    <n v="8"/>
    <n v="48812.27"/>
    <n v="192405.28"/>
    <x v="1"/>
  </r>
  <r>
    <x v="2"/>
    <x v="1"/>
    <x v="5"/>
    <x v="1"/>
    <x v="11"/>
    <x v="1"/>
    <x v="0"/>
    <n v="2"/>
    <n v="12575.42"/>
    <n v="34970.339999999997"/>
    <x v="1"/>
  </r>
  <r>
    <x v="2"/>
    <x v="1"/>
    <x v="5"/>
    <x v="1"/>
    <x v="11"/>
    <x v="1"/>
    <x v="1"/>
    <n v="9"/>
    <n v="49728.12"/>
    <n v="123754.2"/>
    <x v="1"/>
  </r>
  <r>
    <x v="2"/>
    <x v="1"/>
    <x v="5"/>
    <x v="1"/>
    <x v="12"/>
    <x v="1"/>
    <x v="1"/>
    <n v="3"/>
    <n v="20470.05"/>
    <n v="55768.73"/>
    <x v="1"/>
  </r>
  <r>
    <x v="2"/>
    <x v="1"/>
    <x v="5"/>
    <x v="1"/>
    <x v="13"/>
    <x v="0"/>
    <x v="1"/>
    <n v="2"/>
    <n v="10349.35"/>
    <n v="39018.93"/>
    <x v="1"/>
  </r>
  <r>
    <x v="2"/>
    <x v="1"/>
    <x v="5"/>
    <x v="1"/>
    <x v="13"/>
    <x v="1"/>
    <x v="0"/>
    <n v="11"/>
    <n v="63676.73"/>
    <n v="172117.55"/>
    <x v="1"/>
  </r>
  <r>
    <x v="2"/>
    <x v="1"/>
    <x v="5"/>
    <x v="1"/>
    <x v="13"/>
    <x v="1"/>
    <x v="1"/>
    <n v="17"/>
    <n v="94784.84"/>
    <n v="254368.52"/>
    <x v="1"/>
  </r>
  <r>
    <x v="2"/>
    <x v="1"/>
    <x v="5"/>
    <x v="1"/>
    <x v="14"/>
    <x v="1"/>
    <x v="0"/>
    <n v="15"/>
    <n v="80836.34"/>
    <n v="205895.01"/>
    <x v="1"/>
  </r>
  <r>
    <x v="2"/>
    <x v="1"/>
    <x v="5"/>
    <x v="1"/>
    <x v="14"/>
    <x v="1"/>
    <x v="1"/>
    <n v="8"/>
    <n v="55262.559999999998"/>
    <n v="145007.25"/>
    <x v="1"/>
  </r>
  <r>
    <x v="2"/>
    <x v="1"/>
    <x v="5"/>
    <x v="1"/>
    <x v="15"/>
    <x v="1"/>
    <x v="0"/>
    <n v="6"/>
    <n v="36450.42"/>
    <n v="105834.25"/>
    <x v="1"/>
  </r>
  <r>
    <x v="2"/>
    <x v="1"/>
    <x v="5"/>
    <x v="1"/>
    <x v="15"/>
    <x v="1"/>
    <x v="1"/>
    <n v="1"/>
    <n v="5344.67"/>
    <n v="13400.62"/>
    <x v="1"/>
  </r>
  <r>
    <x v="2"/>
    <x v="1"/>
    <x v="5"/>
    <x v="1"/>
    <x v="16"/>
    <x v="1"/>
    <x v="0"/>
    <n v="3"/>
    <n v="17855.310000000001"/>
    <n v="50315.42"/>
    <x v="1"/>
  </r>
  <r>
    <x v="2"/>
    <x v="1"/>
    <x v="5"/>
    <x v="1"/>
    <x v="16"/>
    <x v="1"/>
    <x v="1"/>
    <n v="8"/>
    <n v="42214.31"/>
    <n v="109088.81"/>
    <x v="1"/>
  </r>
  <r>
    <x v="2"/>
    <x v="1"/>
    <x v="5"/>
    <x v="1"/>
    <x v="17"/>
    <x v="0"/>
    <x v="1"/>
    <n v="2"/>
    <n v="10323.459999999999"/>
    <n v="38669.14"/>
    <x v="1"/>
  </r>
  <r>
    <x v="2"/>
    <x v="1"/>
    <x v="5"/>
    <x v="1"/>
    <x v="17"/>
    <x v="1"/>
    <x v="0"/>
    <n v="2"/>
    <n v="14147.1"/>
    <n v="35947.440000000002"/>
    <x v="1"/>
  </r>
  <r>
    <x v="2"/>
    <x v="1"/>
    <x v="5"/>
    <x v="1"/>
    <x v="17"/>
    <x v="1"/>
    <x v="1"/>
    <n v="6"/>
    <n v="42610.13"/>
    <n v="108083.13"/>
    <x v="1"/>
  </r>
  <r>
    <x v="2"/>
    <x v="1"/>
    <x v="5"/>
    <x v="1"/>
    <x v="18"/>
    <x v="0"/>
    <x v="1"/>
    <n v="10"/>
    <n v="59011.56"/>
    <n v="235186.45"/>
    <x v="1"/>
  </r>
  <r>
    <x v="2"/>
    <x v="1"/>
    <x v="5"/>
    <x v="1"/>
    <x v="18"/>
    <x v="1"/>
    <x v="0"/>
    <n v="1"/>
    <n v="5264.6"/>
    <n v="13743.4"/>
    <x v="1"/>
  </r>
  <r>
    <x v="2"/>
    <x v="1"/>
    <x v="5"/>
    <x v="1"/>
    <x v="18"/>
    <x v="1"/>
    <x v="1"/>
    <n v="17"/>
    <n v="111373.23"/>
    <n v="314073.92"/>
    <x v="1"/>
  </r>
  <r>
    <x v="2"/>
    <x v="1"/>
    <x v="5"/>
    <x v="1"/>
    <x v="19"/>
    <x v="0"/>
    <x v="1"/>
    <n v="7"/>
    <n v="43655.58"/>
    <n v="178844.18"/>
    <x v="1"/>
  </r>
  <r>
    <x v="2"/>
    <x v="1"/>
    <x v="5"/>
    <x v="1"/>
    <x v="19"/>
    <x v="1"/>
    <x v="0"/>
    <n v="5"/>
    <n v="26733.96"/>
    <n v="73477.3"/>
    <x v="1"/>
  </r>
  <r>
    <x v="2"/>
    <x v="1"/>
    <x v="5"/>
    <x v="1"/>
    <x v="19"/>
    <x v="1"/>
    <x v="1"/>
    <n v="11"/>
    <n v="57429.760000000002"/>
    <n v="152731.88"/>
    <x v="1"/>
  </r>
  <r>
    <x v="2"/>
    <x v="1"/>
    <x v="5"/>
    <x v="1"/>
    <x v="20"/>
    <x v="0"/>
    <x v="0"/>
    <n v="7"/>
    <n v="45616.38"/>
    <n v="183615.73"/>
    <x v="1"/>
  </r>
  <r>
    <x v="2"/>
    <x v="1"/>
    <x v="5"/>
    <x v="1"/>
    <x v="20"/>
    <x v="0"/>
    <x v="1"/>
    <n v="6"/>
    <n v="30834.68"/>
    <n v="124837.09"/>
    <x v="1"/>
  </r>
  <r>
    <x v="2"/>
    <x v="1"/>
    <x v="5"/>
    <x v="1"/>
    <x v="20"/>
    <x v="1"/>
    <x v="0"/>
    <n v="20"/>
    <n v="127431.09"/>
    <n v="352348.97"/>
    <x v="1"/>
  </r>
  <r>
    <x v="2"/>
    <x v="1"/>
    <x v="5"/>
    <x v="1"/>
    <x v="20"/>
    <x v="1"/>
    <x v="1"/>
    <n v="25"/>
    <n v="137387.01"/>
    <n v="385374.96"/>
    <x v="1"/>
  </r>
  <r>
    <x v="2"/>
    <x v="1"/>
    <x v="5"/>
    <x v="2"/>
    <x v="21"/>
    <x v="1"/>
    <x v="1"/>
    <n v="2"/>
    <n v="9727.5"/>
    <n v="24609.06"/>
    <x v="1"/>
  </r>
  <r>
    <x v="2"/>
    <x v="1"/>
    <x v="5"/>
    <x v="2"/>
    <x v="22"/>
    <x v="0"/>
    <x v="1"/>
    <n v="3"/>
    <n v="17670.28"/>
    <n v="76713.73"/>
    <x v="1"/>
  </r>
  <r>
    <x v="2"/>
    <x v="1"/>
    <x v="5"/>
    <x v="2"/>
    <x v="22"/>
    <x v="1"/>
    <x v="0"/>
    <n v="8"/>
    <n v="56412.11"/>
    <n v="137084.72"/>
    <x v="1"/>
  </r>
  <r>
    <x v="2"/>
    <x v="1"/>
    <x v="5"/>
    <x v="2"/>
    <x v="22"/>
    <x v="1"/>
    <x v="1"/>
    <n v="9"/>
    <n v="53407.33"/>
    <n v="129730.54"/>
    <x v="1"/>
  </r>
  <r>
    <x v="2"/>
    <x v="1"/>
    <x v="5"/>
    <x v="2"/>
    <x v="29"/>
    <x v="0"/>
    <x v="1"/>
    <n v="3"/>
    <n v="18101.22"/>
    <n v="74351.320000000007"/>
    <x v="1"/>
  </r>
  <r>
    <x v="2"/>
    <x v="1"/>
    <x v="5"/>
    <x v="2"/>
    <x v="24"/>
    <x v="0"/>
    <x v="1"/>
    <n v="2"/>
    <n v="11724.99"/>
    <n v="48316.85"/>
    <x v="1"/>
  </r>
  <r>
    <x v="2"/>
    <x v="1"/>
    <x v="5"/>
    <x v="2"/>
    <x v="24"/>
    <x v="1"/>
    <x v="0"/>
    <n v="2"/>
    <n v="12587.04"/>
    <n v="34916.839999999997"/>
    <x v="1"/>
  </r>
  <r>
    <x v="2"/>
    <x v="1"/>
    <x v="5"/>
    <x v="2"/>
    <x v="24"/>
    <x v="1"/>
    <x v="1"/>
    <n v="1"/>
    <n v="5170.2299999999996"/>
    <n v="12552.39"/>
    <x v="1"/>
  </r>
  <r>
    <x v="2"/>
    <x v="1"/>
    <x v="5"/>
    <x v="3"/>
    <x v="25"/>
    <x v="0"/>
    <x v="1"/>
    <n v="1"/>
    <n v="5163.8999999999996"/>
    <n v="20165.349999999999"/>
    <x v="1"/>
  </r>
  <r>
    <x v="2"/>
    <x v="1"/>
    <x v="5"/>
    <x v="3"/>
    <x v="25"/>
    <x v="1"/>
    <x v="0"/>
    <n v="2"/>
    <n v="13060.47"/>
    <n v="38278.53"/>
    <x v="1"/>
  </r>
  <r>
    <x v="2"/>
    <x v="1"/>
    <x v="5"/>
    <x v="3"/>
    <x v="26"/>
    <x v="0"/>
    <x v="0"/>
    <n v="1"/>
    <n v="7241.43"/>
    <n v="28056.13"/>
    <x v="1"/>
  </r>
  <r>
    <x v="2"/>
    <x v="1"/>
    <x v="5"/>
    <x v="3"/>
    <x v="26"/>
    <x v="0"/>
    <x v="1"/>
    <n v="2"/>
    <n v="10411.719999999999"/>
    <n v="40236.43"/>
    <x v="1"/>
  </r>
  <r>
    <x v="2"/>
    <x v="1"/>
    <x v="5"/>
    <x v="3"/>
    <x v="26"/>
    <x v="1"/>
    <x v="0"/>
    <n v="1"/>
    <n v="4466.82"/>
    <n v="12737.86"/>
    <x v="1"/>
  </r>
  <r>
    <x v="2"/>
    <x v="1"/>
    <x v="5"/>
    <x v="3"/>
    <x v="26"/>
    <x v="1"/>
    <x v="1"/>
    <n v="8"/>
    <n v="48302.99"/>
    <n v="134824.54999999999"/>
    <x v="1"/>
  </r>
  <r>
    <x v="2"/>
    <x v="1"/>
    <x v="5"/>
    <x v="3"/>
    <x v="27"/>
    <x v="0"/>
    <x v="0"/>
    <n v="1"/>
    <n v="5168.29"/>
    <n v="20070.96"/>
    <x v="1"/>
  </r>
  <r>
    <x v="2"/>
    <x v="1"/>
    <x v="5"/>
    <x v="3"/>
    <x v="27"/>
    <x v="0"/>
    <x v="1"/>
    <n v="3"/>
    <n v="18470.87"/>
    <n v="76144.17"/>
    <x v="1"/>
  </r>
  <r>
    <x v="2"/>
    <x v="1"/>
    <x v="5"/>
    <x v="3"/>
    <x v="27"/>
    <x v="1"/>
    <x v="0"/>
    <n v="14"/>
    <n v="78592.5"/>
    <n v="213526.31"/>
    <x v="1"/>
  </r>
  <r>
    <x v="2"/>
    <x v="1"/>
    <x v="5"/>
    <x v="3"/>
    <x v="27"/>
    <x v="1"/>
    <x v="1"/>
    <n v="29"/>
    <n v="168969.09"/>
    <n v="458410.22"/>
    <x v="1"/>
  </r>
  <r>
    <x v="2"/>
    <x v="1"/>
    <x v="6"/>
    <x v="0"/>
    <x v="0"/>
    <x v="0"/>
    <x v="0"/>
    <n v="3"/>
    <n v="9152.91"/>
    <n v="32846"/>
    <x v="1"/>
  </r>
  <r>
    <x v="2"/>
    <x v="1"/>
    <x v="6"/>
    <x v="0"/>
    <x v="0"/>
    <x v="0"/>
    <x v="1"/>
    <n v="2"/>
    <n v="4856.6000000000004"/>
    <n v="17761.810000000001"/>
    <x v="1"/>
  </r>
  <r>
    <x v="2"/>
    <x v="1"/>
    <x v="6"/>
    <x v="0"/>
    <x v="0"/>
    <x v="1"/>
    <x v="0"/>
    <n v="8"/>
    <n v="24683.599999999999"/>
    <n v="56758.21"/>
    <x v="1"/>
  </r>
  <r>
    <x v="2"/>
    <x v="1"/>
    <x v="6"/>
    <x v="0"/>
    <x v="0"/>
    <x v="1"/>
    <x v="1"/>
    <n v="7"/>
    <n v="19579.91"/>
    <n v="44343.39"/>
    <x v="1"/>
  </r>
  <r>
    <x v="2"/>
    <x v="1"/>
    <x v="6"/>
    <x v="0"/>
    <x v="1"/>
    <x v="0"/>
    <x v="0"/>
    <n v="1"/>
    <n v="2097.9499999999998"/>
    <n v="7657.69"/>
    <x v="1"/>
  </r>
  <r>
    <x v="2"/>
    <x v="1"/>
    <x v="6"/>
    <x v="0"/>
    <x v="1"/>
    <x v="0"/>
    <x v="1"/>
    <n v="4"/>
    <n v="11683.65"/>
    <n v="39558.879999999997"/>
    <x v="1"/>
  </r>
  <r>
    <x v="2"/>
    <x v="1"/>
    <x v="6"/>
    <x v="0"/>
    <x v="1"/>
    <x v="1"/>
    <x v="0"/>
    <n v="20"/>
    <n v="56239.42"/>
    <n v="122467.69"/>
    <x v="1"/>
  </r>
  <r>
    <x v="2"/>
    <x v="1"/>
    <x v="6"/>
    <x v="0"/>
    <x v="1"/>
    <x v="1"/>
    <x v="1"/>
    <n v="22"/>
    <n v="70156.08"/>
    <n v="148995.79"/>
    <x v="1"/>
  </r>
  <r>
    <x v="2"/>
    <x v="1"/>
    <x v="6"/>
    <x v="0"/>
    <x v="2"/>
    <x v="0"/>
    <x v="1"/>
    <n v="1"/>
    <n v="3284.1"/>
    <n v="10923.23"/>
    <x v="1"/>
  </r>
  <r>
    <x v="2"/>
    <x v="1"/>
    <x v="6"/>
    <x v="0"/>
    <x v="2"/>
    <x v="1"/>
    <x v="0"/>
    <n v="1"/>
    <n v="1867.46"/>
    <n v="4244.2700000000004"/>
    <x v="1"/>
  </r>
  <r>
    <x v="2"/>
    <x v="1"/>
    <x v="6"/>
    <x v="0"/>
    <x v="2"/>
    <x v="1"/>
    <x v="1"/>
    <n v="5"/>
    <n v="15359.03"/>
    <n v="33477.74"/>
    <x v="1"/>
  </r>
  <r>
    <x v="2"/>
    <x v="1"/>
    <x v="6"/>
    <x v="0"/>
    <x v="3"/>
    <x v="0"/>
    <x v="1"/>
    <n v="8"/>
    <n v="21094.1"/>
    <n v="72904.479999999996"/>
    <x v="1"/>
  </r>
  <r>
    <x v="2"/>
    <x v="1"/>
    <x v="6"/>
    <x v="0"/>
    <x v="3"/>
    <x v="1"/>
    <x v="0"/>
    <n v="13"/>
    <n v="38595.43"/>
    <n v="82065.289999999994"/>
    <x v="1"/>
  </r>
  <r>
    <x v="2"/>
    <x v="1"/>
    <x v="6"/>
    <x v="0"/>
    <x v="3"/>
    <x v="1"/>
    <x v="1"/>
    <n v="7"/>
    <n v="21476.18"/>
    <n v="46777.95"/>
    <x v="1"/>
  </r>
  <r>
    <x v="2"/>
    <x v="1"/>
    <x v="6"/>
    <x v="0"/>
    <x v="28"/>
    <x v="1"/>
    <x v="1"/>
    <n v="6"/>
    <n v="12364.86"/>
    <n v="30916.57"/>
    <x v="1"/>
  </r>
  <r>
    <x v="2"/>
    <x v="1"/>
    <x v="6"/>
    <x v="0"/>
    <x v="4"/>
    <x v="0"/>
    <x v="1"/>
    <n v="3"/>
    <n v="9076.9599999999991"/>
    <n v="32789.410000000003"/>
    <x v="1"/>
  </r>
  <r>
    <x v="2"/>
    <x v="1"/>
    <x v="6"/>
    <x v="0"/>
    <x v="4"/>
    <x v="1"/>
    <x v="0"/>
    <n v="1"/>
    <n v="3287.24"/>
    <n v="7005.7"/>
    <x v="1"/>
  </r>
  <r>
    <x v="2"/>
    <x v="1"/>
    <x v="6"/>
    <x v="0"/>
    <x v="4"/>
    <x v="1"/>
    <x v="1"/>
    <n v="9"/>
    <n v="20787.59"/>
    <n v="48256.5"/>
    <x v="1"/>
  </r>
  <r>
    <x v="2"/>
    <x v="1"/>
    <x v="6"/>
    <x v="0"/>
    <x v="5"/>
    <x v="0"/>
    <x v="1"/>
    <n v="6"/>
    <n v="16973.919999999998"/>
    <n v="59381.53"/>
    <x v="1"/>
  </r>
  <r>
    <x v="2"/>
    <x v="1"/>
    <x v="6"/>
    <x v="0"/>
    <x v="5"/>
    <x v="1"/>
    <x v="0"/>
    <n v="2"/>
    <n v="4213.76"/>
    <n v="10284.33"/>
    <x v="1"/>
  </r>
  <r>
    <x v="2"/>
    <x v="1"/>
    <x v="6"/>
    <x v="0"/>
    <x v="5"/>
    <x v="1"/>
    <x v="1"/>
    <n v="8"/>
    <n v="17949.34"/>
    <n v="41082.35"/>
    <x v="1"/>
  </r>
  <r>
    <x v="2"/>
    <x v="1"/>
    <x v="6"/>
    <x v="0"/>
    <x v="6"/>
    <x v="1"/>
    <x v="1"/>
    <n v="3"/>
    <n v="9043.07"/>
    <n v="21431.5"/>
    <x v="1"/>
  </r>
  <r>
    <x v="2"/>
    <x v="1"/>
    <x v="6"/>
    <x v="0"/>
    <x v="7"/>
    <x v="1"/>
    <x v="1"/>
    <n v="1"/>
    <n v="3068.79"/>
    <n v="7312.2"/>
    <x v="1"/>
  </r>
  <r>
    <x v="2"/>
    <x v="1"/>
    <x v="6"/>
    <x v="0"/>
    <x v="8"/>
    <x v="0"/>
    <x v="1"/>
    <n v="1"/>
    <n v="2998.79"/>
    <n v="10916.62"/>
    <x v="1"/>
  </r>
  <r>
    <x v="2"/>
    <x v="1"/>
    <x v="6"/>
    <x v="0"/>
    <x v="8"/>
    <x v="1"/>
    <x v="1"/>
    <n v="4"/>
    <n v="11004.84"/>
    <n v="24505"/>
    <x v="1"/>
  </r>
  <r>
    <x v="2"/>
    <x v="1"/>
    <x v="6"/>
    <x v="1"/>
    <x v="30"/>
    <x v="1"/>
    <x v="0"/>
    <n v="1"/>
    <n v="2058.64"/>
    <n v="5238.6499999999996"/>
    <x v="1"/>
  </r>
  <r>
    <x v="2"/>
    <x v="1"/>
    <x v="6"/>
    <x v="1"/>
    <x v="9"/>
    <x v="1"/>
    <x v="1"/>
    <n v="6"/>
    <n v="15921.26"/>
    <n v="37990.800000000003"/>
    <x v="1"/>
  </r>
  <r>
    <x v="2"/>
    <x v="1"/>
    <x v="6"/>
    <x v="1"/>
    <x v="10"/>
    <x v="0"/>
    <x v="0"/>
    <n v="3"/>
    <n v="9438.7900000000009"/>
    <n v="31657.84"/>
    <x v="1"/>
  </r>
  <r>
    <x v="2"/>
    <x v="1"/>
    <x v="6"/>
    <x v="1"/>
    <x v="10"/>
    <x v="0"/>
    <x v="1"/>
    <n v="4"/>
    <n v="11036.37"/>
    <n v="38139.4"/>
    <x v="1"/>
  </r>
  <r>
    <x v="2"/>
    <x v="1"/>
    <x v="6"/>
    <x v="1"/>
    <x v="10"/>
    <x v="1"/>
    <x v="0"/>
    <n v="21"/>
    <n v="60937.42"/>
    <n v="140323.03"/>
    <x v="1"/>
  </r>
  <r>
    <x v="2"/>
    <x v="1"/>
    <x v="6"/>
    <x v="1"/>
    <x v="10"/>
    <x v="1"/>
    <x v="1"/>
    <n v="31"/>
    <n v="84941.86"/>
    <n v="197302.99"/>
    <x v="1"/>
  </r>
  <r>
    <x v="2"/>
    <x v="1"/>
    <x v="6"/>
    <x v="1"/>
    <x v="11"/>
    <x v="0"/>
    <x v="1"/>
    <n v="6"/>
    <n v="19117.57"/>
    <n v="62989.52"/>
    <x v="1"/>
  </r>
  <r>
    <x v="2"/>
    <x v="1"/>
    <x v="6"/>
    <x v="1"/>
    <x v="11"/>
    <x v="1"/>
    <x v="0"/>
    <n v="8"/>
    <n v="19826.03"/>
    <n v="43872.42"/>
    <x v="1"/>
  </r>
  <r>
    <x v="2"/>
    <x v="1"/>
    <x v="6"/>
    <x v="1"/>
    <x v="11"/>
    <x v="1"/>
    <x v="1"/>
    <n v="9"/>
    <n v="25302.560000000001"/>
    <n v="57096.47"/>
    <x v="1"/>
  </r>
  <r>
    <x v="2"/>
    <x v="1"/>
    <x v="6"/>
    <x v="1"/>
    <x v="13"/>
    <x v="0"/>
    <x v="1"/>
    <n v="1"/>
    <n v="3336.12"/>
    <n v="10534.9"/>
    <x v="1"/>
  </r>
  <r>
    <x v="2"/>
    <x v="1"/>
    <x v="6"/>
    <x v="1"/>
    <x v="13"/>
    <x v="1"/>
    <x v="0"/>
    <n v="2"/>
    <n v="4262.68"/>
    <n v="10321.25"/>
    <x v="1"/>
  </r>
  <r>
    <x v="2"/>
    <x v="1"/>
    <x v="6"/>
    <x v="1"/>
    <x v="13"/>
    <x v="1"/>
    <x v="1"/>
    <n v="6"/>
    <n v="14861.83"/>
    <n v="34197.1"/>
    <x v="1"/>
  </r>
  <r>
    <x v="2"/>
    <x v="1"/>
    <x v="6"/>
    <x v="1"/>
    <x v="14"/>
    <x v="0"/>
    <x v="1"/>
    <n v="4"/>
    <n v="10836.72"/>
    <n v="36095.57"/>
    <x v="1"/>
  </r>
  <r>
    <x v="2"/>
    <x v="1"/>
    <x v="6"/>
    <x v="1"/>
    <x v="14"/>
    <x v="1"/>
    <x v="0"/>
    <n v="6"/>
    <n v="13764.44"/>
    <n v="31591.29"/>
    <x v="1"/>
  </r>
  <r>
    <x v="2"/>
    <x v="1"/>
    <x v="6"/>
    <x v="1"/>
    <x v="15"/>
    <x v="1"/>
    <x v="0"/>
    <n v="3"/>
    <n v="5622.39"/>
    <n v="13575.93"/>
    <x v="1"/>
  </r>
  <r>
    <x v="2"/>
    <x v="1"/>
    <x v="6"/>
    <x v="1"/>
    <x v="15"/>
    <x v="1"/>
    <x v="1"/>
    <n v="7"/>
    <n v="22041.68"/>
    <n v="50790.45"/>
    <x v="1"/>
  </r>
  <r>
    <x v="2"/>
    <x v="1"/>
    <x v="6"/>
    <x v="1"/>
    <x v="16"/>
    <x v="0"/>
    <x v="1"/>
    <n v="1"/>
    <n v="2079.34"/>
    <n v="7857.44"/>
    <x v="1"/>
  </r>
  <r>
    <x v="2"/>
    <x v="1"/>
    <x v="6"/>
    <x v="1"/>
    <x v="16"/>
    <x v="1"/>
    <x v="1"/>
    <n v="11"/>
    <n v="28155.87"/>
    <n v="66071.8"/>
    <x v="1"/>
  </r>
  <r>
    <x v="2"/>
    <x v="1"/>
    <x v="6"/>
    <x v="1"/>
    <x v="17"/>
    <x v="0"/>
    <x v="1"/>
    <n v="1"/>
    <n v="3039.83"/>
    <n v="10528.65"/>
    <x v="1"/>
  </r>
  <r>
    <x v="2"/>
    <x v="1"/>
    <x v="6"/>
    <x v="1"/>
    <x v="17"/>
    <x v="1"/>
    <x v="0"/>
    <n v="6"/>
    <n v="14846.45"/>
    <n v="34071.449999999997"/>
    <x v="1"/>
  </r>
  <r>
    <x v="2"/>
    <x v="1"/>
    <x v="6"/>
    <x v="1"/>
    <x v="18"/>
    <x v="0"/>
    <x v="1"/>
    <n v="12"/>
    <n v="31943.32"/>
    <n v="110679.91"/>
    <x v="1"/>
  </r>
  <r>
    <x v="2"/>
    <x v="1"/>
    <x v="6"/>
    <x v="1"/>
    <x v="18"/>
    <x v="1"/>
    <x v="0"/>
    <n v="5"/>
    <n v="13027.99"/>
    <n v="30679.31"/>
    <x v="1"/>
  </r>
  <r>
    <x v="2"/>
    <x v="1"/>
    <x v="6"/>
    <x v="1"/>
    <x v="18"/>
    <x v="1"/>
    <x v="1"/>
    <n v="17"/>
    <n v="43808.69"/>
    <n v="104850.52"/>
    <x v="1"/>
  </r>
  <r>
    <x v="2"/>
    <x v="1"/>
    <x v="6"/>
    <x v="1"/>
    <x v="19"/>
    <x v="0"/>
    <x v="1"/>
    <n v="1"/>
    <n v="3071.91"/>
    <n v="10876.34"/>
    <x v="1"/>
  </r>
  <r>
    <x v="2"/>
    <x v="1"/>
    <x v="6"/>
    <x v="1"/>
    <x v="19"/>
    <x v="1"/>
    <x v="0"/>
    <n v="7"/>
    <n v="19262.3"/>
    <n v="44885.49"/>
    <x v="1"/>
  </r>
  <r>
    <x v="2"/>
    <x v="1"/>
    <x v="6"/>
    <x v="1"/>
    <x v="19"/>
    <x v="1"/>
    <x v="1"/>
    <n v="10"/>
    <n v="30007.35"/>
    <n v="69366.179999999993"/>
    <x v="1"/>
  </r>
  <r>
    <x v="2"/>
    <x v="1"/>
    <x v="6"/>
    <x v="1"/>
    <x v="20"/>
    <x v="0"/>
    <x v="0"/>
    <n v="2"/>
    <n v="6587.88"/>
    <n v="22478.67"/>
    <x v="1"/>
  </r>
  <r>
    <x v="2"/>
    <x v="1"/>
    <x v="6"/>
    <x v="1"/>
    <x v="20"/>
    <x v="0"/>
    <x v="1"/>
    <n v="9"/>
    <n v="25510.51"/>
    <n v="90408.69"/>
    <x v="1"/>
  </r>
  <r>
    <x v="2"/>
    <x v="1"/>
    <x v="6"/>
    <x v="1"/>
    <x v="20"/>
    <x v="1"/>
    <x v="0"/>
    <n v="6"/>
    <n v="17680.75"/>
    <n v="41335.440000000002"/>
    <x v="1"/>
  </r>
  <r>
    <x v="2"/>
    <x v="1"/>
    <x v="6"/>
    <x v="1"/>
    <x v="20"/>
    <x v="1"/>
    <x v="1"/>
    <n v="19"/>
    <n v="50537.48"/>
    <n v="121337.98"/>
    <x v="1"/>
  </r>
  <r>
    <x v="2"/>
    <x v="1"/>
    <x v="6"/>
    <x v="2"/>
    <x v="21"/>
    <x v="0"/>
    <x v="0"/>
    <n v="1"/>
    <n v="3320"/>
    <n v="10924.37"/>
    <x v="1"/>
  </r>
  <r>
    <x v="2"/>
    <x v="1"/>
    <x v="6"/>
    <x v="2"/>
    <x v="21"/>
    <x v="1"/>
    <x v="1"/>
    <n v="1"/>
    <n v="3299.71"/>
    <n v="6651.74"/>
    <x v="1"/>
  </r>
  <r>
    <x v="2"/>
    <x v="1"/>
    <x v="6"/>
    <x v="2"/>
    <x v="22"/>
    <x v="1"/>
    <x v="0"/>
    <n v="5"/>
    <n v="10596.51"/>
    <n v="23285.94"/>
    <x v="1"/>
  </r>
  <r>
    <x v="2"/>
    <x v="1"/>
    <x v="6"/>
    <x v="2"/>
    <x v="22"/>
    <x v="1"/>
    <x v="1"/>
    <n v="8"/>
    <n v="22517.91"/>
    <n v="46275.35"/>
    <x v="1"/>
  </r>
  <r>
    <x v="2"/>
    <x v="1"/>
    <x v="6"/>
    <x v="2"/>
    <x v="29"/>
    <x v="0"/>
    <x v="1"/>
    <n v="2"/>
    <n v="6319.94"/>
    <n v="21934.71"/>
    <x v="1"/>
  </r>
  <r>
    <x v="2"/>
    <x v="1"/>
    <x v="6"/>
    <x v="2"/>
    <x v="23"/>
    <x v="1"/>
    <x v="1"/>
    <n v="1"/>
    <n v="1859.26"/>
    <n v="4357.07"/>
    <x v="1"/>
  </r>
  <r>
    <x v="2"/>
    <x v="1"/>
    <x v="6"/>
    <x v="2"/>
    <x v="24"/>
    <x v="0"/>
    <x v="1"/>
    <n v="2"/>
    <n v="6095.85"/>
    <n v="21797.85"/>
    <x v="1"/>
  </r>
  <r>
    <x v="2"/>
    <x v="1"/>
    <x v="6"/>
    <x v="2"/>
    <x v="24"/>
    <x v="1"/>
    <x v="1"/>
    <n v="2"/>
    <n v="4237.26"/>
    <n v="9740.07"/>
    <x v="1"/>
  </r>
  <r>
    <x v="2"/>
    <x v="1"/>
    <x v="6"/>
    <x v="3"/>
    <x v="25"/>
    <x v="1"/>
    <x v="0"/>
    <n v="5"/>
    <n v="11729.97"/>
    <n v="28959.41"/>
    <x v="1"/>
  </r>
  <r>
    <x v="2"/>
    <x v="1"/>
    <x v="6"/>
    <x v="3"/>
    <x v="25"/>
    <x v="1"/>
    <x v="1"/>
    <n v="17"/>
    <n v="50873.56"/>
    <n v="123039.72"/>
    <x v="1"/>
  </r>
  <r>
    <x v="2"/>
    <x v="1"/>
    <x v="6"/>
    <x v="3"/>
    <x v="26"/>
    <x v="0"/>
    <x v="0"/>
    <n v="1"/>
    <n v="3257.77"/>
    <n v="10935.31"/>
    <x v="1"/>
  </r>
  <r>
    <x v="2"/>
    <x v="1"/>
    <x v="6"/>
    <x v="3"/>
    <x v="26"/>
    <x v="0"/>
    <x v="1"/>
    <n v="2"/>
    <n v="3752.14"/>
    <n v="13587.5"/>
    <x v="1"/>
  </r>
  <r>
    <x v="2"/>
    <x v="1"/>
    <x v="6"/>
    <x v="3"/>
    <x v="26"/>
    <x v="1"/>
    <x v="0"/>
    <n v="2"/>
    <n v="6534.48"/>
    <n v="15075.63"/>
    <x v="1"/>
  </r>
  <r>
    <x v="2"/>
    <x v="1"/>
    <x v="6"/>
    <x v="3"/>
    <x v="26"/>
    <x v="1"/>
    <x v="1"/>
    <n v="12"/>
    <n v="28705.74"/>
    <n v="69911.149999999994"/>
    <x v="1"/>
  </r>
  <r>
    <x v="2"/>
    <x v="1"/>
    <x v="6"/>
    <x v="3"/>
    <x v="27"/>
    <x v="0"/>
    <x v="1"/>
    <n v="6"/>
    <n v="18295.009999999998"/>
    <n v="62248.51"/>
    <x v="1"/>
  </r>
  <r>
    <x v="2"/>
    <x v="1"/>
    <x v="6"/>
    <x v="3"/>
    <x v="27"/>
    <x v="1"/>
    <x v="0"/>
    <n v="6"/>
    <n v="16895.02"/>
    <n v="40061.03"/>
    <x v="1"/>
  </r>
  <r>
    <x v="2"/>
    <x v="1"/>
    <x v="6"/>
    <x v="3"/>
    <x v="27"/>
    <x v="1"/>
    <x v="1"/>
    <n v="24"/>
    <n v="67231.149999999994"/>
    <n v="158636.12"/>
    <x v="1"/>
  </r>
  <r>
    <x v="2"/>
    <x v="1"/>
    <x v="7"/>
    <x v="0"/>
    <x v="0"/>
    <x v="1"/>
    <x v="0"/>
    <n v="5"/>
    <n v="19942.400000000001"/>
    <n v="52824.88"/>
    <x v="1"/>
  </r>
  <r>
    <x v="2"/>
    <x v="1"/>
    <x v="7"/>
    <x v="0"/>
    <x v="0"/>
    <x v="1"/>
    <x v="1"/>
    <n v="20"/>
    <n v="103762.29"/>
    <n v="254702.76"/>
    <x v="1"/>
  </r>
  <r>
    <x v="2"/>
    <x v="1"/>
    <x v="7"/>
    <x v="0"/>
    <x v="1"/>
    <x v="0"/>
    <x v="0"/>
    <n v="3"/>
    <n v="16386.240000000002"/>
    <n v="59121.89"/>
    <x v="1"/>
  </r>
  <r>
    <x v="2"/>
    <x v="1"/>
    <x v="7"/>
    <x v="0"/>
    <x v="1"/>
    <x v="0"/>
    <x v="1"/>
    <n v="6"/>
    <n v="27394.13"/>
    <n v="103757.07"/>
    <x v="1"/>
  </r>
  <r>
    <x v="2"/>
    <x v="1"/>
    <x v="7"/>
    <x v="0"/>
    <x v="1"/>
    <x v="1"/>
    <x v="0"/>
    <n v="25"/>
    <n v="116621.92"/>
    <n v="279839.27"/>
    <x v="1"/>
  </r>
  <r>
    <x v="2"/>
    <x v="1"/>
    <x v="7"/>
    <x v="0"/>
    <x v="1"/>
    <x v="1"/>
    <x v="1"/>
    <n v="19"/>
    <n v="86661.2"/>
    <n v="218789.37"/>
    <x v="1"/>
  </r>
  <r>
    <x v="2"/>
    <x v="1"/>
    <x v="7"/>
    <x v="0"/>
    <x v="2"/>
    <x v="0"/>
    <x v="1"/>
    <n v="6"/>
    <n v="28305.19"/>
    <n v="107283.27"/>
    <x v="1"/>
  </r>
  <r>
    <x v="2"/>
    <x v="1"/>
    <x v="7"/>
    <x v="0"/>
    <x v="2"/>
    <x v="1"/>
    <x v="1"/>
    <n v="7"/>
    <n v="25346.2"/>
    <n v="64631.39"/>
    <x v="1"/>
  </r>
  <r>
    <x v="2"/>
    <x v="1"/>
    <x v="7"/>
    <x v="0"/>
    <x v="3"/>
    <x v="0"/>
    <x v="0"/>
    <n v="2"/>
    <n v="9569.25"/>
    <n v="35685.449999999997"/>
    <x v="1"/>
  </r>
  <r>
    <x v="2"/>
    <x v="1"/>
    <x v="7"/>
    <x v="0"/>
    <x v="3"/>
    <x v="0"/>
    <x v="1"/>
    <n v="2"/>
    <n v="7656.75"/>
    <n v="29467.38"/>
    <x v="1"/>
  </r>
  <r>
    <x v="2"/>
    <x v="1"/>
    <x v="7"/>
    <x v="0"/>
    <x v="3"/>
    <x v="1"/>
    <x v="0"/>
    <n v="13"/>
    <n v="55730.67"/>
    <n v="144004.47"/>
    <x v="1"/>
  </r>
  <r>
    <x v="2"/>
    <x v="1"/>
    <x v="7"/>
    <x v="0"/>
    <x v="3"/>
    <x v="1"/>
    <x v="1"/>
    <n v="22"/>
    <n v="109023.55"/>
    <n v="254938.06"/>
    <x v="1"/>
  </r>
  <r>
    <x v="2"/>
    <x v="1"/>
    <x v="7"/>
    <x v="0"/>
    <x v="28"/>
    <x v="1"/>
    <x v="1"/>
    <n v="5"/>
    <n v="26272.45"/>
    <n v="69215.350000000006"/>
    <x v="1"/>
  </r>
  <r>
    <x v="2"/>
    <x v="1"/>
    <x v="7"/>
    <x v="0"/>
    <x v="4"/>
    <x v="1"/>
    <x v="0"/>
    <n v="4"/>
    <n v="16583.560000000001"/>
    <n v="41120.410000000003"/>
    <x v="1"/>
  </r>
  <r>
    <x v="2"/>
    <x v="1"/>
    <x v="7"/>
    <x v="0"/>
    <x v="4"/>
    <x v="1"/>
    <x v="1"/>
    <n v="4"/>
    <n v="19875.580000000002"/>
    <n v="47862.06"/>
    <x v="1"/>
  </r>
  <r>
    <x v="2"/>
    <x v="1"/>
    <x v="7"/>
    <x v="0"/>
    <x v="5"/>
    <x v="0"/>
    <x v="1"/>
    <n v="3"/>
    <n v="13190.5"/>
    <n v="51927.38"/>
    <x v="1"/>
  </r>
  <r>
    <x v="2"/>
    <x v="1"/>
    <x v="7"/>
    <x v="0"/>
    <x v="5"/>
    <x v="1"/>
    <x v="1"/>
    <n v="10"/>
    <n v="43559.03"/>
    <n v="111864.98"/>
    <x v="1"/>
  </r>
  <r>
    <x v="2"/>
    <x v="1"/>
    <x v="7"/>
    <x v="0"/>
    <x v="6"/>
    <x v="0"/>
    <x v="1"/>
    <n v="3"/>
    <n v="11758.92"/>
    <n v="44866.74"/>
    <x v="1"/>
  </r>
  <r>
    <x v="2"/>
    <x v="1"/>
    <x v="7"/>
    <x v="0"/>
    <x v="6"/>
    <x v="1"/>
    <x v="1"/>
    <n v="3"/>
    <n v="11371.54"/>
    <n v="29379.95"/>
    <x v="1"/>
  </r>
  <r>
    <x v="2"/>
    <x v="1"/>
    <x v="7"/>
    <x v="0"/>
    <x v="8"/>
    <x v="0"/>
    <x v="1"/>
    <n v="2"/>
    <n v="8382.9599999999991"/>
    <n v="31301.360000000001"/>
    <x v="1"/>
  </r>
  <r>
    <x v="2"/>
    <x v="1"/>
    <x v="7"/>
    <x v="0"/>
    <x v="8"/>
    <x v="1"/>
    <x v="1"/>
    <n v="11"/>
    <n v="51891.21"/>
    <n v="129334.03"/>
    <x v="1"/>
  </r>
  <r>
    <x v="2"/>
    <x v="1"/>
    <x v="7"/>
    <x v="1"/>
    <x v="9"/>
    <x v="1"/>
    <x v="1"/>
    <n v="3"/>
    <n v="19391.22"/>
    <n v="45512.73"/>
    <x v="1"/>
  </r>
  <r>
    <x v="2"/>
    <x v="1"/>
    <x v="7"/>
    <x v="1"/>
    <x v="31"/>
    <x v="1"/>
    <x v="0"/>
    <n v="6"/>
    <n v="24714.73"/>
    <n v="65272.639999999999"/>
    <x v="1"/>
  </r>
  <r>
    <x v="2"/>
    <x v="1"/>
    <x v="7"/>
    <x v="1"/>
    <x v="10"/>
    <x v="0"/>
    <x v="0"/>
    <n v="3"/>
    <n v="18355.2"/>
    <n v="65787.679999999993"/>
    <x v="1"/>
  </r>
  <r>
    <x v="2"/>
    <x v="1"/>
    <x v="7"/>
    <x v="1"/>
    <x v="10"/>
    <x v="0"/>
    <x v="1"/>
    <n v="3"/>
    <n v="12539.61"/>
    <n v="47436.6"/>
    <x v="1"/>
  </r>
  <r>
    <x v="2"/>
    <x v="1"/>
    <x v="7"/>
    <x v="1"/>
    <x v="10"/>
    <x v="1"/>
    <x v="0"/>
    <n v="9"/>
    <n v="47401.03"/>
    <n v="124840.62"/>
    <x v="1"/>
  </r>
  <r>
    <x v="2"/>
    <x v="1"/>
    <x v="7"/>
    <x v="1"/>
    <x v="10"/>
    <x v="1"/>
    <x v="1"/>
    <n v="16"/>
    <n v="82607.55"/>
    <n v="211980.96"/>
    <x v="1"/>
  </r>
  <r>
    <x v="2"/>
    <x v="1"/>
    <x v="7"/>
    <x v="1"/>
    <x v="11"/>
    <x v="0"/>
    <x v="1"/>
    <n v="12"/>
    <n v="69583.710000000006"/>
    <n v="251599.95"/>
    <x v="1"/>
  </r>
  <r>
    <x v="2"/>
    <x v="1"/>
    <x v="7"/>
    <x v="1"/>
    <x v="11"/>
    <x v="1"/>
    <x v="0"/>
    <n v="13"/>
    <n v="57877.54"/>
    <n v="135844.95000000001"/>
    <x v="1"/>
  </r>
  <r>
    <x v="2"/>
    <x v="1"/>
    <x v="7"/>
    <x v="1"/>
    <x v="11"/>
    <x v="1"/>
    <x v="1"/>
    <n v="24"/>
    <n v="117049.43"/>
    <n v="285070"/>
    <x v="1"/>
  </r>
  <r>
    <x v="2"/>
    <x v="1"/>
    <x v="7"/>
    <x v="1"/>
    <x v="13"/>
    <x v="0"/>
    <x v="1"/>
    <n v="3"/>
    <n v="11473.41"/>
    <n v="43268.69"/>
    <x v="1"/>
  </r>
  <r>
    <x v="2"/>
    <x v="1"/>
    <x v="7"/>
    <x v="1"/>
    <x v="13"/>
    <x v="1"/>
    <x v="0"/>
    <n v="2"/>
    <n v="8465.2000000000007"/>
    <n v="21642.93"/>
    <x v="1"/>
  </r>
  <r>
    <x v="2"/>
    <x v="1"/>
    <x v="7"/>
    <x v="1"/>
    <x v="13"/>
    <x v="1"/>
    <x v="1"/>
    <n v="18"/>
    <n v="72621.710000000006"/>
    <n v="188739.41"/>
    <x v="1"/>
  </r>
  <r>
    <x v="2"/>
    <x v="1"/>
    <x v="7"/>
    <x v="1"/>
    <x v="14"/>
    <x v="1"/>
    <x v="0"/>
    <n v="14"/>
    <n v="53850.13"/>
    <n v="137793.41"/>
    <x v="1"/>
  </r>
  <r>
    <x v="2"/>
    <x v="1"/>
    <x v="7"/>
    <x v="1"/>
    <x v="14"/>
    <x v="1"/>
    <x v="1"/>
    <n v="2"/>
    <n v="7327"/>
    <n v="19353.73"/>
    <x v="1"/>
  </r>
  <r>
    <x v="2"/>
    <x v="1"/>
    <x v="7"/>
    <x v="1"/>
    <x v="15"/>
    <x v="1"/>
    <x v="0"/>
    <n v="4"/>
    <n v="23491.94"/>
    <n v="56762.84"/>
    <x v="1"/>
  </r>
  <r>
    <x v="2"/>
    <x v="1"/>
    <x v="7"/>
    <x v="1"/>
    <x v="15"/>
    <x v="1"/>
    <x v="1"/>
    <n v="4"/>
    <n v="15476.68"/>
    <n v="40746.03"/>
    <x v="1"/>
  </r>
  <r>
    <x v="2"/>
    <x v="1"/>
    <x v="7"/>
    <x v="1"/>
    <x v="16"/>
    <x v="0"/>
    <x v="1"/>
    <n v="1"/>
    <n v="4016.23"/>
    <n v="14995.93"/>
    <x v="1"/>
  </r>
  <r>
    <x v="2"/>
    <x v="1"/>
    <x v="7"/>
    <x v="1"/>
    <x v="16"/>
    <x v="1"/>
    <x v="0"/>
    <n v="1"/>
    <n v="5534.42"/>
    <n v="15006.55"/>
    <x v="1"/>
  </r>
  <r>
    <x v="2"/>
    <x v="1"/>
    <x v="7"/>
    <x v="1"/>
    <x v="16"/>
    <x v="1"/>
    <x v="1"/>
    <n v="3"/>
    <n v="11661.4"/>
    <n v="29930.99"/>
    <x v="1"/>
  </r>
  <r>
    <x v="2"/>
    <x v="1"/>
    <x v="7"/>
    <x v="1"/>
    <x v="17"/>
    <x v="1"/>
    <x v="0"/>
    <n v="19"/>
    <n v="90640.9"/>
    <n v="227850.06"/>
    <x v="1"/>
  </r>
  <r>
    <x v="2"/>
    <x v="1"/>
    <x v="7"/>
    <x v="1"/>
    <x v="17"/>
    <x v="1"/>
    <x v="1"/>
    <n v="4"/>
    <n v="24361.19"/>
    <n v="57849.72"/>
    <x v="1"/>
  </r>
  <r>
    <x v="2"/>
    <x v="1"/>
    <x v="7"/>
    <x v="1"/>
    <x v="18"/>
    <x v="0"/>
    <x v="1"/>
    <n v="9"/>
    <n v="45646.74"/>
    <n v="177215.32"/>
    <x v="1"/>
  </r>
  <r>
    <x v="2"/>
    <x v="1"/>
    <x v="7"/>
    <x v="1"/>
    <x v="18"/>
    <x v="1"/>
    <x v="0"/>
    <n v="4"/>
    <n v="14183.22"/>
    <n v="39364.839999999997"/>
    <x v="1"/>
  </r>
  <r>
    <x v="2"/>
    <x v="1"/>
    <x v="7"/>
    <x v="1"/>
    <x v="18"/>
    <x v="1"/>
    <x v="1"/>
    <n v="21"/>
    <n v="94509.18"/>
    <n v="243627.08"/>
    <x v="1"/>
  </r>
  <r>
    <x v="2"/>
    <x v="1"/>
    <x v="7"/>
    <x v="1"/>
    <x v="19"/>
    <x v="0"/>
    <x v="1"/>
    <n v="6"/>
    <n v="26330.39"/>
    <n v="104357.16"/>
    <x v="1"/>
  </r>
  <r>
    <x v="2"/>
    <x v="1"/>
    <x v="7"/>
    <x v="1"/>
    <x v="19"/>
    <x v="1"/>
    <x v="0"/>
    <n v="1"/>
    <n v="5409"/>
    <n v="15276.12"/>
    <x v="1"/>
  </r>
  <r>
    <x v="2"/>
    <x v="1"/>
    <x v="7"/>
    <x v="1"/>
    <x v="20"/>
    <x v="0"/>
    <x v="0"/>
    <n v="1"/>
    <n v="5498.32"/>
    <n v="23200.43"/>
    <x v="1"/>
  </r>
  <r>
    <x v="2"/>
    <x v="1"/>
    <x v="7"/>
    <x v="1"/>
    <x v="20"/>
    <x v="0"/>
    <x v="1"/>
    <n v="15"/>
    <n v="73727.7"/>
    <n v="294807.96000000002"/>
    <x v="1"/>
  </r>
  <r>
    <x v="2"/>
    <x v="1"/>
    <x v="7"/>
    <x v="1"/>
    <x v="20"/>
    <x v="1"/>
    <x v="0"/>
    <n v="5"/>
    <n v="30112.53"/>
    <n v="76857.02"/>
    <x v="1"/>
  </r>
  <r>
    <x v="2"/>
    <x v="1"/>
    <x v="7"/>
    <x v="1"/>
    <x v="20"/>
    <x v="1"/>
    <x v="1"/>
    <n v="15"/>
    <n v="78080.710000000006"/>
    <n v="203416.91"/>
    <x v="1"/>
  </r>
  <r>
    <x v="2"/>
    <x v="1"/>
    <x v="7"/>
    <x v="2"/>
    <x v="21"/>
    <x v="0"/>
    <x v="0"/>
    <n v="1"/>
    <n v="5954.76"/>
    <n v="22658.03"/>
    <x v="1"/>
  </r>
  <r>
    <x v="2"/>
    <x v="1"/>
    <x v="7"/>
    <x v="2"/>
    <x v="22"/>
    <x v="0"/>
    <x v="1"/>
    <n v="2"/>
    <n v="7039.62"/>
    <n v="29181.74"/>
    <x v="1"/>
  </r>
  <r>
    <x v="2"/>
    <x v="1"/>
    <x v="7"/>
    <x v="2"/>
    <x v="22"/>
    <x v="1"/>
    <x v="0"/>
    <n v="9"/>
    <n v="49975.57"/>
    <n v="113957.5"/>
    <x v="1"/>
  </r>
  <r>
    <x v="2"/>
    <x v="1"/>
    <x v="7"/>
    <x v="2"/>
    <x v="22"/>
    <x v="1"/>
    <x v="1"/>
    <n v="20"/>
    <n v="93264.6"/>
    <n v="220741.24"/>
    <x v="1"/>
  </r>
  <r>
    <x v="2"/>
    <x v="1"/>
    <x v="7"/>
    <x v="2"/>
    <x v="29"/>
    <x v="0"/>
    <x v="1"/>
    <n v="3"/>
    <n v="16191.49"/>
    <n v="61756.54"/>
    <x v="1"/>
  </r>
  <r>
    <x v="2"/>
    <x v="1"/>
    <x v="7"/>
    <x v="2"/>
    <x v="24"/>
    <x v="0"/>
    <x v="1"/>
    <n v="4"/>
    <n v="24345.49"/>
    <n v="91235.29"/>
    <x v="1"/>
  </r>
  <r>
    <x v="2"/>
    <x v="1"/>
    <x v="7"/>
    <x v="2"/>
    <x v="24"/>
    <x v="1"/>
    <x v="1"/>
    <n v="5"/>
    <n v="26526.65"/>
    <n v="58970.69"/>
    <x v="1"/>
  </r>
  <r>
    <x v="2"/>
    <x v="1"/>
    <x v="7"/>
    <x v="3"/>
    <x v="25"/>
    <x v="1"/>
    <x v="0"/>
    <n v="1"/>
    <n v="6498.37"/>
    <n v="15622.33"/>
    <x v="1"/>
  </r>
  <r>
    <x v="2"/>
    <x v="1"/>
    <x v="7"/>
    <x v="3"/>
    <x v="25"/>
    <x v="1"/>
    <x v="1"/>
    <n v="4"/>
    <n v="17073.86"/>
    <n v="43242.92"/>
    <x v="1"/>
  </r>
  <r>
    <x v="2"/>
    <x v="1"/>
    <x v="7"/>
    <x v="3"/>
    <x v="26"/>
    <x v="0"/>
    <x v="0"/>
    <n v="1"/>
    <n v="3623.65"/>
    <n v="14974.38"/>
    <x v="1"/>
  </r>
  <r>
    <x v="2"/>
    <x v="1"/>
    <x v="7"/>
    <x v="3"/>
    <x v="26"/>
    <x v="0"/>
    <x v="1"/>
    <n v="5"/>
    <n v="30839.95"/>
    <n v="113325.13"/>
    <x v="1"/>
  </r>
  <r>
    <x v="2"/>
    <x v="1"/>
    <x v="7"/>
    <x v="3"/>
    <x v="26"/>
    <x v="1"/>
    <x v="0"/>
    <n v="11"/>
    <n v="50795.9"/>
    <n v="138695.57"/>
    <x v="1"/>
  </r>
  <r>
    <x v="2"/>
    <x v="1"/>
    <x v="7"/>
    <x v="3"/>
    <x v="26"/>
    <x v="1"/>
    <x v="1"/>
    <n v="12"/>
    <n v="48374.82"/>
    <n v="130387.98"/>
    <x v="1"/>
  </r>
  <r>
    <x v="2"/>
    <x v="1"/>
    <x v="7"/>
    <x v="3"/>
    <x v="27"/>
    <x v="0"/>
    <x v="0"/>
    <n v="1"/>
    <n v="3742.76"/>
    <n v="14901.43"/>
    <x v="1"/>
  </r>
  <r>
    <x v="2"/>
    <x v="1"/>
    <x v="7"/>
    <x v="3"/>
    <x v="27"/>
    <x v="0"/>
    <x v="1"/>
    <n v="5"/>
    <n v="25609.13"/>
    <n v="97353.57"/>
    <x v="1"/>
  </r>
  <r>
    <x v="2"/>
    <x v="1"/>
    <x v="7"/>
    <x v="3"/>
    <x v="27"/>
    <x v="1"/>
    <x v="0"/>
    <n v="1"/>
    <n v="3412.71"/>
    <n v="9689.0499999999993"/>
    <x v="1"/>
  </r>
  <r>
    <x v="2"/>
    <x v="1"/>
    <x v="7"/>
    <x v="3"/>
    <x v="27"/>
    <x v="1"/>
    <x v="1"/>
    <n v="20"/>
    <n v="111671.44"/>
    <n v="279871.7"/>
    <x v="1"/>
  </r>
  <r>
    <x v="2"/>
    <x v="1"/>
    <x v="8"/>
    <x v="0"/>
    <x v="0"/>
    <x v="0"/>
    <x v="1"/>
    <n v="1"/>
    <n v="2474.77"/>
    <n v="9481.7999999999993"/>
    <x v="1"/>
  </r>
  <r>
    <x v="2"/>
    <x v="1"/>
    <x v="8"/>
    <x v="0"/>
    <x v="0"/>
    <x v="1"/>
    <x v="0"/>
    <n v="13"/>
    <n v="45100.04"/>
    <n v="107779.47"/>
    <x v="1"/>
  </r>
  <r>
    <x v="2"/>
    <x v="1"/>
    <x v="8"/>
    <x v="0"/>
    <x v="0"/>
    <x v="1"/>
    <x v="1"/>
    <n v="11"/>
    <n v="41144.03"/>
    <n v="92574.720000000001"/>
    <x v="1"/>
  </r>
  <r>
    <x v="2"/>
    <x v="1"/>
    <x v="8"/>
    <x v="0"/>
    <x v="1"/>
    <x v="0"/>
    <x v="0"/>
    <n v="6"/>
    <n v="19521.669999999998"/>
    <n v="67120.100000000006"/>
    <x v="1"/>
  </r>
  <r>
    <x v="2"/>
    <x v="1"/>
    <x v="8"/>
    <x v="0"/>
    <x v="1"/>
    <x v="0"/>
    <x v="1"/>
    <n v="9"/>
    <n v="29798.49"/>
    <n v="106196.81"/>
    <x v="1"/>
  </r>
  <r>
    <x v="2"/>
    <x v="1"/>
    <x v="8"/>
    <x v="0"/>
    <x v="1"/>
    <x v="1"/>
    <x v="0"/>
    <n v="17"/>
    <n v="56634.080000000002"/>
    <n v="125018.63"/>
    <x v="1"/>
  </r>
  <r>
    <x v="2"/>
    <x v="1"/>
    <x v="8"/>
    <x v="0"/>
    <x v="1"/>
    <x v="1"/>
    <x v="1"/>
    <n v="19"/>
    <n v="64133.54"/>
    <n v="145872.12"/>
    <x v="1"/>
  </r>
  <r>
    <x v="2"/>
    <x v="1"/>
    <x v="8"/>
    <x v="0"/>
    <x v="2"/>
    <x v="0"/>
    <x v="1"/>
    <n v="2"/>
    <n v="8424.61"/>
    <n v="28827.48"/>
    <x v="1"/>
  </r>
  <r>
    <x v="2"/>
    <x v="1"/>
    <x v="8"/>
    <x v="0"/>
    <x v="2"/>
    <x v="1"/>
    <x v="0"/>
    <n v="3"/>
    <n v="9452.6"/>
    <n v="21028.06"/>
    <x v="1"/>
  </r>
  <r>
    <x v="2"/>
    <x v="1"/>
    <x v="8"/>
    <x v="0"/>
    <x v="2"/>
    <x v="1"/>
    <x v="1"/>
    <n v="25"/>
    <n v="77480.28"/>
    <n v="174961.8"/>
    <x v="1"/>
  </r>
  <r>
    <x v="2"/>
    <x v="1"/>
    <x v="8"/>
    <x v="0"/>
    <x v="3"/>
    <x v="0"/>
    <x v="0"/>
    <n v="3"/>
    <n v="7500.21"/>
    <n v="27454.6"/>
    <x v="1"/>
  </r>
  <r>
    <x v="2"/>
    <x v="1"/>
    <x v="8"/>
    <x v="0"/>
    <x v="3"/>
    <x v="0"/>
    <x v="1"/>
    <n v="12"/>
    <n v="40699.24"/>
    <n v="141950.06"/>
    <x v="1"/>
  </r>
  <r>
    <x v="2"/>
    <x v="1"/>
    <x v="8"/>
    <x v="0"/>
    <x v="3"/>
    <x v="1"/>
    <x v="0"/>
    <n v="11"/>
    <n v="36467.96"/>
    <n v="82496.009999999995"/>
    <x v="1"/>
  </r>
  <r>
    <x v="2"/>
    <x v="1"/>
    <x v="8"/>
    <x v="0"/>
    <x v="3"/>
    <x v="1"/>
    <x v="1"/>
    <n v="28"/>
    <n v="92332.04"/>
    <n v="199704.64"/>
    <x v="1"/>
  </r>
  <r>
    <x v="2"/>
    <x v="1"/>
    <x v="8"/>
    <x v="0"/>
    <x v="28"/>
    <x v="1"/>
    <x v="1"/>
    <n v="4"/>
    <n v="15099.39"/>
    <n v="34204.46"/>
    <x v="1"/>
  </r>
  <r>
    <x v="2"/>
    <x v="1"/>
    <x v="8"/>
    <x v="0"/>
    <x v="4"/>
    <x v="0"/>
    <x v="1"/>
    <n v="1"/>
    <n v="2597.42"/>
    <n v="10305.9"/>
    <x v="1"/>
  </r>
  <r>
    <x v="2"/>
    <x v="1"/>
    <x v="8"/>
    <x v="0"/>
    <x v="4"/>
    <x v="1"/>
    <x v="0"/>
    <n v="6"/>
    <n v="25904.92"/>
    <n v="55526.89"/>
    <x v="1"/>
  </r>
  <r>
    <x v="2"/>
    <x v="1"/>
    <x v="8"/>
    <x v="0"/>
    <x v="4"/>
    <x v="1"/>
    <x v="1"/>
    <n v="3"/>
    <n v="11935.57"/>
    <n v="27694.98"/>
    <x v="1"/>
  </r>
  <r>
    <x v="2"/>
    <x v="1"/>
    <x v="8"/>
    <x v="0"/>
    <x v="5"/>
    <x v="0"/>
    <x v="1"/>
    <n v="6"/>
    <n v="23378.13"/>
    <n v="82577.06"/>
    <x v="1"/>
  </r>
  <r>
    <x v="2"/>
    <x v="1"/>
    <x v="8"/>
    <x v="0"/>
    <x v="5"/>
    <x v="1"/>
    <x v="0"/>
    <n v="10"/>
    <n v="35145.82"/>
    <n v="81503.039999999994"/>
    <x v="1"/>
  </r>
  <r>
    <x v="2"/>
    <x v="1"/>
    <x v="8"/>
    <x v="0"/>
    <x v="5"/>
    <x v="1"/>
    <x v="1"/>
    <n v="23"/>
    <n v="87866.68"/>
    <n v="203592.82"/>
    <x v="1"/>
  </r>
  <r>
    <x v="2"/>
    <x v="1"/>
    <x v="8"/>
    <x v="0"/>
    <x v="6"/>
    <x v="0"/>
    <x v="1"/>
    <n v="1"/>
    <n v="4123.63"/>
    <n v="14438.18"/>
    <x v="1"/>
  </r>
  <r>
    <x v="2"/>
    <x v="1"/>
    <x v="8"/>
    <x v="0"/>
    <x v="6"/>
    <x v="1"/>
    <x v="1"/>
    <n v="8"/>
    <n v="30287.56"/>
    <n v="70651.12"/>
    <x v="1"/>
  </r>
  <r>
    <x v="2"/>
    <x v="1"/>
    <x v="8"/>
    <x v="0"/>
    <x v="7"/>
    <x v="1"/>
    <x v="1"/>
    <n v="7"/>
    <n v="23580.04"/>
    <n v="54205.94"/>
    <x v="1"/>
  </r>
  <r>
    <x v="2"/>
    <x v="1"/>
    <x v="8"/>
    <x v="0"/>
    <x v="8"/>
    <x v="0"/>
    <x v="1"/>
    <n v="1"/>
    <n v="4333.41"/>
    <n v="14345.57"/>
    <x v="1"/>
  </r>
  <r>
    <x v="2"/>
    <x v="1"/>
    <x v="8"/>
    <x v="0"/>
    <x v="8"/>
    <x v="1"/>
    <x v="1"/>
    <n v="6"/>
    <n v="21440.84"/>
    <n v="48737.61"/>
    <x v="1"/>
  </r>
  <r>
    <x v="2"/>
    <x v="1"/>
    <x v="8"/>
    <x v="1"/>
    <x v="30"/>
    <x v="1"/>
    <x v="0"/>
    <n v="1"/>
    <n v="2465.7399999999998"/>
    <n v="6306.74"/>
    <x v="1"/>
  </r>
  <r>
    <x v="2"/>
    <x v="1"/>
    <x v="8"/>
    <x v="1"/>
    <x v="9"/>
    <x v="1"/>
    <x v="1"/>
    <n v="5"/>
    <n v="13376.85"/>
    <n v="34360.58"/>
    <x v="1"/>
  </r>
  <r>
    <x v="2"/>
    <x v="1"/>
    <x v="8"/>
    <x v="1"/>
    <x v="10"/>
    <x v="0"/>
    <x v="0"/>
    <n v="1"/>
    <n v="4118.24"/>
    <n v="13990.89"/>
    <x v="1"/>
  </r>
  <r>
    <x v="2"/>
    <x v="1"/>
    <x v="8"/>
    <x v="1"/>
    <x v="10"/>
    <x v="0"/>
    <x v="1"/>
    <n v="7"/>
    <n v="26360.52"/>
    <n v="89684.64"/>
    <x v="1"/>
  </r>
  <r>
    <x v="2"/>
    <x v="1"/>
    <x v="8"/>
    <x v="1"/>
    <x v="10"/>
    <x v="1"/>
    <x v="0"/>
    <n v="34"/>
    <n v="123326.43"/>
    <n v="292961.53000000003"/>
    <x v="1"/>
  </r>
  <r>
    <x v="2"/>
    <x v="1"/>
    <x v="8"/>
    <x v="1"/>
    <x v="10"/>
    <x v="1"/>
    <x v="1"/>
    <n v="40"/>
    <n v="141355.10999999999"/>
    <n v="330485.8"/>
    <x v="1"/>
  </r>
  <r>
    <x v="2"/>
    <x v="1"/>
    <x v="8"/>
    <x v="1"/>
    <x v="11"/>
    <x v="0"/>
    <x v="1"/>
    <n v="11"/>
    <n v="37126.85"/>
    <n v="125421.51"/>
    <x v="1"/>
  </r>
  <r>
    <x v="2"/>
    <x v="1"/>
    <x v="8"/>
    <x v="1"/>
    <x v="11"/>
    <x v="1"/>
    <x v="0"/>
    <n v="10"/>
    <n v="37628.99"/>
    <n v="85178.2"/>
    <x v="1"/>
  </r>
  <r>
    <x v="2"/>
    <x v="1"/>
    <x v="8"/>
    <x v="1"/>
    <x v="11"/>
    <x v="1"/>
    <x v="1"/>
    <n v="14"/>
    <n v="50326.91"/>
    <n v="112785.38"/>
    <x v="1"/>
  </r>
  <r>
    <x v="2"/>
    <x v="1"/>
    <x v="8"/>
    <x v="1"/>
    <x v="12"/>
    <x v="1"/>
    <x v="0"/>
    <n v="2"/>
    <n v="7565.52"/>
    <n v="19003.240000000002"/>
    <x v="1"/>
  </r>
  <r>
    <x v="2"/>
    <x v="1"/>
    <x v="8"/>
    <x v="1"/>
    <x v="13"/>
    <x v="0"/>
    <x v="1"/>
    <n v="6"/>
    <n v="17397.419999999998"/>
    <n v="63175.15"/>
    <x v="1"/>
  </r>
  <r>
    <x v="2"/>
    <x v="1"/>
    <x v="8"/>
    <x v="1"/>
    <x v="13"/>
    <x v="1"/>
    <x v="0"/>
    <n v="15"/>
    <n v="54591.1"/>
    <n v="120930.84"/>
    <x v="1"/>
  </r>
  <r>
    <x v="2"/>
    <x v="1"/>
    <x v="8"/>
    <x v="1"/>
    <x v="13"/>
    <x v="1"/>
    <x v="1"/>
    <n v="17"/>
    <n v="58422.03"/>
    <n v="136551.67000000001"/>
    <x v="1"/>
  </r>
  <r>
    <x v="2"/>
    <x v="1"/>
    <x v="8"/>
    <x v="1"/>
    <x v="14"/>
    <x v="0"/>
    <x v="1"/>
    <n v="3"/>
    <n v="7719.43"/>
    <n v="29113.119999999999"/>
    <x v="1"/>
  </r>
  <r>
    <x v="2"/>
    <x v="1"/>
    <x v="8"/>
    <x v="1"/>
    <x v="14"/>
    <x v="1"/>
    <x v="0"/>
    <n v="15"/>
    <n v="50852.54"/>
    <n v="114469.59"/>
    <x v="1"/>
  </r>
  <r>
    <x v="2"/>
    <x v="1"/>
    <x v="8"/>
    <x v="1"/>
    <x v="14"/>
    <x v="1"/>
    <x v="1"/>
    <n v="5"/>
    <n v="20303.97"/>
    <n v="46430.63"/>
    <x v="1"/>
  </r>
  <r>
    <x v="2"/>
    <x v="1"/>
    <x v="8"/>
    <x v="1"/>
    <x v="15"/>
    <x v="1"/>
    <x v="0"/>
    <n v="2"/>
    <n v="7657.94"/>
    <n v="19344.82"/>
    <x v="1"/>
  </r>
  <r>
    <x v="2"/>
    <x v="1"/>
    <x v="8"/>
    <x v="1"/>
    <x v="16"/>
    <x v="0"/>
    <x v="1"/>
    <n v="2"/>
    <n v="8458.48"/>
    <n v="28874.36"/>
    <x v="1"/>
  </r>
  <r>
    <x v="2"/>
    <x v="1"/>
    <x v="8"/>
    <x v="1"/>
    <x v="16"/>
    <x v="1"/>
    <x v="0"/>
    <n v="5"/>
    <n v="13267.79"/>
    <n v="33623.07"/>
    <x v="1"/>
  </r>
  <r>
    <x v="2"/>
    <x v="1"/>
    <x v="8"/>
    <x v="1"/>
    <x v="16"/>
    <x v="1"/>
    <x v="1"/>
    <n v="2"/>
    <n v="8268.76"/>
    <n v="18899.04"/>
    <x v="1"/>
  </r>
  <r>
    <x v="2"/>
    <x v="1"/>
    <x v="8"/>
    <x v="1"/>
    <x v="17"/>
    <x v="0"/>
    <x v="1"/>
    <n v="1"/>
    <n v="3907.36"/>
    <n v="13826.06"/>
    <x v="1"/>
  </r>
  <r>
    <x v="2"/>
    <x v="1"/>
    <x v="8"/>
    <x v="1"/>
    <x v="17"/>
    <x v="1"/>
    <x v="0"/>
    <n v="5"/>
    <n v="20890.28"/>
    <n v="44477.27"/>
    <x v="1"/>
  </r>
  <r>
    <x v="2"/>
    <x v="1"/>
    <x v="8"/>
    <x v="1"/>
    <x v="17"/>
    <x v="1"/>
    <x v="1"/>
    <n v="11"/>
    <n v="46230.8"/>
    <n v="98837.9"/>
    <x v="1"/>
  </r>
  <r>
    <x v="2"/>
    <x v="1"/>
    <x v="8"/>
    <x v="1"/>
    <x v="18"/>
    <x v="0"/>
    <x v="1"/>
    <n v="17"/>
    <n v="58684.98"/>
    <n v="200871.53"/>
    <x v="1"/>
  </r>
  <r>
    <x v="2"/>
    <x v="1"/>
    <x v="8"/>
    <x v="1"/>
    <x v="18"/>
    <x v="1"/>
    <x v="0"/>
    <n v="7"/>
    <n v="19143.439999999999"/>
    <n v="44609.52"/>
    <x v="1"/>
  </r>
  <r>
    <x v="2"/>
    <x v="1"/>
    <x v="8"/>
    <x v="1"/>
    <x v="18"/>
    <x v="1"/>
    <x v="1"/>
    <n v="40"/>
    <n v="137161.98000000001"/>
    <n v="330940.68"/>
    <x v="1"/>
  </r>
  <r>
    <x v="2"/>
    <x v="1"/>
    <x v="8"/>
    <x v="1"/>
    <x v="19"/>
    <x v="0"/>
    <x v="1"/>
    <n v="1"/>
    <n v="3839.97"/>
    <n v="14445.81"/>
    <x v="1"/>
  </r>
  <r>
    <x v="2"/>
    <x v="1"/>
    <x v="8"/>
    <x v="1"/>
    <x v="19"/>
    <x v="1"/>
    <x v="0"/>
    <n v="7"/>
    <n v="21639.09"/>
    <n v="54195"/>
    <x v="1"/>
  </r>
  <r>
    <x v="2"/>
    <x v="1"/>
    <x v="8"/>
    <x v="1"/>
    <x v="19"/>
    <x v="1"/>
    <x v="1"/>
    <n v="23"/>
    <n v="74235.11"/>
    <n v="172378.91"/>
    <x v="1"/>
  </r>
  <r>
    <x v="2"/>
    <x v="1"/>
    <x v="8"/>
    <x v="1"/>
    <x v="20"/>
    <x v="0"/>
    <x v="0"/>
    <n v="5"/>
    <n v="17973.439999999999"/>
    <n v="65317.75"/>
    <x v="1"/>
  </r>
  <r>
    <x v="2"/>
    <x v="1"/>
    <x v="8"/>
    <x v="1"/>
    <x v="20"/>
    <x v="0"/>
    <x v="1"/>
    <n v="21"/>
    <n v="66592.990000000005"/>
    <n v="238728.1"/>
    <x v="1"/>
  </r>
  <r>
    <x v="2"/>
    <x v="1"/>
    <x v="8"/>
    <x v="1"/>
    <x v="20"/>
    <x v="1"/>
    <x v="0"/>
    <n v="7"/>
    <n v="24940.3"/>
    <n v="58132.25"/>
    <x v="1"/>
  </r>
  <r>
    <x v="2"/>
    <x v="1"/>
    <x v="8"/>
    <x v="1"/>
    <x v="20"/>
    <x v="1"/>
    <x v="1"/>
    <n v="18"/>
    <n v="62068.21"/>
    <n v="148827.09"/>
    <x v="1"/>
  </r>
  <r>
    <x v="2"/>
    <x v="1"/>
    <x v="8"/>
    <x v="2"/>
    <x v="21"/>
    <x v="0"/>
    <x v="0"/>
    <n v="2"/>
    <n v="8289.64"/>
    <n v="28700.04"/>
    <x v="1"/>
  </r>
  <r>
    <x v="2"/>
    <x v="1"/>
    <x v="8"/>
    <x v="2"/>
    <x v="21"/>
    <x v="1"/>
    <x v="1"/>
    <n v="9"/>
    <n v="26266.52"/>
    <n v="57972.959999999999"/>
    <x v="1"/>
  </r>
  <r>
    <x v="2"/>
    <x v="1"/>
    <x v="8"/>
    <x v="2"/>
    <x v="22"/>
    <x v="0"/>
    <x v="1"/>
    <n v="3"/>
    <n v="9897.7900000000009"/>
    <n v="35156.01"/>
    <x v="1"/>
  </r>
  <r>
    <x v="2"/>
    <x v="1"/>
    <x v="8"/>
    <x v="2"/>
    <x v="22"/>
    <x v="1"/>
    <x v="0"/>
    <n v="4"/>
    <n v="11907.83"/>
    <n v="27710.68"/>
    <x v="1"/>
  </r>
  <r>
    <x v="2"/>
    <x v="1"/>
    <x v="8"/>
    <x v="2"/>
    <x v="22"/>
    <x v="1"/>
    <x v="1"/>
    <n v="28"/>
    <n v="94262.46"/>
    <n v="198698.74"/>
    <x v="1"/>
  </r>
  <r>
    <x v="2"/>
    <x v="1"/>
    <x v="8"/>
    <x v="2"/>
    <x v="29"/>
    <x v="0"/>
    <x v="1"/>
    <n v="1"/>
    <n v="2448.7199999999998"/>
    <n v="9425.67"/>
    <x v="1"/>
  </r>
  <r>
    <x v="2"/>
    <x v="1"/>
    <x v="8"/>
    <x v="2"/>
    <x v="29"/>
    <x v="1"/>
    <x v="1"/>
    <n v="3"/>
    <n v="13000.5"/>
    <n v="27844.74"/>
    <x v="1"/>
  </r>
  <r>
    <x v="2"/>
    <x v="1"/>
    <x v="8"/>
    <x v="2"/>
    <x v="23"/>
    <x v="1"/>
    <x v="1"/>
    <n v="2"/>
    <n v="8117.02"/>
    <n v="17474.650000000001"/>
    <x v="1"/>
  </r>
  <r>
    <x v="2"/>
    <x v="1"/>
    <x v="8"/>
    <x v="2"/>
    <x v="24"/>
    <x v="0"/>
    <x v="1"/>
    <n v="4"/>
    <n v="14987.27"/>
    <n v="52204.31"/>
    <x v="1"/>
  </r>
  <r>
    <x v="2"/>
    <x v="1"/>
    <x v="8"/>
    <x v="2"/>
    <x v="24"/>
    <x v="1"/>
    <x v="0"/>
    <n v="5"/>
    <n v="16127"/>
    <n v="36779.599999999999"/>
    <x v="1"/>
  </r>
  <r>
    <x v="2"/>
    <x v="1"/>
    <x v="8"/>
    <x v="2"/>
    <x v="24"/>
    <x v="1"/>
    <x v="1"/>
    <n v="2"/>
    <n v="8683.2999999999993"/>
    <n v="17826.900000000001"/>
    <x v="1"/>
  </r>
  <r>
    <x v="2"/>
    <x v="1"/>
    <x v="8"/>
    <x v="3"/>
    <x v="25"/>
    <x v="1"/>
    <x v="0"/>
    <n v="17"/>
    <n v="48394.96"/>
    <n v="115694.1"/>
    <x v="1"/>
  </r>
  <r>
    <x v="2"/>
    <x v="1"/>
    <x v="8"/>
    <x v="3"/>
    <x v="25"/>
    <x v="1"/>
    <x v="1"/>
    <n v="5"/>
    <n v="21298.5"/>
    <n v="49665.89"/>
    <x v="1"/>
  </r>
  <r>
    <x v="2"/>
    <x v="1"/>
    <x v="8"/>
    <x v="3"/>
    <x v="26"/>
    <x v="0"/>
    <x v="0"/>
    <n v="2"/>
    <n v="6321.18"/>
    <n v="23933.84"/>
    <x v="1"/>
  </r>
  <r>
    <x v="2"/>
    <x v="1"/>
    <x v="8"/>
    <x v="3"/>
    <x v="26"/>
    <x v="0"/>
    <x v="1"/>
    <n v="1"/>
    <n v="4031.17"/>
    <n v="14458.61"/>
    <x v="1"/>
  </r>
  <r>
    <x v="2"/>
    <x v="1"/>
    <x v="8"/>
    <x v="3"/>
    <x v="26"/>
    <x v="1"/>
    <x v="0"/>
    <n v="13"/>
    <n v="38821.599999999999"/>
    <n v="95596.68"/>
    <x v="1"/>
  </r>
  <r>
    <x v="2"/>
    <x v="1"/>
    <x v="8"/>
    <x v="3"/>
    <x v="26"/>
    <x v="1"/>
    <x v="1"/>
    <n v="25"/>
    <n v="72306.179999999993"/>
    <n v="184715.5"/>
    <x v="1"/>
  </r>
  <r>
    <x v="2"/>
    <x v="1"/>
    <x v="8"/>
    <x v="3"/>
    <x v="27"/>
    <x v="0"/>
    <x v="0"/>
    <n v="2"/>
    <n v="6860.6"/>
    <n v="23931.22"/>
    <x v="1"/>
  </r>
  <r>
    <x v="2"/>
    <x v="1"/>
    <x v="8"/>
    <x v="3"/>
    <x v="27"/>
    <x v="0"/>
    <x v="1"/>
    <n v="9"/>
    <n v="26218.77"/>
    <n v="97803.9"/>
    <x v="1"/>
  </r>
  <r>
    <x v="2"/>
    <x v="1"/>
    <x v="8"/>
    <x v="3"/>
    <x v="27"/>
    <x v="1"/>
    <x v="0"/>
    <n v="14"/>
    <n v="48401"/>
    <n v="117196.97"/>
    <x v="1"/>
  </r>
  <r>
    <x v="2"/>
    <x v="1"/>
    <x v="8"/>
    <x v="3"/>
    <x v="27"/>
    <x v="1"/>
    <x v="1"/>
    <n v="27"/>
    <n v="87725.59"/>
    <n v="215664.48"/>
    <x v="1"/>
  </r>
  <r>
    <x v="2"/>
    <x v="1"/>
    <x v="9"/>
    <x v="0"/>
    <x v="0"/>
    <x v="0"/>
    <x v="0"/>
    <n v="1"/>
    <n v="2006.08"/>
    <n v="7486.36"/>
    <x v="1"/>
  </r>
  <r>
    <x v="2"/>
    <x v="1"/>
    <x v="9"/>
    <x v="0"/>
    <x v="0"/>
    <x v="0"/>
    <x v="1"/>
    <n v="2"/>
    <n v="5715.07"/>
    <n v="19463.11"/>
    <x v="1"/>
  </r>
  <r>
    <x v="2"/>
    <x v="1"/>
    <x v="9"/>
    <x v="0"/>
    <x v="0"/>
    <x v="1"/>
    <x v="0"/>
    <n v="7"/>
    <n v="15963.99"/>
    <n v="37188.93"/>
    <x v="1"/>
  </r>
  <r>
    <x v="2"/>
    <x v="1"/>
    <x v="9"/>
    <x v="0"/>
    <x v="0"/>
    <x v="1"/>
    <x v="1"/>
    <n v="15"/>
    <n v="47601.84"/>
    <n v="103140.9"/>
    <x v="1"/>
  </r>
  <r>
    <x v="2"/>
    <x v="1"/>
    <x v="9"/>
    <x v="0"/>
    <x v="1"/>
    <x v="0"/>
    <x v="0"/>
    <n v="4"/>
    <n v="10298.16"/>
    <n v="34127.089999999997"/>
    <x v="1"/>
  </r>
  <r>
    <x v="2"/>
    <x v="1"/>
    <x v="9"/>
    <x v="0"/>
    <x v="1"/>
    <x v="0"/>
    <x v="1"/>
    <n v="7"/>
    <n v="24260.3"/>
    <n v="77757.69"/>
    <x v="1"/>
  </r>
  <r>
    <x v="2"/>
    <x v="1"/>
    <x v="9"/>
    <x v="0"/>
    <x v="1"/>
    <x v="1"/>
    <x v="0"/>
    <n v="4"/>
    <n v="10517.26"/>
    <n v="21909.56"/>
    <x v="1"/>
  </r>
  <r>
    <x v="2"/>
    <x v="1"/>
    <x v="9"/>
    <x v="0"/>
    <x v="1"/>
    <x v="1"/>
    <x v="1"/>
    <n v="10"/>
    <n v="24030.62"/>
    <n v="53376.53"/>
    <x v="1"/>
  </r>
  <r>
    <x v="2"/>
    <x v="1"/>
    <x v="9"/>
    <x v="0"/>
    <x v="2"/>
    <x v="0"/>
    <x v="1"/>
    <n v="2"/>
    <n v="4654.5200000000004"/>
    <n v="15436.87"/>
    <x v="1"/>
  </r>
  <r>
    <x v="2"/>
    <x v="1"/>
    <x v="9"/>
    <x v="0"/>
    <x v="2"/>
    <x v="1"/>
    <x v="0"/>
    <n v="3"/>
    <n v="6227.91"/>
    <n v="14067.98"/>
    <x v="1"/>
  </r>
  <r>
    <x v="2"/>
    <x v="1"/>
    <x v="9"/>
    <x v="0"/>
    <x v="2"/>
    <x v="1"/>
    <x v="1"/>
    <n v="7"/>
    <n v="19971.310000000001"/>
    <n v="42040.66"/>
    <x v="1"/>
  </r>
  <r>
    <x v="2"/>
    <x v="1"/>
    <x v="9"/>
    <x v="0"/>
    <x v="3"/>
    <x v="0"/>
    <x v="0"/>
    <n v="4"/>
    <n v="8833.57"/>
    <n v="29041.99"/>
    <x v="1"/>
  </r>
  <r>
    <x v="2"/>
    <x v="1"/>
    <x v="9"/>
    <x v="0"/>
    <x v="3"/>
    <x v="0"/>
    <x v="1"/>
    <n v="2"/>
    <n v="6322.62"/>
    <n v="20024.02"/>
    <x v="1"/>
  </r>
  <r>
    <x v="2"/>
    <x v="1"/>
    <x v="9"/>
    <x v="0"/>
    <x v="3"/>
    <x v="1"/>
    <x v="0"/>
    <n v="15"/>
    <n v="35722.22"/>
    <n v="77271.16"/>
    <x v="1"/>
  </r>
  <r>
    <x v="2"/>
    <x v="1"/>
    <x v="9"/>
    <x v="0"/>
    <x v="3"/>
    <x v="1"/>
    <x v="1"/>
    <n v="11"/>
    <n v="26199.13"/>
    <n v="55309.31"/>
    <x v="1"/>
  </r>
  <r>
    <x v="2"/>
    <x v="1"/>
    <x v="9"/>
    <x v="0"/>
    <x v="28"/>
    <x v="1"/>
    <x v="1"/>
    <n v="6"/>
    <n v="18902.43"/>
    <n v="41365.82"/>
    <x v="1"/>
  </r>
  <r>
    <x v="2"/>
    <x v="1"/>
    <x v="9"/>
    <x v="0"/>
    <x v="4"/>
    <x v="0"/>
    <x v="1"/>
    <n v="4"/>
    <n v="11951.11"/>
    <n v="39743.19"/>
    <x v="1"/>
  </r>
  <r>
    <x v="2"/>
    <x v="1"/>
    <x v="9"/>
    <x v="0"/>
    <x v="4"/>
    <x v="1"/>
    <x v="0"/>
    <n v="12"/>
    <n v="28274.45"/>
    <n v="61388.56"/>
    <x v="1"/>
  </r>
  <r>
    <x v="2"/>
    <x v="1"/>
    <x v="9"/>
    <x v="0"/>
    <x v="4"/>
    <x v="1"/>
    <x v="1"/>
    <n v="8"/>
    <n v="21588.28"/>
    <n v="46093.279999999999"/>
    <x v="1"/>
  </r>
  <r>
    <x v="2"/>
    <x v="1"/>
    <x v="9"/>
    <x v="0"/>
    <x v="5"/>
    <x v="0"/>
    <x v="1"/>
    <n v="5"/>
    <n v="15672.38"/>
    <n v="52356.66"/>
    <x v="1"/>
  </r>
  <r>
    <x v="2"/>
    <x v="1"/>
    <x v="9"/>
    <x v="0"/>
    <x v="5"/>
    <x v="1"/>
    <x v="0"/>
    <n v="3"/>
    <n v="9503.17"/>
    <n v="20689.22"/>
    <x v="1"/>
  </r>
  <r>
    <x v="2"/>
    <x v="1"/>
    <x v="9"/>
    <x v="0"/>
    <x v="5"/>
    <x v="1"/>
    <x v="1"/>
    <n v="7"/>
    <n v="19719.03"/>
    <n v="42814.89"/>
    <x v="1"/>
  </r>
  <r>
    <x v="2"/>
    <x v="1"/>
    <x v="9"/>
    <x v="0"/>
    <x v="6"/>
    <x v="0"/>
    <x v="1"/>
    <n v="3"/>
    <n v="7036.46"/>
    <n v="23821.85"/>
    <x v="1"/>
  </r>
  <r>
    <x v="2"/>
    <x v="1"/>
    <x v="9"/>
    <x v="0"/>
    <x v="7"/>
    <x v="1"/>
    <x v="1"/>
    <n v="2"/>
    <n v="7474.82"/>
    <n v="16140.19"/>
    <x v="1"/>
  </r>
  <r>
    <x v="2"/>
    <x v="1"/>
    <x v="9"/>
    <x v="0"/>
    <x v="8"/>
    <x v="0"/>
    <x v="1"/>
    <n v="2"/>
    <n v="4378.6400000000003"/>
    <n v="15471.67"/>
    <x v="1"/>
  </r>
  <r>
    <x v="2"/>
    <x v="1"/>
    <x v="9"/>
    <x v="1"/>
    <x v="30"/>
    <x v="1"/>
    <x v="0"/>
    <n v="5"/>
    <n v="11222.6"/>
    <n v="25088.15"/>
    <x v="1"/>
  </r>
  <r>
    <x v="2"/>
    <x v="1"/>
    <x v="9"/>
    <x v="1"/>
    <x v="9"/>
    <x v="1"/>
    <x v="1"/>
    <n v="3"/>
    <n v="8849.4699999999993"/>
    <n v="19327.89"/>
    <x v="1"/>
  </r>
  <r>
    <x v="2"/>
    <x v="1"/>
    <x v="9"/>
    <x v="1"/>
    <x v="31"/>
    <x v="1"/>
    <x v="0"/>
    <n v="1"/>
    <n v="2319.9899999999998"/>
    <n v="5330.3"/>
    <x v="1"/>
  </r>
  <r>
    <x v="2"/>
    <x v="1"/>
    <x v="9"/>
    <x v="1"/>
    <x v="10"/>
    <x v="0"/>
    <x v="1"/>
    <n v="5"/>
    <n v="10659.79"/>
    <n v="37454.980000000003"/>
    <x v="1"/>
  </r>
  <r>
    <x v="2"/>
    <x v="1"/>
    <x v="9"/>
    <x v="1"/>
    <x v="10"/>
    <x v="1"/>
    <x v="0"/>
    <n v="8"/>
    <n v="19617.22"/>
    <n v="43212.03"/>
    <x v="1"/>
  </r>
  <r>
    <x v="2"/>
    <x v="1"/>
    <x v="9"/>
    <x v="1"/>
    <x v="10"/>
    <x v="1"/>
    <x v="1"/>
    <n v="18"/>
    <n v="46162.54"/>
    <n v="103859.95"/>
    <x v="1"/>
  </r>
  <r>
    <x v="2"/>
    <x v="1"/>
    <x v="9"/>
    <x v="1"/>
    <x v="11"/>
    <x v="0"/>
    <x v="1"/>
    <n v="18"/>
    <n v="48384.74"/>
    <n v="159810.21"/>
    <x v="1"/>
  </r>
  <r>
    <x v="2"/>
    <x v="1"/>
    <x v="9"/>
    <x v="1"/>
    <x v="11"/>
    <x v="1"/>
    <x v="0"/>
    <n v="4"/>
    <n v="11452.64"/>
    <n v="25101.439999999999"/>
    <x v="1"/>
  </r>
  <r>
    <x v="2"/>
    <x v="1"/>
    <x v="9"/>
    <x v="1"/>
    <x v="11"/>
    <x v="1"/>
    <x v="1"/>
    <n v="21"/>
    <n v="53074.93"/>
    <n v="113254.77"/>
    <x v="1"/>
  </r>
  <r>
    <x v="2"/>
    <x v="1"/>
    <x v="9"/>
    <x v="1"/>
    <x v="13"/>
    <x v="0"/>
    <x v="1"/>
    <n v="5"/>
    <n v="17970.82"/>
    <n v="58249.41"/>
    <x v="1"/>
  </r>
  <r>
    <x v="2"/>
    <x v="1"/>
    <x v="9"/>
    <x v="1"/>
    <x v="13"/>
    <x v="1"/>
    <x v="0"/>
    <n v="3"/>
    <n v="11178.45"/>
    <n v="23852.59"/>
    <x v="1"/>
  </r>
  <r>
    <x v="2"/>
    <x v="1"/>
    <x v="9"/>
    <x v="1"/>
    <x v="13"/>
    <x v="1"/>
    <x v="1"/>
    <n v="14"/>
    <n v="34759.300000000003"/>
    <n v="78865.66"/>
    <x v="1"/>
  </r>
  <r>
    <x v="2"/>
    <x v="1"/>
    <x v="9"/>
    <x v="1"/>
    <x v="14"/>
    <x v="0"/>
    <x v="1"/>
    <n v="2"/>
    <n v="4169"/>
    <n v="14546.07"/>
    <x v="1"/>
  </r>
  <r>
    <x v="2"/>
    <x v="1"/>
    <x v="9"/>
    <x v="1"/>
    <x v="14"/>
    <x v="1"/>
    <x v="0"/>
    <n v="6"/>
    <n v="13773.34"/>
    <n v="30119.51"/>
    <x v="1"/>
  </r>
  <r>
    <x v="2"/>
    <x v="1"/>
    <x v="9"/>
    <x v="1"/>
    <x v="14"/>
    <x v="1"/>
    <x v="1"/>
    <n v="5"/>
    <n v="16161.06"/>
    <n v="32868.839999999997"/>
    <x v="1"/>
  </r>
  <r>
    <x v="2"/>
    <x v="1"/>
    <x v="9"/>
    <x v="1"/>
    <x v="15"/>
    <x v="1"/>
    <x v="0"/>
    <n v="6"/>
    <n v="17222.509999999998"/>
    <n v="39165.39"/>
    <x v="1"/>
  </r>
  <r>
    <x v="2"/>
    <x v="1"/>
    <x v="9"/>
    <x v="1"/>
    <x v="15"/>
    <x v="1"/>
    <x v="1"/>
    <n v="2"/>
    <n v="4081.92"/>
    <n v="10053.700000000001"/>
    <x v="1"/>
  </r>
  <r>
    <x v="2"/>
    <x v="1"/>
    <x v="9"/>
    <x v="1"/>
    <x v="16"/>
    <x v="1"/>
    <x v="0"/>
    <n v="7"/>
    <n v="23098.79"/>
    <n v="50340.6"/>
    <x v="1"/>
  </r>
  <r>
    <x v="2"/>
    <x v="1"/>
    <x v="9"/>
    <x v="1"/>
    <x v="16"/>
    <x v="1"/>
    <x v="1"/>
    <n v="10"/>
    <n v="23475.11"/>
    <n v="54073.33"/>
    <x v="1"/>
  </r>
  <r>
    <x v="2"/>
    <x v="1"/>
    <x v="9"/>
    <x v="1"/>
    <x v="17"/>
    <x v="0"/>
    <x v="1"/>
    <n v="1"/>
    <n v="2144.14"/>
    <n v="7636.63"/>
    <x v="1"/>
  </r>
  <r>
    <x v="2"/>
    <x v="1"/>
    <x v="9"/>
    <x v="1"/>
    <x v="17"/>
    <x v="1"/>
    <x v="0"/>
    <n v="7"/>
    <n v="21643.95"/>
    <n v="47185.14"/>
    <x v="1"/>
  </r>
  <r>
    <x v="2"/>
    <x v="1"/>
    <x v="9"/>
    <x v="1"/>
    <x v="18"/>
    <x v="0"/>
    <x v="1"/>
    <n v="5"/>
    <n v="12318.88"/>
    <n v="41887.370000000003"/>
    <x v="1"/>
  </r>
  <r>
    <x v="2"/>
    <x v="1"/>
    <x v="9"/>
    <x v="1"/>
    <x v="18"/>
    <x v="1"/>
    <x v="0"/>
    <n v="5"/>
    <n v="13224.33"/>
    <n v="30129.84"/>
    <x v="1"/>
  </r>
  <r>
    <x v="2"/>
    <x v="1"/>
    <x v="9"/>
    <x v="1"/>
    <x v="18"/>
    <x v="1"/>
    <x v="1"/>
    <n v="26"/>
    <n v="66786.45"/>
    <n v="155331.59"/>
    <x v="1"/>
  </r>
  <r>
    <x v="2"/>
    <x v="1"/>
    <x v="9"/>
    <x v="1"/>
    <x v="19"/>
    <x v="0"/>
    <x v="1"/>
    <n v="6"/>
    <n v="19878.150000000001"/>
    <n v="65535.99"/>
    <x v="1"/>
  </r>
  <r>
    <x v="2"/>
    <x v="1"/>
    <x v="9"/>
    <x v="1"/>
    <x v="19"/>
    <x v="1"/>
    <x v="0"/>
    <n v="17"/>
    <n v="43892.34"/>
    <n v="101554.8"/>
    <x v="1"/>
  </r>
  <r>
    <x v="2"/>
    <x v="1"/>
    <x v="9"/>
    <x v="1"/>
    <x v="19"/>
    <x v="1"/>
    <x v="1"/>
    <n v="4"/>
    <n v="14629.21"/>
    <n v="32000.06"/>
    <x v="1"/>
  </r>
  <r>
    <x v="2"/>
    <x v="1"/>
    <x v="9"/>
    <x v="1"/>
    <x v="20"/>
    <x v="0"/>
    <x v="0"/>
    <n v="1"/>
    <n v="2019.93"/>
    <n v="7731.46"/>
    <x v="1"/>
  </r>
  <r>
    <x v="2"/>
    <x v="1"/>
    <x v="9"/>
    <x v="1"/>
    <x v="20"/>
    <x v="0"/>
    <x v="1"/>
    <n v="5"/>
    <n v="13929.45"/>
    <n v="48095.360000000001"/>
    <x v="1"/>
  </r>
  <r>
    <x v="2"/>
    <x v="1"/>
    <x v="9"/>
    <x v="1"/>
    <x v="20"/>
    <x v="1"/>
    <x v="0"/>
    <n v="16"/>
    <n v="39189.43"/>
    <n v="87177.19"/>
    <x v="1"/>
  </r>
  <r>
    <x v="2"/>
    <x v="1"/>
    <x v="9"/>
    <x v="1"/>
    <x v="20"/>
    <x v="1"/>
    <x v="1"/>
    <n v="10"/>
    <n v="28254.66"/>
    <n v="62403.87"/>
    <x v="1"/>
  </r>
  <r>
    <x v="2"/>
    <x v="1"/>
    <x v="9"/>
    <x v="2"/>
    <x v="21"/>
    <x v="0"/>
    <x v="0"/>
    <n v="1"/>
    <n v="2228.98"/>
    <n v="7543.69"/>
    <x v="1"/>
  </r>
  <r>
    <x v="2"/>
    <x v="1"/>
    <x v="9"/>
    <x v="2"/>
    <x v="22"/>
    <x v="1"/>
    <x v="0"/>
    <n v="5"/>
    <n v="10743.66"/>
    <n v="23492.89"/>
    <x v="1"/>
  </r>
  <r>
    <x v="2"/>
    <x v="1"/>
    <x v="9"/>
    <x v="2"/>
    <x v="22"/>
    <x v="1"/>
    <x v="1"/>
    <n v="15"/>
    <n v="53744.65"/>
    <n v="107011.79"/>
    <x v="1"/>
  </r>
  <r>
    <x v="2"/>
    <x v="1"/>
    <x v="9"/>
    <x v="2"/>
    <x v="29"/>
    <x v="0"/>
    <x v="1"/>
    <n v="5"/>
    <n v="14532.2"/>
    <n v="47592.72"/>
    <x v="1"/>
  </r>
  <r>
    <x v="2"/>
    <x v="1"/>
    <x v="9"/>
    <x v="2"/>
    <x v="29"/>
    <x v="1"/>
    <x v="1"/>
    <n v="2"/>
    <n v="4664.8999999999996"/>
    <n v="10176.61"/>
    <x v="1"/>
  </r>
  <r>
    <x v="2"/>
    <x v="1"/>
    <x v="9"/>
    <x v="2"/>
    <x v="24"/>
    <x v="0"/>
    <x v="1"/>
    <n v="2"/>
    <n v="4222.12"/>
    <n v="15093.14"/>
    <x v="1"/>
  </r>
  <r>
    <x v="2"/>
    <x v="1"/>
    <x v="9"/>
    <x v="2"/>
    <x v="24"/>
    <x v="1"/>
    <x v="1"/>
    <n v="2"/>
    <n v="4031.22"/>
    <n v="9307.6299999999992"/>
    <x v="1"/>
  </r>
  <r>
    <x v="2"/>
    <x v="1"/>
    <x v="9"/>
    <x v="3"/>
    <x v="25"/>
    <x v="1"/>
    <x v="0"/>
    <n v="7"/>
    <n v="25075.43"/>
    <n v="57664.57"/>
    <x v="1"/>
  </r>
  <r>
    <x v="2"/>
    <x v="1"/>
    <x v="9"/>
    <x v="3"/>
    <x v="25"/>
    <x v="1"/>
    <x v="1"/>
    <n v="8"/>
    <n v="16699.669999999998"/>
    <n v="41729.730000000003"/>
    <x v="1"/>
  </r>
  <r>
    <x v="2"/>
    <x v="1"/>
    <x v="9"/>
    <x v="3"/>
    <x v="26"/>
    <x v="0"/>
    <x v="1"/>
    <n v="2"/>
    <n v="4942.5"/>
    <n v="16539.21"/>
    <x v="1"/>
  </r>
  <r>
    <x v="2"/>
    <x v="1"/>
    <x v="9"/>
    <x v="3"/>
    <x v="26"/>
    <x v="1"/>
    <x v="0"/>
    <n v="8"/>
    <n v="21438.55"/>
    <n v="50613.440000000002"/>
    <x v="1"/>
  </r>
  <r>
    <x v="2"/>
    <x v="1"/>
    <x v="9"/>
    <x v="3"/>
    <x v="26"/>
    <x v="1"/>
    <x v="1"/>
    <n v="23"/>
    <n v="62440.6"/>
    <n v="147640.62"/>
    <x v="1"/>
  </r>
  <r>
    <x v="2"/>
    <x v="1"/>
    <x v="9"/>
    <x v="3"/>
    <x v="27"/>
    <x v="0"/>
    <x v="0"/>
    <n v="5"/>
    <n v="15947.5"/>
    <n v="52086.34"/>
    <x v="1"/>
  </r>
  <r>
    <x v="2"/>
    <x v="1"/>
    <x v="9"/>
    <x v="3"/>
    <x v="27"/>
    <x v="0"/>
    <x v="1"/>
    <n v="7"/>
    <n v="17123.560000000001"/>
    <n v="58346.57"/>
    <x v="1"/>
  </r>
  <r>
    <x v="2"/>
    <x v="1"/>
    <x v="9"/>
    <x v="3"/>
    <x v="27"/>
    <x v="1"/>
    <x v="0"/>
    <n v="12"/>
    <n v="25063.97"/>
    <n v="61436.81"/>
    <x v="1"/>
  </r>
  <r>
    <x v="2"/>
    <x v="1"/>
    <x v="9"/>
    <x v="3"/>
    <x v="27"/>
    <x v="1"/>
    <x v="1"/>
    <n v="28"/>
    <n v="85348.37"/>
    <n v="192891.5"/>
    <x v="1"/>
  </r>
  <r>
    <x v="3"/>
    <x v="0"/>
    <x v="0"/>
    <x v="0"/>
    <x v="0"/>
    <x v="0"/>
    <x v="0"/>
    <n v="2"/>
    <n v="12696.67"/>
    <n v="55181.18"/>
    <x v="0"/>
  </r>
  <r>
    <x v="3"/>
    <x v="0"/>
    <x v="0"/>
    <x v="0"/>
    <x v="0"/>
    <x v="0"/>
    <x v="1"/>
    <n v="3"/>
    <n v="20219.16"/>
    <n v="87286.59"/>
    <x v="0"/>
  </r>
  <r>
    <x v="3"/>
    <x v="0"/>
    <x v="0"/>
    <x v="0"/>
    <x v="0"/>
    <x v="1"/>
    <x v="0"/>
    <n v="5"/>
    <n v="27487.7"/>
    <n v="75457.77"/>
    <x v="0"/>
  </r>
  <r>
    <x v="3"/>
    <x v="0"/>
    <x v="0"/>
    <x v="0"/>
    <x v="0"/>
    <x v="1"/>
    <x v="1"/>
    <n v="3"/>
    <n v="22256.37"/>
    <n v="62990.81"/>
    <x v="0"/>
  </r>
  <r>
    <x v="3"/>
    <x v="0"/>
    <x v="0"/>
    <x v="0"/>
    <x v="1"/>
    <x v="0"/>
    <x v="0"/>
    <n v="4"/>
    <n v="23357.08"/>
    <n v="101332.72"/>
    <x v="0"/>
  </r>
  <r>
    <x v="3"/>
    <x v="0"/>
    <x v="0"/>
    <x v="0"/>
    <x v="1"/>
    <x v="0"/>
    <x v="1"/>
    <n v="2"/>
    <n v="14777.76"/>
    <n v="64210.82"/>
    <x v="0"/>
  </r>
  <r>
    <x v="3"/>
    <x v="0"/>
    <x v="0"/>
    <x v="0"/>
    <x v="1"/>
    <x v="1"/>
    <x v="0"/>
    <n v="16"/>
    <n v="106575.97"/>
    <n v="291815.26"/>
    <x v="0"/>
  </r>
  <r>
    <x v="3"/>
    <x v="0"/>
    <x v="0"/>
    <x v="0"/>
    <x v="1"/>
    <x v="1"/>
    <x v="1"/>
    <n v="23"/>
    <n v="153763.4"/>
    <n v="428041.23"/>
    <x v="0"/>
  </r>
  <r>
    <x v="3"/>
    <x v="0"/>
    <x v="0"/>
    <x v="0"/>
    <x v="2"/>
    <x v="0"/>
    <x v="1"/>
    <n v="7"/>
    <n v="45301.98"/>
    <n v="195642.36"/>
    <x v="0"/>
  </r>
  <r>
    <x v="3"/>
    <x v="0"/>
    <x v="0"/>
    <x v="0"/>
    <x v="2"/>
    <x v="1"/>
    <x v="1"/>
    <n v="6"/>
    <n v="44253.23"/>
    <n v="119624.76"/>
    <x v="0"/>
  </r>
  <r>
    <x v="3"/>
    <x v="0"/>
    <x v="0"/>
    <x v="0"/>
    <x v="3"/>
    <x v="0"/>
    <x v="0"/>
    <n v="3"/>
    <n v="19511.419999999998"/>
    <n v="85280"/>
    <x v="0"/>
  </r>
  <r>
    <x v="3"/>
    <x v="0"/>
    <x v="0"/>
    <x v="0"/>
    <x v="3"/>
    <x v="0"/>
    <x v="1"/>
    <n v="5"/>
    <n v="33679.230000000003"/>
    <n v="142467.76999999999"/>
    <x v="0"/>
  </r>
  <r>
    <x v="3"/>
    <x v="0"/>
    <x v="0"/>
    <x v="0"/>
    <x v="3"/>
    <x v="1"/>
    <x v="0"/>
    <n v="1"/>
    <n v="5362.21"/>
    <n v="14906.95"/>
    <x v="0"/>
  </r>
  <r>
    <x v="3"/>
    <x v="0"/>
    <x v="0"/>
    <x v="0"/>
    <x v="3"/>
    <x v="1"/>
    <x v="1"/>
    <n v="31"/>
    <n v="200933.77"/>
    <n v="549607.5"/>
    <x v="0"/>
  </r>
  <r>
    <x v="3"/>
    <x v="0"/>
    <x v="0"/>
    <x v="0"/>
    <x v="4"/>
    <x v="0"/>
    <x v="1"/>
    <n v="3"/>
    <n v="18045.810000000001"/>
    <n v="78256.95"/>
    <x v="0"/>
  </r>
  <r>
    <x v="3"/>
    <x v="0"/>
    <x v="0"/>
    <x v="0"/>
    <x v="4"/>
    <x v="1"/>
    <x v="1"/>
    <n v="5"/>
    <n v="36540.33"/>
    <n v="102737.3"/>
    <x v="0"/>
  </r>
  <r>
    <x v="3"/>
    <x v="0"/>
    <x v="0"/>
    <x v="0"/>
    <x v="5"/>
    <x v="0"/>
    <x v="1"/>
    <n v="2"/>
    <n v="12849.97"/>
    <n v="55181.18"/>
    <x v="0"/>
  </r>
  <r>
    <x v="3"/>
    <x v="0"/>
    <x v="0"/>
    <x v="0"/>
    <x v="5"/>
    <x v="1"/>
    <x v="0"/>
    <n v="1"/>
    <n v="5312.1"/>
    <n v="15206.93"/>
    <x v="0"/>
  </r>
  <r>
    <x v="3"/>
    <x v="0"/>
    <x v="0"/>
    <x v="0"/>
    <x v="5"/>
    <x v="1"/>
    <x v="1"/>
    <n v="20"/>
    <n v="133183.54"/>
    <n v="380139.28"/>
    <x v="0"/>
  </r>
  <r>
    <x v="3"/>
    <x v="0"/>
    <x v="0"/>
    <x v="0"/>
    <x v="6"/>
    <x v="0"/>
    <x v="1"/>
    <n v="1"/>
    <n v="7301.38"/>
    <n v="32105.41"/>
    <x v="0"/>
  </r>
  <r>
    <x v="3"/>
    <x v="0"/>
    <x v="0"/>
    <x v="0"/>
    <x v="7"/>
    <x v="1"/>
    <x v="1"/>
    <n v="2"/>
    <n v="15061.52"/>
    <n v="42892.83"/>
    <x v="0"/>
  </r>
  <r>
    <x v="3"/>
    <x v="0"/>
    <x v="0"/>
    <x v="0"/>
    <x v="8"/>
    <x v="1"/>
    <x v="1"/>
    <n v="10"/>
    <n v="65501.13"/>
    <n v="181419.55"/>
    <x v="0"/>
  </r>
  <r>
    <x v="3"/>
    <x v="0"/>
    <x v="0"/>
    <x v="1"/>
    <x v="30"/>
    <x v="1"/>
    <x v="0"/>
    <n v="2"/>
    <n v="14553.86"/>
    <n v="44241.25"/>
    <x v="0"/>
  </r>
  <r>
    <x v="3"/>
    <x v="0"/>
    <x v="0"/>
    <x v="1"/>
    <x v="9"/>
    <x v="1"/>
    <x v="1"/>
    <n v="2"/>
    <n v="10440.58"/>
    <n v="31752.26"/>
    <x v="0"/>
  </r>
  <r>
    <x v="3"/>
    <x v="0"/>
    <x v="0"/>
    <x v="1"/>
    <x v="31"/>
    <x v="1"/>
    <x v="0"/>
    <n v="5"/>
    <n v="27241.65"/>
    <n v="80188.3"/>
    <x v="0"/>
  </r>
  <r>
    <x v="3"/>
    <x v="0"/>
    <x v="0"/>
    <x v="1"/>
    <x v="10"/>
    <x v="0"/>
    <x v="1"/>
    <n v="5"/>
    <n v="36868.839999999997"/>
    <n v="160527.04999999999"/>
    <x v="0"/>
  </r>
  <r>
    <x v="3"/>
    <x v="0"/>
    <x v="0"/>
    <x v="1"/>
    <x v="10"/>
    <x v="1"/>
    <x v="0"/>
    <n v="11"/>
    <n v="71491.58"/>
    <n v="213019.43"/>
    <x v="0"/>
  </r>
  <r>
    <x v="3"/>
    <x v="0"/>
    <x v="0"/>
    <x v="1"/>
    <x v="10"/>
    <x v="1"/>
    <x v="1"/>
    <n v="17"/>
    <n v="102186.6"/>
    <n v="304489.78000000003"/>
    <x v="0"/>
  </r>
  <r>
    <x v="3"/>
    <x v="0"/>
    <x v="0"/>
    <x v="1"/>
    <x v="11"/>
    <x v="0"/>
    <x v="1"/>
    <n v="8"/>
    <n v="50981.66"/>
    <n v="220724.72"/>
    <x v="0"/>
  </r>
  <r>
    <x v="3"/>
    <x v="0"/>
    <x v="0"/>
    <x v="1"/>
    <x v="11"/>
    <x v="1"/>
    <x v="0"/>
    <n v="7"/>
    <n v="45120.36"/>
    <n v="127342.3"/>
    <x v="0"/>
  </r>
  <r>
    <x v="3"/>
    <x v="0"/>
    <x v="0"/>
    <x v="1"/>
    <x v="11"/>
    <x v="1"/>
    <x v="1"/>
    <n v="20"/>
    <n v="138853.57999999999"/>
    <n v="393360.47"/>
    <x v="0"/>
  </r>
  <r>
    <x v="3"/>
    <x v="0"/>
    <x v="0"/>
    <x v="1"/>
    <x v="12"/>
    <x v="1"/>
    <x v="0"/>
    <n v="3"/>
    <n v="21318.84"/>
    <n v="65880.3"/>
    <x v="0"/>
  </r>
  <r>
    <x v="3"/>
    <x v="0"/>
    <x v="0"/>
    <x v="1"/>
    <x v="12"/>
    <x v="1"/>
    <x v="1"/>
    <n v="15"/>
    <n v="101174"/>
    <n v="295240.90999999997"/>
    <x v="0"/>
  </r>
  <r>
    <x v="3"/>
    <x v="0"/>
    <x v="0"/>
    <x v="1"/>
    <x v="13"/>
    <x v="0"/>
    <x v="1"/>
    <n v="2"/>
    <n v="14820.2"/>
    <n v="64210.82"/>
    <x v="0"/>
  </r>
  <r>
    <x v="3"/>
    <x v="0"/>
    <x v="0"/>
    <x v="1"/>
    <x v="13"/>
    <x v="1"/>
    <x v="0"/>
    <n v="5"/>
    <n v="33318.339999999997"/>
    <n v="97020.55"/>
    <x v="0"/>
  </r>
  <r>
    <x v="3"/>
    <x v="0"/>
    <x v="0"/>
    <x v="1"/>
    <x v="13"/>
    <x v="1"/>
    <x v="1"/>
    <n v="9"/>
    <n v="57902.32"/>
    <n v="166028.13"/>
    <x v="0"/>
  </r>
  <r>
    <x v="3"/>
    <x v="0"/>
    <x v="0"/>
    <x v="1"/>
    <x v="14"/>
    <x v="0"/>
    <x v="1"/>
    <n v="4"/>
    <n v="22138.63"/>
    <n v="97319.54"/>
    <x v="0"/>
  </r>
  <r>
    <x v="3"/>
    <x v="0"/>
    <x v="0"/>
    <x v="1"/>
    <x v="14"/>
    <x v="1"/>
    <x v="0"/>
    <n v="4"/>
    <n v="29627.200000000001"/>
    <n v="84786.48"/>
    <x v="0"/>
  </r>
  <r>
    <x v="3"/>
    <x v="0"/>
    <x v="0"/>
    <x v="1"/>
    <x v="14"/>
    <x v="1"/>
    <x v="1"/>
    <n v="11"/>
    <n v="58548.42"/>
    <n v="170917.78"/>
    <x v="0"/>
  </r>
  <r>
    <x v="3"/>
    <x v="0"/>
    <x v="0"/>
    <x v="1"/>
    <x v="15"/>
    <x v="1"/>
    <x v="0"/>
    <n v="13"/>
    <n v="95727.71"/>
    <n v="288402.89"/>
    <x v="0"/>
  </r>
  <r>
    <x v="3"/>
    <x v="0"/>
    <x v="0"/>
    <x v="1"/>
    <x v="16"/>
    <x v="0"/>
    <x v="1"/>
    <n v="2"/>
    <n v="14740.12"/>
    <n v="64210.82"/>
    <x v="0"/>
  </r>
  <r>
    <x v="3"/>
    <x v="0"/>
    <x v="0"/>
    <x v="1"/>
    <x v="16"/>
    <x v="1"/>
    <x v="0"/>
    <n v="1"/>
    <n v="5401.37"/>
    <n v="15183.86"/>
    <x v="0"/>
  </r>
  <r>
    <x v="3"/>
    <x v="0"/>
    <x v="0"/>
    <x v="1"/>
    <x v="16"/>
    <x v="1"/>
    <x v="1"/>
    <n v="13"/>
    <n v="87078.96"/>
    <n v="244922.16"/>
    <x v="0"/>
  </r>
  <r>
    <x v="3"/>
    <x v="0"/>
    <x v="0"/>
    <x v="1"/>
    <x v="17"/>
    <x v="0"/>
    <x v="1"/>
    <n v="5"/>
    <n v="37600.370000000003"/>
    <n v="160527.04999999999"/>
    <x v="0"/>
  </r>
  <r>
    <x v="3"/>
    <x v="0"/>
    <x v="0"/>
    <x v="1"/>
    <x v="17"/>
    <x v="1"/>
    <x v="0"/>
    <n v="8"/>
    <n v="60037.58"/>
    <n v="169591.31"/>
    <x v="0"/>
  </r>
  <r>
    <x v="3"/>
    <x v="0"/>
    <x v="0"/>
    <x v="1"/>
    <x v="18"/>
    <x v="0"/>
    <x v="1"/>
    <n v="12"/>
    <n v="82163.11"/>
    <n v="358176"/>
    <x v="0"/>
  </r>
  <r>
    <x v="3"/>
    <x v="0"/>
    <x v="0"/>
    <x v="1"/>
    <x v="18"/>
    <x v="1"/>
    <x v="0"/>
    <n v="2"/>
    <n v="14327.3"/>
    <n v="44626.52"/>
    <x v="0"/>
  </r>
  <r>
    <x v="3"/>
    <x v="0"/>
    <x v="0"/>
    <x v="1"/>
    <x v="18"/>
    <x v="1"/>
    <x v="1"/>
    <n v="41"/>
    <n v="288071.32"/>
    <n v="863867.06"/>
    <x v="0"/>
  </r>
  <r>
    <x v="3"/>
    <x v="0"/>
    <x v="0"/>
    <x v="1"/>
    <x v="19"/>
    <x v="0"/>
    <x v="1"/>
    <n v="2"/>
    <n v="14832.66"/>
    <n v="64210.82"/>
    <x v="0"/>
  </r>
  <r>
    <x v="3"/>
    <x v="0"/>
    <x v="0"/>
    <x v="1"/>
    <x v="19"/>
    <x v="1"/>
    <x v="0"/>
    <n v="5"/>
    <n v="30255.14"/>
    <n v="87557.05"/>
    <x v="0"/>
  </r>
  <r>
    <x v="3"/>
    <x v="0"/>
    <x v="0"/>
    <x v="1"/>
    <x v="19"/>
    <x v="1"/>
    <x v="1"/>
    <n v="9"/>
    <n v="51997.51"/>
    <n v="148119.71"/>
    <x v="0"/>
  </r>
  <r>
    <x v="3"/>
    <x v="0"/>
    <x v="0"/>
    <x v="1"/>
    <x v="20"/>
    <x v="0"/>
    <x v="1"/>
    <n v="11"/>
    <n v="67759.460000000006"/>
    <n v="296975.08"/>
    <x v="0"/>
  </r>
  <r>
    <x v="3"/>
    <x v="0"/>
    <x v="0"/>
    <x v="1"/>
    <x v="20"/>
    <x v="1"/>
    <x v="0"/>
    <n v="7"/>
    <n v="53026.84"/>
    <n v="148337.98000000001"/>
    <x v="0"/>
  </r>
  <r>
    <x v="3"/>
    <x v="0"/>
    <x v="0"/>
    <x v="1"/>
    <x v="20"/>
    <x v="1"/>
    <x v="1"/>
    <n v="19"/>
    <n v="122351.45"/>
    <n v="340386.01"/>
    <x v="0"/>
  </r>
  <r>
    <x v="3"/>
    <x v="0"/>
    <x v="0"/>
    <x v="2"/>
    <x v="21"/>
    <x v="0"/>
    <x v="0"/>
    <n v="3"/>
    <n v="22464.57"/>
    <n v="96316.23"/>
    <x v="0"/>
  </r>
  <r>
    <x v="3"/>
    <x v="0"/>
    <x v="0"/>
    <x v="2"/>
    <x v="22"/>
    <x v="0"/>
    <x v="1"/>
    <n v="2"/>
    <n v="13149.38"/>
    <n v="55181.18"/>
    <x v="0"/>
  </r>
  <r>
    <x v="3"/>
    <x v="0"/>
    <x v="0"/>
    <x v="2"/>
    <x v="22"/>
    <x v="1"/>
    <x v="0"/>
    <n v="5"/>
    <n v="35409.75"/>
    <n v="97760.97"/>
    <x v="0"/>
  </r>
  <r>
    <x v="3"/>
    <x v="0"/>
    <x v="0"/>
    <x v="2"/>
    <x v="22"/>
    <x v="1"/>
    <x v="1"/>
    <n v="12"/>
    <n v="70588.929999999993"/>
    <n v="190022.9"/>
    <x v="0"/>
  </r>
  <r>
    <x v="3"/>
    <x v="0"/>
    <x v="0"/>
    <x v="2"/>
    <x v="29"/>
    <x v="0"/>
    <x v="1"/>
    <n v="2"/>
    <n v="12937.9"/>
    <n v="55181.18"/>
    <x v="0"/>
  </r>
  <r>
    <x v="3"/>
    <x v="0"/>
    <x v="0"/>
    <x v="2"/>
    <x v="29"/>
    <x v="1"/>
    <x v="1"/>
    <n v="1"/>
    <n v="5387.02"/>
    <n v="14930.02"/>
    <x v="0"/>
  </r>
  <r>
    <x v="3"/>
    <x v="0"/>
    <x v="0"/>
    <x v="2"/>
    <x v="23"/>
    <x v="1"/>
    <x v="1"/>
    <n v="5"/>
    <n v="38030.9"/>
    <n v="101774.15"/>
    <x v="0"/>
  </r>
  <r>
    <x v="3"/>
    <x v="0"/>
    <x v="0"/>
    <x v="3"/>
    <x v="25"/>
    <x v="0"/>
    <x v="1"/>
    <n v="1"/>
    <n v="7467.28"/>
    <n v="32105.41"/>
    <x v="0"/>
  </r>
  <r>
    <x v="3"/>
    <x v="0"/>
    <x v="0"/>
    <x v="3"/>
    <x v="25"/>
    <x v="1"/>
    <x v="0"/>
    <n v="3"/>
    <n v="13870.74"/>
    <n v="43297.16"/>
    <x v="0"/>
  </r>
  <r>
    <x v="3"/>
    <x v="0"/>
    <x v="0"/>
    <x v="3"/>
    <x v="25"/>
    <x v="1"/>
    <x v="1"/>
    <n v="20"/>
    <n v="138063.16"/>
    <n v="410979.36"/>
    <x v="0"/>
  </r>
  <r>
    <x v="3"/>
    <x v="0"/>
    <x v="0"/>
    <x v="3"/>
    <x v="26"/>
    <x v="0"/>
    <x v="0"/>
    <n v="7"/>
    <n v="47126.3"/>
    <n v="204672"/>
    <x v="0"/>
  </r>
  <r>
    <x v="3"/>
    <x v="0"/>
    <x v="0"/>
    <x v="3"/>
    <x v="26"/>
    <x v="0"/>
    <x v="1"/>
    <n v="2"/>
    <n v="14858.56"/>
    <n v="64210.82"/>
    <x v="0"/>
  </r>
  <r>
    <x v="3"/>
    <x v="0"/>
    <x v="0"/>
    <x v="3"/>
    <x v="26"/>
    <x v="1"/>
    <x v="0"/>
    <n v="8"/>
    <n v="45342.34"/>
    <n v="133608.70000000001"/>
    <x v="0"/>
  </r>
  <r>
    <x v="3"/>
    <x v="0"/>
    <x v="0"/>
    <x v="3"/>
    <x v="26"/>
    <x v="1"/>
    <x v="1"/>
    <n v="16"/>
    <n v="105825.59"/>
    <n v="310170.90000000002"/>
    <x v="0"/>
  </r>
  <r>
    <x v="3"/>
    <x v="0"/>
    <x v="0"/>
    <x v="3"/>
    <x v="27"/>
    <x v="0"/>
    <x v="0"/>
    <n v="7"/>
    <n v="48637.53"/>
    <n v="206678.59"/>
    <x v="0"/>
  </r>
  <r>
    <x v="3"/>
    <x v="0"/>
    <x v="0"/>
    <x v="3"/>
    <x v="27"/>
    <x v="0"/>
    <x v="1"/>
    <n v="15"/>
    <n v="94409.55"/>
    <n v="409344.03"/>
    <x v="0"/>
  </r>
  <r>
    <x v="3"/>
    <x v="0"/>
    <x v="0"/>
    <x v="3"/>
    <x v="27"/>
    <x v="1"/>
    <x v="0"/>
    <n v="7"/>
    <n v="49812.77"/>
    <n v="146034.48000000001"/>
    <x v="0"/>
  </r>
  <r>
    <x v="3"/>
    <x v="0"/>
    <x v="0"/>
    <x v="3"/>
    <x v="27"/>
    <x v="1"/>
    <x v="1"/>
    <n v="31"/>
    <n v="197450.13"/>
    <n v="564528.98"/>
    <x v="0"/>
  </r>
  <r>
    <x v="3"/>
    <x v="0"/>
    <x v="1"/>
    <x v="0"/>
    <x v="0"/>
    <x v="0"/>
    <x v="0"/>
    <n v="4"/>
    <n v="12808.57"/>
    <n v="44701.04"/>
    <x v="0"/>
  </r>
  <r>
    <x v="3"/>
    <x v="0"/>
    <x v="1"/>
    <x v="0"/>
    <x v="0"/>
    <x v="0"/>
    <x v="1"/>
    <n v="1"/>
    <n v="3151.53"/>
    <n v="11175.26"/>
    <x v="0"/>
  </r>
  <r>
    <x v="3"/>
    <x v="0"/>
    <x v="1"/>
    <x v="0"/>
    <x v="0"/>
    <x v="1"/>
    <x v="0"/>
    <n v="13"/>
    <n v="34956.92"/>
    <n v="80216.039999999994"/>
    <x v="0"/>
  </r>
  <r>
    <x v="3"/>
    <x v="0"/>
    <x v="1"/>
    <x v="0"/>
    <x v="0"/>
    <x v="1"/>
    <x v="1"/>
    <n v="1"/>
    <n v="2090.5300000000002"/>
    <n v="4649.7"/>
    <x v="0"/>
  </r>
  <r>
    <x v="3"/>
    <x v="0"/>
    <x v="1"/>
    <x v="0"/>
    <x v="1"/>
    <x v="0"/>
    <x v="0"/>
    <n v="3"/>
    <n v="7308.77"/>
    <n v="25144.34"/>
    <x v="0"/>
  </r>
  <r>
    <x v="3"/>
    <x v="0"/>
    <x v="1"/>
    <x v="0"/>
    <x v="1"/>
    <x v="0"/>
    <x v="1"/>
    <n v="2"/>
    <n v="4226.66"/>
    <n v="14667.52"/>
    <x v="0"/>
  </r>
  <r>
    <x v="3"/>
    <x v="0"/>
    <x v="1"/>
    <x v="0"/>
    <x v="1"/>
    <x v="1"/>
    <x v="0"/>
    <n v="5"/>
    <n v="10396.709999999999"/>
    <n v="23578.04"/>
    <x v="0"/>
  </r>
  <r>
    <x v="3"/>
    <x v="0"/>
    <x v="1"/>
    <x v="0"/>
    <x v="1"/>
    <x v="1"/>
    <x v="1"/>
    <n v="20"/>
    <n v="59813.85"/>
    <n v="131746.53"/>
    <x v="0"/>
  </r>
  <r>
    <x v="3"/>
    <x v="0"/>
    <x v="1"/>
    <x v="0"/>
    <x v="2"/>
    <x v="0"/>
    <x v="1"/>
    <n v="4"/>
    <n v="11706.4"/>
    <n v="40859.54"/>
    <x v="0"/>
  </r>
  <r>
    <x v="3"/>
    <x v="0"/>
    <x v="1"/>
    <x v="0"/>
    <x v="2"/>
    <x v="1"/>
    <x v="1"/>
    <n v="5"/>
    <n v="10356.950000000001"/>
    <n v="22771.32"/>
    <x v="0"/>
  </r>
  <r>
    <x v="3"/>
    <x v="0"/>
    <x v="1"/>
    <x v="0"/>
    <x v="3"/>
    <x v="0"/>
    <x v="0"/>
    <n v="3"/>
    <n v="8408.17"/>
    <n v="29684.28"/>
    <x v="0"/>
  </r>
  <r>
    <x v="3"/>
    <x v="0"/>
    <x v="1"/>
    <x v="0"/>
    <x v="3"/>
    <x v="0"/>
    <x v="1"/>
    <n v="2"/>
    <n v="6329.04"/>
    <n v="22350.52"/>
    <x v="0"/>
  </r>
  <r>
    <x v="3"/>
    <x v="0"/>
    <x v="1"/>
    <x v="0"/>
    <x v="3"/>
    <x v="1"/>
    <x v="0"/>
    <n v="4"/>
    <n v="12755.6"/>
    <n v="28876.880000000001"/>
    <x v="0"/>
  </r>
  <r>
    <x v="3"/>
    <x v="0"/>
    <x v="1"/>
    <x v="0"/>
    <x v="3"/>
    <x v="1"/>
    <x v="1"/>
    <n v="11"/>
    <n v="32083.31"/>
    <n v="71966.58"/>
    <x v="0"/>
  </r>
  <r>
    <x v="3"/>
    <x v="0"/>
    <x v="1"/>
    <x v="0"/>
    <x v="4"/>
    <x v="0"/>
    <x v="1"/>
    <n v="1"/>
    <n v="3289.65"/>
    <n v="11175.26"/>
    <x v="0"/>
  </r>
  <r>
    <x v="3"/>
    <x v="0"/>
    <x v="1"/>
    <x v="0"/>
    <x v="4"/>
    <x v="1"/>
    <x v="0"/>
    <n v="1"/>
    <n v="2063.67"/>
    <n v="4693.6099999999997"/>
    <x v="0"/>
  </r>
  <r>
    <x v="3"/>
    <x v="0"/>
    <x v="1"/>
    <x v="0"/>
    <x v="5"/>
    <x v="0"/>
    <x v="1"/>
    <n v="3"/>
    <n v="8367.6200000000008"/>
    <n v="29684.28"/>
    <x v="0"/>
  </r>
  <r>
    <x v="3"/>
    <x v="0"/>
    <x v="1"/>
    <x v="0"/>
    <x v="5"/>
    <x v="1"/>
    <x v="1"/>
    <n v="6"/>
    <n v="14503.74"/>
    <n v="33370.379999999997"/>
    <x v="0"/>
  </r>
  <r>
    <x v="3"/>
    <x v="0"/>
    <x v="1"/>
    <x v="0"/>
    <x v="6"/>
    <x v="0"/>
    <x v="1"/>
    <n v="2"/>
    <n v="6417.42"/>
    <n v="22350.52"/>
    <x v="0"/>
  </r>
  <r>
    <x v="3"/>
    <x v="0"/>
    <x v="1"/>
    <x v="0"/>
    <x v="7"/>
    <x v="1"/>
    <x v="1"/>
    <n v="1"/>
    <n v="3174.86"/>
    <n v="7465.07"/>
    <x v="0"/>
  </r>
  <r>
    <x v="3"/>
    <x v="0"/>
    <x v="1"/>
    <x v="0"/>
    <x v="8"/>
    <x v="0"/>
    <x v="1"/>
    <n v="5"/>
    <n v="14515.96"/>
    <n v="51685.58"/>
    <x v="0"/>
  </r>
  <r>
    <x v="3"/>
    <x v="0"/>
    <x v="1"/>
    <x v="1"/>
    <x v="9"/>
    <x v="1"/>
    <x v="1"/>
    <n v="3"/>
    <n v="8482.4"/>
    <n v="20422.79"/>
    <x v="0"/>
  </r>
  <r>
    <x v="3"/>
    <x v="0"/>
    <x v="1"/>
    <x v="1"/>
    <x v="31"/>
    <x v="1"/>
    <x v="0"/>
    <n v="6"/>
    <n v="17017.96"/>
    <n v="40363.03"/>
    <x v="0"/>
  </r>
  <r>
    <x v="3"/>
    <x v="0"/>
    <x v="1"/>
    <x v="1"/>
    <x v="10"/>
    <x v="0"/>
    <x v="0"/>
    <n v="1"/>
    <n v="2123.1999999999998"/>
    <n v="7333.76"/>
    <x v="0"/>
  </r>
  <r>
    <x v="3"/>
    <x v="0"/>
    <x v="1"/>
    <x v="1"/>
    <x v="10"/>
    <x v="1"/>
    <x v="0"/>
    <n v="4"/>
    <n v="11930.06"/>
    <n v="27866.2"/>
    <x v="0"/>
  </r>
  <r>
    <x v="3"/>
    <x v="0"/>
    <x v="1"/>
    <x v="1"/>
    <x v="10"/>
    <x v="1"/>
    <x v="1"/>
    <n v="16"/>
    <n v="37928.65"/>
    <n v="90029.27"/>
    <x v="0"/>
  </r>
  <r>
    <x v="3"/>
    <x v="0"/>
    <x v="1"/>
    <x v="1"/>
    <x v="11"/>
    <x v="0"/>
    <x v="1"/>
    <n v="4"/>
    <n v="11462.64"/>
    <n v="40859.54"/>
    <x v="0"/>
  </r>
  <r>
    <x v="3"/>
    <x v="0"/>
    <x v="1"/>
    <x v="1"/>
    <x v="11"/>
    <x v="1"/>
    <x v="0"/>
    <n v="3"/>
    <n v="8281.86"/>
    <n v="18928.71"/>
    <x v="0"/>
  </r>
  <r>
    <x v="3"/>
    <x v="0"/>
    <x v="1"/>
    <x v="1"/>
    <x v="11"/>
    <x v="1"/>
    <x v="1"/>
    <n v="14"/>
    <n v="35296.42"/>
    <n v="80947.350000000006"/>
    <x v="0"/>
  </r>
  <r>
    <x v="3"/>
    <x v="0"/>
    <x v="1"/>
    <x v="1"/>
    <x v="12"/>
    <x v="1"/>
    <x v="1"/>
    <n v="1"/>
    <n v="2148.94"/>
    <n v="5016.29"/>
    <x v="0"/>
  </r>
  <r>
    <x v="3"/>
    <x v="0"/>
    <x v="1"/>
    <x v="1"/>
    <x v="13"/>
    <x v="0"/>
    <x v="1"/>
    <n v="1"/>
    <n v="3253.64"/>
    <n v="11175.26"/>
    <x v="0"/>
  </r>
  <r>
    <x v="3"/>
    <x v="0"/>
    <x v="1"/>
    <x v="1"/>
    <x v="13"/>
    <x v="1"/>
    <x v="0"/>
    <n v="1"/>
    <n v="3314.81"/>
    <n v="7610.35"/>
    <x v="0"/>
  </r>
  <r>
    <x v="3"/>
    <x v="0"/>
    <x v="1"/>
    <x v="1"/>
    <x v="13"/>
    <x v="1"/>
    <x v="1"/>
    <n v="6"/>
    <n v="16647.22"/>
    <n v="39988.980000000003"/>
    <x v="0"/>
  </r>
  <r>
    <x v="3"/>
    <x v="0"/>
    <x v="1"/>
    <x v="1"/>
    <x v="14"/>
    <x v="1"/>
    <x v="0"/>
    <n v="1"/>
    <n v="3152.36"/>
    <n v="7465.07"/>
    <x v="0"/>
  </r>
  <r>
    <x v="3"/>
    <x v="0"/>
    <x v="1"/>
    <x v="1"/>
    <x v="14"/>
    <x v="1"/>
    <x v="1"/>
    <n v="7"/>
    <n v="18106.810000000001"/>
    <n v="41291.19"/>
    <x v="0"/>
  </r>
  <r>
    <x v="3"/>
    <x v="0"/>
    <x v="1"/>
    <x v="1"/>
    <x v="16"/>
    <x v="0"/>
    <x v="1"/>
    <n v="2"/>
    <n v="4262.2"/>
    <n v="14667.52"/>
    <x v="0"/>
  </r>
  <r>
    <x v="3"/>
    <x v="0"/>
    <x v="1"/>
    <x v="1"/>
    <x v="16"/>
    <x v="1"/>
    <x v="0"/>
    <n v="2"/>
    <n v="6580.28"/>
    <n v="14706.64"/>
    <x v="0"/>
  </r>
  <r>
    <x v="3"/>
    <x v="0"/>
    <x v="1"/>
    <x v="1"/>
    <x v="16"/>
    <x v="1"/>
    <x v="1"/>
    <n v="13"/>
    <n v="39531.589999999997"/>
    <n v="90078.18"/>
    <x v="0"/>
  </r>
  <r>
    <x v="3"/>
    <x v="0"/>
    <x v="1"/>
    <x v="1"/>
    <x v="17"/>
    <x v="0"/>
    <x v="1"/>
    <n v="1"/>
    <n v="3250.82"/>
    <n v="11175.26"/>
    <x v="0"/>
  </r>
  <r>
    <x v="3"/>
    <x v="0"/>
    <x v="1"/>
    <x v="1"/>
    <x v="17"/>
    <x v="1"/>
    <x v="0"/>
    <n v="13"/>
    <n v="33737.379999999997"/>
    <n v="79769.009999999995"/>
    <x v="0"/>
  </r>
  <r>
    <x v="3"/>
    <x v="0"/>
    <x v="1"/>
    <x v="1"/>
    <x v="18"/>
    <x v="0"/>
    <x v="1"/>
    <n v="9"/>
    <n v="22931.05"/>
    <n v="81020.62"/>
    <x v="0"/>
  </r>
  <r>
    <x v="3"/>
    <x v="0"/>
    <x v="1"/>
    <x v="1"/>
    <x v="18"/>
    <x v="1"/>
    <x v="0"/>
    <n v="2"/>
    <n v="4270.4799999999996"/>
    <n v="9772.02"/>
    <x v="0"/>
  </r>
  <r>
    <x v="3"/>
    <x v="0"/>
    <x v="1"/>
    <x v="1"/>
    <x v="18"/>
    <x v="1"/>
    <x v="1"/>
    <n v="16"/>
    <n v="39927.01"/>
    <n v="97570.48"/>
    <x v="0"/>
  </r>
  <r>
    <x v="3"/>
    <x v="0"/>
    <x v="1"/>
    <x v="1"/>
    <x v="19"/>
    <x v="1"/>
    <x v="0"/>
    <n v="8"/>
    <n v="19458.71"/>
    <n v="46134.28"/>
    <x v="0"/>
  </r>
  <r>
    <x v="3"/>
    <x v="0"/>
    <x v="1"/>
    <x v="1"/>
    <x v="19"/>
    <x v="1"/>
    <x v="1"/>
    <n v="8"/>
    <n v="20968.28"/>
    <n v="49429.58"/>
    <x v="0"/>
  </r>
  <r>
    <x v="3"/>
    <x v="0"/>
    <x v="1"/>
    <x v="1"/>
    <x v="20"/>
    <x v="0"/>
    <x v="1"/>
    <n v="6"/>
    <n v="15799.75"/>
    <n v="55527.06"/>
    <x v="0"/>
  </r>
  <r>
    <x v="3"/>
    <x v="0"/>
    <x v="1"/>
    <x v="1"/>
    <x v="20"/>
    <x v="1"/>
    <x v="0"/>
    <n v="4"/>
    <n v="12934.9"/>
    <n v="29636.79"/>
    <x v="0"/>
  </r>
  <r>
    <x v="3"/>
    <x v="0"/>
    <x v="1"/>
    <x v="1"/>
    <x v="20"/>
    <x v="1"/>
    <x v="1"/>
    <n v="13"/>
    <n v="38021.68"/>
    <n v="88678.83"/>
    <x v="0"/>
  </r>
  <r>
    <x v="3"/>
    <x v="0"/>
    <x v="1"/>
    <x v="2"/>
    <x v="21"/>
    <x v="0"/>
    <x v="0"/>
    <n v="1"/>
    <n v="3096.96"/>
    <n v="11175.26"/>
    <x v="0"/>
  </r>
  <r>
    <x v="3"/>
    <x v="0"/>
    <x v="1"/>
    <x v="2"/>
    <x v="21"/>
    <x v="1"/>
    <x v="1"/>
    <n v="2"/>
    <n v="3966.82"/>
    <n v="8507.17"/>
    <x v="0"/>
  </r>
  <r>
    <x v="3"/>
    <x v="0"/>
    <x v="1"/>
    <x v="2"/>
    <x v="22"/>
    <x v="0"/>
    <x v="1"/>
    <n v="5"/>
    <n v="14841.98"/>
    <n v="52034.8"/>
    <x v="0"/>
  </r>
  <r>
    <x v="3"/>
    <x v="0"/>
    <x v="1"/>
    <x v="2"/>
    <x v="22"/>
    <x v="1"/>
    <x v="0"/>
    <n v="2"/>
    <n v="4049.4"/>
    <n v="8932.52"/>
    <x v="0"/>
  </r>
  <r>
    <x v="3"/>
    <x v="0"/>
    <x v="1"/>
    <x v="2"/>
    <x v="22"/>
    <x v="1"/>
    <x v="1"/>
    <n v="10"/>
    <n v="22841.69"/>
    <n v="48278.16"/>
    <x v="0"/>
  </r>
  <r>
    <x v="3"/>
    <x v="0"/>
    <x v="1"/>
    <x v="2"/>
    <x v="29"/>
    <x v="0"/>
    <x v="1"/>
    <n v="1"/>
    <n v="3102.66"/>
    <n v="11175.26"/>
    <x v="0"/>
  </r>
  <r>
    <x v="3"/>
    <x v="0"/>
    <x v="1"/>
    <x v="2"/>
    <x v="29"/>
    <x v="1"/>
    <x v="1"/>
    <n v="2"/>
    <n v="3968.78"/>
    <n v="9037.99"/>
    <x v="0"/>
  </r>
  <r>
    <x v="3"/>
    <x v="0"/>
    <x v="1"/>
    <x v="2"/>
    <x v="24"/>
    <x v="0"/>
    <x v="1"/>
    <n v="3"/>
    <n v="8382.36"/>
    <n v="29684.28"/>
    <x v="0"/>
  </r>
  <r>
    <x v="3"/>
    <x v="0"/>
    <x v="1"/>
    <x v="2"/>
    <x v="24"/>
    <x v="1"/>
    <x v="1"/>
    <n v="3"/>
    <n v="9626.0400000000009"/>
    <n v="20040.919999999998"/>
    <x v="0"/>
  </r>
  <r>
    <x v="3"/>
    <x v="0"/>
    <x v="1"/>
    <x v="3"/>
    <x v="25"/>
    <x v="0"/>
    <x v="1"/>
    <n v="2"/>
    <n v="6404.24"/>
    <n v="22350.52"/>
    <x v="0"/>
  </r>
  <r>
    <x v="3"/>
    <x v="0"/>
    <x v="1"/>
    <x v="3"/>
    <x v="25"/>
    <x v="1"/>
    <x v="0"/>
    <n v="2"/>
    <n v="4121.74"/>
    <n v="10047.25"/>
    <x v="0"/>
  </r>
  <r>
    <x v="3"/>
    <x v="0"/>
    <x v="1"/>
    <x v="3"/>
    <x v="25"/>
    <x v="1"/>
    <x v="1"/>
    <n v="10"/>
    <n v="21960.16"/>
    <n v="52389.25"/>
    <x v="0"/>
  </r>
  <r>
    <x v="3"/>
    <x v="0"/>
    <x v="1"/>
    <x v="3"/>
    <x v="26"/>
    <x v="0"/>
    <x v="0"/>
    <n v="1"/>
    <n v="2080.5100000000002"/>
    <n v="7333.76"/>
    <x v="0"/>
  </r>
  <r>
    <x v="3"/>
    <x v="0"/>
    <x v="1"/>
    <x v="3"/>
    <x v="26"/>
    <x v="0"/>
    <x v="1"/>
    <n v="1"/>
    <n v="3325.28"/>
    <n v="11175.26"/>
    <x v="0"/>
  </r>
  <r>
    <x v="3"/>
    <x v="0"/>
    <x v="1"/>
    <x v="3"/>
    <x v="26"/>
    <x v="1"/>
    <x v="0"/>
    <n v="1"/>
    <n v="3338.75"/>
    <n v="7710.93"/>
    <x v="0"/>
  </r>
  <r>
    <x v="3"/>
    <x v="0"/>
    <x v="1"/>
    <x v="3"/>
    <x v="26"/>
    <x v="1"/>
    <x v="1"/>
    <n v="26"/>
    <n v="67244.13"/>
    <n v="160724.64000000001"/>
    <x v="0"/>
  </r>
  <r>
    <x v="3"/>
    <x v="0"/>
    <x v="1"/>
    <x v="3"/>
    <x v="27"/>
    <x v="0"/>
    <x v="0"/>
    <n v="2"/>
    <n v="3997.58"/>
    <n v="13969.08"/>
    <x v="0"/>
  </r>
  <r>
    <x v="3"/>
    <x v="0"/>
    <x v="1"/>
    <x v="3"/>
    <x v="27"/>
    <x v="0"/>
    <x v="1"/>
    <n v="4"/>
    <n v="9386.85"/>
    <n v="32827.32"/>
    <x v="0"/>
  </r>
  <r>
    <x v="3"/>
    <x v="0"/>
    <x v="1"/>
    <x v="3"/>
    <x v="27"/>
    <x v="1"/>
    <x v="0"/>
    <n v="6"/>
    <n v="12285.42"/>
    <n v="29789.74"/>
    <x v="0"/>
  </r>
  <r>
    <x v="3"/>
    <x v="0"/>
    <x v="1"/>
    <x v="3"/>
    <x v="27"/>
    <x v="1"/>
    <x v="1"/>
    <n v="16"/>
    <n v="47369.77"/>
    <n v="110647.64"/>
    <x v="0"/>
  </r>
  <r>
    <x v="3"/>
    <x v="0"/>
    <x v="2"/>
    <x v="0"/>
    <x v="0"/>
    <x v="0"/>
    <x v="0"/>
    <n v="1"/>
    <n v="4555.91"/>
    <n v="19003.02"/>
    <x v="0"/>
  </r>
  <r>
    <x v="3"/>
    <x v="0"/>
    <x v="2"/>
    <x v="0"/>
    <x v="0"/>
    <x v="0"/>
    <x v="1"/>
    <n v="1"/>
    <n v="4591.87"/>
    <n v="19953.169999999998"/>
    <x v="0"/>
  </r>
  <r>
    <x v="3"/>
    <x v="0"/>
    <x v="2"/>
    <x v="0"/>
    <x v="0"/>
    <x v="1"/>
    <x v="0"/>
    <n v="6"/>
    <n v="37932.92"/>
    <n v="102255.62"/>
    <x v="0"/>
  </r>
  <r>
    <x v="3"/>
    <x v="0"/>
    <x v="2"/>
    <x v="0"/>
    <x v="0"/>
    <x v="1"/>
    <x v="1"/>
    <n v="7"/>
    <n v="31993.96"/>
    <n v="91345.62"/>
    <x v="0"/>
  </r>
  <r>
    <x v="3"/>
    <x v="0"/>
    <x v="2"/>
    <x v="0"/>
    <x v="1"/>
    <x v="0"/>
    <x v="0"/>
    <n v="2"/>
    <n v="8642.94"/>
    <n v="38006.04"/>
    <x v="0"/>
  </r>
  <r>
    <x v="3"/>
    <x v="0"/>
    <x v="2"/>
    <x v="0"/>
    <x v="1"/>
    <x v="0"/>
    <x v="1"/>
    <n v="2"/>
    <n v="9316.76"/>
    <n v="40856.49"/>
    <x v="0"/>
  </r>
  <r>
    <x v="3"/>
    <x v="0"/>
    <x v="2"/>
    <x v="0"/>
    <x v="1"/>
    <x v="1"/>
    <x v="0"/>
    <n v="14"/>
    <n v="66048.87"/>
    <n v="180229.38"/>
    <x v="0"/>
  </r>
  <r>
    <x v="3"/>
    <x v="0"/>
    <x v="2"/>
    <x v="0"/>
    <x v="1"/>
    <x v="1"/>
    <x v="1"/>
    <n v="22"/>
    <n v="132642.21"/>
    <n v="371455.82"/>
    <x v="0"/>
  </r>
  <r>
    <x v="3"/>
    <x v="0"/>
    <x v="2"/>
    <x v="0"/>
    <x v="2"/>
    <x v="0"/>
    <x v="1"/>
    <n v="7"/>
    <n v="36759.18"/>
    <n v="158675.21"/>
    <x v="0"/>
  </r>
  <r>
    <x v="3"/>
    <x v="0"/>
    <x v="2"/>
    <x v="0"/>
    <x v="2"/>
    <x v="1"/>
    <x v="0"/>
    <n v="3"/>
    <n v="17397.88"/>
    <n v="45019.87"/>
    <x v="0"/>
  </r>
  <r>
    <x v="3"/>
    <x v="0"/>
    <x v="2"/>
    <x v="0"/>
    <x v="2"/>
    <x v="1"/>
    <x v="1"/>
    <n v="3"/>
    <n v="14160.81"/>
    <n v="37007.01"/>
    <x v="0"/>
  </r>
  <r>
    <x v="3"/>
    <x v="0"/>
    <x v="2"/>
    <x v="0"/>
    <x v="3"/>
    <x v="0"/>
    <x v="1"/>
    <n v="4"/>
    <n v="23000.42"/>
    <n v="100716"/>
    <x v="0"/>
  </r>
  <r>
    <x v="3"/>
    <x v="0"/>
    <x v="2"/>
    <x v="0"/>
    <x v="3"/>
    <x v="1"/>
    <x v="0"/>
    <n v="9"/>
    <n v="61829.59"/>
    <n v="171249.5"/>
    <x v="0"/>
  </r>
  <r>
    <x v="3"/>
    <x v="0"/>
    <x v="2"/>
    <x v="0"/>
    <x v="3"/>
    <x v="1"/>
    <x v="1"/>
    <n v="17"/>
    <n v="106185.78"/>
    <n v="294622.8"/>
    <x v="0"/>
  </r>
  <r>
    <x v="3"/>
    <x v="0"/>
    <x v="2"/>
    <x v="0"/>
    <x v="28"/>
    <x v="1"/>
    <x v="1"/>
    <n v="3"/>
    <n v="12911.67"/>
    <n v="37283.93"/>
    <x v="0"/>
  </r>
  <r>
    <x v="3"/>
    <x v="0"/>
    <x v="2"/>
    <x v="0"/>
    <x v="4"/>
    <x v="1"/>
    <x v="0"/>
    <n v="1"/>
    <n v="7072.9"/>
    <n v="19459.09"/>
    <x v="0"/>
  </r>
  <r>
    <x v="3"/>
    <x v="0"/>
    <x v="2"/>
    <x v="0"/>
    <x v="4"/>
    <x v="1"/>
    <x v="1"/>
    <n v="6"/>
    <n v="27522.57"/>
    <n v="76620.179999999993"/>
    <x v="0"/>
  </r>
  <r>
    <x v="3"/>
    <x v="0"/>
    <x v="2"/>
    <x v="0"/>
    <x v="5"/>
    <x v="0"/>
    <x v="1"/>
    <n v="6"/>
    <n v="33396.400000000001"/>
    <n v="141572.49"/>
    <x v="0"/>
  </r>
  <r>
    <x v="3"/>
    <x v="0"/>
    <x v="2"/>
    <x v="0"/>
    <x v="5"/>
    <x v="1"/>
    <x v="1"/>
    <n v="20"/>
    <n v="95991.4"/>
    <n v="267365.81"/>
    <x v="0"/>
  </r>
  <r>
    <x v="3"/>
    <x v="0"/>
    <x v="2"/>
    <x v="0"/>
    <x v="6"/>
    <x v="0"/>
    <x v="1"/>
    <n v="1"/>
    <n v="4494.0600000000004"/>
    <n v="19953.169999999998"/>
    <x v="0"/>
  </r>
  <r>
    <x v="3"/>
    <x v="0"/>
    <x v="2"/>
    <x v="0"/>
    <x v="7"/>
    <x v="1"/>
    <x v="1"/>
    <n v="12"/>
    <n v="66352.399999999994"/>
    <n v="191425.82"/>
    <x v="0"/>
  </r>
  <r>
    <x v="3"/>
    <x v="0"/>
    <x v="2"/>
    <x v="0"/>
    <x v="8"/>
    <x v="0"/>
    <x v="1"/>
    <n v="3"/>
    <n v="16325.73"/>
    <n v="70311.17"/>
    <x v="0"/>
  </r>
  <r>
    <x v="3"/>
    <x v="0"/>
    <x v="2"/>
    <x v="0"/>
    <x v="8"/>
    <x v="1"/>
    <x v="1"/>
    <n v="14"/>
    <n v="65526.36"/>
    <n v="180363.36"/>
    <x v="0"/>
  </r>
  <r>
    <x v="3"/>
    <x v="0"/>
    <x v="2"/>
    <x v="1"/>
    <x v="9"/>
    <x v="1"/>
    <x v="1"/>
    <n v="2"/>
    <n v="8963.1"/>
    <n v="26071.83"/>
    <x v="0"/>
  </r>
  <r>
    <x v="3"/>
    <x v="0"/>
    <x v="2"/>
    <x v="1"/>
    <x v="31"/>
    <x v="1"/>
    <x v="0"/>
    <n v="5"/>
    <n v="23272.799999999999"/>
    <n v="66035.490000000005"/>
    <x v="0"/>
  </r>
  <r>
    <x v="3"/>
    <x v="0"/>
    <x v="2"/>
    <x v="1"/>
    <x v="10"/>
    <x v="0"/>
    <x v="0"/>
    <n v="1"/>
    <n v="6935.3"/>
    <n v="30404.83"/>
    <x v="0"/>
  </r>
  <r>
    <x v="3"/>
    <x v="0"/>
    <x v="2"/>
    <x v="1"/>
    <x v="10"/>
    <x v="0"/>
    <x v="1"/>
    <n v="4"/>
    <n v="23550.240000000002"/>
    <n v="102616.3"/>
    <x v="0"/>
  </r>
  <r>
    <x v="3"/>
    <x v="0"/>
    <x v="2"/>
    <x v="1"/>
    <x v="10"/>
    <x v="1"/>
    <x v="0"/>
    <n v="11"/>
    <n v="52888.800000000003"/>
    <n v="155520.71"/>
    <x v="0"/>
  </r>
  <r>
    <x v="3"/>
    <x v="0"/>
    <x v="2"/>
    <x v="1"/>
    <x v="10"/>
    <x v="1"/>
    <x v="1"/>
    <n v="22"/>
    <n v="116896.48"/>
    <n v="338905.52"/>
    <x v="0"/>
  </r>
  <r>
    <x v="3"/>
    <x v="0"/>
    <x v="2"/>
    <x v="1"/>
    <x v="11"/>
    <x v="0"/>
    <x v="1"/>
    <n v="11"/>
    <n v="52200.37"/>
    <n v="226135.93"/>
    <x v="0"/>
  </r>
  <r>
    <x v="3"/>
    <x v="0"/>
    <x v="2"/>
    <x v="1"/>
    <x v="11"/>
    <x v="1"/>
    <x v="0"/>
    <n v="10"/>
    <n v="59429.2"/>
    <n v="160832.62"/>
    <x v="0"/>
  </r>
  <r>
    <x v="3"/>
    <x v="0"/>
    <x v="2"/>
    <x v="1"/>
    <x v="11"/>
    <x v="1"/>
    <x v="1"/>
    <n v="30"/>
    <n v="147311.46"/>
    <n v="409467.56"/>
    <x v="0"/>
  </r>
  <r>
    <x v="3"/>
    <x v="0"/>
    <x v="2"/>
    <x v="1"/>
    <x v="12"/>
    <x v="1"/>
    <x v="1"/>
    <n v="1"/>
    <n v="7165.89"/>
    <n v="20796.900000000001"/>
    <x v="0"/>
  </r>
  <r>
    <x v="3"/>
    <x v="0"/>
    <x v="2"/>
    <x v="1"/>
    <x v="13"/>
    <x v="0"/>
    <x v="1"/>
    <n v="5"/>
    <n v="33455.86"/>
    <n v="143472.79"/>
    <x v="0"/>
  </r>
  <r>
    <x v="3"/>
    <x v="0"/>
    <x v="2"/>
    <x v="1"/>
    <x v="13"/>
    <x v="1"/>
    <x v="0"/>
    <n v="7"/>
    <n v="40257.949999999997"/>
    <n v="115822.45"/>
    <x v="0"/>
  </r>
  <r>
    <x v="3"/>
    <x v="0"/>
    <x v="2"/>
    <x v="1"/>
    <x v="13"/>
    <x v="1"/>
    <x v="1"/>
    <n v="18"/>
    <n v="88568.34"/>
    <n v="257794.65"/>
    <x v="0"/>
  </r>
  <r>
    <x v="3"/>
    <x v="0"/>
    <x v="2"/>
    <x v="1"/>
    <x v="14"/>
    <x v="0"/>
    <x v="1"/>
    <n v="3"/>
    <n v="14050.89"/>
    <n v="59859.51"/>
    <x v="0"/>
  </r>
  <r>
    <x v="3"/>
    <x v="0"/>
    <x v="2"/>
    <x v="1"/>
    <x v="14"/>
    <x v="1"/>
    <x v="0"/>
    <n v="11"/>
    <n v="57582.54"/>
    <n v="162483.4"/>
    <x v="0"/>
  </r>
  <r>
    <x v="3"/>
    <x v="0"/>
    <x v="2"/>
    <x v="1"/>
    <x v="14"/>
    <x v="1"/>
    <x v="1"/>
    <n v="9"/>
    <n v="45807.49"/>
    <n v="130748.37"/>
    <x v="0"/>
  </r>
  <r>
    <x v="3"/>
    <x v="0"/>
    <x v="2"/>
    <x v="1"/>
    <x v="15"/>
    <x v="1"/>
    <x v="0"/>
    <n v="2"/>
    <n v="8936.06"/>
    <n v="26918.73"/>
    <x v="0"/>
  </r>
  <r>
    <x v="3"/>
    <x v="0"/>
    <x v="2"/>
    <x v="1"/>
    <x v="16"/>
    <x v="1"/>
    <x v="0"/>
    <n v="7"/>
    <n v="34249.64"/>
    <n v="98156.3"/>
    <x v="0"/>
  </r>
  <r>
    <x v="3"/>
    <x v="0"/>
    <x v="2"/>
    <x v="1"/>
    <x v="16"/>
    <x v="1"/>
    <x v="1"/>
    <n v="6"/>
    <n v="29306.32"/>
    <n v="82526.31"/>
    <x v="0"/>
  </r>
  <r>
    <x v="3"/>
    <x v="0"/>
    <x v="2"/>
    <x v="1"/>
    <x v="17"/>
    <x v="0"/>
    <x v="1"/>
    <n v="1"/>
    <n v="7185.63"/>
    <n v="30404.83"/>
    <x v="0"/>
  </r>
  <r>
    <x v="3"/>
    <x v="0"/>
    <x v="2"/>
    <x v="1"/>
    <x v="17"/>
    <x v="1"/>
    <x v="0"/>
    <n v="10"/>
    <n v="48063.73"/>
    <n v="135643.54999999999"/>
    <x v="0"/>
  </r>
  <r>
    <x v="3"/>
    <x v="0"/>
    <x v="2"/>
    <x v="1"/>
    <x v="17"/>
    <x v="1"/>
    <x v="1"/>
    <n v="8"/>
    <n v="42712.84"/>
    <n v="121132.84"/>
    <x v="0"/>
  </r>
  <r>
    <x v="3"/>
    <x v="0"/>
    <x v="2"/>
    <x v="1"/>
    <x v="18"/>
    <x v="0"/>
    <x v="1"/>
    <n v="14"/>
    <n v="76545.06"/>
    <n v="327802.08"/>
    <x v="0"/>
  </r>
  <r>
    <x v="3"/>
    <x v="0"/>
    <x v="2"/>
    <x v="1"/>
    <x v="18"/>
    <x v="1"/>
    <x v="0"/>
    <n v="13"/>
    <n v="65011.76"/>
    <n v="185046.53"/>
    <x v="0"/>
  </r>
  <r>
    <x v="3"/>
    <x v="0"/>
    <x v="2"/>
    <x v="1"/>
    <x v="18"/>
    <x v="1"/>
    <x v="1"/>
    <n v="16"/>
    <n v="88197.74"/>
    <n v="260840.18"/>
    <x v="0"/>
  </r>
  <r>
    <x v="3"/>
    <x v="0"/>
    <x v="2"/>
    <x v="1"/>
    <x v="19"/>
    <x v="0"/>
    <x v="1"/>
    <n v="5"/>
    <n v="32803.5"/>
    <n v="140622.34"/>
    <x v="0"/>
  </r>
  <r>
    <x v="3"/>
    <x v="0"/>
    <x v="2"/>
    <x v="1"/>
    <x v="19"/>
    <x v="1"/>
    <x v="0"/>
    <n v="9"/>
    <n v="55665.46"/>
    <n v="161381.24"/>
    <x v="0"/>
  </r>
  <r>
    <x v="3"/>
    <x v="0"/>
    <x v="2"/>
    <x v="1"/>
    <x v="19"/>
    <x v="1"/>
    <x v="1"/>
    <n v="26"/>
    <n v="146859.79"/>
    <n v="420806.85"/>
    <x v="0"/>
  </r>
  <r>
    <x v="3"/>
    <x v="0"/>
    <x v="2"/>
    <x v="1"/>
    <x v="20"/>
    <x v="0"/>
    <x v="1"/>
    <n v="6"/>
    <n v="32470.799999999999"/>
    <n v="141572.49"/>
    <x v="0"/>
  </r>
  <r>
    <x v="3"/>
    <x v="0"/>
    <x v="2"/>
    <x v="1"/>
    <x v="20"/>
    <x v="1"/>
    <x v="0"/>
    <n v="20"/>
    <n v="101996.19"/>
    <n v="287346.19"/>
    <x v="0"/>
  </r>
  <r>
    <x v="3"/>
    <x v="0"/>
    <x v="2"/>
    <x v="1"/>
    <x v="20"/>
    <x v="1"/>
    <x v="1"/>
    <n v="22"/>
    <n v="107922.91"/>
    <n v="306155.71999999997"/>
    <x v="0"/>
  </r>
  <r>
    <x v="3"/>
    <x v="0"/>
    <x v="2"/>
    <x v="2"/>
    <x v="21"/>
    <x v="0"/>
    <x v="0"/>
    <n v="4"/>
    <n v="22877.66"/>
    <n v="99765.85"/>
    <x v="0"/>
  </r>
  <r>
    <x v="3"/>
    <x v="0"/>
    <x v="2"/>
    <x v="2"/>
    <x v="21"/>
    <x v="1"/>
    <x v="1"/>
    <n v="5"/>
    <n v="22917.1"/>
    <n v="60757.4"/>
    <x v="0"/>
  </r>
  <r>
    <x v="3"/>
    <x v="0"/>
    <x v="2"/>
    <x v="2"/>
    <x v="22"/>
    <x v="0"/>
    <x v="1"/>
    <n v="3"/>
    <n v="16860.71"/>
    <n v="72211.47"/>
    <x v="0"/>
  </r>
  <r>
    <x v="3"/>
    <x v="0"/>
    <x v="2"/>
    <x v="2"/>
    <x v="22"/>
    <x v="1"/>
    <x v="0"/>
    <n v="7"/>
    <n v="37336.46"/>
    <n v="97790.48"/>
    <x v="0"/>
  </r>
  <r>
    <x v="3"/>
    <x v="0"/>
    <x v="2"/>
    <x v="2"/>
    <x v="22"/>
    <x v="1"/>
    <x v="1"/>
    <n v="12"/>
    <n v="62030.01"/>
    <n v="155992.85"/>
    <x v="0"/>
  </r>
  <r>
    <x v="3"/>
    <x v="0"/>
    <x v="2"/>
    <x v="2"/>
    <x v="29"/>
    <x v="0"/>
    <x v="1"/>
    <n v="1"/>
    <n v="4279"/>
    <n v="19003.02"/>
    <x v="0"/>
  </r>
  <r>
    <x v="3"/>
    <x v="0"/>
    <x v="2"/>
    <x v="2"/>
    <x v="29"/>
    <x v="1"/>
    <x v="1"/>
    <n v="11"/>
    <n v="53703.6"/>
    <n v="146719.18"/>
    <x v="0"/>
  </r>
  <r>
    <x v="3"/>
    <x v="0"/>
    <x v="2"/>
    <x v="2"/>
    <x v="23"/>
    <x v="1"/>
    <x v="1"/>
    <n v="10"/>
    <n v="55928.95"/>
    <n v="156622.88"/>
    <x v="0"/>
  </r>
  <r>
    <x v="3"/>
    <x v="0"/>
    <x v="2"/>
    <x v="2"/>
    <x v="24"/>
    <x v="0"/>
    <x v="1"/>
    <n v="2"/>
    <n v="9743.33"/>
    <n v="41806.639999999999"/>
    <x v="0"/>
  </r>
  <r>
    <x v="3"/>
    <x v="0"/>
    <x v="2"/>
    <x v="3"/>
    <x v="25"/>
    <x v="0"/>
    <x v="1"/>
    <n v="2"/>
    <n v="10437.120000000001"/>
    <n v="43706.94"/>
    <x v="0"/>
  </r>
  <r>
    <x v="3"/>
    <x v="0"/>
    <x v="2"/>
    <x v="3"/>
    <x v="25"/>
    <x v="1"/>
    <x v="0"/>
    <n v="6"/>
    <n v="27370.560000000001"/>
    <n v="79795.13"/>
    <x v="0"/>
  </r>
  <r>
    <x v="3"/>
    <x v="0"/>
    <x v="2"/>
    <x v="3"/>
    <x v="25"/>
    <x v="1"/>
    <x v="1"/>
    <n v="7"/>
    <n v="48339.91"/>
    <n v="145791.16"/>
    <x v="0"/>
  </r>
  <r>
    <x v="3"/>
    <x v="0"/>
    <x v="2"/>
    <x v="3"/>
    <x v="26"/>
    <x v="0"/>
    <x v="0"/>
    <n v="4"/>
    <n v="24104.34"/>
    <n v="102616.3"/>
    <x v="0"/>
  </r>
  <r>
    <x v="3"/>
    <x v="0"/>
    <x v="2"/>
    <x v="3"/>
    <x v="26"/>
    <x v="0"/>
    <x v="1"/>
    <n v="1"/>
    <n v="4689.8999999999996"/>
    <n v="19953.169999999998"/>
    <x v="0"/>
  </r>
  <r>
    <x v="3"/>
    <x v="0"/>
    <x v="2"/>
    <x v="3"/>
    <x v="26"/>
    <x v="1"/>
    <x v="0"/>
    <n v="2"/>
    <n v="9443.36"/>
    <n v="27535.37"/>
    <x v="0"/>
  </r>
  <r>
    <x v="3"/>
    <x v="0"/>
    <x v="2"/>
    <x v="3"/>
    <x v="26"/>
    <x v="1"/>
    <x v="1"/>
    <n v="15"/>
    <n v="83632.259999999995"/>
    <n v="247162.76"/>
    <x v="0"/>
  </r>
  <r>
    <x v="3"/>
    <x v="0"/>
    <x v="2"/>
    <x v="3"/>
    <x v="27"/>
    <x v="0"/>
    <x v="0"/>
    <n v="1"/>
    <n v="6868.58"/>
    <n v="30404.83"/>
    <x v="0"/>
  </r>
  <r>
    <x v="3"/>
    <x v="0"/>
    <x v="2"/>
    <x v="3"/>
    <x v="27"/>
    <x v="0"/>
    <x v="1"/>
    <n v="8"/>
    <n v="44635.72"/>
    <n v="188129.88"/>
    <x v="0"/>
  </r>
  <r>
    <x v="3"/>
    <x v="0"/>
    <x v="2"/>
    <x v="3"/>
    <x v="27"/>
    <x v="1"/>
    <x v="0"/>
    <n v="19"/>
    <n v="123006.84"/>
    <n v="358291.47"/>
    <x v="0"/>
  </r>
  <r>
    <x v="3"/>
    <x v="0"/>
    <x v="2"/>
    <x v="3"/>
    <x v="27"/>
    <x v="1"/>
    <x v="1"/>
    <n v="40"/>
    <n v="213803.46"/>
    <n v="610074.35"/>
    <x v="0"/>
  </r>
  <r>
    <x v="3"/>
    <x v="0"/>
    <x v="3"/>
    <x v="0"/>
    <x v="0"/>
    <x v="0"/>
    <x v="0"/>
    <n v="2"/>
    <n v="13208.11"/>
    <n v="58704.61"/>
    <x v="0"/>
  </r>
  <r>
    <x v="3"/>
    <x v="0"/>
    <x v="3"/>
    <x v="0"/>
    <x v="0"/>
    <x v="0"/>
    <x v="1"/>
    <n v="1"/>
    <n v="4974.9799999999996"/>
    <n v="22881.03"/>
    <x v="0"/>
  </r>
  <r>
    <x v="3"/>
    <x v="0"/>
    <x v="3"/>
    <x v="0"/>
    <x v="0"/>
    <x v="1"/>
    <x v="1"/>
    <n v="5"/>
    <n v="31296.28"/>
    <n v="90324.66"/>
    <x v="0"/>
  </r>
  <r>
    <x v="3"/>
    <x v="0"/>
    <x v="3"/>
    <x v="0"/>
    <x v="1"/>
    <x v="0"/>
    <x v="0"/>
    <n v="4"/>
    <n v="22093.14"/>
    <n v="98061.57"/>
    <x v="0"/>
  </r>
  <r>
    <x v="3"/>
    <x v="0"/>
    <x v="3"/>
    <x v="0"/>
    <x v="1"/>
    <x v="0"/>
    <x v="1"/>
    <n v="2"/>
    <n v="12877.29"/>
    <n v="58704.61"/>
    <x v="0"/>
  </r>
  <r>
    <x v="3"/>
    <x v="0"/>
    <x v="3"/>
    <x v="0"/>
    <x v="1"/>
    <x v="1"/>
    <x v="0"/>
    <n v="19"/>
    <n v="110101.75999999999"/>
    <n v="320362.18"/>
    <x v="0"/>
  </r>
  <r>
    <x v="3"/>
    <x v="0"/>
    <x v="3"/>
    <x v="0"/>
    <x v="1"/>
    <x v="1"/>
    <x v="1"/>
    <n v="12"/>
    <n v="70822.52"/>
    <n v="198884.03"/>
    <x v="0"/>
  </r>
  <r>
    <x v="3"/>
    <x v="0"/>
    <x v="3"/>
    <x v="0"/>
    <x v="2"/>
    <x v="0"/>
    <x v="1"/>
    <n v="5"/>
    <n v="27339.57"/>
    <n v="122032.18"/>
    <x v="0"/>
  </r>
  <r>
    <x v="3"/>
    <x v="0"/>
    <x v="3"/>
    <x v="0"/>
    <x v="2"/>
    <x v="1"/>
    <x v="1"/>
    <n v="9"/>
    <n v="48795.82"/>
    <n v="136513.85"/>
    <x v="0"/>
  </r>
  <r>
    <x v="3"/>
    <x v="0"/>
    <x v="3"/>
    <x v="0"/>
    <x v="3"/>
    <x v="0"/>
    <x v="0"/>
    <n v="4"/>
    <n v="23485.48"/>
    <n v="105556.25"/>
    <x v="0"/>
  </r>
  <r>
    <x v="3"/>
    <x v="0"/>
    <x v="3"/>
    <x v="0"/>
    <x v="3"/>
    <x v="0"/>
    <x v="1"/>
    <n v="10"/>
    <n v="59443.72"/>
    <n v="270906.68"/>
    <x v="0"/>
  </r>
  <r>
    <x v="3"/>
    <x v="0"/>
    <x v="3"/>
    <x v="0"/>
    <x v="3"/>
    <x v="1"/>
    <x v="0"/>
    <n v="19"/>
    <n v="115968.16"/>
    <n v="340861.21"/>
    <x v="0"/>
  </r>
  <r>
    <x v="3"/>
    <x v="0"/>
    <x v="3"/>
    <x v="0"/>
    <x v="3"/>
    <x v="1"/>
    <x v="1"/>
    <n v="29"/>
    <n v="167966.51"/>
    <n v="483353.08"/>
    <x v="0"/>
  </r>
  <r>
    <x v="3"/>
    <x v="0"/>
    <x v="3"/>
    <x v="0"/>
    <x v="28"/>
    <x v="1"/>
    <x v="1"/>
    <n v="2"/>
    <n v="9834.8799999999992"/>
    <n v="28503.23"/>
    <x v="0"/>
  </r>
  <r>
    <x v="3"/>
    <x v="0"/>
    <x v="3"/>
    <x v="0"/>
    <x v="4"/>
    <x v="1"/>
    <x v="0"/>
    <n v="11"/>
    <n v="73193.09"/>
    <n v="206759.59"/>
    <x v="0"/>
  </r>
  <r>
    <x v="3"/>
    <x v="0"/>
    <x v="3"/>
    <x v="0"/>
    <x v="4"/>
    <x v="1"/>
    <x v="1"/>
    <n v="2"/>
    <n v="12917.78"/>
    <n v="37570.959999999999"/>
    <x v="0"/>
  </r>
  <r>
    <x v="3"/>
    <x v="0"/>
    <x v="3"/>
    <x v="0"/>
    <x v="5"/>
    <x v="0"/>
    <x v="1"/>
    <n v="5"/>
    <n v="30972.5"/>
    <n v="139200.68"/>
    <x v="0"/>
  </r>
  <r>
    <x v="3"/>
    <x v="0"/>
    <x v="3"/>
    <x v="0"/>
    <x v="5"/>
    <x v="1"/>
    <x v="0"/>
    <n v="6"/>
    <n v="39095.29"/>
    <n v="116059.02"/>
    <x v="0"/>
  </r>
  <r>
    <x v="3"/>
    <x v="0"/>
    <x v="3"/>
    <x v="0"/>
    <x v="5"/>
    <x v="1"/>
    <x v="1"/>
    <n v="21"/>
    <n v="127540.66"/>
    <n v="375219.65"/>
    <x v="0"/>
  </r>
  <r>
    <x v="3"/>
    <x v="0"/>
    <x v="3"/>
    <x v="0"/>
    <x v="6"/>
    <x v="1"/>
    <x v="1"/>
    <n v="3"/>
    <n v="21593.38"/>
    <n v="66313.17"/>
    <x v="0"/>
  </r>
  <r>
    <x v="3"/>
    <x v="0"/>
    <x v="3"/>
    <x v="0"/>
    <x v="7"/>
    <x v="1"/>
    <x v="1"/>
    <n v="2"/>
    <n v="14194.94"/>
    <n v="44948.959999999999"/>
    <x v="0"/>
  </r>
  <r>
    <x v="3"/>
    <x v="0"/>
    <x v="3"/>
    <x v="0"/>
    <x v="8"/>
    <x v="0"/>
    <x v="1"/>
    <n v="5"/>
    <n v="25938.63"/>
    <n v="116584.31"/>
    <x v="0"/>
  </r>
  <r>
    <x v="3"/>
    <x v="0"/>
    <x v="3"/>
    <x v="0"/>
    <x v="8"/>
    <x v="1"/>
    <x v="1"/>
    <n v="1"/>
    <n v="5723.46"/>
    <n v="15294.4"/>
    <x v="0"/>
  </r>
  <r>
    <x v="3"/>
    <x v="0"/>
    <x v="3"/>
    <x v="1"/>
    <x v="9"/>
    <x v="1"/>
    <x v="1"/>
    <n v="1"/>
    <n v="7227.87"/>
    <n v="23147.37"/>
    <x v="0"/>
  </r>
  <r>
    <x v="3"/>
    <x v="0"/>
    <x v="3"/>
    <x v="1"/>
    <x v="31"/>
    <x v="1"/>
    <x v="0"/>
    <n v="2"/>
    <n v="11497.74"/>
    <n v="32829.78"/>
    <x v="0"/>
  </r>
  <r>
    <x v="3"/>
    <x v="0"/>
    <x v="3"/>
    <x v="1"/>
    <x v="10"/>
    <x v="0"/>
    <x v="0"/>
    <n v="3"/>
    <n v="16080.29"/>
    <n v="73001.39"/>
    <x v="0"/>
  </r>
  <r>
    <x v="3"/>
    <x v="0"/>
    <x v="3"/>
    <x v="1"/>
    <x v="10"/>
    <x v="0"/>
    <x v="1"/>
    <n v="3"/>
    <n v="16877.2"/>
    <n v="75180.539999999994"/>
    <x v="0"/>
  </r>
  <r>
    <x v="3"/>
    <x v="0"/>
    <x v="3"/>
    <x v="1"/>
    <x v="10"/>
    <x v="1"/>
    <x v="0"/>
    <n v="27"/>
    <n v="162830.68"/>
    <n v="497258.79"/>
    <x v="0"/>
  </r>
  <r>
    <x v="3"/>
    <x v="0"/>
    <x v="3"/>
    <x v="1"/>
    <x v="10"/>
    <x v="1"/>
    <x v="1"/>
    <n v="12"/>
    <n v="71432.84"/>
    <n v="220989.2"/>
    <x v="0"/>
  </r>
  <r>
    <x v="3"/>
    <x v="0"/>
    <x v="3"/>
    <x v="1"/>
    <x v="11"/>
    <x v="0"/>
    <x v="1"/>
    <n v="14"/>
    <n v="84690.58"/>
    <n v="380688.88"/>
    <x v="0"/>
  </r>
  <r>
    <x v="3"/>
    <x v="0"/>
    <x v="3"/>
    <x v="1"/>
    <x v="11"/>
    <x v="1"/>
    <x v="0"/>
    <n v="3"/>
    <n v="16735.68"/>
    <n v="48867.35"/>
    <x v="0"/>
  </r>
  <r>
    <x v="3"/>
    <x v="0"/>
    <x v="3"/>
    <x v="1"/>
    <x v="11"/>
    <x v="1"/>
    <x v="1"/>
    <n v="52"/>
    <n v="307487.39"/>
    <n v="906896.03"/>
    <x v="0"/>
  </r>
  <r>
    <x v="3"/>
    <x v="0"/>
    <x v="3"/>
    <x v="1"/>
    <x v="12"/>
    <x v="1"/>
    <x v="1"/>
    <n v="2"/>
    <n v="10858.38"/>
    <n v="34282.33"/>
    <x v="0"/>
  </r>
  <r>
    <x v="3"/>
    <x v="0"/>
    <x v="3"/>
    <x v="1"/>
    <x v="13"/>
    <x v="0"/>
    <x v="1"/>
    <n v="3"/>
    <n v="18215.63"/>
    <n v="83764.789999999994"/>
    <x v="0"/>
  </r>
  <r>
    <x v="3"/>
    <x v="0"/>
    <x v="3"/>
    <x v="1"/>
    <x v="13"/>
    <x v="1"/>
    <x v="0"/>
    <n v="6"/>
    <n v="44029.11"/>
    <n v="137471.14000000001"/>
    <x v="0"/>
  </r>
  <r>
    <x v="3"/>
    <x v="0"/>
    <x v="3"/>
    <x v="1"/>
    <x v="13"/>
    <x v="1"/>
    <x v="1"/>
    <n v="5"/>
    <n v="29995.3"/>
    <n v="91175.79"/>
    <x v="0"/>
  </r>
  <r>
    <x v="3"/>
    <x v="0"/>
    <x v="3"/>
    <x v="1"/>
    <x v="14"/>
    <x v="0"/>
    <x v="1"/>
    <n v="3"/>
    <n v="18962.36"/>
    <n v="83764.789999999994"/>
    <x v="0"/>
  </r>
  <r>
    <x v="3"/>
    <x v="0"/>
    <x v="3"/>
    <x v="1"/>
    <x v="14"/>
    <x v="1"/>
    <x v="0"/>
    <n v="16"/>
    <n v="88909.82"/>
    <n v="269761.51"/>
    <x v="0"/>
  </r>
  <r>
    <x v="3"/>
    <x v="0"/>
    <x v="3"/>
    <x v="1"/>
    <x v="14"/>
    <x v="1"/>
    <x v="1"/>
    <n v="10"/>
    <n v="69496.03"/>
    <n v="206990.79"/>
    <x v="0"/>
  </r>
  <r>
    <x v="3"/>
    <x v="0"/>
    <x v="3"/>
    <x v="1"/>
    <x v="15"/>
    <x v="1"/>
    <x v="0"/>
    <n v="3"/>
    <n v="15010.8"/>
    <n v="47432.38"/>
    <x v="0"/>
  </r>
  <r>
    <x v="3"/>
    <x v="0"/>
    <x v="3"/>
    <x v="1"/>
    <x v="15"/>
    <x v="1"/>
    <x v="1"/>
    <n v="5"/>
    <n v="28122.13"/>
    <n v="85231.69"/>
    <x v="0"/>
  </r>
  <r>
    <x v="3"/>
    <x v="0"/>
    <x v="3"/>
    <x v="1"/>
    <x v="16"/>
    <x v="0"/>
    <x v="1"/>
    <n v="3"/>
    <n v="18305.96"/>
    <n v="83764.789999999994"/>
    <x v="0"/>
  </r>
  <r>
    <x v="3"/>
    <x v="0"/>
    <x v="3"/>
    <x v="1"/>
    <x v="16"/>
    <x v="1"/>
    <x v="0"/>
    <n v="2"/>
    <n v="10984"/>
    <n v="32979.199999999997"/>
    <x v="0"/>
  </r>
  <r>
    <x v="3"/>
    <x v="0"/>
    <x v="3"/>
    <x v="1"/>
    <x v="16"/>
    <x v="1"/>
    <x v="1"/>
    <n v="8"/>
    <n v="48384.21"/>
    <n v="141062.85"/>
    <x v="0"/>
  </r>
  <r>
    <x v="3"/>
    <x v="0"/>
    <x v="3"/>
    <x v="1"/>
    <x v="17"/>
    <x v="0"/>
    <x v="1"/>
    <n v="3"/>
    <n v="15453.4"/>
    <n v="68643.100000000006"/>
    <x v="0"/>
  </r>
  <r>
    <x v="3"/>
    <x v="0"/>
    <x v="3"/>
    <x v="1"/>
    <x v="17"/>
    <x v="1"/>
    <x v="0"/>
    <n v="6"/>
    <n v="33692.31"/>
    <n v="99787.24"/>
    <x v="0"/>
  </r>
  <r>
    <x v="3"/>
    <x v="0"/>
    <x v="3"/>
    <x v="1"/>
    <x v="17"/>
    <x v="1"/>
    <x v="1"/>
    <n v="2"/>
    <n v="11096.64"/>
    <n v="32559.37"/>
    <x v="0"/>
  </r>
  <r>
    <x v="3"/>
    <x v="0"/>
    <x v="3"/>
    <x v="1"/>
    <x v="18"/>
    <x v="0"/>
    <x v="1"/>
    <n v="11"/>
    <n v="73600.399999999994"/>
    <n v="332483.01"/>
    <x v="0"/>
  </r>
  <r>
    <x v="3"/>
    <x v="0"/>
    <x v="3"/>
    <x v="1"/>
    <x v="18"/>
    <x v="1"/>
    <x v="1"/>
    <n v="8"/>
    <n v="44814.73"/>
    <n v="139334.62"/>
    <x v="0"/>
  </r>
  <r>
    <x v="3"/>
    <x v="0"/>
    <x v="3"/>
    <x v="1"/>
    <x v="19"/>
    <x v="0"/>
    <x v="1"/>
    <n v="9"/>
    <n v="50390.47"/>
    <n v="227456.09"/>
    <x v="0"/>
  </r>
  <r>
    <x v="3"/>
    <x v="0"/>
    <x v="3"/>
    <x v="1"/>
    <x v="19"/>
    <x v="1"/>
    <x v="0"/>
    <n v="15"/>
    <n v="91237.3"/>
    <n v="280818.58"/>
    <x v="0"/>
  </r>
  <r>
    <x v="3"/>
    <x v="0"/>
    <x v="3"/>
    <x v="1"/>
    <x v="19"/>
    <x v="1"/>
    <x v="1"/>
    <n v="3"/>
    <n v="17071.009999999998"/>
    <n v="52051.23"/>
    <x v="0"/>
  </r>
  <r>
    <x v="3"/>
    <x v="0"/>
    <x v="3"/>
    <x v="1"/>
    <x v="20"/>
    <x v="0"/>
    <x v="0"/>
    <n v="1"/>
    <n v="5667.01"/>
    <n v="25060.18"/>
    <x v="0"/>
  </r>
  <r>
    <x v="3"/>
    <x v="0"/>
    <x v="3"/>
    <x v="1"/>
    <x v="20"/>
    <x v="0"/>
    <x v="1"/>
    <n v="5"/>
    <n v="29113.57"/>
    <n v="134842.38"/>
    <x v="0"/>
  </r>
  <r>
    <x v="3"/>
    <x v="0"/>
    <x v="3"/>
    <x v="1"/>
    <x v="20"/>
    <x v="1"/>
    <x v="0"/>
    <n v="3"/>
    <n v="18715.78"/>
    <n v="55536.06"/>
    <x v="0"/>
  </r>
  <r>
    <x v="3"/>
    <x v="0"/>
    <x v="3"/>
    <x v="1"/>
    <x v="20"/>
    <x v="1"/>
    <x v="1"/>
    <n v="20"/>
    <n v="120549.55"/>
    <n v="361301.69"/>
    <x v="0"/>
  </r>
  <r>
    <x v="3"/>
    <x v="0"/>
    <x v="3"/>
    <x v="2"/>
    <x v="21"/>
    <x v="0"/>
    <x v="0"/>
    <n v="4"/>
    <n v="28106.55"/>
    <n v="125993.47"/>
    <x v="0"/>
  </r>
  <r>
    <x v="3"/>
    <x v="0"/>
    <x v="3"/>
    <x v="2"/>
    <x v="21"/>
    <x v="1"/>
    <x v="1"/>
    <n v="5"/>
    <n v="25302.1"/>
    <n v="69672.740000000005"/>
    <x v="0"/>
  </r>
  <r>
    <x v="3"/>
    <x v="0"/>
    <x v="3"/>
    <x v="2"/>
    <x v="22"/>
    <x v="0"/>
    <x v="1"/>
    <n v="7"/>
    <n v="39704.449999999997"/>
    <n v="181694.02"/>
    <x v="0"/>
  </r>
  <r>
    <x v="3"/>
    <x v="0"/>
    <x v="3"/>
    <x v="2"/>
    <x v="22"/>
    <x v="1"/>
    <x v="1"/>
    <n v="4"/>
    <n v="25543.17"/>
    <n v="70175.12"/>
    <x v="0"/>
  </r>
  <r>
    <x v="3"/>
    <x v="0"/>
    <x v="3"/>
    <x v="2"/>
    <x v="29"/>
    <x v="0"/>
    <x v="1"/>
    <n v="4"/>
    <n v="23140.94"/>
    <n v="103377.1"/>
    <x v="0"/>
  </r>
  <r>
    <x v="3"/>
    <x v="0"/>
    <x v="3"/>
    <x v="2"/>
    <x v="29"/>
    <x v="1"/>
    <x v="1"/>
    <n v="2"/>
    <n v="10978.24"/>
    <n v="31008.57"/>
    <x v="0"/>
  </r>
  <r>
    <x v="3"/>
    <x v="0"/>
    <x v="3"/>
    <x v="2"/>
    <x v="23"/>
    <x v="1"/>
    <x v="1"/>
    <n v="1"/>
    <n v="4767.97"/>
    <n v="13815.79"/>
    <x v="0"/>
  </r>
  <r>
    <x v="3"/>
    <x v="0"/>
    <x v="3"/>
    <x v="2"/>
    <x v="24"/>
    <x v="0"/>
    <x v="1"/>
    <n v="3"/>
    <n v="18129.79"/>
    <n v="80496.070000000007"/>
    <x v="0"/>
  </r>
  <r>
    <x v="3"/>
    <x v="0"/>
    <x v="3"/>
    <x v="3"/>
    <x v="25"/>
    <x v="0"/>
    <x v="1"/>
    <n v="2"/>
    <n v="12717.91"/>
    <n v="56525.46"/>
    <x v="0"/>
  </r>
  <r>
    <x v="3"/>
    <x v="0"/>
    <x v="3"/>
    <x v="3"/>
    <x v="25"/>
    <x v="1"/>
    <x v="0"/>
    <n v="5"/>
    <n v="26961.98"/>
    <n v="84247.74"/>
    <x v="0"/>
  </r>
  <r>
    <x v="3"/>
    <x v="0"/>
    <x v="3"/>
    <x v="3"/>
    <x v="25"/>
    <x v="1"/>
    <x v="1"/>
    <n v="16"/>
    <n v="84450.45"/>
    <n v="259551.11"/>
    <x v="0"/>
  </r>
  <r>
    <x v="3"/>
    <x v="0"/>
    <x v="3"/>
    <x v="3"/>
    <x v="26"/>
    <x v="0"/>
    <x v="0"/>
    <n v="4"/>
    <n v="23366.87"/>
    <n v="102287.53"/>
    <x v="0"/>
  </r>
  <r>
    <x v="3"/>
    <x v="0"/>
    <x v="3"/>
    <x v="3"/>
    <x v="26"/>
    <x v="0"/>
    <x v="1"/>
    <n v="6"/>
    <n v="34201.870000000003"/>
    <n v="152407.89000000001"/>
    <x v="0"/>
  </r>
  <r>
    <x v="3"/>
    <x v="0"/>
    <x v="3"/>
    <x v="3"/>
    <x v="26"/>
    <x v="1"/>
    <x v="0"/>
    <n v="4"/>
    <n v="20358.62"/>
    <n v="63151.64"/>
    <x v="0"/>
  </r>
  <r>
    <x v="3"/>
    <x v="0"/>
    <x v="3"/>
    <x v="3"/>
    <x v="26"/>
    <x v="1"/>
    <x v="1"/>
    <n v="20"/>
    <n v="110094.53"/>
    <n v="341929.91"/>
    <x v="0"/>
  </r>
  <r>
    <x v="3"/>
    <x v="0"/>
    <x v="3"/>
    <x v="3"/>
    <x v="27"/>
    <x v="0"/>
    <x v="0"/>
    <n v="2"/>
    <n v="10864.16"/>
    <n v="47941.21"/>
    <x v="0"/>
  </r>
  <r>
    <x v="3"/>
    <x v="0"/>
    <x v="3"/>
    <x v="3"/>
    <x v="27"/>
    <x v="0"/>
    <x v="1"/>
    <n v="7"/>
    <n v="41593.360000000001"/>
    <n v="187141.89"/>
    <x v="0"/>
  </r>
  <r>
    <x v="3"/>
    <x v="0"/>
    <x v="3"/>
    <x v="3"/>
    <x v="27"/>
    <x v="1"/>
    <x v="0"/>
    <n v="31"/>
    <n v="179138.99"/>
    <n v="550390.65"/>
    <x v="0"/>
  </r>
  <r>
    <x v="3"/>
    <x v="0"/>
    <x v="3"/>
    <x v="3"/>
    <x v="27"/>
    <x v="1"/>
    <x v="1"/>
    <n v="31"/>
    <n v="195146.17"/>
    <n v="591844.98"/>
    <x v="0"/>
  </r>
  <r>
    <x v="3"/>
    <x v="0"/>
    <x v="4"/>
    <x v="0"/>
    <x v="0"/>
    <x v="0"/>
    <x v="0"/>
    <n v="2"/>
    <n v="9899.73"/>
    <n v="43318.720000000001"/>
    <x v="0"/>
  </r>
  <r>
    <x v="3"/>
    <x v="0"/>
    <x v="4"/>
    <x v="0"/>
    <x v="0"/>
    <x v="1"/>
    <x v="0"/>
    <n v="4"/>
    <n v="20241.5"/>
    <n v="60910.46"/>
    <x v="0"/>
  </r>
  <r>
    <x v="3"/>
    <x v="0"/>
    <x v="4"/>
    <x v="0"/>
    <x v="0"/>
    <x v="1"/>
    <x v="1"/>
    <n v="6"/>
    <n v="32610.92"/>
    <n v="99217.21"/>
    <x v="0"/>
  </r>
  <r>
    <x v="3"/>
    <x v="0"/>
    <x v="4"/>
    <x v="0"/>
    <x v="1"/>
    <x v="0"/>
    <x v="0"/>
    <n v="1"/>
    <n v="4715.68"/>
    <n v="21659.360000000001"/>
    <x v="0"/>
  </r>
  <r>
    <x v="3"/>
    <x v="0"/>
    <x v="4"/>
    <x v="0"/>
    <x v="1"/>
    <x v="0"/>
    <x v="1"/>
    <n v="1"/>
    <n v="4666.75"/>
    <n v="21659.360000000001"/>
    <x v="0"/>
  </r>
  <r>
    <x v="3"/>
    <x v="0"/>
    <x v="4"/>
    <x v="0"/>
    <x v="1"/>
    <x v="1"/>
    <x v="0"/>
    <n v="15"/>
    <n v="71557.649999999994"/>
    <n v="211788.48"/>
    <x v="0"/>
  </r>
  <r>
    <x v="3"/>
    <x v="0"/>
    <x v="4"/>
    <x v="0"/>
    <x v="1"/>
    <x v="1"/>
    <x v="1"/>
    <n v="16"/>
    <n v="79502.11"/>
    <n v="231187.7"/>
    <x v="0"/>
  </r>
  <r>
    <x v="3"/>
    <x v="0"/>
    <x v="4"/>
    <x v="0"/>
    <x v="2"/>
    <x v="0"/>
    <x v="1"/>
    <n v="8"/>
    <n v="41236.410000000003"/>
    <n v="188482.82"/>
    <x v="0"/>
  </r>
  <r>
    <x v="3"/>
    <x v="0"/>
    <x v="4"/>
    <x v="0"/>
    <x v="2"/>
    <x v="1"/>
    <x v="1"/>
    <n v="4"/>
    <n v="20003.03"/>
    <n v="57837"/>
    <x v="0"/>
  </r>
  <r>
    <x v="3"/>
    <x v="0"/>
    <x v="4"/>
    <x v="0"/>
    <x v="3"/>
    <x v="0"/>
    <x v="0"/>
    <n v="1"/>
    <n v="4769.47"/>
    <n v="21659.360000000001"/>
    <x v="0"/>
  </r>
  <r>
    <x v="3"/>
    <x v="0"/>
    <x v="4"/>
    <x v="0"/>
    <x v="3"/>
    <x v="0"/>
    <x v="1"/>
    <n v="7"/>
    <n v="33574.559999999998"/>
    <n v="153781.46"/>
    <x v="0"/>
  </r>
  <r>
    <x v="3"/>
    <x v="0"/>
    <x v="4"/>
    <x v="0"/>
    <x v="3"/>
    <x v="1"/>
    <x v="0"/>
    <n v="5"/>
    <n v="23544.25"/>
    <n v="69959.73"/>
    <x v="0"/>
  </r>
  <r>
    <x v="3"/>
    <x v="0"/>
    <x v="4"/>
    <x v="0"/>
    <x v="3"/>
    <x v="1"/>
    <x v="1"/>
    <n v="26"/>
    <n v="126963.06"/>
    <n v="367981.36"/>
    <x v="0"/>
  </r>
  <r>
    <x v="3"/>
    <x v="0"/>
    <x v="4"/>
    <x v="0"/>
    <x v="28"/>
    <x v="1"/>
    <x v="1"/>
    <n v="3"/>
    <n v="16415.55"/>
    <n v="48870.03"/>
    <x v="0"/>
  </r>
  <r>
    <x v="3"/>
    <x v="0"/>
    <x v="4"/>
    <x v="0"/>
    <x v="4"/>
    <x v="0"/>
    <x v="1"/>
    <n v="1"/>
    <n v="6802.89"/>
    <n v="32535.42"/>
    <x v="0"/>
  </r>
  <r>
    <x v="3"/>
    <x v="0"/>
    <x v="4"/>
    <x v="0"/>
    <x v="4"/>
    <x v="1"/>
    <x v="0"/>
    <n v="2"/>
    <n v="9306.7800000000007"/>
    <n v="27723.98"/>
    <x v="0"/>
  </r>
  <r>
    <x v="3"/>
    <x v="0"/>
    <x v="4"/>
    <x v="0"/>
    <x v="4"/>
    <x v="1"/>
    <x v="1"/>
    <n v="3"/>
    <n v="14076.99"/>
    <n v="41585.97"/>
    <x v="0"/>
  </r>
  <r>
    <x v="3"/>
    <x v="0"/>
    <x v="4"/>
    <x v="0"/>
    <x v="5"/>
    <x v="0"/>
    <x v="1"/>
    <n v="2"/>
    <n v="9428.94"/>
    <n v="43318.720000000001"/>
    <x v="0"/>
  </r>
  <r>
    <x v="3"/>
    <x v="0"/>
    <x v="4"/>
    <x v="0"/>
    <x v="5"/>
    <x v="1"/>
    <x v="0"/>
    <n v="5"/>
    <n v="24348.05"/>
    <n v="71367.59"/>
    <x v="0"/>
  </r>
  <r>
    <x v="3"/>
    <x v="0"/>
    <x v="4"/>
    <x v="0"/>
    <x v="5"/>
    <x v="1"/>
    <x v="1"/>
    <n v="7"/>
    <n v="33564.089999999997"/>
    <n v="99397.06"/>
    <x v="0"/>
  </r>
  <r>
    <x v="3"/>
    <x v="0"/>
    <x v="4"/>
    <x v="0"/>
    <x v="6"/>
    <x v="0"/>
    <x v="1"/>
    <n v="2"/>
    <n v="13803.3"/>
    <n v="65070.84"/>
    <x v="0"/>
  </r>
  <r>
    <x v="3"/>
    <x v="0"/>
    <x v="4"/>
    <x v="0"/>
    <x v="6"/>
    <x v="1"/>
    <x v="1"/>
    <n v="2"/>
    <n v="10075.32"/>
    <n v="30594.93"/>
    <x v="0"/>
  </r>
  <r>
    <x v="3"/>
    <x v="0"/>
    <x v="4"/>
    <x v="0"/>
    <x v="7"/>
    <x v="1"/>
    <x v="1"/>
    <n v="8"/>
    <n v="46021.18"/>
    <n v="141883.78"/>
    <x v="0"/>
  </r>
  <r>
    <x v="3"/>
    <x v="0"/>
    <x v="4"/>
    <x v="0"/>
    <x v="8"/>
    <x v="1"/>
    <x v="1"/>
    <n v="4"/>
    <n v="19985.5"/>
    <n v="60706.87"/>
    <x v="0"/>
  </r>
  <r>
    <x v="3"/>
    <x v="0"/>
    <x v="4"/>
    <x v="1"/>
    <x v="31"/>
    <x v="1"/>
    <x v="0"/>
    <n v="5"/>
    <n v="25527.99"/>
    <n v="79206.19"/>
    <x v="0"/>
  </r>
  <r>
    <x v="3"/>
    <x v="0"/>
    <x v="4"/>
    <x v="1"/>
    <x v="10"/>
    <x v="0"/>
    <x v="0"/>
    <n v="2"/>
    <n v="10067.76"/>
    <n v="46567.63"/>
    <x v="0"/>
  </r>
  <r>
    <x v="3"/>
    <x v="0"/>
    <x v="4"/>
    <x v="1"/>
    <x v="10"/>
    <x v="0"/>
    <x v="1"/>
    <n v="5"/>
    <n v="30195.35"/>
    <n v="140924.98000000001"/>
    <x v="0"/>
  </r>
  <r>
    <x v="3"/>
    <x v="0"/>
    <x v="4"/>
    <x v="1"/>
    <x v="10"/>
    <x v="1"/>
    <x v="0"/>
    <n v="12"/>
    <n v="62533.41"/>
    <n v="193287.01"/>
    <x v="0"/>
  </r>
  <r>
    <x v="3"/>
    <x v="0"/>
    <x v="4"/>
    <x v="1"/>
    <x v="10"/>
    <x v="1"/>
    <x v="1"/>
    <n v="26"/>
    <n v="132148.60999999999"/>
    <n v="419610.74"/>
    <x v="0"/>
  </r>
  <r>
    <x v="3"/>
    <x v="0"/>
    <x v="4"/>
    <x v="1"/>
    <x v="11"/>
    <x v="0"/>
    <x v="1"/>
    <n v="7"/>
    <n v="36834.879999999997"/>
    <n v="170072.37"/>
    <x v="0"/>
  </r>
  <r>
    <x v="3"/>
    <x v="0"/>
    <x v="4"/>
    <x v="1"/>
    <x v="11"/>
    <x v="1"/>
    <x v="0"/>
    <n v="19"/>
    <n v="118149.94"/>
    <n v="356471.21"/>
    <x v="0"/>
  </r>
  <r>
    <x v="3"/>
    <x v="0"/>
    <x v="4"/>
    <x v="1"/>
    <x v="11"/>
    <x v="1"/>
    <x v="1"/>
    <n v="37"/>
    <n v="190856.07"/>
    <n v="569599.32999999996"/>
    <x v="0"/>
  </r>
  <r>
    <x v="3"/>
    <x v="0"/>
    <x v="4"/>
    <x v="1"/>
    <x v="12"/>
    <x v="1"/>
    <x v="0"/>
    <n v="5"/>
    <n v="34214.199999999997"/>
    <n v="111271.14"/>
    <x v="0"/>
  </r>
  <r>
    <x v="3"/>
    <x v="0"/>
    <x v="4"/>
    <x v="1"/>
    <x v="12"/>
    <x v="1"/>
    <x v="1"/>
    <n v="1"/>
    <n v="4977.68"/>
    <n v="14815"/>
    <x v="0"/>
  </r>
  <r>
    <x v="3"/>
    <x v="0"/>
    <x v="4"/>
    <x v="1"/>
    <x v="13"/>
    <x v="0"/>
    <x v="1"/>
    <n v="5"/>
    <n v="24468.82"/>
    <n v="113711.65"/>
    <x v="0"/>
  </r>
  <r>
    <x v="3"/>
    <x v="0"/>
    <x v="4"/>
    <x v="1"/>
    <x v="13"/>
    <x v="1"/>
    <x v="0"/>
    <n v="10"/>
    <n v="48675.87"/>
    <n v="149712.75"/>
    <x v="0"/>
  </r>
  <r>
    <x v="3"/>
    <x v="0"/>
    <x v="4"/>
    <x v="1"/>
    <x v="13"/>
    <x v="1"/>
    <x v="1"/>
    <n v="10"/>
    <n v="51981.73"/>
    <n v="166000.94"/>
    <x v="0"/>
  </r>
  <r>
    <x v="3"/>
    <x v="0"/>
    <x v="4"/>
    <x v="1"/>
    <x v="14"/>
    <x v="0"/>
    <x v="1"/>
    <n v="1"/>
    <n v="4718.04"/>
    <n v="21659.360000000001"/>
    <x v="0"/>
  </r>
  <r>
    <x v="3"/>
    <x v="0"/>
    <x v="4"/>
    <x v="1"/>
    <x v="14"/>
    <x v="1"/>
    <x v="0"/>
    <n v="9"/>
    <n v="46109.91"/>
    <n v="143237.70000000001"/>
    <x v="0"/>
  </r>
  <r>
    <x v="3"/>
    <x v="0"/>
    <x v="4"/>
    <x v="1"/>
    <x v="14"/>
    <x v="1"/>
    <x v="1"/>
    <n v="18"/>
    <n v="86302.06"/>
    <n v="260209.89"/>
    <x v="0"/>
  </r>
  <r>
    <x v="3"/>
    <x v="0"/>
    <x v="4"/>
    <x v="1"/>
    <x v="15"/>
    <x v="1"/>
    <x v="0"/>
    <n v="10"/>
    <n v="48723.9"/>
    <n v="143987.32"/>
    <x v="0"/>
  </r>
  <r>
    <x v="3"/>
    <x v="0"/>
    <x v="4"/>
    <x v="1"/>
    <x v="16"/>
    <x v="1"/>
    <x v="0"/>
    <n v="7"/>
    <n v="37504.74"/>
    <n v="112931.52"/>
    <x v="0"/>
  </r>
  <r>
    <x v="3"/>
    <x v="0"/>
    <x v="4"/>
    <x v="1"/>
    <x v="16"/>
    <x v="1"/>
    <x v="1"/>
    <n v="12"/>
    <n v="61495.96"/>
    <n v="186760.4"/>
    <x v="0"/>
  </r>
  <r>
    <x v="3"/>
    <x v="0"/>
    <x v="4"/>
    <x v="1"/>
    <x v="17"/>
    <x v="0"/>
    <x v="1"/>
    <n v="4"/>
    <n v="20630.12"/>
    <n v="93135.26"/>
    <x v="0"/>
  </r>
  <r>
    <x v="3"/>
    <x v="0"/>
    <x v="4"/>
    <x v="1"/>
    <x v="17"/>
    <x v="1"/>
    <x v="0"/>
    <n v="6"/>
    <n v="29930.87"/>
    <n v="89167.27"/>
    <x v="0"/>
  </r>
  <r>
    <x v="3"/>
    <x v="0"/>
    <x v="4"/>
    <x v="1"/>
    <x v="17"/>
    <x v="1"/>
    <x v="1"/>
    <n v="3"/>
    <n v="14212.22"/>
    <n v="43145.45"/>
    <x v="0"/>
  </r>
  <r>
    <x v="3"/>
    <x v="0"/>
    <x v="4"/>
    <x v="1"/>
    <x v="18"/>
    <x v="0"/>
    <x v="1"/>
    <n v="2"/>
    <n v="9768.58"/>
    <n v="43318.720000000001"/>
    <x v="0"/>
  </r>
  <r>
    <x v="3"/>
    <x v="0"/>
    <x v="4"/>
    <x v="1"/>
    <x v="18"/>
    <x v="1"/>
    <x v="0"/>
    <n v="10"/>
    <n v="49081.07"/>
    <n v="150532.56"/>
    <x v="0"/>
  </r>
  <r>
    <x v="3"/>
    <x v="0"/>
    <x v="4"/>
    <x v="1"/>
    <x v="18"/>
    <x v="1"/>
    <x v="1"/>
    <n v="20"/>
    <n v="108322.47"/>
    <n v="344031.42"/>
    <x v="0"/>
  </r>
  <r>
    <x v="3"/>
    <x v="0"/>
    <x v="4"/>
    <x v="1"/>
    <x v="19"/>
    <x v="0"/>
    <x v="1"/>
    <n v="1"/>
    <n v="4765.12"/>
    <n v="22742.33"/>
    <x v="0"/>
  </r>
  <r>
    <x v="3"/>
    <x v="0"/>
    <x v="4"/>
    <x v="1"/>
    <x v="19"/>
    <x v="1"/>
    <x v="0"/>
    <n v="18"/>
    <n v="89512.93"/>
    <n v="273021.51"/>
    <x v="0"/>
  </r>
  <r>
    <x v="3"/>
    <x v="0"/>
    <x v="4"/>
    <x v="1"/>
    <x v="19"/>
    <x v="1"/>
    <x v="1"/>
    <n v="13"/>
    <n v="62146.2"/>
    <n v="194158.84"/>
    <x v="0"/>
  </r>
  <r>
    <x v="3"/>
    <x v="0"/>
    <x v="4"/>
    <x v="1"/>
    <x v="20"/>
    <x v="0"/>
    <x v="0"/>
    <n v="1"/>
    <n v="4853.18"/>
    <n v="22742.33"/>
    <x v="0"/>
  </r>
  <r>
    <x v="3"/>
    <x v="0"/>
    <x v="4"/>
    <x v="1"/>
    <x v="20"/>
    <x v="0"/>
    <x v="1"/>
    <n v="11"/>
    <n v="54395.09"/>
    <n v="247999.69"/>
    <x v="0"/>
  </r>
  <r>
    <x v="3"/>
    <x v="0"/>
    <x v="4"/>
    <x v="1"/>
    <x v="20"/>
    <x v="1"/>
    <x v="0"/>
    <n v="8"/>
    <n v="39499.019999999997"/>
    <n v="120625.33"/>
    <x v="0"/>
  </r>
  <r>
    <x v="3"/>
    <x v="0"/>
    <x v="4"/>
    <x v="1"/>
    <x v="20"/>
    <x v="1"/>
    <x v="1"/>
    <n v="41"/>
    <n v="200208.04"/>
    <n v="596851.61"/>
    <x v="0"/>
  </r>
  <r>
    <x v="3"/>
    <x v="0"/>
    <x v="4"/>
    <x v="2"/>
    <x v="21"/>
    <x v="0"/>
    <x v="0"/>
    <n v="1"/>
    <n v="5538.41"/>
    <n v="24908.27"/>
    <x v="0"/>
  </r>
  <r>
    <x v="3"/>
    <x v="0"/>
    <x v="4"/>
    <x v="2"/>
    <x v="22"/>
    <x v="0"/>
    <x v="1"/>
    <n v="2"/>
    <n v="11931.62"/>
    <n v="54194.78"/>
    <x v="0"/>
  </r>
  <r>
    <x v="3"/>
    <x v="0"/>
    <x v="4"/>
    <x v="2"/>
    <x v="22"/>
    <x v="1"/>
    <x v="0"/>
    <n v="5"/>
    <n v="24214.47"/>
    <n v="65952.75"/>
    <x v="0"/>
  </r>
  <r>
    <x v="3"/>
    <x v="0"/>
    <x v="4"/>
    <x v="2"/>
    <x v="22"/>
    <x v="1"/>
    <x v="1"/>
    <n v="9"/>
    <n v="47366.39"/>
    <n v="131961.99"/>
    <x v="0"/>
  </r>
  <r>
    <x v="3"/>
    <x v="0"/>
    <x v="4"/>
    <x v="2"/>
    <x v="29"/>
    <x v="1"/>
    <x v="1"/>
    <n v="5"/>
    <n v="23169.5"/>
    <n v="70068.03"/>
    <x v="0"/>
  </r>
  <r>
    <x v="3"/>
    <x v="0"/>
    <x v="4"/>
    <x v="3"/>
    <x v="25"/>
    <x v="0"/>
    <x v="1"/>
    <n v="1"/>
    <n v="5391.76"/>
    <n v="24908.27"/>
    <x v="0"/>
  </r>
  <r>
    <x v="3"/>
    <x v="0"/>
    <x v="4"/>
    <x v="3"/>
    <x v="25"/>
    <x v="1"/>
    <x v="0"/>
    <n v="3"/>
    <n v="15668.37"/>
    <n v="48133.08"/>
    <x v="0"/>
  </r>
  <r>
    <x v="3"/>
    <x v="0"/>
    <x v="4"/>
    <x v="3"/>
    <x v="25"/>
    <x v="1"/>
    <x v="1"/>
    <n v="9"/>
    <n v="43739.75"/>
    <n v="137980.94"/>
    <x v="0"/>
  </r>
  <r>
    <x v="3"/>
    <x v="0"/>
    <x v="4"/>
    <x v="3"/>
    <x v="26"/>
    <x v="0"/>
    <x v="0"/>
    <n v="2"/>
    <n v="9513.6"/>
    <n v="43318.720000000001"/>
    <x v="0"/>
  </r>
  <r>
    <x v="3"/>
    <x v="0"/>
    <x v="4"/>
    <x v="3"/>
    <x v="26"/>
    <x v="0"/>
    <x v="1"/>
    <n v="1"/>
    <n v="4746.3900000000003"/>
    <n v="21659.360000000001"/>
    <x v="0"/>
  </r>
  <r>
    <x v="3"/>
    <x v="0"/>
    <x v="4"/>
    <x v="3"/>
    <x v="26"/>
    <x v="1"/>
    <x v="0"/>
    <n v="2"/>
    <n v="9916.42"/>
    <n v="29889.919999999998"/>
    <x v="0"/>
  </r>
  <r>
    <x v="3"/>
    <x v="0"/>
    <x v="4"/>
    <x v="3"/>
    <x v="26"/>
    <x v="1"/>
    <x v="1"/>
    <n v="5"/>
    <n v="26887.7"/>
    <n v="86712.77"/>
    <x v="0"/>
  </r>
  <r>
    <x v="3"/>
    <x v="0"/>
    <x v="4"/>
    <x v="3"/>
    <x v="27"/>
    <x v="0"/>
    <x v="0"/>
    <n v="1"/>
    <n v="5243.4"/>
    <n v="24908.27"/>
    <x v="0"/>
  </r>
  <r>
    <x v="3"/>
    <x v="0"/>
    <x v="4"/>
    <x v="3"/>
    <x v="27"/>
    <x v="0"/>
    <x v="1"/>
    <n v="3"/>
    <n v="16550.36"/>
    <n v="75854.14"/>
    <x v="0"/>
  </r>
  <r>
    <x v="3"/>
    <x v="0"/>
    <x v="4"/>
    <x v="3"/>
    <x v="27"/>
    <x v="1"/>
    <x v="0"/>
    <n v="10"/>
    <n v="52139.69"/>
    <n v="161297.28"/>
    <x v="0"/>
  </r>
  <r>
    <x v="3"/>
    <x v="0"/>
    <x v="4"/>
    <x v="3"/>
    <x v="27"/>
    <x v="1"/>
    <x v="1"/>
    <n v="27"/>
    <n v="140948.85999999999"/>
    <n v="440760.39"/>
    <x v="0"/>
  </r>
  <r>
    <x v="3"/>
    <x v="0"/>
    <x v="5"/>
    <x v="0"/>
    <x v="0"/>
    <x v="0"/>
    <x v="0"/>
    <n v="1"/>
    <n v="4177.47"/>
    <n v="17303.37"/>
    <x v="0"/>
  </r>
  <r>
    <x v="3"/>
    <x v="0"/>
    <x v="5"/>
    <x v="0"/>
    <x v="0"/>
    <x v="1"/>
    <x v="0"/>
    <n v="8"/>
    <n v="36037.83"/>
    <n v="95919.99"/>
    <x v="0"/>
  </r>
  <r>
    <x v="3"/>
    <x v="0"/>
    <x v="5"/>
    <x v="0"/>
    <x v="0"/>
    <x v="1"/>
    <x v="1"/>
    <n v="7"/>
    <n v="32122.07"/>
    <n v="86220.22"/>
    <x v="0"/>
  </r>
  <r>
    <x v="3"/>
    <x v="0"/>
    <x v="5"/>
    <x v="0"/>
    <x v="1"/>
    <x v="0"/>
    <x v="0"/>
    <n v="1"/>
    <n v="4555.76"/>
    <n v="18951.310000000001"/>
    <x v="0"/>
  </r>
  <r>
    <x v="3"/>
    <x v="0"/>
    <x v="5"/>
    <x v="0"/>
    <x v="1"/>
    <x v="0"/>
    <x v="1"/>
    <n v="2"/>
    <n v="8818.8799999999992"/>
    <n v="36254.68"/>
    <x v="0"/>
  </r>
  <r>
    <x v="3"/>
    <x v="0"/>
    <x v="5"/>
    <x v="0"/>
    <x v="1"/>
    <x v="1"/>
    <x v="0"/>
    <n v="15"/>
    <n v="87313.11"/>
    <n v="223493.15"/>
    <x v="0"/>
  </r>
  <r>
    <x v="3"/>
    <x v="0"/>
    <x v="5"/>
    <x v="0"/>
    <x v="1"/>
    <x v="1"/>
    <x v="1"/>
    <n v="6"/>
    <n v="27997.18"/>
    <n v="70994.899999999994"/>
    <x v="0"/>
  </r>
  <r>
    <x v="3"/>
    <x v="0"/>
    <x v="5"/>
    <x v="0"/>
    <x v="2"/>
    <x v="0"/>
    <x v="1"/>
    <n v="2"/>
    <n v="13090.63"/>
    <n v="52734.080000000002"/>
    <x v="0"/>
  </r>
  <r>
    <x v="3"/>
    <x v="0"/>
    <x v="5"/>
    <x v="0"/>
    <x v="2"/>
    <x v="1"/>
    <x v="1"/>
    <n v="6"/>
    <n v="38679.97"/>
    <n v="98243.59"/>
    <x v="0"/>
  </r>
  <r>
    <x v="3"/>
    <x v="0"/>
    <x v="5"/>
    <x v="0"/>
    <x v="3"/>
    <x v="0"/>
    <x v="1"/>
    <n v="3"/>
    <n v="17796.71"/>
    <n v="71685.39"/>
    <x v="0"/>
  </r>
  <r>
    <x v="3"/>
    <x v="0"/>
    <x v="5"/>
    <x v="0"/>
    <x v="3"/>
    <x v="1"/>
    <x v="0"/>
    <n v="7"/>
    <n v="46667.16"/>
    <n v="119231.76"/>
    <x v="0"/>
  </r>
  <r>
    <x v="3"/>
    <x v="0"/>
    <x v="5"/>
    <x v="0"/>
    <x v="3"/>
    <x v="1"/>
    <x v="1"/>
    <n v="8"/>
    <n v="47586.39"/>
    <n v="125619.19"/>
    <x v="0"/>
  </r>
  <r>
    <x v="3"/>
    <x v="0"/>
    <x v="5"/>
    <x v="0"/>
    <x v="28"/>
    <x v="1"/>
    <x v="1"/>
    <n v="4"/>
    <n v="24495.55"/>
    <n v="61954.16"/>
    <x v="0"/>
  </r>
  <r>
    <x v="3"/>
    <x v="0"/>
    <x v="5"/>
    <x v="0"/>
    <x v="4"/>
    <x v="1"/>
    <x v="0"/>
    <n v="12"/>
    <n v="59339.54"/>
    <n v="155565.53"/>
    <x v="0"/>
  </r>
  <r>
    <x v="3"/>
    <x v="0"/>
    <x v="5"/>
    <x v="0"/>
    <x v="4"/>
    <x v="1"/>
    <x v="1"/>
    <n v="2"/>
    <n v="10601.07"/>
    <n v="27949.07"/>
    <x v="0"/>
  </r>
  <r>
    <x v="3"/>
    <x v="0"/>
    <x v="5"/>
    <x v="0"/>
    <x v="5"/>
    <x v="0"/>
    <x v="1"/>
    <n v="2"/>
    <n v="11307.04"/>
    <n v="45318.35"/>
    <x v="0"/>
  </r>
  <r>
    <x v="3"/>
    <x v="0"/>
    <x v="5"/>
    <x v="0"/>
    <x v="5"/>
    <x v="1"/>
    <x v="0"/>
    <n v="2"/>
    <n v="9126.06"/>
    <n v="24977.83"/>
    <x v="0"/>
  </r>
  <r>
    <x v="3"/>
    <x v="0"/>
    <x v="5"/>
    <x v="0"/>
    <x v="5"/>
    <x v="1"/>
    <x v="1"/>
    <n v="7"/>
    <n v="46111.25"/>
    <n v="121631.16"/>
    <x v="0"/>
  </r>
  <r>
    <x v="3"/>
    <x v="0"/>
    <x v="5"/>
    <x v="0"/>
    <x v="6"/>
    <x v="0"/>
    <x v="1"/>
    <n v="3"/>
    <n v="17511.71"/>
    <n v="70037.45"/>
    <x v="0"/>
  </r>
  <r>
    <x v="3"/>
    <x v="0"/>
    <x v="5"/>
    <x v="0"/>
    <x v="7"/>
    <x v="1"/>
    <x v="1"/>
    <n v="1"/>
    <n v="6320.36"/>
    <n v="17613.18"/>
    <x v="0"/>
  </r>
  <r>
    <x v="3"/>
    <x v="0"/>
    <x v="5"/>
    <x v="0"/>
    <x v="8"/>
    <x v="0"/>
    <x v="1"/>
    <n v="3"/>
    <n v="15158.13"/>
    <n v="62621.72"/>
    <x v="0"/>
  </r>
  <r>
    <x v="3"/>
    <x v="0"/>
    <x v="5"/>
    <x v="0"/>
    <x v="8"/>
    <x v="1"/>
    <x v="1"/>
    <n v="3"/>
    <n v="16744.490000000002"/>
    <n v="44613.86"/>
    <x v="0"/>
  </r>
  <r>
    <x v="3"/>
    <x v="0"/>
    <x v="5"/>
    <x v="1"/>
    <x v="30"/>
    <x v="1"/>
    <x v="0"/>
    <n v="2"/>
    <n v="12526.22"/>
    <n v="34715.39"/>
    <x v="0"/>
  </r>
  <r>
    <x v="3"/>
    <x v="0"/>
    <x v="5"/>
    <x v="1"/>
    <x v="9"/>
    <x v="1"/>
    <x v="1"/>
    <n v="2"/>
    <n v="9043.0400000000009"/>
    <n v="24943.22"/>
    <x v="0"/>
  </r>
  <r>
    <x v="3"/>
    <x v="0"/>
    <x v="5"/>
    <x v="1"/>
    <x v="31"/>
    <x v="1"/>
    <x v="0"/>
    <n v="7"/>
    <n v="34462.76"/>
    <n v="96779.4"/>
    <x v="0"/>
  </r>
  <r>
    <x v="3"/>
    <x v="0"/>
    <x v="5"/>
    <x v="1"/>
    <x v="10"/>
    <x v="0"/>
    <x v="1"/>
    <n v="2"/>
    <n v="12905.99"/>
    <n v="52734.080000000002"/>
    <x v="0"/>
  </r>
  <r>
    <x v="3"/>
    <x v="0"/>
    <x v="5"/>
    <x v="1"/>
    <x v="10"/>
    <x v="1"/>
    <x v="0"/>
    <n v="8"/>
    <n v="45963.96"/>
    <n v="128685.99"/>
    <x v="0"/>
  </r>
  <r>
    <x v="3"/>
    <x v="0"/>
    <x v="5"/>
    <x v="1"/>
    <x v="10"/>
    <x v="1"/>
    <x v="1"/>
    <n v="13"/>
    <n v="78076.81"/>
    <n v="218597.58"/>
    <x v="0"/>
  </r>
  <r>
    <x v="3"/>
    <x v="0"/>
    <x v="5"/>
    <x v="1"/>
    <x v="11"/>
    <x v="0"/>
    <x v="1"/>
    <n v="5"/>
    <n v="24315.9"/>
    <n v="98876.4"/>
    <x v="0"/>
  </r>
  <r>
    <x v="3"/>
    <x v="0"/>
    <x v="5"/>
    <x v="1"/>
    <x v="11"/>
    <x v="1"/>
    <x v="0"/>
    <n v="4"/>
    <n v="21855.42"/>
    <n v="58913.85"/>
    <x v="0"/>
  </r>
  <r>
    <x v="3"/>
    <x v="0"/>
    <x v="5"/>
    <x v="1"/>
    <x v="11"/>
    <x v="1"/>
    <x v="1"/>
    <n v="17"/>
    <n v="97260.49"/>
    <n v="252643.06"/>
    <x v="0"/>
  </r>
  <r>
    <x v="3"/>
    <x v="0"/>
    <x v="5"/>
    <x v="1"/>
    <x v="12"/>
    <x v="1"/>
    <x v="1"/>
    <n v="3"/>
    <n v="13456.65"/>
    <n v="38888.089999999997"/>
    <x v="0"/>
  </r>
  <r>
    <x v="3"/>
    <x v="0"/>
    <x v="5"/>
    <x v="1"/>
    <x v="13"/>
    <x v="0"/>
    <x v="1"/>
    <n v="1"/>
    <n v="6594.8"/>
    <n v="26367.040000000001"/>
    <x v="0"/>
  </r>
  <r>
    <x v="3"/>
    <x v="0"/>
    <x v="5"/>
    <x v="1"/>
    <x v="13"/>
    <x v="1"/>
    <x v="0"/>
    <n v="2"/>
    <n v="9195"/>
    <n v="25811.68"/>
    <x v="0"/>
  </r>
  <r>
    <x v="3"/>
    <x v="0"/>
    <x v="5"/>
    <x v="1"/>
    <x v="13"/>
    <x v="1"/>
    <x v="1"/>
    <n v="13"/>
    <n v="74570.69"/>
    <n v="202565.59"/>
    <x v="0"/>
  </r>
  <r>
    <x v="3"/>
    <x v="0"/>
    <x v="5"/>
    <x v="1"/>
    <x v="14"/>
    <x v="1"/>
    <x v="0"/>
    <n v="7"/>
    <n v="41810.39"/>
    <n v="113384.86"/>
    <x v="0"/>
  </r>
  <r>
    <x v="3"/>
    <x v="0"/>
    <x v="5"/>
    <x v="1"/>
    <x v="14"/>
    <x v="1"/>
    <x v="1"/>
    <n v="8"/>
    <n v="48663.18"/>
    <n v="135951.76999999999"/>
    <x v="0"/>
  </r>
  <r>
    <x v="3"/>
    <x v="0"/>
    <x v="5"/>
    <x v="1"/>
    <x v="16"/>
    <x v="0"/>
    <x v="1"/>
    <n v="2"/>
    <n v="10708.45"/>
    <n v="43670.41"/>
    <x v="0"/>
  </r>
  <r>
    <x v="3"/>
    <x v="0"/>
    <x v="5"/>
    <x v="1"/>
    <x v="16"/>
    <x v="1"/>
    <x v="0"/>
    <n v="1"/>
    <n v="4439.78"/>
    <n v="11385.62"/>
    <x v="0"/>
  </r>
  <r>
    <x v="3"/>
    <x v="0"/>
    <x v="5"/>
    <x v="1"/>
    <x v="16"/>
    <x v="1"/>
    <x v="1"/>
    <n v="10"/>
    <n v="54560.28"/>
    <n v="146928.67000000001"/>
    <x v="0"/>
  </r>
  <r>
    <x v="3"/>
    <x v="0"/>
    <x v="5"/>
    <x v="1"/>
    <x v="17"/>
    <x v="1"/>
    <x v="0"/>
    <n v="3"/>
    <n v="19078.32"/>
    <n v="52523.13"/>
    <x v="0"/>
  </r>
  <r>
    <x v="3"/>
    <x v="0"/>
    <x v="5"/>
    <x v="1"/>
    <x v="17"/>
    <x v="1"/>
    <x v="1"/>
    <n v="5"/>
    <n v="28961.3"/>
    <n v="76319.37"/>
    <x v="0"/>
  </r>
  <r>
    <x v="3"/>
    <x v="0"/>
    <x v="5"/>
    <x v="1"/>
    <x v="18"/>
    <x v="0"/>
    <x v="1"/>
    <n v="6"/>
    <n v="28689.52"/>
    <n v="117827.71"/>
    <x v="0"/>
  </r>
  <r>
    <x v="3"/>
    <x v="0"/>
    <x v="5"/>
    <x v="1"/>
    <x v="18"/>
    <x v="1"/>
    <x v="0"/>
    <n v="4"/>
    <n v="19807.810000000001"/>
    <n v="54402.62"/>
    <x v="0"/>
  </r>
  <r>
    <x v="3"/>
    <x v="0"/>
    <x v="5"/>
    <x v="1"/>
    <x v="18"/>
    <x v="1"/>
    <x v="1"/>
    <n v="15"/>
    <n v="82610.710000000006"/>
    <n v="229730.34"/>
    <x v="0"/>
  </r>
  <r>
    <x v="3"/>
    <x v="0"/>
    <x v="5"/>
    <x v="1"/>
    <x v="19"/>
    <x v="1"/>
    <x v="0"/>
    <n v="10"/>
    <n v="55271"/>
    <n v="152722.84"/>
    <x v="0"/>
  </r>
  <r>
    <x v="3"/>
    <x v="0"/>
    <x v="5"/>
    <x v="1"/>
    <x v="19"/>
    <x v="1"/>
    <x v="1"/>
    <n v="17"/>
    <n v="80830.34"/>
    <n v="216033.4"/>
    <x v="0"/>
  </r>
  <r>
    <x v="3"/>
    <x v="0"/>
    <x v="5"/>
    <x v="1"/>
    <x v="20"/>
    <x v="0"/>
    <x v="0"/>
    <n v="2"/>
    <n v="12563.19"/>
    <n v="52734.080000000002"/>
    <x v="0"/>
  </r>
  <r>
    <x v="3"/>
    <x v="0"/>
    <x v="5"/>
    <x v="1"/>
    <x v="20"/>
    <x v="0"/>
    <x v="1"/>
    <n v="4"/>
    <n v="19915.09"/>
    <n v="81573.03"/>
    <x v="0"/>
  </r>
  <r>
    <x v="3"/>
    <x v="0"/>
    <x v="5"/>
    <x v="1"/>
    <x v="20"/>
    <x v="1"/>
    <x v="0"/>
    <n v="6"/>
    <n v="28366.44"/>
    <n v="75274.95"/>
    <x v="0"/>
  </r>
  <r>
    <x v="3"/>
    <x v="0"/>
    <x v="5"/>
    <x v="1"/>
    <x v="20"/>
    <x v="1"/>
    <x v="1"/>
    <n v="13"/>
    <n v="62633.04"/>
    <n v="169568.77"/>
    <x v="0"/>
  </r>
  <r>
    <x v="3"/>
    <x v="0"/>
    <x v="5"/>
    <x v="2"/>
    <x v="21"/>
    <x v="0"/>
    <x v="0"/>
    <n v="2"/>
    <n v="13097.76"/>
    <n v="52734.080000000002"/>
    <x v="0"/>
  </r>
  <r>
    <x v="3"/>
    <x v="0"/>
    <x v="5"/>
    <x v="2"/>
    <x v="22"/>
    <x v="0"/>
    <x v="1"/>
    <n v="1"/>
    <n v="4639.99"/>
    <n v="18951.310000000001"/>
    <x v="0"/>
  </r>
  <r>
    <x v="3"/>
    <x v="0"/>
    <x v="5"/>
    <x v="2"/>
    <x v="22"/>
    <x v="1"/>
    <x v="0"/>
    <n v="2"/>
    <n v="11034.04"/>
    <n v="27598.880000000001"/>
    <x v="0"/>
  </r>
  <r>
    <x v="3"/>
    <x v="0"/>
    <x v="5"/>
    <x v="2"/>
    <x v="22"/>
    <x v="1"/>
    <x v="1"/>
    <n v="13"/>
    <n v="74889.58"/>
    <n v="178639.99"/>
    <x v="0"/>
  </r>
  <r>
    <x v="3"/>
    <x v="0"/>
    <x v="5"/>
    <x v="2"/>
    <x v="29"/>
    <x v="0"/>
    <x v="1"/>
    <n v="1"/>
    <n v="4338.1499999999996"/>
    <n v="17303.37"/>
    <x v="0"/>
  </r>
  <r>
    <x v="3"/>
    <x v="0"/>
    <x v="5"/>
    <x v="2"/>
    <x v="29"/>
    <x v="1"/>
    <x v="1"/>
    <n v="6"/>
    <n v="37592.339999999997"/>
    <n v="94858.74"/>
    <x v="0"/>
  </r>
  <r>
    <x v="3"/>
    <x v="0"/>
    <x v="5"/>
    <x v="2"/>
    <x v="23"/>
    <x v="1"/>
    <x v="1"/>
    <n v="2"/>
    <n v="8847.66"/>
    <n v="21940.67"/>
    <x v="0"/>
  </r>
  <r>
    <x v="3"/>
    <x v="0"/>
    <x v="5"/>
    <x v="2"/>
    <x v="24"/>
    <x v="0"/>
    <x v="1"/>
    <n v="2"/>
    <n v="11073.57"/>
    <n v="45318.35"/>
    <x v="0"/>
  </r>
  <r>
    <x v="3"/>
    <x v="0"/>
    <x v="5"/>
    <x v="3"/>
    <x v="25"/>
    <x v="1"/>
    <x v="0"/>
    <n v="7"/>
    <n v="39615.57"/>
    <n v="107804.11"/>
    <x v="0"/>
  </r>
  <r>
    <x v="3"/>
    <x v="0"/>
    <x v="5"/>
    <x v="3"/>
    <x v="25"/>
    <x v="1"/>
    <x v="1"/>
    <n v="9"/>
    <n v="45367.92"/>
    <n v="125192.76"/>
    <x v="0"/>
  </r>
  <r>
    <x v="3"/>
    <x v="0"/>
    <x v="5"/>
    <x v="3"/>
    <x v="26"/>
    <x v="0"/>
    <x v="0"/>
    <n v="1"/>
    <n v="4401.34"/>
    <n v="17303.37"/>
    <x v="0"/>
  </r>
  <r>
    <x v="3"/>
    <x v="0"/>
    <x v="5"/>
    <x v="3"/>
    <x v="26"/>
    <x v="0"/>
    <x v="1"/>
    <n v="1"/>
    <n v="4696.42"/>
    <n v="18951.310000000001"/>
    <x v="0"/>
  </r>
  <r>
    <x v="3"/>
    <x v="0"/>
    <x v="5"/>
    <x v="3"/>
    <x v="26"/>
    <x v="1"/>
    <x v="0"/>
    <n v="7"/>
    <n v="44941.85"/>
    <n v="127352.81"/>
    <x v="0"/>
  </r>
  <r>
    <x v="3"/>
    <x v="0"/>
    <x v="5"/>
    <x v="3"/>
    <x v="26"/>
    <x v="1"/>
    <x v="1"/>
    <n v="12"/>
    <n v="73059.25"/>
    <n v="205994.06"/>
    <x v="0"/>
  </r>
  <r>
    <x v="3"/>
    <x v="0"/>
    <x v="5"/>
    <x v="3"/>
    <x v="27"/>
    <x v="0"/>
    <x v="1"/>
    <n v="7"/>
    <n v="37808.230000000003"/>
    <n v="151610.48000000001"/>
    <x v="0"/>
  </r>
  <r>
    <x v="3"/>
    <x v="0"/>
    <x v="5"/>
    <x v="3"/>
    <x v="27"/>
    <x v="1"/>
    <x v="0"/>
    <n v="24"/>
    <n v="128365.61"/>
    <n v="351001.73"/>
    <x v="0"/>
  </r>
  <r>
    <x v="3"/>
    <x v="0"/>
    <x v="5"/>
    <x v="3"/>
    <x v="27"/>
    <x v="1"/>
    <x v="1"/>
    <n v="27"/>
    <n v="143418.06"/>
    <n v="393892.84"/>
    <x v="0"/>
  </r>
  <r>
    <x v="3"/>
    <x v="0"/>
    <x v="6"/>
    <x v="0"/>
    <x v="0"/>
    <x v="0"/>
    <x v="1"/>
    <n v="1"/>
    <n v="2942.79"/>
    <n v="10315.68"/>
    <x v="0"/>
  </r>
  <r>
    <x v="3"/>
    <x v="0"/>
    <x v="6"/>
    <x v="0"/>
    <x v="0"/>
    <x v="1"/>
    <x v="0"/>
    <n v="2"/>
    <n v="5941.64"/>
    <n v="13048.04"/>
    <x v="0"/>
  </r>
  <r>
    <x v="3"/>
    <x v="0"/>
    <x v="6"/>
    <x v="0"/>
    <x v="0"/>
    <x v="1"/>
    <x v="1"/>
    <n v="13"/>
    <n v="35375.75"/>
    <n v="80114.14"/>
    <x v="0"/>
  </r>
  <r>
    <x v="3"/>
    <x v="0"/>
    <x v="6"/>
    <x v="0"/>
    <x v="1"/>
    <x v="0"/>
    <x v="0"/>
    <n v="5"/>
    <n v="12752.55"/>
    <n v="44808.74"/>
    <x v="0"/>
  </r>
  <r>
    <x v="3"/>
    <x v="0"/>
    <x v="6"/>
    <x v="0"/>
    <x v="1"/>
    <x v="0"/>
    <x v="1"/>
    <n v="2"/>
    <n v="5820.56"/>
    <n v="20631.36"/>
    <x v="0"/>
  </r>
  <r>
    <x v="3"/>
    <x v="0"/>
    <x v="6"/>
    <x v="0"/>
    <x v="1"/>
    <x v="1"/>
    <x v="1"/>
    <n v="11"/>
    <n v="26844.35"/>
    <n v="59904.14"/>
    <x v="0"/>
  </r>
  <r>
    <x v="3"/>
    <x v="0"/>
    <x v="6"/>
    <x v="0"/>
    <x v="2"/>
    <x v="0"/>
    <x v="1"/>
    <n v="4"/>
    <n v="10215.75"/>
    <n v="35460.160000000003"/>
    <x v="0"/>
  </r>
  <r>
    <x v="3"/>
    <x v="0"/>
    <x v="6"/>
    <x v="0"/>
    <x v="2"/>
    <x v="1"/>
    <x v="0"/>
    <n v="6"/>
    <n v="17166.310000000001"/>
    <n v="36485.760000000002"/>
    <x v="0"/>
  </r>
  <r>
    <x v="3"/>
    <x v="0"/>
    <x v="6"/>
    <x v="0"/>
    <x v="2"/>
    <x v="1"/>
    <x v="1"/>
    <n v="3"/>
    <n v="7956.78"/>
    <n v="17416.41"/>
    <x v="0"/>
  </r>
  <r>
    <x v="3"/>
    <x v="0"/>
    <x v="6"/>
    <x v="0"/>
    <x v="3"/>
    <x v="0"/>
    <x v="1"/>
    <n v="2"/>
    <n v="5104.32"/>
    <n v="17730.080000000002"/>
    <x v="0"/>
  </r>
  <r>
    <x v="3"/>
    <x v="0"/>
    <x v="6"/>
    <x v="0"/>
    <x v="3"/>
    <x v="1"/>
    <x v="0"/>
    <n v="4"/>
    <n v="11765.38"/>
    <n v="26522.28"/>
    <x v="0"/>
  </r>
  <r>
    <x v="3"/>
    <x v="0"/>
    <x v="6"/>
    <x v="0"/>
    <x v="3"/>
    <x v="1"/>
    <x v="1"/>
    <n v="13"/>
    <n v="36145.79"/>
    <n v="80383.66"/>
    <x v="0"/>
  </r>
  <r>
    <x v="3"/>
    <x v="0"/>
    <x v="6"/>
    <x v="0"/>
    <x v="28"/>
    <x v="1"/>
    <x v="1"/>
    <n v="4"/>
    <n v="12138.15"/>
    <n v="26844.41"/>
    <x v="0"/>
  </r>
  <r>
    <x v="3"/>
    <x v="0"/>
    <x v="6"/>
    <x v="0"/>
    <x v="4"/>
    <x v="0"/>
    <x v="1"/>
    <n v="1"/>
    <n v="3024.35"/>
    <n v="10315.68"/>
    <x v="0"/>
  </r>
  <r>
    <x v="3"/>
    <x v="0"/>
    <x v="6"/>
    <x v="0"/>
    <x v="4"/>
    <x v="1"/>
    <x v="0"/>
    <n v="5"/>
    <n v="13222.7"/>
    <n v="29296.54"/>
    <x v="0"/>
  </r>
  <r>
    <x v="3"/>
    <x v="0"/>
    <x v="6"/>
    <x v="0"/>
    <x v="4"/>
    <x v="1"/>
    <x v="1"/>
    <n v="13"/>
    <n v="30909.85"/>
    <n v="69115.08"/>
    <x v="0"/>
  </r>
  <r>
    <x v="3"/>
    <x v="0"/>
    <x v="6"/>
    <x v="0"/>
    <x v="5"/>
    <x v="0"/>
    <x v="1"/>
    <n v="5"/>
    <n v="12185.71"/>
    <n v="41907.46"/>
    <x v="0"/>
  </r>
  <r>
    <x v="3"/>
    <x v="0"/>
    <x v="6"/>
    <x v="0"/>
    <x v="5"/>
    <x v="1"/>
    <x v="1"/>
    <n v="10"/>
    <n v="24570.49"/>
    <n v="56764.31"/>
    <x v="0"/>
  </r>
  <r>
    <x v="3"/>
    <x v="0"/>
    <x v="6"/>
    <x v="0"/>
    <x v="6"/>
    <x v="1"/>
    <x v="1"/>
    <n v="5"/>
    <n v="14691.49"/>
    <n v="33462.699999999997"/>
    <x v="0"/>
  </r>
  <r>
    <x v="3"/>
    <x v="0"/>
    <x v="6"/>
    <x v="0"/>
    <x v="7"/>
    <x v="1"/>
    <x v="1"/>
    <n v="2"/>
    <n v="5061.24"/>
    <n v="11843.69"/>
    <x v="0"/>
  </r>
  <r>
    <x v="3"/>
    <x v="0"/>
    <x v="6"/>
    <x v="0"/>
    <x v="8"/>
    <x v="0"/>
    <x v="1"/>
    <n v="4"/>
    <n v="10974.89"/>
    <n v="38361.440000000002"/>
    <x v="0"/>
  </r>
  <r>
    <x v="3"/>
    <x v="0"/>
    <x v="6"/>
    <x v="0"/>
    <x v="8"/>
    <x v="1"/>
    <x v="1"/>
    <n v="4"/>
    <n v="7293.76"/>
    <n v="16427.72"/>
    <x v="0"/>
  </r>
  <r>
    <x v="3"/>
    <x v="0"/>
    <x v="6"/>
    <x v="1"/>
    <x v="9"/>
    <x v="1"/>
    <x v="1"/>
    <n v="6"/>
    <n v="11154.62"/>
    <n v="27279.82"/>
    <x v="0"/>
  </r>
  <r>
    <x v="3"/>
    <x v="0"/>
    <x v="6"/>
    <x v="1"/>
    <x v="31"/>
    <x v="1"/>
    <x v="0"/>
    <n v="2"/>
    <n v="5928.66"/>
    <n v="14338.8"/>
    <x v="0"/>
  </r>
  <r>
    <x v="3"/>
    <x v="0"/>
    <x v="6"/>
    <x v="1"/>
    <x v="10"/>
    <x v="0"/>
    <x v="0"/>
    <n v="7"/>
    <n v="18156.77"/>
    <n v="63505.919999999998"/>
    <x v="0"/>
  </r>
  <r>
    <x v="3"/>
    <x v="0"/>
    <x v="6"/>
    <x v="1"/>
    <x v="10"/>
    <x v="0"/>
    <x v="1"/>
    <n v="1"/>
    <n v="3086.14"/>
    <n v="10315.68"/>
    <x v="0"/>
  </r>
  <r>
    <x v="3"/>
    <x v="0"/>
    <x v="6"/>
    <x v="1"/>
    <x v="10"/>
    <x v="1"/>
    <x v="0"/>
    <n v="1"/>
    <n v="2950.15"/>
    <n v="7035.29"/>
    <x v="0"/>
  </r>
  <r>
    <x v="3"/>
    <x v="0"/>
    <x v="6"/>
    <x v="1"/>
    <x v="10"/>
    <x v="1"/>
    <x v="1"/>
    <n v="15"/>
    <n v="42566.91"/>
    <n v="101572.06"/>
    <x v="0"/>
  </r>
  <r>
    <x v="3"/>
    <x v="0"/>
    <x v="6"/>
    <x v="1"/>
    <x v="11"/>
    <x v="0"/>
    <x v="1"/>
    <n v="9"/>
    <n v="24480.17"/>
    <n v="86071.46"/>
    <x v="0"/>
  </r>
  <r>
    <x v="3"/>
    <x v="0"/>
    <x v="6"/>
    <x v="1"/>
    <x v="11"/>
    <x v="1"/>
    <x v="0"/>
    <n v="12"/>
    <n v="35264.99"/>
    <n v="80462.3"/>
    <x v="0"/>
  </r>
  <r>
    <x v="3"/>
    <x v="0"/>
    <x v="6"/>
    <x v="1"/>
    <x v="11"/>
    <x v="1"/>
    <x v="1"/>
    <n v="17"/>
    <n v="48936.32"/>
    <n v="110606.25"/>
    <x v="0"/>
  </r>
  <r>
    <x v="3"/>
    <x v="0"/>
    <x v="6"/>
    <x v="1"/>
    <x v="12"/>
    <x v="1"/>
    <x v="0"/>
    <n v="2"/>
    <n v="5895.8"/>
    <n v="14111.85"/>
    <x v="0"/>
  </r>
  <r>
    <x v="3"/>
    <x v="0"/>
    <x v="6"/>
    <x v="1"/>
    <x v="13"/>
    <x v="0"/>
    <x v="1"/>
    <n v="2"/>
    <n v="6095.5"/>
    <n v="20631.36"/>
    <x v="0"/>
  </r>
  <r>
    <x v="3"/>
    <x v="0"/>
    <x v="6"/>
    <x v="1"/>
    <x v="13"/>
    <x v="1"/>
    <x v="0"/>
    <n v="1"/>
    <n v="3038.96"/>
    <n v="7024.98"/>
    <x v="0"/>
  </r>
  <r>
    <x v="3"/>
    <x v="0"/>
    <x v="6"/>
    <x v="1"/>
    <x v="13"/>
    <x v="1"/>
    <x v="1"/>
    <n v="13"/>
    <n v="36070.449999999997"/>
    <n v="85397.41"/>
    <x v="0"/>
  </r>
  <r>
    <x v="3"/>
    <x v="0"/>
    <x v="6"/>
    <x v="1"/>
    <x v="14"/>
    <x v="1"/>
    <x v="0"/>
    <n v="9"/>
    <n v="21027.67"/>
    <n v="48451.49"/>
    <x v="0"/>
  </r>
  <r>
    <x v="3"/>
    <x v="0"/>
    <x v="6"/>
    <x v="1"/>
    <x v="14"/>
    <x v="1"/>
    <x v="1"/>
    <n v="6"/>
    <n v="14787.08"/>
    <n v="33000.5"/>
    <x v="0"/>
  </r>
  <r>
    <x v="3"/>
    <x v="0"/>
    <x v="6"/>
    <x v="1"/>
    <x v="15"/>
    <x v="1"/>
    <x v="0"/>
    <n v="5"/>
    <n v="14555.75"/>
    <n v="35640.67"/>
    <x v="0"/>
  </r>
  <r>
    <x v="3"/>
    <x v="0"/>
    <x v="6"/>
    <x v="1"/>
    <x v="16"/>
    <x v="1"/>
    <x v="0"/>
    <n v="7"/>
    <n v="15387.41"/>
    <n v="34787.050000000003"/>
    <x v="0"/>
  </r>
  <r>
    <x v="3"/>
    <x v="0"/>
    <x v="6"/>
    <x v="1"/>
    <x v="16"/>
    <x v="1"/>
    <x v="1"/>
    <n v="5"/>
    <n v="15002.4"/>
    <n v="33938.589999999997"/>
    <x v="0"/>
  </r>
  <r>
    <x v="3"/>
    <x v="0"/>
    <x v="6"/>
    <x v="1"/>
    <x v="17"/>
    <x v="0"/>
    <x v="1"/>
    <n v="2"/>
    <n v="6144.56"/>
    <n v="20631.36"/>
    <x v="0"/>
  </r>
  <r>
    <x v="3"/>
    <x v="0"/>
    <x v="6"/>
    <x v="1"/>
    <x v="17"/>
    <x v="1"/>
    <x v="0"/>
    <n v="6"/>
    <n v="15573.19"/>
    <n v="35960.449999999997"/>
    <x v="0"/>
  </r>
  <r>
    <x v="3"/>
    <x v="0"/>
    <x v="6"/>
    <x v="1"/>
    <x v="17"/>
    <x v="1"/>
    <x v="1"/>
    <n v="6"/>
    <n v="16799.29"/>
    <n v="39171.22"/>
    <x v="0"/>
  </r>
  <r>
    <x v="3"/>
    <x v="0"/>
    <x v="6"/>
    <x v="1"/>
    <x v="18"/>
    <x v="0"/>
    <x v="1"/>
    <n v="9"/>
    <n v="23956.3"/>
    <n v="84137.279999999999"/>
    <x v="0"/>
  </r>
  <r>
    <x v="3"/>
    <x v="0"/>
    <x v="6"/>
    <x v="1"/>
    <x v="18"/>
    <x v="1"/>
    <x v="0"/>
    <n v="4"/>
    <n v="11812.2"/>
    <n v="28677.599999999999"/>
    <x v="0"/>
  </r>
  <r>
    <x v="3"/>
    <x v="0"/>
    <x v="6"/>
    <x v="1"/>
    <x v="18"/>
    <x v="1"/>
    <x v="1"/>
    <n v="20"/>
    <n v="53806.31"/>
    <n v="129841.02"/>
    <x v="0"/>
  </r>
  <r>
    <x v="3"/>
    <x v="0"/>
    <x v="6"/>
    <x v="1"/>
    <x v="19"/>
    <x v="0"/>
    <x v="1"/>
    <n v="3"/>
    <n v="7874.16"/>
    <n v="27078.66"/>
    <x v="0"/>
  </r>
  <r>
    <x v="3"/>
    <x v="0"/>
    <x v="6"/>
    <x v="1"/>
    <x v="19"/>
    <x v="1"/>
    <x v="0"/>
    <n v="5"/>
    <n v="11682.67"/>
    <n v="28245.64"/>
    <x v="0"/>
  </r>
  <r>
    <x v="3"/>
    <x v="0"/>
    <x v="6"/>
    <x v="1"/>
    <x v="19"/>
    <x v="1"/>
    <x v="1"/>
    <n v="3"/>
    <n v="7595.01"/>
    <n v="18251.02"/>
    <x v="0"/>
  </r>
  <r>
    <x v="3"/>
    <x v="0"/>
    <x v="6"/>
    <x v="1"/>
    <x v="20"/>
    <x v="0"/>
    <x v="0"/>
    <n v="2"/>
    <n v="6124.76"/>
    <n v="20631.36"/>
    <x v="0"/>
  </r>
  <r>
    <x v="3"/>
    <x v="0"/>
    <x v="6"/>
    <x v="1"/>
    <x v="20"/>
    <x v="0"/>
    <x v="1"/>
    <n v="9"/>
    <n v="22488.94"/>
    <n v="78334.720000000001"/>
    <x v="0"/>
  </r>
  <r>
    <x v="3"/>
    <x v="0"/>
    <x v="6"/>
    <x v="1"/>
    <x v="20"/>
    <x v="1"/>
    <x v="0"/>
    <n v="6"/>
    <n v="13200.67"/>
    <n v="31418.04"/>
    <x v="0"/>
  </r>
  <r>
    <x v="3"/>
    <x v="0"/>
    <x v="6"/>
    <x v="1"/>
    <x v="20"/>
    <x v="1"/>
    <x v="1"/>
    <n v="20"/>
    <n v="49617.440000000002"/>
    <n v="113598.44"/>
    <x v="0"/>
  </r>
  <r>
    <x v="3"/>
    <x v="0"/>
    <x v="6"/>
    <x v="2"/>
    <x v="21"/>
    <x v="1"/>
    <x v="1"/>
    <n v="6"/>
    <n v="12450.24"/>
    <n v="27092.22"/>
    <x v="0"/>
  </r>
  <r>
    <x v="3"/>
    <x v="0"/>
    <x v="6"/>
    <x v="2"/>
    <x v="22"/>
    <x v="1"/>
    <x v="0"/>
    <n v="5"/>
    <n v="15102.81"/>
    <n v="31411.25"/>
    <x v="0"/>
  </r>
  <r>
    <x v="3"/>
    <x v="0"/>
    <x v="6"/>
    <x v="2"/>
    <x v="22"/>
    <x v="1"/>
    <x v="1"/>
    <n v="4"/>
    <n v="8273.84"/>
    <n v="18061.48"/>
    <x v="0"/>
  </r>
  <r>
    <x v="3"/>
    <x v="0"/>
    <x v="6"/>
    <x v="2"/>
    <x v="29"/>
    <x v="0"/>
    <x v="1"/>
    <n v="3"/>
    <n v="6668.11"/>
    <n v="23210.28"/>
    <x v="0"/>
  </r>
  <r>
    <x v="3"/>
    <x v="0"/>
    <x v="6"/>
    <x v="2"/>
    <x v="23"/>
    <x v="1"/>
    <x v="1"/>
    <n v="4"/>
    <n v="12173.18"/>
    <n v="26160.560000000001"/>
    <x v="0"/>
  </r>
  <r>
    <x v="3"/>
    <x v="0"/>
    <x v="6"/>
    <x v="2"/>
    <x v="24"/>
    <x v="0"/>
    <x v="1"/>
    <n v="2"/>
    <n v="3578.52"/>
    <n v="12894.6"/>
    <x v="0"/>
  </r>
  <r>
    <x v="3"/>
    <x v="0"/>
    <x v="6"/>
    <x v="3"/>
    <x v="25"/>
    <x v="0"/>
    <x v="1"/>
    <n v="1"/>
    <n v="2087.42"/>
    <n v="7414.4"/>
    <x v="0"/>
  </r>
  <r>
    <x v="3"/>
    <x v="0"/>
    <x v="6"/>
    <x v="3"/>
    <x v="25"/>
    <x v="1"/>
    <x v="0"/>
    <n v="1"/>
    <n v="2058.87"/>
    <n v="5078.8599999999997"/>
    <x v="0"/>
  </r>
  <r>
    <x v="3"/>
    <x v="0"/>
    <x v="6"/>
    <x v="3"/>
    <x v="25"/>
    <x v="1"/>
    <x v="1"/>
    <n v="10"/>
    <n v="27215.35"/>
    <n v="64700.27"/>
    <x v="0"/>
  </r>
  <r>
    <x v="3"/>
    <x v="0"/>
    <x v="6"/>
    <x v="3"/>
    <x v="26"/>
    <x v="1"/>
    <x v="1"/>
    <n v="7"/>
    <n v="17899.919999999998"/>
    <n v="43431.62"/>
    <x v="0"/>
  </r>
  <r>
    <x v="3"/>
    <x v="0"/>
    <x v="6"/>
    <x v="3"/>
    <x v="27"/>
    <x v="0"/>
    <x v="1"/>
    <n v="5"/>
    <n v="11697.82"/>
    <n v="40940.36"/>
    <x v="0"/>
  </r>
  <r>
    <x v="3"/>
    <x v="0"/>
    <x v="6"/>
    <x v="3"/>
    <x v="27"/>
    <x v="1"/>
    <x v="0"/>
    <n v="7"/>
    <n v="16936.22"/>
    <n v="40617.449999999997"/>
    <x v="0"/>
  </r>
  <r>
    <x v="3"/>
    <x v="0"/>
    <x v="6"/>
    <x v="3"/>
    <x v="27"/>
    <x v="1"/>
    <x v="1"/>
    <n v="29"/>
    <n v="79879.350000000006"/>
    <n v="188778.6"/>
    <x v="0"/>
  </r>
  <r>
    <x v="3"/>
    <x v="0"/>
    <x v="7"/>
    <x v="0"/>
    <x v="0"/>
    <x v="0"/>
    <x v="0"/>
    <n v="1"/>
    <n v="5612.26"/>
    <n v="21666.74"/>
    <x v="0"/>
  </r>
  <r>
    <x v="3"/>
    <x v="0"/>
    <x v="7"/>
    <x v="0"/>
    <x v="0"/>
    <x v="0"/>
    <x v="1"/>
    <n v="2"/>
    <n v="9434.5400000000009"/>
    <n v="35885.54"/>
    <x v="0"/>
  </r>
  <r>
    <x v="3"/>
    <x v="0"/>
    <x v="7"/>
    <x v="0"/>
    <x v="0"/>
    <x v="1"/>
    <x v="1"/>
    <n v="6"/>
    <n v="27574.68"/>
    <n v="70407.429999999993"/>
    <x v="0"/>
  </r>
  <r>
    <x v="3"/>
    <x v="0"/>
    <x v="7"/>
    <x v="0"/>
    <x v="1"/>
    <x v="0"/>
    <x v="0"/>
    <n v="2"/>
    <n v="9764.58"/>
    <n v="37239.71"/>
    <x v="0"/>
  </r>
  <r>
    <x v="3"/>
    <x v="0"/>
    <x v="7"/>
    <x v="0"/>
    <x v="1"/>
    <x v="0"/>
    <x v="1"/>
    <n v="3"/>
    <n v="12549.34"/>
    <n v="48750.16"/>
    <x v="0"/>
  </r>
  <r>
    <x v="3"/>
    <x v="0"/>
    <x v="7"/>
    <x v="0"/>
    <x v="1"/>
    <x v="1"/>
    <x v="0"/>
    <n v="2"/>
    <n v="7931.9"/>
    <n v="20026.84"/>
    <x v="0"/>
  </r>
  <r>
    <x v="3"/>
    <x v="0"/>
    <x v="7"/>
    <x v="0"/>
    <x v="1"/>
    <x v="1"/>
    <x v="1"/>
    <n v="17"/>
    <n v="85440.09"/>
    <n v="208104.98"/>
    <x v="0"/>
  </r>
  <r>
    <x v="3"/>
    <x v="0"/>
    <x v="7"/>
    <x v="0"/>
    <x v="2"/>
    <x v="0"/>
    <x v="1"/>
    <n v="2"/>
    <n v="7398.14"/>
    <n v="28437.599999999999"/>
    <x v="0"/>
  </r>
  <r>
    <x v="3"/>
    <x v="0"/>
    <x v="7"/>
    <x v="0"/>
    <x v="2"/>
    <x v="1"/>
    <x v="1"/>
    <n v="2"/>
    <n v="11403.58"/>
    <n v="26910.09"/>
    <x v="0"/>
  </r>
  <r>
    <x v="3"/>
    <x v="0"/>
    <x v="7"/>
    <x v="0"/>
    <x v="3"/>
    <x v="0"/>
    <x v="0"/>
    <n v="3"/>
    <n v="14720.49"/>
    <n v="57552.28"/>
    <x v="0"/>
  </r>
  <r>
    <x v="3"/>
    <x v="0"/>
    <x v="7"/>
    <x v="0"/>
    <x v="3"/>
    <x v="0"/>
    <x v="1"/>
    <n v="4"/>
    <n v="20305.259999999998"/>
    <n v="79219.02"/>
    <x v="0"/>
  </r>
  <r>
    <x v="3"/>
    <x v="0"/>
    <x v="7"/>
    <x v="0"/>
    <x v="3"/>
    <x v="1"/>
    <x v="0"/>
    <n v="8"/>
    <n v="39429.980000000003"/>
    <n v="102350.97"/>
    <x v="0"/>
  </r>
  <r>
    <x v="3"/>
    <x v="0"/>
    <x v="7"/>
    <x v="0"/>
    <x v="3"/>
    <x v="1"/>
    <x v="1"/>
    <n v="26"/>
    <n v="119344.24"/>
    <n v="298144.63"/>
    <x v="0"/>
  </r>
  <r>
    <x v="3"/>
    <x v="0"/>
    <x v="7"/>
    <x v="0"/>
    <x v="28"/>
    <x v="1"/>
    <x v="1"/>
    <n v="3"/>
    <n v="17033.05"/>
    <n v="41399.089999999997"/>
    <x v="0"/>
  </r>
  <r>
    <x v="3"/>
    <x v="0"/>
    <x v="7"/>
    <x v="0"/>
    <x v="4"/>
    <x v="0"/>
    <x v="1"/>
    <n v="1"/>
    <n v="5487.31"/>
    <n v="21666.74"/>
    <x v="0"/>
  </r>
  <r>
    <x v="3"/>
    <x v="0"/>
    <x v="7"/>
    <x v="0"/>
    <x v="4"/>
    <x v="1"/>
    <x v="0"/>
    <n v="7"/>
    <n v="28384.880000000001"/>
    <n v="71066.899999999994"/>
    <x v="0"/>
  </r>
  <r>
    <x v="3"/>
    <x v="0"/>
    <x v="7"/>
    <x v="0"/>
    <x v="4"/>
    <x v="1"/>
    <x v="1"/>
    <n v="3"/>
    <n v="15348.28"/>
    <n v="36833.46"/>
    <x v="0"/>
  </r>
  <r>
    <x v="3"/>
    <x v="0"/>
    <x v="7"/>
    <x v="0"/>
    <x v="5"/>
    <x v="0"/>
    <x v="1"/>
    <n v="1"/>
    <n v="5771.07"/>
    <n v="21666.74"/>
    <x v="0"/>
  </r>
  <r>
    <x v="3"/>
    <x v="0"/>
    <x v="7"/>
    <x v="0"/>
    <x v="5"/>
    <x v="1"/>
    <x v="0"/>
    <n v="10"/>
    <n v="46162.97"/>
    <n v="118242.85"/>
    <x v="0"/>
  </r>
  <r>
    <x v="3"/>
    <x v="0"/>
    <x v="7"/>
    <x v="0"/>
    <x v="5"/>
    <x v="1"/>
    <x v="1"/>
    <n v="10"/>
    <n v="55413.22"/>
    <n v="142783.81"/>
    <x v="0"/>
  </r>
  <r>
    <x v="3"/>
    <x v="0"/>
    <x v="7"/>
    <x v="0"/>
    <x v="6"/>
    <x v="0"/>
    <x v="1"/>
    <n v="1"/>
    <n v="5481.61"/>
    <n v="21666.74"/>
    <x v="0"/>
  </r>
  <r>
    <x v="3"/>
    <x v="0"/>
    <x v="7"/>
    <x v="0"/>
    <x v="6"/>
    <x v="1"/>
    <x v="1"/>
    <n v="1"/>
    <n v="5715.32"/>
    <n v="13471.61"/>
    <x v="0"/>
  </r>
  <r>
    <x v="3"/>
    <x v="0"/>
    <x v="7"/>
    <x v="0"/>
    <x v="7"/>
    <x v="1"/>
    <x v="1"/>
    <n v="1"/>
    <n v="5901.56"/>
    <n v="14473.38"/>
    <x v="0"/>
  </r>
  <r>
    <x v="3"/>
    <x v="0"/>
    <x v="7"/>
    <x v="0"/>
    <x v="8"/>
    <x v="0"/>
    <x v="1"/>
    <n v="1"/>
    <n v="3636.15"/>
    <n v="14218.8"/>
    <x v="0"/>
  </r>
  <r>
    <x v="3"/>
    <x v="0"/>
    <x v="7"/>
    <x v="0"/>
    <x v="8"/>
    <x v="1"/>
    <x v="1"/>
    <n v="3"/>
    <n v="11096.2"/>
    <n v="27172.13"/>
    <x v="0"/>
  </r>
  <r>
    <x v="3"/>
    <x v="0"/>
    <x v="7"/>
    <x v="1"/>
    <x v="9"/>
    <x v="1"/>
    <x v="1"/>
    <n v="3"/>
    <n v="11086.85"/>
    <n v="29347.59"/>
    <x v="0"/>
  </r>
  <r>
    <x v="3"/>
    <x v="0"/>
    <x v="7"/>
    <x v="1"/>
    <x v="10"/>
    <x v="0"/>
    <x v="1"/>
    <n v="3"/>
    <n v="16427.89"/>
    <n v="65000.22"/>
    <x v="0"/>
  </r>
  <r>
    <x v="3"/>
    <x v="0"/>
    <x v="7"/>
    <x v="1"/>
    <x v="10"/>
    <x v="1"/>
    <x v="0"/>
    <n v="4"/>
    <n v="18926.87"/>
    <n v="49871.43"/>
    <x v="0"/>
  </r>
  <r>
    <x v="3"/>
    <x v="0"/>
    <x v="7"/>
    <x v="1"/>
    <x v="10"/>
    <x v="1"/>
    <x v="1"/>
    <n v="15"/>
    <n v="84321.25"/>
    <n v="216571.24"/>
    <x v="0"/>
  </r>
  <r>
    <x v="3"/>
    <x v="0"/>
    <x v="7"/>
    <x v="1"/>
    <x v="11"/>
    <x v="0"/>
    <x v="1"/>
    <n v="11"/>
    <n v="52512.76"/>
    <n v="201771.51999999999"/>
    <x v="0"/>
  </r>
  <r>
    <x v="3"/>
    <x v="0"/>
    <x v="7"/>
    <x v="1"/>
    <x v="11"/>
    <x v="1"/>
    <x v="0"/>
    <n v="7"/>
    <n v="24533.07"/>
    <n v="62495"/>
    <x v="0"/>
  </r>
  <r>
    <x v="3"/>
    <x v="0"/>
    <x v="7"/>
    <x v="1"/>
    <x v="11"/>
    <x v="1"/>
    <x v="1"/>
    <n v="25"/>
    <n v="115283.95"/>
    <n v="286612.46000000002"/>
    <x v="0"/>
  </r>
  <r>
    <x v="3"/>
    <x v="0"/>
    <x v="7"/>
    <x v="1"/>
    <x v="13"/>
    <x v="1"/>
    <x v="1"/>
    <n v="2"/>
    <n v="10928.88"/>
    <n v="29510.1"/>
    <x v="0"/>
  </r>
  <r>
    <x v="3"/>
    <x v="0"/>
    <x v="7"/>
    <x v="1"/>
    <x v="14"/>
    <x v="1"/>
    <x v="0"/>
    <n v="3"/>
    <n v="12992.5"/>
    <n v="32350.79"/>
    <x v="0"/>
  </r>
  <r>
    <x v="3"/>
    <x v="0"/>
    <x v="7"/>
    <x v="1"/>
    <x v="14"/>
    <x v="1"/>
    <x v="1"/>
    <n v="5"/>
    <n v="24212.19"/>
    <n v="62416.47"/>
    <x v="0"/>
  </r>
  <r>
    <x v="3"/>
    <x v="0"/>
    <x v="7"/>
    <x v="1"/>
    <x v="15"/>
    <x v="1"/>
    <x v="0"/>
    <n v="2"/>
    <n v="7214.92"/>
    <n v="18582.59"/>
    <x v="0"/>
  </r>
  <r>
    <x v="3"/>
    <x v="0"/>
    <x v="7"/>
    <x v="1"/>
    <x v="16"/>
    <x v="0"/>
    <x v="1"/>
    <n v="2"/>
    <n v="10911.93"/>
    <n v="43333.48"/>
    <x v="0"/>
  </r>
  <r>
    <x v="3"/>
    <x v="0"/>
    <x v="7"/>
    <x v="1"/>
    <x v="16"/>
    <x v="1"/>
    <x v="0"/>
    <n v="1"/>
    <n v="5765.78"/>
    <n v="14256.71"/>
    <x v="0"/>
  </r>
  <r>
    <x v="3"/>
    <x v="0"/>
    <x v="7"/>
    <x v="1"/>
    <x v="16"/>
    <x v="1"/>
    <x v="1"/>
    <n v="4"/>
    <n v="20070.37"/>
    <n v="51428.24"/>
    <x v="0"/>
  </r>
  <r>
    <x v="3"/>
    <x v="0"/>
    <x v="7"/>
    <x v="1"/>
    <x v="17"/>
    <x v="0"/>
    <x v="1"/>
    <n v="2"/>
    <n v="7765.09"/>
    <n v="29791.77"/>
    <x v="0"/>
  </r>
  <r>
    <x v="3"/>
    <x v="0"/>
    <x v="7"/>
    <x v="1"/>
    <x v="17"/>
    <x v="1"/>
    <x v="0"/>
    <n v="9"/>
    <n v="42404.47"/>
    <n v="110597.87"/>
    <x v="0"/>
  </r>
  <r>
    <x v="3"/>
    <x v="0"/>
    <x v="7"/>
    <x v="1"/>
    <x v="17"/>
    <x v="1"/>
    <x v="1"/>
    <n v="1"/>
    <n v="4110.76"/>
    <n v="10340.450000000001"/>
    <x v="0"/>
  </r>
  <r>
    <x v="3"/>
    <x v="0"/>
    <x v="7"/>
    <x v="1"/>
    <x v="18"/>
    <x v="0"/>
    <x v="1"/>
    <n v="13"/>
    <n v="63163.22"/>
    <n v="244427.92"/>
    <x v="0"/>
  </r>
  <r>
    <x v="3"/>
    <x v="0"/>
    <x v="7"/>
    <x v="1"/>
    <x v="18"/>
    <x v="1"/>
    <x v="0"/>
    <n v="14"/>
    <n v="70105.289999999994"/>
    <n v="189641.52"/>
    <x v="0"/>
  </r>
  <r>
    <x v="3"/>
    <x v="0"/>
    <x v="7"/>
    <x v="1"/>
    <x v="18"/>
    <x v="1"/>
    <x v="1"/>
    <n v="22"/>
    <n v="105814.95"/>
    <n v="286109.28000000003"/>
    <x v="0"/>
  </r>
  <r>
    <x v="3"/>
    <x v="0"/>
    <x v="7"/>
    <x v="1"/>
    <x v="19"/>
    <x v="0"/>
    <x v="1"/>
    <n v="1"/>
    <n v="5607.48"/>
    <n v="21666.74"/>
    <x v="0"/>
  </r>
  <r>
    <x v="3"/>
    <x v="0"/>
    <x v="7"/>
    <x v="1"/>
    <x v="19"/>
    <x v="1"/>
    <x v="0"/>
    <n v="11"/>
    <n v="47222.17"/>
    <n v="121390.63"/>
    <x v="0"/>
  </r>
  <r>
    <x v="3"/>
    <x v="0"/>
    <x v="7"/>
    <x v="1"/>
    <x v="19"/>
    <x v="1"/>
    <x v="1"/>
    <n v="12"/>
    <n v="49585.61"/>
    <n v="124654.82"/>
    <x v="0"/>
  </r>
  <r>
    <x v="3"/>
    <x v="0"/>
    <x v="7"/>
    <x v="1"/>
    <x v="20"/>
    <x v="0"/>
    <x v="1"/>
    <n v="2"/>
    <n v="9145.9699999999993"/>
    <n v="35885.54"/>
    <x v="0"/>
  </r>
  <r>
    <x v="3"/>
    <x v="0"/>
    <x v="7"/>
    <x v="1"/>
    <x v="20"/>
    <x v="1"/>
    <x v="0"/>
    <n v="9"/>
    <n v="36710.07"/>
    <n v="93332.31"/>
    <x v="0"/>
  </r>
  <r>
    <x v="3"/>
    <x v="0"/>
    <x v="7"/>
    <x v="1"/>
    <x v="20"/>
    <x v="1"/>
    <x v="1"/>
    <n v="17"/>
    <n v="82528.160000000003"/>
    <n v="210088.85"/>
    <x v="0"/>
  </r>
  <r>
    <x v="3"/>
    <x v="0"/>
    <x v="7"/>
    <x v="2"/>
    <x v="21"/>
    <x v="1"/>
    <x v="1"/>
    <n v="1"/>
    <n v="3800.83"/>
    <n v="8659.25"/>
    <x v="0"/>
  </r>
  <r>
    <x v="3"/>
    <x v="0"/>
    <x v="7"/>
    <x v="2"/>
    <x v="22"/>
    <x v="0"/>
    <x v="1"/>
    <n v="6"/>
    <n v="28387.599999999999"/>
    <n v="107656.62"/>
    <x v="0"/>
  </r>
  <r>
    <x v="3"/>
    <x v="0"/>
    <x v="7"/>
    <x v="2"/>
    <x v="22"/>
    <x v="1"/>
    <x v="0"/>
    <n v="1"/>
    <n v="3551.3"/>
    <n v="8659.25"/>
    <x v="0"/>
  </r>
  <r>
    <x v="3"/>
    <x v="0"/>
    <x v="7"/>
    <x v="2"/>
    <x v="22"/>
    <x v="1"/>
    <x v="1"/>
    <n v="3"/>
    <n v="15187.54"/>
    <n v="34777.51"/>
    <x v="0"/>
  </r>
  <r>
    <x v="3"/>
    <x v="0"/>
    <x v="7"/>
    <x v="2"/>
    <x v="23"/>
    <x v="1"/>
    <x v="1"/>
    <n v="2"/>
    <n v="11226.54"/>
    <n v="27473.43"/>
    <x v="0"/>
  </r>
  <r>
    <x v="3"/>
    <x v="0"/>
    <x v="7"/>
    <x v="2"/>
    <x v="24"/>
    <x v="0"/>
    <x v="1"/>
    <n v="3"/>
    <n v="16413.54"/>
    <n v="65000.22"/>
    <x v="0"/>
  </r>
  <r>
    <x v="3"/>
    <x v="0"/>
    <x v="7"/>
    <x v="3"/>
    <x v="25"/>
    <x v="0"/>
    <x v="1"/>
    <n v="1"/>
    <n v="5393.73"/>
    <n v="21666.74"/>
    <x v="0"/>
  </r>
  <r>
    <x v="3"/>
    <x v="0"/>
    <x v="7"/>
    <x v="3"/>
    <x v="25"/>
    <x v="1"/>
    <x v="0"/>
    <n v="16"/>
    <n v="62674.33"/>
    <n v="168824.52"/>
    <x v="0"/>
  </r>
  <r>
    <x v="3"/>
    <x v="0"/>
    <x v="7"/>
    <x v="3"/>
    <x v="25"/>
    <x v="1"/>
    <x v="1"/>
    <n v="1"/>
    <n v="3390.34"/>
    <n v="9276.07"/>
    <x v="0"/>
  </r>
  <r>
    <x v="3"/>
    <x v="0"/>
    <x v="7"/>
    <x v="3"/>
    <x v="26"/>
    <x v="0"/>
    <x v="0"/>
    <n v="3"/>
    <n v="17143.82"/>
    <n v="65000.22"/>
    <x v="0"/>
  </r>
  <r>
    <x v="3"/>
    <x v="0"/>
    <x v="7"/>
    <x v="3"/>
    <x v="26"/>
    <x v="1"/>
    <x v="0"/>
    <n v="5"/>
    <n v="20752.73"/>
    <n v="54193.94"/>
    <x v="0"/>
  </r>
  <r>
    <x v="3"/>
    <x v="0"/>
    <x v="7"/>
    <x v="3"/>
    <x v="26"/>
    <x v="1"/>
    <x v="1"/>
    <n v="25"/>
    <n v="118571.14"/>
    <n v="312549.5"/>
    <x v="0"/>
  </r>
  <r>
    <x v="3"/>
    <x v="0"/>
    <x v="7"/>
    <x v="3"/>
    <x v="27"/>
    <x v="0"/>
    <x v="0"/>
    <n v="1"/>
    <n v="5699.19"/>
    <n v="21666.74"/>
    <x v="0"/>
  </r>
  <r>
    <x v="3"/>
    <x v="0"/>
    <x v="7"/>
    <x v="3"/>
    <x v="27"/>
    <x v="0"/>
    <x v="1"/>
    <n v="7"/>
    <n v="35389.379999999997"/>
    <n v="137448.38"/>
    <x v="0"/>
  </r>
  <r>
    <x v="3"/>
    <x v="0"/>
    <x v="7"/>
    <x v="3"/>
    <x v="27"/>
    <x v="1"/>
    <x v="0"/>
    <n v="8"/>
    <n v="45467.8"/>
    <n v="114648.05"/>
    <x v="0"/>
  </r>
  <r>
    <x v="3"/>
    <x v="0"/>
    <x v="7"/>
    <x v="3"/>
    <x v="27"/>
    <x v="1"/>
    <x v="1"/>
    <n v="17"/>
    <n v="85678.15"/>
    <n v="221318.29"/>
    <x v="0"/>
  </r>
  <r>
    <x v="3"/>
    <x v="0"/>
    <x v="8"/>
    <x v="0"/>
    <x v="0"/>
    <x v="0"/>
    <x v="1"/>
    <n v="1"/>
    <n v="2721.66"/>
    <n v="9845.6200000000008"/>
    <x v="0"/>
  </r>
  <r>
    <x v="3"/>
    <x v="0"/>
    <x v="8"/>
    <x v="0"/>
    <x v="0"/>
    <x v="1"/>
    <x v="0"/>
    <n v="8"/>
    <n v="29132.83"/>
    <n v="67254.62"/>
    <x v="0"/>
  </r>
  <r>
    <x v="3"/>
    <x v="0"/>
    <x v="8"/>
    <x v="0"/>
    <x v="0"/>
    <x v="1"/>
    <x v="1"/>
    <n v="12"/>
    <n v="37780.800000000003"/>
    <n v="88053.02"/>
    <x v="0"/>
  </r>
  <r>
    <x v="3"/>
    <x v="0"/>
    <x v="8"/>
    <x v="0"/>
    <x v="1"/>
    <x v="0"/>
    <x v="0"/>
    <n v="3"/>
    <n v="10247.59"/>
    <n v="36385.980000000003"/>
    <x v="0"/>
  </r>
  <r>
    <x v="3"/>
    <x v="0"/>
    <x v="8"/>
    <x v="0"/>
    <x v="1"/>
    <x v="0"/>
    <x v="1"/>
    <n v="10"/>
    <n v="31024.25"/>
    <n v="111726.37"/>
    <x v="0"/>
  </r>
  <r>
    <x v="3"/>
    <x v="0"/>
    <x v="8"/>
    <x v="0"/>
    <x v="1"/>
    <x v="1"/>
    <x v="0"/>
    <n v="11"/>
    <n v="35752.42"/>
    <n v="80271.289999999994"/>
    <x v="0"/>
  </r>
  <r>
    <x v="3"/>
    <x v="0"/>
    <x v="8"/>
    <x v="0"/>
    <x v="1"/>
    <x v="1"/>
    <x v="1"/>
    <n v="27"/>
    <n v="79285.899999999994"/>
    <n v="180253.55"/>
    <x v="0"/>
  </r>
  <r>
    <x v="3"/>
    <x v="0"/>
    <x v="8"/>
    <x v="0"/>
    <x v="2"/>
    <x v="0"/>
    <x v="1"/>
    <n v="5"/>
    <n v="18158.28"/>
    <n v="63782.48"/>
    <x v="0"/>
  </r>
  <r>
    <x v="3"/>
    <x v="0"/>
    <x v="8"/>
    <x v="0"/>
    <x v="2"/>
    <x v="1"/>
    <x v="0"/>
    <n v="5"/>
    <n v="15380.02"/>
    <n v="33760.629999999997"/>
    <x v="0"/>
  </r>
  <r>
    <x v="3"/>
    <x v="0"/>
    <x v="8"/>
    <x v="0"/>
    <x v="2"/>
    <x v="1"/>
    <x v="1"/>
    <n v="1"/>
    <n v="3850.25"/>
    <n v="8506.61"/>
    <x v="0"/>
  </r>
  <r>
    <x v="3"/>
    <x v="0"/>
    <x v="8"/>
    <x v="0"/>
    <x v="3"/>
    <x v="0"/>
    <x v="0"/>
    <n v="3"/>
    <n v="9512.34"/>
    <n v="33389.49"/>
    <x v="0"/>
  </r>
  <r>
    <x v="3"/>
    <x v="0"/>
    <x v="8"/>
    <x v="0"/>
    <x v="3"/>
    <x v="0"/>
    <x v="1"/>
    <n v="10"/>
    <n v="31845.9"/>
    <n v="113866.72"/>
    <x v="0"/>
  </r>
  <r>
    <x v="3"/>
    <x v="0"/>
    <x v="8"/>
    <x v="0"/>
    <x v="3"/>
    <x v="1"/>
    <x v="0"/>
    <n v="8"/>
    <n v="27066.34"/>
    <n v="62773.09"/>
    <x v="0"/>
  </r>
  <r>
    <x v="3"/>
    <x v="0"/>
    <x v="8"/>
    <x v="0"/>
    <x v="3"/>
    <x v="1"/>
    <x v="1"/>
    <n v="23"/>
    <n v="81270.399999999994"/>
    <n v="186936.61"/>
    <x v="0"/>
  </r>
  <r>
    <x v="3"/>
    <x v="0"/>
    <x v="8"/>
    <x v="0"/>
    <x v="4"/>
    <x v="1"/>
    <x v="0"/>
    <n v="7"/>
    <n v="20784.8"/>
    <n v="46574.06"/>
    <x v="0"/>
  </r>
  <r>
    <x v="3"/>
    <x v="0"/>
    <x v="8"/>
    <x v="0"/>
    <x v="4"/>
    <x v="1"/>
    <x v="1"/>
    <n v="14"/>
    <n v="47021.35"/>
    <n v="104928.61"/>
    <x v="0"/>
  </r>
  <r>
    <x v="3"/>
    <x v="0"/>
    <x v="8"/>
    <x v="0"/>
    <x v="5"/>
    <x v="0"/>
    <x v="1"/>
    <n v="3"/>
    <n v="11846.61"/>
    <n v="41094.75"/>
    <x v="0"/>
  </r>
  <r>
    <x v="3"/>
    <x v="0"/>
    <x v="8"/>
    <x v="0"/>
    <x v="5"/>
    <x v="1"/>
    <x v="0"/>
    <n v="3"/>
    <n v="11390.16"/>
    <n v="27081.439999999999"/>
    <x v="0"/>
  </r>
  <r>
    <x v="3"/>
    <x v="0"/>
    <x v="8"/>
    <x v="0"/>
    <x v="5"/>
    <x v="1"/>
    <x v="1"/>
    <n v="35"/>
    <n v="121576.29"/>
    <n v="282035.78999999998"/>
    <x v="0"/>
  </r>
  <r>
    <x v="3"/>
    <x v="0"/>
    <x v="8"/>
    <x v="0"/>
    <x v="6"/>
    <x v="0"/>
    <x v="1"/>
    <n v="2"/>
    <n v="7621.86"/>
    <n v="27396.5"/>
    <x v="0"/>
  </r>
  <r>
    <x v="3"/>
    <x v="0"/>
    <x v="8"/>
    <x v="0"/>
    <x v="6"/>
    <x v="1"/>
    <x v="1"/>
    <n v="5"/>
    <n v="19542.41"/>
    <n v="44998.75"/>
    <x v="0"/>
  </r>
  <r>
    <x v="3"/>
    <x v="0"/>
    <x v="8"/>
    <x v="0"/>
    <x v="7"/>
    <x v="1"/>
    <x v="1"/>
    <n v="2"/>
    <n v="8035.92"/>
    <n v="18300.86"/>
    <x v="0"/>
  </r>
  <r>
    <x v="3"/>
    <x v="0"/>
    <x v="8"/>
    <x v="0"/>
    <x v="8"/>
    <x v="0"/>
    <x v="1"/>
    <n v="1"/>
    <n v="2790.36"/>
    <n v="9845.6200000000008"/>
    <x v="0"/>
  </r>
  <r>
    <x v="3"/>
    <x v="0"/>
    <x v="8"/>
    <x v="0"/>
    <x v="8"/>
    <x v="1"/>
    <x v="1"/>
    <n v="3"/>
    <n v="11756.16"/>
    <n v="26177.360000000001"/>
    <x v="0"/>
  </r>
  <r>
    <x v="3"/>
    <x v="0"/>
    <x v="8"/>
    <x v="1"/>
    <x v="9"/>
    <x v="1"/>
    <x v="1"/>
    <n v="4"/>
    <n v="10868.58"/>
    <n v="26331.71"/>
    <x v="0"/>
  </r>
  <r>
    <x v="3"/>
    <x v="0"/>
    <x v="8"/>
    <x v="1"/>
    <x v="31"/>
    <x v="1"/>
    <x v="0"/>
    <n v="9"/>
    <n v="30437.01"/>
    <n v="74972.25"/>
    <x v="0"/>
  </r>
  <r>
    <x v="3"/>
    <x v="0"/>
    <x v="8"/>
    <x v="1"/>
    <x v="10"/>
    <x v="0"/>
    <x v="1"/>
    <n v="6"/>
    <n v="19613.09"/>
    <n v="69347.399999999994"/>
    <x v="0"/>
  </r>
  <r>
    <x v="3"/>
    <x v="0"/>
    <x v="8"/>
    <x v="1"/>
    <x v="10"/>
    <x v="1"/>
    <x v="0"/>
    <n v="18"/>
    <n v="54110.65"/>
    <n v="129915.1"/>
    <x v="0"/>
  </r>
  <r>
    <x v="3"/>
    <x v="0"/>
    <x v="8"/>
    <x v="1"/>
    <x v="10"/>
    <x v="1"/>
    <x v="1"/>
    <n v="26"/>
    <n v="96022.46"/>
    <n v="231682.99"/>
    <x v="0"/>
  </r>
  <r>
    <x v="3"/>
    <x v="0"/>
    <x v="8"/>
    <x v="1"/>
    <x v="11"/>
    <x v="0"/>
    <x v="1"/>
    <n v="15"/>
    <n v="42579.24"/>
    <n v="152393.07"/>
    <x v="0"/>
  </r>
  <r>
    <x v="3"/>
    <x v="0"/>
    <x v="8"/>
    <x v="1"/>
    <x v="11"/>
    <x v="1"/>
    <x v="0"/>
    <n v="9"/>
    <n v="30326.87"/>
    <n v="68203.5"/>
    <x v="0"/>
  </r>
  <r>
    <x v="3"/>
    <x v="0"/>
    <x v="8"/>
    <x v="1"/>
    <x v="11"/>
    <x v="1"/>
    <x v="1"/>
    <n v="25"/>
    <n v="75714.52"/>
    <n v="174189.98"/>
    <x v="0"/>
  </r>
  <r>
    <x v="3"/>
    <x v="0"/>
    <x v="8"/>
    <x v="1"/>
    <x v="12"/>
    <x v="1"/>
    <x v="0"/>
    <n v="2"/>
    <n v="5299.64"/>
    <n v="13468.81"/>
    <x v="0"/>
  </r>
  <r>
    <x v="3"/>
    <x v="0"/>
    <x v="8"/>
    <x v="1"/>
    <x v="12"/>
    <x v="1"/>
    <x v="1"/>
    <n v="5"/>
    <n v="19217.2"/>
    <n v="46848.01"/>
    <x v="0"/>
  </r>
  <r>
    <x v="3"/>
    <x v="0"/>
    <x v="8"/>
    <x v="1"/>
    <x v="13"/>
    <x v="0"/>
    <x v="1"/>
    <n v="5"/>
    <n v="17209.16"/>
    <n v="60785.99"/>
    <x v="0"/>
  </r>
  <r>
    <x v="3"/>
    <x v="0"/>
    <x v="8"/>
    <x v="1"/>
    <x v="13"/>
    <x v="1"/>
    <x v="0"/>
    <n v="8"/>
    <n v="30063.53"/>
    <n v="71129.88"/>
    <x v="0"/>
  </r>
  <r>
    <x v="3"/>
    <x v="0"/>
    <x v="8"/>
    <x v="1"/>
    <x v="13"/>
    <x v="1"/>
    <x v="1"/>
    <n v="13"/>
    <n v="42895.31"/>
    <n v="104945.75"/>
    <x v="0"/>
  </r>
  <r>
    <x v="3"/>
    <x v="0"/>
    <x v="8"/>
    <x v="1"/>
    <x v="14"/>
    <x v="0"/>
    <x v="1"/>
    <n v="2"/>
    <n v="6701.02"/>
    <n v="23543.87"/>
    <x v="0"/>
  </r>
  <r>
    <x v="3"/>
    <x v="0"/>
    <x v="8"/>
    <x v="1"/>
    <x v="14"/>
    <x v="1"/>
    <x v="0"/>
    <n v="10"/>
    <n v="33785.85"/>
    <n v="80638.17"/>
    <x v="0"/>
  </r>
  <r>
    <x v="3"/>
    <x v="0"/>
    <x v="8"/>
    <x v="1"/>
    <x v="14"/>
    <x v="1"/>
    <x v="1"/>
    <n v="4"/>
    <n v="15866.55"/>
    <n v="36222.239999999998"/>
    <x v="0"/>
  </r>
  <r>
    <x v="3"/>
    <x v="0"/>
    <x v="8"/>
    <x v="1"/>
    <x v="15"/>
    <x v="1"/>
    <x v="0"/>
    <n v="5"/>
    <n v="14340.25"/>
    <n v="34016.620000000003"/>
    <x v="0"/>
  </r>
  <r>
    <x v="3"/>
    <x v="0"/>
    <x v="8"/>
    <x v="1"/>
    <x v="15"/>
    <x v="1"/>
    <x v="1"/>
    <n v="1"/>
    <n v="3920.31"/>
    <n v="9465.49"/>
    <x v="0"/>
  </r>
  <r>
    <x v="3"/>
    <x v="0"/>
    <x v="8"/>
    <x v="1"/>
    <x v="16"/>
    <x v="0"/>
    <x v="1"/>
    <n v="4"/>
    <n v="14066.76"/>
    <n v="49656.160000000003"/>
    <x v="0"/>
  </r>
  <r>
    <x v="3"/>
    <x v="0"/>
    <x v="8"/>
    <x v="1"/>
    <x v="16"/>
    <x v="1"/>
    <x v="0"/>
    <n v="5"/>
    <n v="18984.400000000001"/>
    <n v="45067.24"/>
    <x v="0"/>
  </r>
  <r>
    <x v="3"/>
    <x v="0"/>
    <x v="8"/>
    <x v="1"/>
    <x v="16"/>
    <x v="1"/>
    <x v="1"/>
    <n v="3"/>
    <n v="11586.04"/>
    <n v="27040.35"/>
    <x v="0"/>
  </r>
  <r>
    <x v="3"/>
    <x v="0"/>
    <x v="8"/>
    <x v="1"/>
    <x v="17"/>
    <x v="1"/>
    <x v="0"/>
    <n v="12"/>
    <n v="41947.59"/>
    <n v="95416.06"/>
    <x v="0"/>
  </r>
  <r>
    <x v="3"/>
    <x v="0"/>
    <x v="8"/>
    <x v="1"/>
    <x v="17"/>
    <x v="1"/>
    <x v="1"/>
    <n v="6"/>
    <n v="23199.67"/>
    <n v="54573.83"/>
    <x v="0"/>
  </r>
  <r>
    <x v="3"/>
    <x v="0"/>
    <x v="8"/>
    <x v="1"/>
    <x v="18"/>
    <x v="0"/>
    <x v="1"/>
    <n v="18"/>
    <n v="51711.85"/>
    <n v="182786.07"/>
    <x v="0"/>
  </r>
  <r>
    <x v="3"/>
    <x v="0"/>
    <x v="8"/>
    <x v="1"/>
    <x v="18"/>
    <x v="1"/>
    <x v="0"/>
    <n v="7"/>
    <n v="23396.59"/>
    <n v="56824.2"/>
    <x v="0"/>
  </r>
  <r>
    <x v="3"/>
    <x v="0"/>
    <x v="8"/>
    <x v="1"/>
    <x v="18"/>
    <x v="1"/>
    <x v="1"/>
    <n v="15"/>
    <n v="54812.88"/>
    <n v="134470.79"/>
    <x v="0"/>
  </r>
  <r>
    <x v="3"/>
    <x v="0"/>
    <x v="8"/>
    <x v="1"/>
    <x v="19"/>
    <x v="0"/>
    <x v="1"/>
    <n v="1"/>
    <n v="2499.58"/>
    <n v="8989.48"/>
    <x v="0"/>
  </r>
  <r>
    <x v="3"/>
    <x v="0"/>
    <x v="8"/>
    <x v="1"/>
    <x v="19"/>
    <x v="1"/>
    <x v="0"/>
    <n v="9"/>
    <n v="29086.81"/>
    <n v="69533.19"/>
    <x v="0"/>
  </r>
  <r>
    <x v="3"/>
    <x v="0"/>
    <x v="8"/>
    <x v="1"/>
    <x v="19"/>
    <x v="1"/>
    <x v="1"/>
    <n v="14"/>
    <n v="48820.4"/>
    <n v="116561.84"/>
    <x v="0"/>
  </r>
  <r>
    <x v="3"/>
    <x v="0"/>
    <x v="8"/>
    <x v="1"/>
    <x v="20"/>
    <x v="0"/>
    <x v="0"/>
    <n v="3"/>
    <n v="8191.38"/>
    <n v="29536.86"/>
    <x v="0"/>
  </r>
  <r>
    <x v="3"/>
    <x v="0"/>
    <x v="8"/>
    <x v="1"/>
    <x v="20"/>
    <x v="0"/>
    <x v="1"/>
    <n v="9"/>
    <n v="29028.07"/>
    <n v="103164.96"/>
    <x v="0"/>
  </r>
  <r>
    <x v="3"/>
    <x v="0"/>
    <x v="8"/>
    <x v="1"/>
    <x v="20"/>
    <x v="1"/>
    <x v="0"/>
    <n v="13"/>
    <n v="46921.86"/>
    <n v="109695.34"/>
    <x v="0"/>
  </r>
  <r>
    <x v="3"/>
    <x v="0"/>
    <x v="8"/>
    <x v="1"/>
    <x v="20"/>
    <x v="1"/>
    <x v="1"/>
    <n v="34"/>
    <n v="114577.28"/>
    <n v="263834.77"/>
    <x v="0"/>
  </r>
  <r>
    <x v="3"/>
    <x v="0"/>
    <x v="8"/>
    <x v="2"/>
    <x v="21"/>
    <x v="0"/>
    <x v="0"/>
    <n v="3"/>
    <n v="10367.040000000001"/>
    <n v="37242.120000000003"/>
    <x v="0"/>
  </r>
  <r>
    <x v="3"/>
    <x v="0"/>
    <x v="8"/>
    <x v="2"/>
    <x v="21"/>
    <x v="1"/>
    <x v="1"/>
    <n v="1"/>
    <n v="2666.59"/>
    <n v="5995.98"/>
    <x v="0"/>
  </r>
  <r>
    <x v="3"/>
    <x v="0"/>
    <x v="8"/>
    <x v="2"/>
    <x v="22"/>
    <x v="0"/>
    <x v="1"/>
    <n v="4"/>
    <n v="14176.26"/>
    <n v="49656.160000000003"/>
    <x v="0"/>
  </r>
  <r>
    <x v="3"/>
    <x v="0"/>
    <x v="8"/>
    <x v="2"/>
    <x v="22"/>
    <x v="1"/>
    <x v="0"/>
    <n v="3"/>
    <n v="11999.76"/>
    <n v="25026.7"/>
    <x v="0"/>
  </r>
  <r>
    <x v="3"/>
    <x v="0"/>
    <x v="8"/>
    <x v="2"/>
    <x v="22"/>
    <x v="1"/>
    <x v="1"/>
    <n v="10"/>
    <n v="32150.58"/>
    <n v="69084.13"/>
    <x v="0"/>
  </r>
  <r>
    <x v="3"/>
    <x v="0"/>
    <x v="8"/>
    <x v="2"/>
    <x v="29"/>
    <x v="0"/>
    <x v="1"/>
    <n v="3"/>
    <n v="11681.95"/>
    <n v="41094.75"/>
    <x v="0"/>
  </r>
  <r>
    <x v="3"/>
    <x v="0"/>
    <x v="8"/>
    <x v="2"/>
    <x v="29"/>
    <x v="1"/>
    <x v="1"/>
    <n v="4"/>
    <n v="14276.05"/>
    <n v="32344.99"/>
    <x v="0"/>
  </r>
  <r>
    <x v="3"/>
    <x v="0"/>
    <x v="8"/>
    <x v="2"/>
    <x v="23"/>
    <x v="1"/>
    <x v="1"/>
    <n v="5"/>
    <n v="13138.26"/>
    <n v="30125.03"/>
    <x v="0"/>
  </r>
  <r>
    <x v="3"/>
    <x v="0"/>
    <x v="8"/>
    <x v="2"/>
    <x v="24"/>
    <x v="0"/>
    <x v="1"/>
    <n v="3"/>
    <n v="10752.91"/>
    <n v="37242.120000000003"/>
    <x v="0"/>
  </r>
  <r>
    <x v="3"/>
    <x v="0"/>
    <x v="8"/>
    <x v="3"/>
    <x v="25"/>
    <x v="0"/>
    <x v="1"/>
    <n v="3"/>
    <n v="9441.69"/>
    <n v="33389.49"/>
    <x v="0"/>
  </r>
  <r>
    <x v="3"/>
    <x v="0"/>
    <x v="8"/>
    <x v="3"/>
    <x v="25"/>
    <x v="1"/>
    <x v="0"/>
    <n v="15"/>
    <n v="55180.89"/>
    <n v="131153.54"/>
    <x v="0"/>
  </r>
  <r>
    <x v="3"/>
    <x v="0"/>
    <x v="8"/>
    <x v="3"/>
    <x v="25"/>
    <x v="1"/>
    <x v="1"/>
    <n v="11"/>
    <n v="34948.730000000003"/>
    <n v="86795.54"/>
    <x v="0"/>
  </r>
  <r>
    <x v="3"/>
    <x v="0"/>
    <x v="8"/>
    <x v="3"/>
    <x v="26"/>
    <x v="0"/>
    <x v="0"/>
    <n v="4"/>
    <n v="14447.36"/>
    <n v="50940.37"/>
    <x v="0"/>
  </r>
  <r>
    <x v="3"/>
    <x v="0"/>
    <x v="8"/>
    <x v="3"/>
    <x v="26"/>
    <x v="1"/>
    <x v="0"/>
    <n v="7"/>
    <n v="24838.77"/>
    <n v="59939.47"/>
    <x v="0"/>
  </r>
  <r>
    <x v="3"/>
    <x v="0"/>
    <x v="8"/>
    <x v="3"/>
    <x v="26"/>
    <x v="1"/>
    <x v="1"/>
    <n v="12"/>
    <n v="38577.360000000001"/>
    <n v="93631.83"/>
    <x v="0"/>
  </r>
  <r>
    <x v="3"/>
    <x v="0"/>
    <x v="8"/>
    <x v="3"/>
    <x v="27"/>
    <x v="0"/>
    <x v="0"/>
    <n v="1"/>
    <n v="3750.81"/>
    <n v="13698.25"/>
    <x v="0"/>
  </r>
  <r>
    <x v="3"/>
    <x v="0"/>
    <x v="8"/>
    <x v="3"/>
    <x v="27"/>
    <x v="0"/>
    <x v="1"/>
    <n v="13"/>
    <n v="44450.66"/>
    <n v="157101.82"/>
    <x v="0"/>
  </r>
  <r>
    <x v="3"/>
    <x v="0"/>
    <x v="8"/>
    <x v="3"/>
    <x v="27"/>
    <x v="1"/>
    <x v="0"/>
    <n v="13"/>
    <n v="33642.36"/>
    <n v="81724.639999999999"/>
    <x v="0"/>
  </r>
  <r>
    <x v="3"/>
    <x v="0"/>
    <x v="8"/>
    <x v="3"/>
    <x v="27"/>
    <x v="1"/>
    <x v="1"/>
    <n v="42"/>
    <n v="127945.05"/>
    <n v="303045.40999999997"/>
    <x v="0"/>
  </r>
  <r>
    <x v="3"/>
    <x v="0"/>
    <x v="9"/>
    <x v="0"/>
    <x v="0"/>
    <x v="1"/>
    <x v="0"/>
    <n v="8"/>
    <n v="22867.46"/>
    <n v="51819.33"/>
    <x v="0"/>
  </r>
  <r>
    <x v="3"/>
    <x v="0"/>
    <x v="9"/>
    <x v="0"/>
    <x v="0"/>
    <x v="1"/>
    <x v="1"/>
    <n v="7"/>
    <n v="14488.03"/>
    <n v="33061.22"/>
    <x v="0"/>
  </r>
  <r>
    <x v="3"/>
    <x v="0"/>
    <x v="9"/>
    <x v="0"/>
    <x v="1"/>
    <x v="0"/>
    <x v="0"/>
    <n v="1"/>
    <n v="2141.35"/>
    <n v="7529.06"/>
    <x v="0"/>
  </r>
  <r>
    <x v="3"/>
    <x v="0"/>
    <x v="9"/>
    <x v="0"/>
    <x v="1"/>
    <x v="0"/>
    <x v="1"/>
    <n v="3"/>
    <n v="9124.89"/>
    <n v="31191.84"/>
    <x v="0"/>
  </r>
  <r>
    <x v="3"/>
    <x v="0"/>
    <x v="9"/>
    <x v="0"/>
    <x v="1"/>
    <x v="1"/>
    <x v="0"/>
    <n v="9"/>
    <n v="25453.64"/>
    <n v="56480.54"/>
    <x v="0"/>
  </r>
  <r>
    <x v="3"/>
    <x v="0"/>
    <x v="9"/>
    <x v="0"/>
    <x v="1"/>
    <x v="1"/>
    <x v="1"/>
    <n v="28"/>
    <n v="75552.009999999995"/>
    <n v="166675.21"/>
    <x v="0"/>
  </r>
  <r>
    <x v="3"/>
    <x v="0"/>
    <x v="9"/>
    <x v="0"/>
    <x v="2"/>
    <x v="0"/>
    <x v="1"/>
    <n v="2"/>
    <n v="5310.96"/>
    <n v="18643.400000000001"/>
    <x v="0"/>
  </r>
  <r>
    <x v="3"/>
    <x v="0"/>
    <x v="9"/>
    <x v="0"/>
    <x v="2"/>
    <x v="1"/>
    <x v="0"/>
    <n v="6"/>
    <n v="19742.29"/>
    <n v="42747.88"/>
    <x v="0"/>
  </r>
  <r>
    <x v="3"/>
    <x v="0"/>
    <x v="9"/>
    <x v="0"/>
    <x v="2"/>
    <x v="1"/>
    <x v="1"/>
    <n v="10"/>
    <n v="27255.52"/>
    <n v="57289.15"/>
    <x v="0"/>
  </r>
  <r>
    <x v="3"/>
    <x v="0"/>
    <x v="9"/>
    <x v="0"/>
    <x v="3"/>
    <x v="0"/>
    <x v="0"/>
    <n v="2"/>
    <n v="4924.6000000000004"/>
    <n v="16492.240000000002"/>
    <x v="0"/>
  </r>
  <r>
    <x v="3"/>
    <x v="0"/>
    <x v="9"/>
    <x v="0"/>
    <x v="3"/>
    <x v="0"/>
    <x v="1"/>
    <n v="7"/>
    <n v="17372.89"/>
    <n v="59515.46"/>
    <x v="0"/>
  </r>
  <r>
    <x v="3"/>
    <x v="0"/>
    <x v="9"/>
    <x v="0"/>
    <x v="3"/>
    <x v="1"/>
    <x v="0"/>
    <n v="9"/>
    <n v="22302.400000000001"/>
    <n v="49006.5"/>
    <x v="0"/>
  </r>
  <r>
    <x v="3"/>
    <x v="0"/>
    <x v="9"/>
    <x v="0"/>
    <x v="3"/>
    <x v="1"/>
    <x v="1"/>
    <n v="23"/>
    <n v="56424.93"/>
    <n v="126458.2"/>
    <x v="0"/>
  </r>
  <r>
    <x v="3"/>
    <x v="0"/>
    <x v="9"/>
    <x v="0"/>
    <x v="28"/>
    <x v="1"/>
    <x v="1"/>
    <n v="7"/>
    <n v="16909.13"/>
    <n v="38454.17"/>
    <x v="0"/>
  </r>
  <r>
    <x v="3"/>
    <x v="0"/>
    <x v="9"/>
    <x v="0"/>
    <x v="4"/>
    <x v="0"/>
    <x v="1"/>
    <n v="4"/>
    <n v="10872.94"/>
    <n v="37645.32"/>
    <x v="0"/>
  </r>
  <r>
    <x v="3"/>
    <x v="0"/>
    <x v="9"/>
    <x v="0"/>
    <x v="4"/>
    <x v="1"/>
    <x v="0"/>
    <n v="2"/>
    <n v="6665.06"/>
    <n v="14685.26"/>
    <x v="0"/>
  </r>
  <r>
    <x v="3"/>
    <x v="0"/>
    <x v="9"/>
    <x v="0"/>
    <x v="4"/>
    <x v="1"/>
    <x v="1"/>
    <n v="5"/>
    <n v="16867.61"/>
    <n v="36713.15"/>
    <x v="0"/>
  </r>
  <r>
    <x v="3"/>
    <x v="0"/>
    <x v="9"/>
    <x v="0"/>
    <x v="5"/>
    <x v="0"/>
    <x v="1"/>
    <n v="3"/>
    <n v="10268.25"/>
    <n v="34418.58"/>
    <x v="0"/>
  </r>
  <r>
    <x v="3"/>
    <x v="0"/>
    <x v="9"/>
    <x v="0"/>
    <x v="5"/>
    <x v="1"/>
    <x v="1"/>
    <n v="18"/>
    <n v="46700.17"/>
    <n v="104254.07"/>
    <x v="0"/>
  </r>
  <r>
    <x v="3"/>
    <x v="0"/>
    <x v="9"/>
    <x v="0"/>
    <x v="6"/>
    <x v="0"/>
    <x v="1"/>
    <n v="2"/>
    <n v="5403.52"/>
    <n v="19001.919999999998"/>
    <x v="0"/>
  </r>
  <r>
    <x v="3"/>
    <x v="0"/>
    <x v="9"/>
    <x v="0"/>
    <x v="7"/>
    <x v="1"/>
    <x v="1"/>
    <n v="18"/>
    <n v="46494.31"/>
    <n v="106363.63"/>
    <x v="0"/>
  </r>
  <r>
    <x v="3"/>
    <x v="0"/>
    <x v="9"/>
    <x v="0"/>
    <x v="8"/>
    <x v="0"/>
    <x v="1"/>
    <n v="3"/>
    <n v="6749.81"/>
    <n v="23304.240000000002"/>
    <x v="0"/>
  </r>
  <r>
    <x v="3"/>
    <x v="0"/>
    <x v="9"/>
    <x v="0"/>
    <x v="8"/>
    <x v="1"/>
    <x v="1"/>
    <n v="7"/>
    <n v="18319.47"/>
    <n v="40195.18"/>
    <x v="0"/>
  </r>
  <r>
    <x v="3"/>
    <x v="0"/>
    <x v="9"/>
    <x v="1"/>
    <x v="9"/>
    <x v="1"/>
    <x v="1"/>
    <n v="5"/>
    <n v="10496.02"/>
    <n v="25159.97"/>
    <x v="0"/>
  </r>
  <r>
    <x v="3"/>
    <x v="0"/>
    <x v="9"/>
    <x v="1"/>
    <x v="31"/>
    <x v="1"/>
    <x v="0"/>
    <n v="5"/>
    <n v="10089.91"/>
    <n v="24272.54"/>
    <x v="0"/>
  </r>
  <r>
    <x v="3"/>
    <x v="0"/>
    <x v="9"/>
    <x v="1"/>
    <x v="10"/>
    <x v="0"/>
    <x v="0"/>
    <n v="2"/>
    <n v="4229.7"/>
    <n v="14699.6"/>
    <x v="0"/>
  </r>
  <r>
    <x v="3"/>
    <x v="0"/>
    <x v="9"/>
    <x v="1"/>
    <x v="10"/>
    <x v="0"/>
    <x v="1"/>
    <n v="4"/>
    <n v="12037.8"/>
    <n v="41589.120000000003"/>
    <x v="0"/>
  </r>
  <r>
    <x v="3"/>
    <x v="0"/>
    <x v="9"/>
    <x v="1"/>
    <x v="10"/>
    <x v="1"/>
    <x v="0"/>
    <n v="3"/>
    <n v="7530.76"/>
    <n v="17937.11"/>
    <x v="0"/>
  </r>
  <r>
    <x v="3"/>
    <x v="0"/>
    <x v="9"/>
    <x v="1"/>
    <x v="10"/>
    <x v="1"/>
    <x v="1"/>
    <n v="33"/>
    <n v="87042.55"/>
    <n v="202703.21"/>
    <x v="0"/>
  </r>
  <r>
    <x v="3"/>
    <x v="0"/>
    <x v="9"/>
    <x v="1"/>
    <x v="11"/>
    <x v="0"/>
    <x v="1"/>
    <n v="12"/>
    <n v="33149.14"/>
    <n v="113294.5"/>
    <x v="0"/>
  </r>
  <r>
    <x v="3"/>
    <x v="0"/>
    <x v="9"/>
    <x v="1"/>
    <x v="11"/>
    <x v="1"/>
    <x v="0"/>
    <n v="8"/>
    <n v="24336.46"/>
    <n v="54764.98"/>
    <x v="0"/>
  </r>
  <r>
    <x v="3"/>
    <x v="0"/>
    <x v="9"/>
    <x v="1"/>
    <x v="11"/>
    <x v="1"/>
    <x v="1"/>
    <n v="26"/>
    <n v="68234.61"/>
    <n v="150619.96"/>
    <x v="0"/>
  </r>
  <r>
    <x v="3"/>
    <x v="0"/>
    <x v="9"/>
    <x v="1"/>
    <x v="12"/>
    <x v="1"/>
    <x v="0"/>
    <n v="2"/>
    <n v="4331.6400000000003"/>
    <n v="10299.75"/>
    <x v="0"/>
  </r>
  <r>
    <x v="3"/>
    <x v="0"/>
    <x v="9"/>
    <x v="1"/>
    <x v="12"/>
    <x v="1"/>
    <x v="1"/>
    <n v="1"/>
    <n v="2025.28"/>
    <n v="4757.95"/>
    <x v="0"/>
  </r>
  <r>
    <x v="3"/>
    <x v="0"/>
    <x v="9"/>
    <x v="1"/>
    <x v="13"/>
    <x v="1"/>
    <x v="0"/>
    <n v="5"/>
    <n v="17186.599999999999"/>
    <n v="39065.089999999997"/>
    <x v="0"/>
  </r>
  <r>
    <x v="3"/>
    <x v="0"/>
    <x v="9"/>
    <x v="1"/>
    <x v="13"/>
    <x v="1"/>
    <x v="1"/>
    <n v="11"/>
    <n v="27796.720000000001"/>
    <n v="65189.87"/>
    <x v="0"/>
  </r>
  <r>
    <x v="3"/>
    <x v="0"/>
    <x v="9"/>
    <x v="1"/>
    <x v="14"/>
    <x v="0"/>
    <x v="1"/>
    <n v="2"/>
    <n v="5479.85"/>
    <n v="19001.919999999998"/>
    <x v="0"/>
  </r>
  <r>
    <x v="3"/>
    <x v="0"/>
    <x v="9"/>
    <x v="1"/>
    <x v="14"/>
    <x v="1"/>
    <x v="0"/>
    <n v="20"/>
    <n v="52442.49"/>
    <n v="118071.51"/>
    <x v="0"/>
  </r>
  <r>
    <x v="3"/>
    <x v="0"/>
    <x v="9"/>
    <x v="1"/>
    <x v="14"/>
    <x v="1"/>
    <x v="1"/>
    <n v="12"/>
    <n v="30113.16"/>
    <n v="68016.84"/>
    <x v="0"/>
  </r>
  <r>
    <x v="3"/>
    <x v="0"/>
    <x v="9"/>
    <x v="1"/>
    <x v="15"/>
    <x v="1"/>
    <x v="0"/>
    <n v="1"/>
    <n v="2004.25"/>
    <n v="4954.84"/>
    <x v="0"/>
  </r>
  <r>
    <x v="3"/>
    <x v="0"/>
    <x v="9"/>
    <x v="1"/>
    <x v="16"/>
    <x v="1"/>
    <x v="0"/>
    <n v="3"/>
    <n v="7720.81"/>
    <n v="16985.57"/>
    <x v="0"/>
  </r>
  <r>
    <x v="3"/>
    <x v="0"/>
    <x v="9"/>
    <x v="1"/>
    <x v="16"/>
    <x v="1"/>
    <x v="1"/>
    <n v="8"/>
    <n v="22516.02"/>
    <n v="50117.94"/>
    <x v="0"/>
  </r>
  <r>
    <x v="3"/>
    <x v="0"/>
    <x v="9"/>
    <x v="1"/>
    <x v="17"/>
    <x v="0"/>
    <x v="1"/>
    <n v="3"/>
    <n v="8765.6"/>
    <n v="30116.26"/>
    <x v="0"/>
  </r>
  <r>
    <x v="3"/>
    <x v="0"/>
    <x v="9"/>
    <x v="1"/>
    <x v="17"/>
    <x v="1"/>
    <x v="0"/>
    <n v="7"/>
    <n v="22565.79"/>
    <n v="51183.3"/>
    <x v="0"/>
  </r>
  <r>
    <x v="3"/>
    <x v="0"/>
    <x v="9"/>
    <x v="1"/>
    <x v="17"/>
    <x v="1"/>
    <x v="1"/>
    <n v="3"/>
    <n v="10075.64"/>
    <n v="22853.94"/>
    <x v="0"/>
  </r>
  <r>
    <x v="3"/>
    <x v="0"/>
    <x v="9"/>
    <x v="1"/>
    <x v="18"/>
    <x v="0"/>
    <x v="1"/>
    <n v="16"/>
    <n v="41672.9"/>
    <n v="144127.79999999999"/>
    <x v="0"/>
  </r>
  <r>
    <x v="3"/>
    <x v="0"/>
    <x v="9"/>
    <x v="1"/>
    <x v="18"/>
    <x v="1"/>
    <x v="0"/>
    <n v="16"/>
    <n v="43216.5"/>
    <n v="103657.31"/>
    <x v="0"/>
  </r>
  <r>
    <x v="3"/>
    <x v="0"/>
    <x v="9"/>
    <x v="1"/>
    <x v="18"/>
    <x v="1"/>
    <x v="1"/>
    <n v="22"/>
    <n v="58749.46"/>
    <n v="142030.39000000001"/>
    <x v="0"/>
  </r>
  <r>
    <x v="3"/>
    <x v="0"/>
    <x v="9"/>
    <x v="1"/>
    <x v="19"/>
    <x v="0"/>
    <x v="1"/>
    <n v="3"/>
    <n v="8795.83"/>
    <n v="30116.26"/>
    <x v="0"/>
  </r>
  <r>
    <x v="3"/>
    <x v="0"/>
    <x v="9"/>
    <x v="1"/>
    <x v="19"/>
    <x v="1"/>
    <x v="0"/>
    <n v="2"/>
    <n v="6854.88"/>
    <n v="15465.42"/>
    <x v="0"/>
  </r>
  <r>
    <x v="3"/>
    <x v="0"/>
    <x v="9"/>
    <x v="1"/>
    <x v="19"/>
    <x v="1"/>
    <x v="1"/>
    <n v="21"/>
    <n v="45290.87"/>
    <n v="105075.61"/>
    <x v="0"/>
  </r>
  <r>
    <x v="3"/>
    <x v="0"/>
    <x v="9"/>
    <x v="1"/>
    <x v="20"/>
    <x v="0"/>
    <x v="1"/>
    <n v="4"/>
    <n v="9959.2000000000007"/>
    <n v="34418.58"/>
    <x v="0"/>
  </r>
  <r>
    <x v="3"/>
    <x v="0"/>
    <x v="9"/>
    <x v="1"/>
    <x v="20"/>
    <x v="1"/>
    <x v="0"/>
    <n v="13"/>
    <n v="39705.82"/>
    <n v="90564.97"/>
    <x v="0"/>
  </r>
  <r>
    <x v="3"/>
    <x v="0"/>
    <x v="9"/>
    <x v="1"/>
    <x v="20"/>
    <x v="1"/>
    <x v="1"/>
    <n v="8"/>
    <n v="23134.17"/>
    <n v="52176.42"/>
    <x v="0"/>
  </r>
  <r>
    <x v="3"/>
    <x v="0"/>
    <x v="9"/>
    <x v="2"/>
    <x v="21"/>
    <x v="0"/>
    <x v="0"/>
    <n v="2"/>
    <n v="6722.77"/>
    <n v="22945.72"/>
    <x v="0"/>
  </r>
  <r>
    <x v="3"/>
    <x v="0"/>
    <x v="9"/>
    <x v="2"/>
    <x v="22"/>
    <x v="0"/>
    <x v="1"/>
    <n v="3"/>
    <n v="8608.7000000000007"/>
    <n v="30116.26"/>
    <x v="0"/>
  </r>
  <r>
    <x v="3"/>
    <x v="0"/>
    <x v="9"/>
    <x v="2"/>
    <x v="22"/>
    <x v="1"/>
    <x v="0"/>
    <n v="11"/>
    <n v="31149.279999999999"/>
    <n v="65066.19"/>
    <x v="0"/>
  </r>
  <r>
    <x v="3"/>
    <x v="0"/>
    <x v="9"/>
    <x v="2"/>
    <x v="22"/>
    <x v="1"/>
    <x v="1"/>
    <n v="9"/>
    <n v="26668.03"/>
    <n v="55752.69"/>
    <x v="0"/>
  </r>
  <r>
    <x v="3"/>
    <x v="0"/>
    <x v="9"/>
    <x v="2"/>
    <x v="29"/>
    <x v="0"/>
    <x v="1"/>
    <n v="3"/>
    <n v="8752.2900000000009"/>
    <n v="30116.26"/>
    <x v="0"/>
  </r>
  <r>
    <x v="3"/>
    <x v="0"/>
    <x v="9"/>
    <x v="2"/>
    <x v="29"/>
    <x v="1"/>
    <x v="1"/>
    <n v="5"/>
    <n v="14952.26"/>
    <n v="32939.300000000003"/>
    <x v="0"/>
  </r>
  <r>
    <x v="3"/>
    <x v="0"/>
    <x v="9"/>
    <x v="2"/>
    <x v="23"/>
    <x v="1"/>
    <x v="1"/>
    <n v="10"/>
    <n v="33824.300000000003"/>
    <n v="70885.440000000002"/>
    <x v="0"/>
  </r>
  <r>
    <x v="3"/>
    <x v="0"/>
    <x v="9"/>
    <x v="2"/>
    <x v="24"/>
    <x v="0"/>
    <x v="1"/>
    <n v="2"/>
    <n v="4296.49"/>
    <n v="15058.12"/>
    <x v="0"/>
  </r>
  <r>
    <x v="3"/>
    <x v="0"/>
    <x v="9"/>
    <x v="2"/>
    <x v="24"/>
    <x v="1"/>
    <x v="1"/>
    <n v="5"/>
    <n v="10392.700000000001"/>
    <n v="21150.99"/>
    <x v="0"/>
  </r>
  <r>
    <x v="3"/>
    <x v="0"/>
    <x v="9"/>
    <x v="3"/>
    <x v="25"/>
    <x v="0"/>
    <x v="1"/>
    <n v="2"/>
    <n v="4253.74"/>
    <n v="15058.12"/>
    <x v="0"/>
  </r>
  <r>
    <x v="3"/>
    <x v="0"/>
    <x v="9"/>
    <x v="3"/>
    <x v="25"/>
    <x v="1"/>
    <x v="0"/>
    <n v="5"/>
    <n v="16947.79"/>
    <n v="38639.89"/>
    <x v="0"/>
  </r>
  <r>
    <x v="3"/>
    <x v="0"/>
    <x v="9"/>
    <x v="3"/>
    <x v="25"/>
    <x v="1"/>
    <x v="1"/>
    <n v="10"/>
    <n v="29689.48"/>
    <n v="69462.929999999993"/>
    <x v="0"/>
  </r>
  <r>
    <x v="3"/>
    <x v="0"/>
    <x v="9"/>
    <x v="3"/>
    <x v="26"/>
    <x v="0"/>
    <x v="0"/>
    <n v="2"/>
    <n v="4041.01"/>
    <n v="14341.08"/>
    <x v="0"/>
  </r>
  <r>
    <x v="3"/>
    <x v="0"/>
    <x v="9"/>
    <x v="3"/>
    <x v="26"/>
    <x v="1"/>
    <x v="0"/>
    <n v="2"/>
    <n v="6531.74"/>
    <n v="15832.55"/>
    <x v="0"/>
  </r>
  <r>
    <x v="3"/>
    <x v="0"/>
    <x v="9"/>
    <x v="3"/>
    <x v="26"/>
    <x v="1"/>
    <x v="1"/>
    <n v="10"/>
    <n v="27816"/>
    <n v="65804.039999999994"/>
    <x v="0"/>
  </r>
  <r>
    <x v="3"/>
    <x v="0"/>
    <x v="9"/>
    <x v="3"/>
    <x v="27"/>
    <x v="0"/>
    <x v="0"/>
    <n v="3"/>
    <n v="7912.64"/>
    <n v="27248.04"/>
    <x v="0"/>
  </r>
  <r>
    <x v="3"/>
    <x v="0"/>
    <x v="9"/>
    <x v="3"/>
    <x v="27"/>
    <x v="0"/>
    <x v="1"/>
    <n v="10"/>
    <n v="29367.360000000001"/>
    <n v="100746.06"/>
    <x v="0"/>
  </r>
  <r>
    <x v="3"/>
    <x v="0"/>
    <x v="9"/>
    <x v="3"/>
    <x v="27"/>
    <x v="1"/>
    <x v="0"/>
    <n v="9"/>
    <n v="25047.67"/>
    <n v="57698.79"/>
    <x v="0"/>
  </r>
  <r>
    <x v="3"/>
    <x v="0"/>
    <x v="9"/>
    <x v="3"/>
    <x v="27"/>
    <x v="1"/>
    <x v="1"/>
    <n v="20"/>
    <n v="51603.7"/>
    <n v="120147.73"/>
    <x v="0"/>
  </r>
  <r>
    <x v="3"/>
    <x v="1"/>
    <x v="0"/>
    <x v="0"/>
    <x v="0"/>
    <x v="0"/>
    <x v="0"/>
    <n v="3"/>
    <n v="18630.599999999999"/>
    <n v="81837.2"/>
    <x v="1"/>
  </r>
  <r>
    <x v="3"/>
    <x v="1"/>
    <x v="0"/>
    <x v="0"/>
    <x v="0"/>
    <x v="0"/>
    <x v="1"/>
    <n v="3"/>
    <n v="21322.32"/>
    <n v="89935.24"/>
    <x v="1"/>
  </r>
  <r>
    <x v="3"/>
    <x v="1"/>
    <x v="0"/>
    <x v="0"/>
    <x v="0"/>
    <x v="1"/>
    <x v="0"/>
    <n v="5"/>
    <n v="30567.200000000001"/>
    <n v="77645.33"/>
    <x v="1"/>
  </r>
  <r>
    <x v="3"/>
    <x v="1"/>
    <x v="0"/>
    <x v="0"/>
    <x v="0"/>
    <x v="1"/>
    <x v="1"/>
    <n v="4"/>
    <n v="31352.28"/>
    <n v="86960.57"/>
    <x v="1"/>
  </r>
  <r>
    <x v="3"/>
    <x v="1"/>
    <x v="0"/>
    <x v="0"/>
    <x v="1"/>
    <x v="0"/>
    <x v="0"/>
    <n v="5"/>
    <n v="29543.16"/>
    <n v="129415.03"/>
    <x v="1"/>
  </r>
  <r>
    <x v="3"/>
    <x v="1"/>
    <x v="0"/>
    <x v="0"/>
    <x v="1"/>
    <x v="0"/>
    <x v="1"/>
    <n v="2"/>
    <n v="15422.83"/>
    <n v="66397.08"/>
    <x v="1"/>
  </r>
  <r>
    <x v="3"/>
    <x v="1"/>
    <x v="0"/>
    <x v="0"/>
    <x v="1"/>
    <x v="1"/>
    <x v="0"/>
    <n v="17"/>
    <n v="121331.77"/>
    <n v="324531.06"/>
    <x v="1"/>
  </r>
  <r>
    <x v="3"/>
    <x v="1"/>
    <x v="0"/>
    <x v="0"/>
    <x v="1"/>
    <x v="1"/>
    <x v="1"/>
    <n v="24"/>
    <n v="171073.02"/>
    <n v="471408.4"/>
    <x v="1"/>
  </r>
  <r>
    <x v="3"/>
    <x v="1"/>
    <x v="0"/>
    <x v="0"/>
    <x v="2"/>
    <x v="0"/>
    <x v="1"/>
    <n v="10"/>
    <n v="66677.58"/>
    <n v="280450.63"/>
    <x v="1"/>
  </r>
  <r>
    <x v="3"/>
    <x v="1"/>
    <x v="0"/>
    <x v="0"/>
    <x v="2"/>
    <x v="1"/>
    <x v="1"/>
    <n v="7"/>
    <n v="54557.31"/>
    <n v="144807.41"/>
    <x v="1"/>
  </r>
  <r>
    <x v="3"/>
    <x v="1"/>
    <x v="0"/>
    <x v="0"/>
    <x v="3"/>
    <x v="0"/>
    <x v="0"/>
    <n v="4"/>
    <n v="25481.27"/>
    <n v="108967.25"/>
    <x v="1"/>
  </r>
  <r>
    <x v="3"/>
    <x v="1"/>
    <x v="0"/>
    <x v="0"/>
    <x v="3"/>
    <x v="0"/>
    <x v="1"/>
    <n v="5"/>
    <n v="36559.07"/>
    <n v="145712.72"/>
    <x v="1"/>
  </r>
  <r>
    <x v="3"/>
    <x v="1"/>
    <x v="0"/>
    <x v="0"/>
    <x v="3"/>
    <x v="1"/>
    <x v="0"/>
    <n v="1"/>
    <n v="5458.81"/>
    <n v="15223.16"/>
    <x v="1"/>
  </r>
  <r>
    <x v="3"/>
    <x v="1"/>
    <x v="0"/>
    <x v="0"/>
    <x v="3"/>
    <x v="1"/>
    <x v="1"/>
    <n v="31"/>
    <n v="214237.93"/>
    <n v="561507.19999999995"/>
    <x v="1"/>
  </r>
  <r>
    <x v="3"/>
    <x v="1"/>
    <x v="0"/>
    <x v="0"/>
    <x v="4"/>
    <x v="0"/>
    <x v="1"/>
    <n v="4"/>
    <n v="25226.959999999999"/>
    <n v="104427.68"/>
    <x v="1"/>
  </r>
  <r>
    <x v="3"/>
    <x v="1"/>
    <x v="0"/>
    <x v="0"/>
    <x v="4"/>
    <x v="1"/>
    <x v="1"/>
    <n v="5"/>
    <n v="38197.410000000003"/>
    <n v="106107.62"/>
    <x v="1"/>
  </r>
  <r>
    <x v="3"/>
    <x v="1"/>
    <x v="0"/>
    <x v="0"/>
    <x v="5"/>
    <x v="0"/>
    <x v="1"/>
    <n v="2"/>
    <n v="13784.67"/>
    <n v="57074.62"/>
    <x v="1"/>
  </r>
  <r>
    <x v="3"/>
    <x v="1"/>
    <x v="0"/>
    <x v="0"/>
    <x v="5"/>
    <x v="1"/>
    <x v="0"/>
    <n v="1"/>
    <n v="5753.28"/>
    <n v="15617.45"/>
    <x v="1"/>
  </r>
  <r>
    <x v="3"/>
    <x v="1"/>
    <x v="0"/>
    <x v="0"/>
    <x v="5"/>
    <x v="1"/>
    <x v="1"/>
    <n v="21"/>
    <n v="150277.54999999999"/>
    <n v="419012.97"/>
    <x v="1"/>
  </r>
  <r>
    <x v="3"/>
    <x v="1"/>
    <x v="0"/>
    <x v="0"/>
    <x v="6"/>
    <x v="0"/>
    <x v="1"/>
    <n v="1"/>
    <n v="7679.57"/>
    <n v="33191.33"/>
    <x v="1"/>
  </r>
  <r>
    <x v="3"/>
    <x v="1"/>
    <x v="0"/>
    <x v="0"/>
    <x v="7"/>
    <x v="1"/>
    <x v="1"/>
    <n v="2"/>
    <n v="16470.919999999998"/>
    <n v="44595.68"/>
    <x v="1"/>
  </r>
  <r>
    <x v="3"/>
    <x v="1"/>
    <x v="0"/>
    <x v="0"/>
    <x v="8"/>
    <x v="1"/>
    <x v="1"/>
    <n v="10"/>
    <n v="67933.789999999994"/>
    <n v="188405.4"/>
    <x v="1"/>
  </r>
  <r>
    <x v="3"/>
    <x v="1"/>
    <x v="0"/>
    <x v="1"/>
    <x v="30"/>
    <x v="1"/>
    <x v="0"/>
    <n v="2"/>
    <n v="15293.64"/>
    <n v="45138.43"/>
    <x v="1"/>
  </r>
  <r>
    <x v="3"/>
    <x v="1"/>
    <x v="0"/>
    <x v="1"/>
    <x v="9"/>
    <x v="1"/>
    <x v="1"/>
    <n v="2"/>
    <n v="10650.38"/>
    <n v="32453.81"/>
    <x v="1"/>
  </r>
  <r>
    <x v="3"/>
    <x v="1"/>
    <x v="0"/>
    <x v="1"/>
    <x v="31"/>
    <x v="1"/>
    <x v="0"/>
    <n v="5"/>
    <n v="30293.55"/>
    <n v="82018.03"/>
    <x v="1"/>
  </r>
  <r>
    <x v="3"/>
    <x v="1"/>
    <x v="0"/>
    <x v="1"/>
    <x v="10"/>
    <x v="0"/>
    <x v="1"/>
    <n v="7"/>
    <n v="53808.07"/>
    <n v="232035.71"/>
    <x v="1"/>
  </r>
  <r>
    <x v="3"/>
    <x v="1"/>
    <x v="0"/>
    <x v="1"/>
    <x v="10"/>
    <x v="1"/>
    <x v="0"/>
    <n v="11"/>
    <n v="73980.05"/>
    <n v="218143.68"/>
    <x v="1"/>
  </r>
  <r>
    <x v="3"/>
    <x v="1"/>
    <x v="0"/>
    <x v="1"/>
    <x v="10"/>
    <x v="1"/>
    <x v="1"/>
    <n v="19"/>
    <n v="122173.61"/>
    <n v="356798.17"/>
    <x v="1"/>
  </r>
  <r>
    <x v="3"/>
    <x v="1"/>
    <x v="0"/>
    <x v="1"/>
    <x v="11"/>
    <x v="0"/>
    <x v="1"/>
    <n v="8"/>
    <n v="53206.559999999998"/>
    <n v="226406.42"/>
    <x v="1"/>
  </r>
  <r>
    <x v="3"/>
    <x v="1"/>
    <x v="0"/>
    <x v="1"/>
    <x v="11"/>
    <x v="1"/>
    <x v="0"/>
    <n v="8"/>
    <n v="54226.94"/>
    <n v="153611.89000000001"/>
    <x v="1"/>
  </r>
  <r>
    <x v="3"/>
    <x v="1"/>
    <x v="0"/>
    <x v="1"/>
    <x v="11"/>
    <x v="1"/>
    <x v="1"/>
    <n v="21"/>
    <n v="155753.64000000001"/>
    <n v="426268.01"/>
    <x v="1"/>
  </r>
  <r>
    <x v="3"/>
    <x v="1"/>
    <x v="0"/>
    <x v="1"/>
    <x v="12"/>
    <x v="1"/>
    <x v="0"/>
    <n v="3"/>
    <n v="22165.95"/>
    <n v="67460.100000000006"/>
    <x v="1"/>
  </r>
  <r>
    <x v="3"/>
    <x v="1"/>
    <x v="0"/>
    <x v="1"/>
    <x v="12"/>
    <x v="1"/>
    <x v="1"/>
    <n v="14"/>
    <n v="100667.82"/>
    <n v="281235.24"/>
    <x v="1"/>
  </r>
  <r>
    <x v="3"/>
    <x v="1"/>
    <x v="0"/>
    <x v="1"/>
    <x v="13"/>
    <x v="0"/>
    <x v="1"/>
    <n v="2"/>
    <n v="15894.8"/>
    <n v="65905.440000000002"/>
    <x v="1"/>
  </r>
  <r>
    <x v="3"/>
    <x v="1"/>
    <x v="0"/>
    <x v="1"/>
    <x v="13"/>
    <x v="1"/>
    <x v="0"/>
    <n v="5"/>
    <n v="35703.800000000003"/>
    <n v="99856.2"/>
    <x v="1"/>
  </r>
  <r>
    <x v="3"/>
    <x v="1"/>
    <x v="0"/>
    <x v="1"/>
    <x v="13"/>
    <x v="1"/>
    <x v="1"/>
    <n v="9"/>
    <n v="62915.519999999997"/>
    <n v="169847.45"/>
    <x v="1"/>
  </r>
  <r>
    <x v="3"/>
    <x v="1"/>
    <x v="0"/>
    <x v="1"/>
    <x v="14"/>
    <x v="0"/>
    <x v="1"/>
    <n v="4"/>
    <n v="23389.9"/>
    <n v="99674.7"/>
    <x v="1"/>
  </r>
  <r>
    <x v="3"/>
    <x v="1"/>
    <x v="0"/>
    <x v="1"/>
    <x v="14"/>
    <x v="1"/>
    <x v="0"/>
    <n v="4"/>
    <n v="31730.18"/>
    <n v="86775"/>
    <x v="1"/>
  </r>
  <r>
    <x v="3"/>
    <x v="1"/>
    <x v="0"/>
    <x v="1"/>
    <x v="14"/>
    <x v="1"/>
    <x v="1"/>
    <n v="11"/>
    <n v="62099.09"/>
    <n v="175380.51"/>
    <x v="1"/>
  </r>
  <r>
    <x v="3"/>
    <x v="1"/>
    <x v="0"/>
    <x v="1"/>
    <x v="15"/>
    <x v="1"/>
    <x v="0"/>
    <n v="12"/>
    <n v="94398.14"/>
    <n v="273552.11"/>
    <x v="1"/>
  </r>
  <r>
    <x v="3"/>
    <x v="1"/>
    <x v="0"/>
    <x v="1"/>
    <x v="16"/>
    <x v="0"/>
    <x v="1"/>
    <n v="2"/>
    <n v="15383.54"/>
    <n v="65893.78"/>
    <x v="1"/>
  </r>
  <r>
    <x v="3"/>
    <x v="1"/>
    <x v="0"/>
    <x v="1"/>
    <x v="16"/>
    <x v="1"/>
    <x v="0"/>
    <n v="1"/>
    <n v="5849.97"/>
    <n v="15835.77"/>
    <x v="1"/>
  </r>
  <r>
    <x v="3"/>
    <x v="1"/>
    <x v="0"/>
    <x v="1"/>
    <x v="16"/>
    <x v="1"/>
    <x v="1"/>
    <n v="13"/>
    <n v="91832.54"/>
    <n v="253375.5"/>
    <x v="1"/>
  </r>
  <r>
    <x v="3"/>
    <x v="1"/>
    <x v="0"/>
    <x v="1"/>
    <x v="17"/>
    <x v="0"/>
    <x v="1"/>
    <n v="6"/>
    <n v="48271.44"/>
    <n v="198359.4"/>
    <x v="1"/>
  </r>
  <r>
    <x v="3"/>
    <x v="1"/>
    <x v="0"/>
    <x v="1"/>
    <x v="17"/>
    <x v="1"/>
    <x v="0"/>
    <n v="7"/>
    <n v="55273.13"/>
    <n v="152626.4"/>
    <x v="1"/>
  </r>
  <r>
    <x v="3"/>
    <x v="1"/>
    <x v="0"/>
    <x v="1"/>
    <x v="18"/>
    <x v="0"/>
    <x v="1"/>
    <n v="13"/>
    <n v="94873.01"/>
    <n v="400217.63"/>
    <x v="1"/>
  </r>
  <r>
    <x v="3"/>
    <x v="1"/>
    <x v="0"/>
    <x v="1"/>
    <x v="18"/>
    <x v="1"/>
    <x v="0"/>
    <n v="2"/>
    <n v="14896.6"/>
    <n v="46047.3"/>
    <x v="1"/>
  </r>
  <r>
    <x v="3"/>
    <x v="1"/>
    <x v="0"/>
    <x v="1"/>
    <x v="18"/>
    <x v="1"/>
    <x v="1"/>
    <n v="42"/>
    <n v="312826.71999999997"/>
    <n v="908116.83"/>
    <x v="1"/>
  </r>
  <r>
    <x v="3"/>
    <x v="1"/>
    <x v="0"/>
    <x v="1"/>
    <x v="19"/>
    <x v="0"/>
    <x v="1"/>
    <n v="2"/>
    <n v="15917.19"/>
    <n v="66897.48"/>
    <x v="1"/>
  </r>
  <r>
    <x v="3"/>
    <x v="1"/>
    <x v="0"/>
    <x v="1"/>
    <x v="19"/>
    <x v="1"/>
    <x v="0"/>
    <n v="5"/>
    <n v="31143.22"/>
    <n v="92052.92"/>
    <x v="1"/>
  </r>
  <r>
    <x v="3"/>
    <x v="1"/>
    <x v="0"/>
    <x v="1"/>
    <x v="19"/>
    <x v="1"/>
    <x v="1"/>
    <n v="8"/>
    <n v="50676.05"/>
    <n v="136847.62"/>
    <x v="1"/>
  </r>
  <r>
    <x v="3"/>
    <x v="1"/>
    <x v="0"/>
    <x v="1"/>
    <x v="20"/>
    <x v="0"/>
    <x v="1"/>
    <n v="13"/>
    <n v="87044.59"/>
    <n v="387640.85"/>
    <x v="1"/>
  </r>
  <r>
    <x v="3"/>
    <x v="1"/>
    <x v="0"/>
    <x v="1"/>
    <x v="20"/>
    <x v="1"/>
    <x v="0"/>
    <n v="7"/>
    <n v="57718.12"/>
    <n v="158577.53"/>
    <x v="1"/>
  </r>
  <r>
    <x v="3"/>
    <x v="1"/>
    <x v="0"/>
    <x v="1"/>
    <x v="20"/>
    <x v="1"/>
    <x v="1"/>
    <n v="19"/>
    <n v="131331.98000000001"/>
    <n v="366618.03"/>
    <x v="1"/>
  </r>
  <r>
    <x v="3"/>
    <x v="1"/>
    <x v="0"/>
    <x v="2"/>
    <x v="21"/>
    <x v="0"/>
    <x v="0"/>
    <n v="3"/>
    <n v="24254.75"/>
    <n v="100739.51"/>
    <x v="1"/>
  </r>
  <r>
    <x v="3"/>
    <x v="1"/>
    <x v="0"/>
    <x v="2"/>
    <x v="22"/>
    <x v="0"/>
    <x v="1"/>
    <n v="2"/>
    <n v="14426.76"/>
    <n v="56654.14"/>
    <x v="1"/>
  </r>
  <r>
    <x v="3"/>
    <x v="1"/>
    <x v="0"/>
    <x v="2"/>
    <x v="22"/>
    <x v="1"/>
    <x v="0"/>
    <n v="5"/>
    <n v="37209.65"/>
    <n v="101045.71"/>
    <x v="1"/>
  </r>
  <r>
    <x v="3"/>
    <x v="1"/>
    <x v="0"/>
    <x v="2"/>
    <x v="22"/>
    <x v="1"/>
    <x v="1"/>
    <n v="12"/>
    <n v="73450.570000000007"/>
    <n v="196606.02"/>
    <x v="1"/>
  </r>
  <r>
    <x v="3"/>
    <x v="1"/>
    <x v="0"/>
    <x v="2"/>
    <x v="29"/>
    <x v="0"/>
    <x v="1"/>
    <n v="2"/>
    <n v="14092.42"/>
    <n v="57404.2"/>
    <x v="1"/>
  </r>
  <r>
    <x v="3"/>
    <x v="1"/>
    <x v="0"/>
    <x v="2"/>
    <x v="29"/>
    <x v="1"/>
    <x v="1"/>
    <n v="1"/>
    <n v="5834.43"/>
    <n v="15490.44"/>
    <x v="1"/>
  </r>
  <r>
    <x v="3"/>
    <x v="1"/>
    <x v="0"/>
    <x v="2"/>
    <x v="23"/>
    <x v="1"/>
    <x v="1"/>
    <n v="5"/>
    <n v="41589.65"/>
    <n v="104612.94"/>
    <x v="1"/>
  </r>
  <r>
    <x v="3"/>
    <x v="1"/>
    <x v="0"/>
    <x v="3"/>
    <x v="25"/>
    <x v="0"/>
    <x v="1"/>
    <n v="2"/>
    <n v="16332.08"/>
    <n v="66597.850000000006"/>
    <x v="1"/>
  </r>
  <r>
    <x v="3"/>
    <x v="1"/>
    <x v="0"/>
    <x v="3"/>
    <x v="25"/>
    <x v="1"/>
    <x v="0"/>
    <n v="3"/>
    <n v="14438.64"/>
    <n v="44906.720000000001"/>
    <x v="1"/>
  </r>
  <r>
    <x v="3"/>
    <x v="1"/>
    <x v="0"/>
    <x v="3"/>
    <x v="25"/>
    <x v="1"/>
    <x v="1"/>
    <n v="21"/>
    <n v="153065.82"/>
    <n v="442895.12"/>
    <x v="1"/>
  </r>
  <r>
    <x v="3"/>
    <x v="1"/>
    <x v="0"/>
    <x v="3"/>
    <x v="26"/>
    <x v="0"/>
    <x v="0"/>
    <n v="7"/>
    <n v="49861.99"/>
    <n v="212853"/>
    <x v="1"/>
  </r>
  <r>
    <x v="3"/>
    <x v="1"/>
    <x v="0"/>
    <x v="3"/>
    <x v="26"/>
    <x v="0"/>
    <x v="1"/>
    <n v="3"/>
    <n v="23571.45"/>
    <n v="100329.05"/>
    <x v="1"/>
  </r>
  <r>
    <x v="3"/>
    <x v="1"/>
    <x v="0"/>
    <x v="3"/>
    <x v="26"/>
    <x v="1"/>
    <x v="0"/>
    <n v="8"/>
    <n v="48895.86"/>
    <n v="138836.25"/>
    <x v="1"/>
  </r>
  <r>
    <x v="3"/>
    <x v="1"/>
    <x v="0"/>
    <x v="3"/>
    <x v="26"/>
    <x v="1"/>
    <x v="1"/>
    <n v="18"/>
    <n v="128080.71"/>
    <n v="359762.39"/>
    <x v="1"/>
  </r>
  <r>
    <x v="3"/>
    <x v="1"/>
    <x v="0"/>
    <x v="3"/>
    <x v="27"/>
    <x v="0"/>
    <x v="0"/>
    <n v="8"/>
    <n v="60312.25"/>
    <n v="247546.31"/>
    <x v="1"/>
  </r>
  <r>
    <x v="3"/>
    <x v="1"/>
    <x v="0"/>
    <x v="3"/>
    <x v="27"/>
    <x v="0"/>
    <x v="1"/>
    <n v="17"/>
    <n v="114102.78"/>
    <n v="490736.75"/>
    <x v="1"/>
  </r>
  <r>
    <x v="3"/>
    <x v="1"/>
    <x v="0"/>
    <x v="3"/>
    <x v="27"/>
    <x v="1"/>
    <x v="0"/>
    <n v="7"/>
    <n v="53484.77"/>
    <n v="150610.85"/>
    <x v="1"/>
  </r>
  <r>
    <x v="3"/>
    <x v="1"/>
    <x v="0"/>
    <x v="3"/>
    <x v="27"/>
    <x v="1"/>
    <x v="1"/>
    <n v="31"/>
    <n v="213639.11"/>
    <n v="584592.12"/>
    <x v="1"/>
  </r>
  <r>
    <x v="3"/>
    <x v="1"/>
    <x v="1"/>
    <x v="0"/>
    <x v="0"/>
    <x v="0"/>
    <x v="0"/>
    <n v="4"/>
    <n v="13522.83"/>
    <n v="46460.25"/>
    <x v="1"/>
  </r>
  <r>
    <x v="3"/>
    <x v="1"/>
    <x v="1"/>
    <x v="0"/>
    <x v="0"/>
    <x v="0"/>
    <x v="1"/>
    <n v="1"/>
    <n v="3271.13"/>
    <n v="11650.95"/>
    <x v="1"/>
  </r>
  <r>
    <x v="3"/>
    <x v="1"/>
    <x v="1"/>
    <x v="0"/>
    <x v="0"/>
    <x v="1"/>
    <x v="0"/>
    <n v="14"/>
    <n v="38187.78"/>
    <n v="87601.87"/>
    <x v="1"/>
  </r>
  <r>
    <x v="3"/>
    <x v="1"/>
    <x v="1"/>
    <x v="0"/>
    <x v="0"/>
    <x v="1"/>
    <x v="1"/>
    <n v="1"/>
    <n v="2164.71"/>
    <n v="4795.6400000000003"/>
    <x v="1"/>
  </r>
  <r>
    <x v="3"/>
    <x v="1"/>
    <x v="1"/>
    <x v="0"/>
    <x v="1"/>
    <x v="0"/>
    <x v="0"/>
    <n v="3"/>
    <n v="7548.18"/>
    <n v="26228.61"/>
    <x v="1"/>
  </r>
  <r>
    <x v="3"/>
    <x v="1"/>
    <x v="1"/>
    <x v="0"/>
    <x v="1"/>
    <x v="0"/>
    <x v="1"/>
    <n v="3"/>
    <n v="6707.18"/>
    <n v="23090.99"/>
    <x v="1"/>
  </r>
  <r>
    <x v="3"/>
    <x v="1"/>
    <x v="1"/>
    <x v="0"/>
    <x v="1"/>
    <x v="1"/>
    <x v="0"/>
    <n v="5"/>
    <n v="10445.56"/>
    <n v="24699.85"/>
    <x v="1"/>
  </r>
  <r>
    <x v="3"/>
    <x v="1"/>
    <x v="1"/>
    <x v="0"/>
    <x v="1"/>
    <x v="1"/>
    <x v="1"/>
    <n v="21"/>
    <n v="66263.27"/>
    <n v="145238.76999999999"/>
    <x v="1"/>
  </r>
  <r>
    <x v="3"/>
    <x v="1"/>
    <x v="1"/>
    <x v="0"/>
    <x v="2"/>
    <x v="0"/>
    <x v="1"/>
    <n v="4"/>
    <n v="12401.85"/>
    <n v="42265.7"/>
    <x v="1"/>
  </r>
  <r>
    <x v="3"/>
    <x v="1"/>
    <x v="1"/>
    <x v="0"/>
    <x v="2"/>
    <x v="1"/>
    <x v="1"/>
    <n v="4"/>
    <n v="8579.56"/>
    <n v="18901.47"/>
    <x v="1"/>
  </r>
  <r>
    <x v="3"/>
    <x v="1"/>
    <x v="1"/>
    <x v="0"/>
    <x v="3"/>
    <x v="0"/>
    <x v="0"/>
    <n v="3"/>
    <n v="8848.5400000000009"/>
    <n v="30525.4"/>
    <x v="1"/>
  </r>
  <r>
    <x v="3"/>
    <x v="1"/>
    <x v="1"/>
    <x v="0"/>
    <x v="3"/>
    <x v="0"/>
    <x v="1"/>
    <n v="4"/>
    <n v="13406.26"/>
    <n v="45965.5"/>
    <x v="1"/>
  </r>
  <r>
    <x v="3"/>
    <x v="1"/>
    <x v="1"/>
    <x v="0"/>
    <x v="3"/>
    <x v="1"/>
    <x v="0"/>
    <n v="4"/>
    <n v="13510.66"/>
    <n v="29502.26"/>
    <x v="1"/>
  </r>
  <r>
    <x v="3"/>
    <x v="1"/>
    <x v="1"/>
    <x v="0"/>
    <x v="3"/>
    <x v="1"/>
    <x v="1"/>
    <n v="12"/>
    <n v="35958.57"/>
    <n v="78932.02"/>
    <x v="1"/>
  </r>
  <r>
    <x v="3"/>
    <x v="1"/>
    <x v="1"/>
    <x v="0"/>
    <x v="4"/>
    <x v="0"/>
    <x v="1"/>
    <n v="1"/>
    <n v="3532.35"/>
    <n v="11643.32"/>
    <x v="1"/>
  </r>
  <r>
    <x v="3"/>
    <x v="1"/>
    <x v="1"/>
    <x v="0"/>
    <x v="4"/>
    <x v="1"/>
    <x v="0"/>
    <n v="1"/>
    <n v="2073.37"/>
    <n v="4928.66"/>
    <x v="1"/>
  </r>
  <r>
    <x v="3"/>
    <x v="1"/>
    <x v="1"/>
    <x v="0"/>
    <x v="5"/>
    <x v="0"/>
    <x v="1"/>
    <n v="3"/>
    <n v="8812.9"/>
    <n v="30802.03"/>
    <x v="1"/>
  </r>
  <r>
    <x v="3"/>
    <x v="1"/>
    <x v="1"/>
    <x v="0"/>
    <x v="5"/>
    <x v="1"/>
    <x v="1"/>
    <n v="6"/>
    <n v="14819.01"/>
    <n v="34356.559999999998"/>
    <x v="1"/>
  </r>
  <r>
    <x v="3"/>
    <x v="1"/>
    <x v="1"/>
    <x v="0"/>
    <x v="6"/>
    <x v="0"/>
    <x v="1"/>
    <n v="2"/>
    <n v="6802.45"/>
    <n v="23088.59"/>
    <x v="1"/>
  </r>
  <r>
    <x v="3"/>
    <x v="1"/>
    <x v="1"/>
    <x v="0"/>
    <x v="7"/>
    <x v="1"/>
    <x v="1"/>
    <n v="1"/>
    <n v="3319.08"/>
    <n v="7777.74"/>
    <x v="1"/>
  </r>
  <r>
    <x v="3"/>
    <x v="1"/>
    <x v="1"/>
    <x v="0"/>
    <x v="8"/>
    <x v="0"/>
    <x v="1"/>
    <n v="6"/>
    <n v="18403.93"/>
    <n v="64955.360000000001"/>
    <x v="1"/>
  </r>
  <r>
    <x v="3"/>
    <x v="1"/>
    <x v="1"/>
    <x v="1"/>
    <x v="9"/>
    <x v="1"/>
    <x v="1"/>
    <n v="3"/>
    <n v="8925.7999999999993"/>
    <n v="21047.360000000001"/>
    <x v="1"/>
  </r>
  <r>
    <x v="3"/>
    <x v="1"/>
    <x v="1"/>
    <x v="1"/>
    <x v="31"/>
    <x v="1"/>
    <x v="0"/>
    <n v="7"/>
    <n v="21466.9"/>
    <n v="49496.26"/>
    <x v="1"/>
  </r>
  <r>
    <x v="3"/>
    <x v="1"/>
    <x v="1"/>
    <x v="1"/>
    <x v="10"/>
    <x v="0"/>
    <x v="0"/>
    <n v="1"/>
    <n v="2275.96"/>
    <n v="7476.44"/>
    <x v="1"/>
  </r>
  <r>
    <x v="3"/>
    <x v="1"/>
    <x v="1"/>
    <x v="1"/>
    <x v="10"/>
    <x v="1"/>
    <x v="0"/>
    <n v="4"/>
    <n v="12789.07"/>
    <n v="28742.66"/>
    <x v="1"/>
  </r>
  <r>
    <x v="3"/>
    <x v="1"/>
    <x v="1"/>
    <x v="1"/>
    <x v="10"/>
    <x v="1"/>
    <x v="1"/>
    <n v="15"/>
    <n v="36122.089999999997"/>
    <n v="84504.94"/>
    <x v="1"/>
  </r>
  <r>
    <x v="3"/>
    <x v="1"/>
    <x v="1"/>
    <x v="1"/>
    <x v="11"/>
    <x v="0"/>
    <x v="1"/>
    <n v="4"/>
    <n v="11988.51"/>
    <n v="42054.43"/>
    <x v="1"/>
  </r>
  <r>
    <x v="3"/>
    <x v="1"/>
    <x v="1"/>
    <x v="1"/>
    <x v="11"/>
    <x v="1"/>
    <x v="0"/>
    <n v="3"/>
    <n v="8519.59"/>
    <n v="19686.240000000002"/>
    <x v="1"/>
  </r>
  <r>
    <x v="3"/>
    <x v="1"/>
    <x v="1"/>
    <x v="1"/>
    <x v="11"/>
    <x v="1"/>
    <x v="1"/>
    <n v="15"/>
    <n v="39568.22"/>
    <n v="91400.14"/>
    <x v="1"/>
  </r>
  <r>
    <x v="3"/>
    <x v="1"/>
    <x v="1"/>
    <x v="1"/>
    <x v="12"/>
    <x v="1"/>
    <x v="1"/>
    <n v="1"/>
    <n v="2303.5500000000002"/>
    <n v="5140.74"/>
    <x v="1"/>
  </r>
  <r>
    <x v="3"/>
    <x v="1"/>
    <x v="1"/>
    <x v="1"/>
    <x v="13"/>
    <x v="0"/>
    <x v="1"/>
    <n v="1"/>
    <n v="3487.95"/>
    <n v="11669.52"/>
    <x v="1"/>
  </r>
  <r>
    <x v="3"/>
    <x v="1"/>
    <x v="1"/>
    <x v="1"/>
    <x v="13"/>
    <x v="1"/>
    <x v="0"/>
    <n v="1"/>
    <n v="3553.52"/>
    <n v="7931.84"/>
    <x v="1"/>
  </r>
  <r>
    <x v="3"/>
    <x v="1"/>
    <x v="1"/>
    <x v="1"/>
    <x v="13"/>
    <x v="1"/>
    <x v="1"/>
    <n v="6"/>
    <n v="17236.04"/>
    <n v="41293.14"/>
    <x v="1"/>
  </r>
  <r>
    <x v="3"/>
    <x v="1"/>
    <x v="1"/>
    <x v="1"/>
    <x v="14"/>
    <x v="1"/>
    <x v="0"/>
    <n v="1"/>
    <n v="3295.56"/>
    <n v="7694.71"/>
    <x v="1"/>
  </r>
  <r>
    <x v="3"/>
    <x v="1"/>
    <x v="1"/>
    <x v="1"/>
    <x v="14"/>
    <x v="1"/>
    <x v="1"/>
    <n v="7"/>
    <n v="18854.5"/>
    <n v="42695.46"/>
    <x v="1"/>
  </r>
  <r>
    <x v="3"/>
    <x v="1"/>
    <x v="1"/>
    <x v="1"/>
    <x v="16"/>
    <x v="0"/>
    <x v="1"/>
    <n v="3"/>
    <n v="6853.29"/>
    <n v="22934.13"/>
    <x v="1"/>
  </r>
  <r>
    <x v="3"/>
    <x v="1"/>
    <x v="1"/>
    <x v="1"/>
    <x v="16"/>
    <x v="1"/>
    <x v="0"/>
    <n v="2"/>
    <n v="7054.16"/>
    <n v="15193.69"/>
    <x v="1"/>
  </r>
  <r>
    <x v="3"/>
    <x v="1"/>
    <x v="1"/>
    <x v="1"/>
    <x v="16"/>
    <x v="1"/>
    <x v="1"/>
    <n v="14"/>
    <n v="43888.54"/>
    <n v="98486.8"/>
    <x v="1"/>
  </r>
  <r>
    <x v="3"/>
    <x v="1"/>
    <x v="1"/>
    <x v="1"/>
    <x v="17"/>
    <x v="0"/>
    <x v="1"/>
    <n v="1"/>
    <n v="3484.93"/>
    <n v="11425.82"/>
    <x v="1"/>
  </r>
  <r>
    <x v="3"/>
    <x v="1"/>
    <x v="1"/>
    <x v="1"/>
    <x v="17"/>
    <x v="1"/>
    <x v="0"/>
    <n v="14"/>
    <n v="36855.629999999997"/>
    <n v="86944.2"/>
    <x v="1"/>
  </r>
  <r>
    <x v="3"/>
    <x v="1"/>
    <x v="1"/>
    <x v="1"/>
    <x v="18"/>
    <x v="0"/>
    <x v="1"/>
    <n v="12"/>
    <n v="31715.5"/>
    <n v="110182.81"/>
    <x v="1"/>
  </r>
  <r>
    <x v="3"/>
    <x v="1"/>
    <x v="1"/>
    <x v="1"/>
    <x v="18"/>
    <x v="1"/>
    <x v="0"/>
    <n v="2"/>
    <n v="4577.74"/>
    <n v="9974.4599999999991"/>
    <x v="1"/>
  </r>
  <r>
    <x v="3"/>
    <x v="1"/>
    <x v="1"/>
    <x v="1"/>
    <x v="18"/>
    <x v="1"/>
    <x v="1"/>
    <n v="17"/>
    <n v="45284.26"/>
    <n v="108392.61"/>
    <x v="1"/>
  </r>
  <r>
    <x v="3"/>
    <x v="1"/>
    <x v="1"/>
    <x v="1"/>
    <x v="19"/>
    <x v="1"/>
    <x v="0"/>
    <n v="7"/>
    <n v="18168.419999999998"/>
    <n v="42644.38"/>
    <x v="1"/>
  </r>
  <r>
    <x v="3"/>
    <x v="1"/>
    <x v="1"/>
    <x v="1"/>
    <x v="19"/>
    <x v="1"/>
    <x v="1"/>
    <n v="8"/>
    <n v="21968.15"/>
    <n v="51173.67"/>
    <x v="1"/>
  </r>
  <r>
    <x v="3"/>
    <x v="1"/>
    <x v="1"/>
    <x v="1"/>
    <x v="20"/>
    <x v="0"/>
    <x v="1"/>
    <n v="8"/>
    <n v="20896.919999999998"/>
    <n v="75032.91"/>
    <x v="1"/>
  </r>
  <r>
    <x v="3"/>
    <x v="1"/>
    <x v="1"/>
    <x v="1"/>
    <x v="20"/>
    <x v="1"/>
    <x v="0"/>
    <n v="4"/>
    <n v="13883.54"/>
    <n v="31700.9"/>
    <x v="1"/>
  </r>
  <r>
    <x v="3"/>
    <x v="1"/>
    <x v="1"/>
    <x v="1"/>
    <x v="20"/>
    <x v="1"/>
    <x v="1"/>
    <n v="15"/>
    <n v="46399.41"/>
    <n v="111085.1"/>
    <x v="1"/>
  </r>
  <r>
    <x v="3"/>
    <x v="1"/>
    <x v="1"/>
    <x v="2"/>
    <x v="21"/>
    <x v="0"/>
    <x v="0"/>
    <n v="1"/>
    <n v="3237.64"/>
    <n v="11825.83"/>
    <x v="1"/>
  </r>
  <r>
    <x v="3"/>
    <x v="1"/>
    <x v="1"/>
    <x v="2"/>
    <x v="21"/>
    <x v="1"/>
    <x v="1"/>
    <n v="2"/>
    <n v="3964.4"/>
    <n v="8891.0499999999993"/>
    <x v="1"/>
  </r>
  <r>
    <x v="3"/>
    <x v="1"/>
    <x v="1"/>
    <x v="2"/>
    <x v="22"/>
    <x v="0"/>
    <x v="1"/>
    <n v="6"/>
    <n v="19168.830000000002"/>
    <n v="65922.25"/>
    <x v="1"/>
  </r>
  <r>
    <x v="3"/>
    <x v="1"/>
    <x v="1"/>
    <x v="2"/>
    <x v="22"/>
    <x v="1"/>
    <x v="0"/>
    <n v="2"/>
    <n v="4068.42"/>
    <n v="9311.25"/>
    <x v="1"/>
  </r>
  <r>
    <x v="3"/>
    <x v="1"/>
    <x v="1"/>
    <x v="2"/>
    <x v="22"/>
    <x v="1"/>
    <x v="1"/>
    <n v="10"/>
    <n v="23686.82"/>
    <n v="50675.06"/>
    <x v="1"/>
  </r>
  <r>
    <x v="3"/>
    <x v="1"/>
    <x v="1"/>
    <x v="2"/>
    <x v="29"/>
    <x v="0"/>
    <x v="1"/>
    <n v="1"/>
    <n v="3243.6"/>
    <n v="11734.93"/>
    <x v="1"/>
  </r>
  <r>
    <x v="3"/>
    <x v="1"/>
    <x v="1"/>
    <x v="2"/>
    <x v="29"/>
    <x v="1"/>
    <x v="1"/>
    <n v="2"/>
    <n v="3966.36"/>
    <n v="9417.68"/>
    <x v="1"/>
  </r>
  <r>
    <x v="3"/>
    <x v="1"/>
    <x v="1"/>
    <x v="2"/>
    <x v="24"/>
    <x v="0"/>
    <x v="1"/>
    <n v="4"/>
    <n v="11101.17"/>
    <n v="38327.519999999997"/>
    <x v="1"/>
  </r>
  <r>
    <x v="3"/>
    <x v="1"/>
    <x v="1"/>
    <x v="2"/>
    <x v="24"/>
    <x v="1"/>
    <x v="1"/>
    <n v="3"/>
    <n v="10151.42"/>
    <n v="20781.39"/>
    <x v="1"/>
  </r>
  <r>
    <x v="3"/>
    <x v="1"/>
    <x v="1"/>
    <x v="3"/>
    <x v="25"/>
    <x v="0"/>
    <x v="1"/>
    <n v="3"/>
    <n v="10298.16"/>
    <n v="35168.519999999997"/>
    <x v="1"/>
  </r>
  <r>
    <x v="3"/>
    <x v="1"/>
    <x v="1"/>
    <x v="3"/>
    <x v="25"/>
    <x v="1"/>
    <x v="0"/>
    <n v="1"/>
    <n v="2134"/>
    <n v="5181.3100000000004"/>
    <x v="1"/>
  </r>
  <r>
    <x v="3"/>
    <x v="1"/>
    <x v="1"/>
    <x v="3"/>
    <x v="25"/>
    <x v="1"/>
    <x v="1"/>
    <n v="10"/>
    <n v="22989.39"/>
    <n v="54505.21"/>
    <x v="1"/>
  </r>
  <r>
    <x v="3"/>
    <x v="1"/>
    <x v="1"/>
    <x v="3"/>
    <x v="26"/>
    <x v="0"/>
    <x v="0"/>
    <n v="1"/>
    <n v="2090.2800000000002"/>
    <n v="7597.73"/>
    <x v="1"/>
  </r>
  <r>
    <x v="3"/>
    <x v="1"/>
    <x v="1"/>
    <x v="3"/>
    <x v="26"/>
    <x v="0"/>
    <x v="1"/>
    <n v="1"/>
    <n v="3570.61"/>
    <n v="11545.35"/>
    <x v="1"/>
  </r>
  <r>
    <x v="3"/>
    <x v="1"/>
    <x v="1"/>
    <x v="3"/>
    <x v="26"/>
    <x v="1"/>
    <x v="0"/>
    <n v="1"/>
    <n v="3585.08"/>
    <n v="8057.06"/>
    <x v="1"/>
  </r>
  <r>
    <x v="3"/>
    <x v="1"/>
    <x v="1"/>
    <x v="3"/>
    <x v="26"/>
    <x v="1"/>
    <x v="1"/>
    <n v="26"/>
    <n v="70388.61"/>
    <n v="165695.31"/>
    <x v="1"/>
  </r>
  <r>
    <x v="3"/>
    <x v="1"/>
    <x v="1"/>
    <x v="3"/>
    <x v="27"/>
    <x v="0"/>
    <x v="0"/>
    <n v="2"/>
    <n v="3995.14"/>
    <n v="14782.3"/>
    <x v="1"/>
  </r>
  <r>
    <x v="3"/>
    <x v="1"/>
    <x v="1"/>
    <x v="3"/>
    <x v="27"/>
    <x v="0"/>
    <x v="1"/>
    <n v="4"/>
    <n v="9736.9500000000007"/>
    <n v="33869.86"/>
    <x v="1"/>
  </r>
  <r>
    <x v="3"/>
    <x v="1"/>
    <x v="1"/>
    <x v="3"/>
    <x v="27"/>
    <x v="1"/>
    <x v="0"/>
    <n v="6"/>
    <n v="12533.43"/>
    <n v="30730.6"/>
    <x v="1"/>
  </r>
  <r>
    <x v="3"/>
    <x v="1"/>
    <x v="1"/>
    <x v="3"/>
    <x v="27"/>
    <x v="1"/>
    <x v="1"/>
    <n v="14"/>
    <n v="43317.03"/>
    <n v="99151.92"/>
    <x v="1"/>
  </r>
  <r>
    <x v="3"/>
    <x v="1"/>
    <x v="2"/>
    <x v="0"/>
    <x v="0"/>
    <x v="0"/>
    <x v="0"/>
    <n v="1"/>
    <n v="4984.88"/>
    <n v="19547.240000000002"/>
    <x v="1"/>
  </r>
  <r>
    <x v="3"/>
    <x v="1"/>
    <x v="2"/>
    <x v="0"/>
    <x v="0"/>
    <x v="0"/>
    <x v="1"/>
    <n v="1"/>
    <n v="4810.8599999999997"/>
    <n v="20743.73"/>
    <x v="1"/>
  </r>
  <r>
    <x v="3"/>
    <x v="1"/>
    <x v="2"/>
    <x v="0"/>
    <x v="0"/>
    <x v="1"/>
    <x v="0"/>
    <n v="6"/>
    <n v="39185.519999999997"/>
    <n v="105757.47"/>
    <x v="1"/>
  </r>
  <r>
    <x v="3"/>
    <x v="1"/>
    <x v="2"/>
    <x v="0"/>
    <x v="0"/>
    <x v="1"/>
    <x v="1"/>
    <n v="8"/>
    <n v="38601.24"/>
    <n v="107590.91"/>
    <x v="1"/>
  </r>
  <r>
    <x v="3"/>
    <x v="1"/>
    <x v="2"/>
    <x v="0"/>
    <x v="1"/>
    <x v="0"/>
    <x v="0"/>
    <n v="2"/>
    <n v="8689.2800000000007"/>
    <n v="39539.22"/>
    <x v="1"/>
  </r>
  <r>
    <x v="3"/>
    <x v="1"/>
    <x v="2"/>
    <x v="0"/>
    <x v="1"/>
    <x v="0"/>
    <x v="1"/>
    <n v="3"/>
    <n v="14049"/>
    <n v="65917.2"/>
    <x v="1"/>
  </r>
  <r>
    <x v="3"/>
    <x v="1"/>
    <x v="2"/>
    <x v="0"/>
    <x v="1"/>
    <x v="1"/>
    <x v="0"/>
    <n v="14"/>
    <n v="70661.91"/>
    <n v="188961.58"/>
    <x v="1"/>
  </r>
  <r>
    <x v="3"/>
    <x v="1"/>
    <x v="2"/>
    <x v="0"/>
    <x v="1"/>
    <x v="1"/>
    <x v="1"/>
    <n v="24"/>
    <n v="147646.35999999999"/>
    <n v="421325.62"/>
    <x v="1"/>
  </r>
  <r>
    <x v="3"/>
    <x v="1"/>
    <x v="2"/>
    <x v="0"/>
    <x v="2"/>
    <x v="0"/>
    <x v="1"/>
    <n v="8"/>
    <n v="43192.25"/>
    <n v="183344.01"/>
    <x v="1"/>
  </r>
  <r>
    <x v="3"/>
    <x v="1"/>
    <x v="2"/>
    <x v="0"/>
    <x v="2"/>
    <x v="1"/>
    <x v="0"/>
    <n v="3"/>
    <n v="18547.240000000002"/>
    <n v="47481.95"/>
    <x v="1"/>
  </r>
  <r>
    <x v="3"/>
    <x v="1"/>
    <x v="2"/>
    <x v="0"/>
    <x v="2"/>
    <x v="1"/>
    <x v="1"/>
    <n v="3"/>
    <n v="14967.87"/>
    <n v="38370.800000000003"/>
    <x v="1"/>
  </r>
  <r>
    <x v="3"/>
    <x v="1"/>
    <x v="2"/>
    <x v="0"/>
    <x v="3"/>
    <x v="0"/>
    <x v="1"/>
    <n v="4"/>
    <n v="23333.08"/>
    <n v="103458.81"/>
    <x v="1"/>
  </r>
  <r>
    <x v="3"/>
    <x v="1"/>
    <x v="2"/>
    <x v="0"/>
    <x v="3"/>
    <x v="1"/>
    <x v="0"/>
    <n v="9"/>
    <n v="63212.41"/>
    <n v="173878.96"/>
    <x v="1"/>
  </r>
  <r>
    <x v="3"/>
    <x v="1"/>
    <x v="2"/>
    <x v="0"/>
    <x v="3"/>
    <x v="1"/>
    <x v="1"/>
    <n v="18"/>
    <n v="115669.75999999999"/>
    <n v="320527.33"/>
    <x v="1"/>
  </r>
  <r>
    <x v="3"/>
    <x v="1"/>
    <x v="2"/>
    <x v="0"/>
    <x v="28"/>
    <x v="1"/>
    <x v="1"/>
    <n v="3"/>
    <n v="12742.29"/>
    <n v="38299.839999999997"/>
    <x v="1"/>
  </r>
  <r>
    <x v="3"/>
    <x v="1"/>
    <x v="2"/>
    <x v="0"/>
    <x v="4"/>
    <x v="1"/>
    <x v="0"/>
    <n v="1"/>
    <n v="7171.96"/>
    <n v="20226.89"/>
    <x v="1"/>
  </r>
  <r>
    <x v="3"/>
    <x v="1"/>
    <x v="2"/>
    <x v="0"/>
    <x v="4"/>
    <x v="1"/>
    <x v="1"/>
    <n v="6"/>
    <n v="29491.5"/>
    <n v="78719.87"/>
    <x v="1"/>
  </r>
  <r>
    <x v="3"/>
    <x v="1"/>
    <x v="2"/>
    <x v="0"/>
    <x v="5"/>
    <x v="0"/>
    <x v="1"/>
    <n v="7"/>
    <n v="40204.949999999997"/>
    <n v="166627.9"/>
    <x v="1"/>
  </r>
  <r>
    <x v="3"/>
    <x v="1"/>
    <x v="2"/>
    <x v="0"/>
    <x v="5"/>
    <x v="1"/>
    <x v="1"/>
    <n v="22"/>
    <n v="112229.45"/>
    <n v="301365.62"/>
    <x v="1"/>
  </r>
  <r>
    <x v="3"/>
    <x v="1"/>
    <x v="2"/>
    <x v="0"/>
    <x v="6"/>
    <x v="0"/>
    <x v="1"/>
    <n v="1"/>
    <n v="4708.38"/>
    <n v="20497.98"/>
    <x v="1"/>
  </r>
  <r>
    <x v="3"/>
    <x v="1"/>
    <x v="2"/>
    <x v="0"/>
    <x v="7"/>
    <x v="1"/>
    <x v="1"/>
    <n v="12"/>
    <n v="66766.03"/>
    <n v="197686.36"/>
    <x v="1"/>
  </r>
  <r>
    <x v="3"/>
    <x v="1"/>
    <x v="2"/>
    <x v="0"/>
    <x v="8"/>
    <x v="0"/>
    <x v="1"/>
    <n v="3"/>
    <n v="17168.919999999998"/>
    <n v="72390.44"/>
    <x v="1"/>
  </r>
  <r>
    <x v="3"/>
    <x v="1"/>
    <x v="2"/>
    <x v="0"/>
    <x v="8"/>
    <x v="1"/>
    <x v="1"/>
    <n v="12"/>
    <n v="58597.5"/>
    <n v="161038.10999999999"/>
    <x v="1"/>
  </r>
  <r>
    <x v="3"/>
    <x v="1"/>
    <x v="2"/>
    <x v="1"/>
    <x v="9"/>
    <x v="1"/>
    <x v="1"/>
    <n v="2"/>
    <n v="9390.56"/>
    <n v="26628.59"/>
    <x v="1"/>
  </r>
  <r>
    <x v="3"/>
    <x v="1"/>
    <x v="2"/>
    <x v="1"/>
    <x v="31"/>
    <x v="1"/>
    <x v="0"/>
    <n v="5"/>
    <n v="25464.1"/>
    <n v="67503.59"/>
    <x v="1"/>
  </r>
  <r>
    <x v="3"/>
    <x v="1"/>
    <x v="2"/>
    <x v="1"/>
    <x v="10"/>
    <x v="0"/>
    <x v="0"/>
    <n v="1"/>
    <n v="6885.81"/>
    <n v="31059.46"/>
    <x v="1"/>
  </r>
  <r>
    <x v="3"/>
    <x v="1"/>
    <x v="2"/>
    <x v="1"/>
    <x v="10"/>
    <x v="0"/>
    <x v="1"/>
    <n v="4"/>
    <n v="23544.3"/>
    <n v="105019.43"/>
    <x v="1"/>
  </r>
  <r>
    <x v="3"/>
    <x v="1"/>
    <x v="2"/>
    <x v="1"/>
    <x v="10"/>
    <x v="1"/>
    <x v="0"/>
    <n v="10"/>
    <n v="48845.67"/>
    <n v="145688.62"/>
    <x v="1"/>
  </r>
  <r>
    <x v="3"/>
    <x v="1"/>
    <x v="2"/>
    <x v="1"/>
    <x v="10"/>
    <x v="1"/>
    <x v="1"/>
    <n v="22"/>
    <n v="124554.48"/>
    <n v="346137.17"/>
    <x v="1"/>
  </r>
  <r>
    <x v="3"/>
    <x v="1"/>
    <x v="2"/>
    <x v="1"/>
    <x v="11"/>
    <x v="0"/>
    <x v="1"/>
    <n v="12"/>
    <n v="58248.160000000003"/>
    <n v="250954.37"/>
    <x v="1"/>
  </r>
  <r>
    <x v="3"/>
    <x v="1"/>
    <x v="2"/>
    <x v="1"/>
    <x v="11"/>
    <x v="1"/>
    <x v="0"/>
    <n v="11"/>
    <n v="70386.179999999993"/>
    <n v="184745.45"/>
    <x v="1"/>
  </r>
  <r>
    <x v="3"/>
    <x v="1"/>
    <x v="2"/>
    <x v="1"/>
    <x v="11"/>
    <x v="1"/>
    <x v="1"/>
    <n v="29"/>
    <n v="146656"/>
    <n v="402083.3"/>
    <x v="1"/>
  </r>
  <r>
    <x v="3"/>
    <x v="1"/>
    <x v="2"/>
    <x v="1"/>
    <x v="12"/>
    <x v="1"/>
    <x v="1"/>
    <n v="1"/>
    <n v="7647.03"/>
    <n v="21262.34"/>
    <x v="1"/>
  </r>
  <r>
    <x v="3"/>
    <x v="1"/>
    <x v="2"/>
    <x v="1"/>
    <x v="13"/>
    <x v="0"/>
    <x v="1"/>
    <n v="6"/>
    <n v="39200.31"/>
    <n v="169577.57"/>
    <x v="1"/>
  </r>
  <r>
    <x v="3"/>
    <x v="1"/>
    <x v="2"/>
    <x v="1"/>
    <x v="13"/>
    <x v="1"/>
    <x v="0"/>
    <n v="9"/>
    <n v="54425.41"/>
    <n v="153347.18"/>
    <x v="1"/>
  </r>
  <r>
    <x v="3"/>
    <x v="1"/>
    <x v="2"/>
    <x v="1"/>
    <x v="13"/>
    <x v="1"/>
    <x v="1"/>
    <n v="18"/>
    <n v="89814.86"/>
    <n v="265917.38"/>
    <x v="1"/>
  </r>
  <r>
    <x v="3"/>
    <x v="1"/>
    <x v="2"/>
    <x v="1"/>
    <x v="14"/>
    <x v="0"/>
    <x v="1"/>
    <n v="3"/>
    <n v="15166.79"/>
    <n v="61374.54"/>
    <x v="1"/>
  </r>
  <r>
    <x v="3"/>
    <x v="1"/>
    <x v="2"/>
    <x v="1"/>
    <x v="14"/>
    <x v="1"/>
    <x v="0"/>
    <n v="12"/>
    <n v="68106.23"/>
    <n v="180790.49"/>
    <x v="1"/>
  </r>
  <r>
    <x v="3"/>
    <x v="1"/>
    <x v="2"/>
    <x v="1"/>
    <x v="14"/>
    <x v="1"/>
    <x v="1"/>
    <n v="9"/>
    <n v="47222.65"/>
    <n v="133822.21"/>
    <x v="1"/>
  </r>
  <r>
    <x v="3"/>
    <x v="1"/>
    <x v="2"/>
    <x v="1"/>
    <x v="15"/>
    <x v="1"/>
    <x v="0"/>
    <n v="2"/>
    <n v="9178.4699999999993"/>
    <n v="27584.880000000001"/>
    <x v="1"/>
  </r>
  <r>
    <x v="3"/>
    <x v="1"/>
    <x v="2"/>
    <x v="1"/>
    <x v="16"/>
    <x v="1"/>
    <x v="0"/>
    <n v="7"/>
    <n v="35722.1"/>
    <n v="101379.28"/>
    <x v="1"/>
  </r>
  <r>
    <x v="3"/>
    <x v="1"/>
    <x v="2"/>
    <x v="1"/>
    <x v="16"/>
    <x v="1"/>
    <x v="1"/>
    <n v="6"/>
    <n v="29328.97"/>
    <n v="82941.279999999999"/>
    <x v="1"/>
  </r>
  <r>
    <x v="3"/>
    <x v="1"/>
    <x v="2"/>
    <x v="1"/>
    <x v="17"/>
    <x v="0"/>
    <x v="1"/>
    <n v="1"/>
    <n v="7286.27"/>
    <n v="31604.7"/>
    <x v="1"/>
  </r>
  <r>
    <x v="3"/>
    <x v="1"/>
    <x v="2"/>
    <x v="1"/>
    <x v="17"/>
    <x v="1"/>
    <x v="0"/>
    <n v="9"/>
    <n v="46727.46"/>
    <n v="126165.12"/>
    <x v="1"/>
  </r>
  <r>
    <x v="3"/>
    <x v="1"/>
    <x v="2"/>
    <x v="1"/>
    <x v="17"/>
    <x v="1"/>
    <x v="1"/>
    <n v="8"/>
    <n v="45830.62"/>
    <n v="123580.95"/>
    <x v="1"/>
  </r>
  <r>
    <x v="3"/>
    <x v="1"/>
    <x v="2"/>
    <x v="1"/>
    <x v="18"/>
    <x v="0"/>
    <x v="1"/>
    <n v="14"/>
    <n v="79216.34"/>
    <n v="335254.56"/>
    <x v="1"/>
  </r>
  <r>
    <x v="3"/>
    <x v="1"/>
    <x v="2"/>
    <x v="1"/>
    <x v="18"/>
    <x v="1"/>
    <x v="0"/>
    <n v="14"/>
    <n v="77930.55"/>
    <n v="203908.2"/>
    <x v="1"/>
  </r>
  <r>
    <x v="3"/>
    <x v="1"/>
    <x v="2"/>
    <x v="1"/>
    <x v="18"/>
    <x v="1"/>
    <x v="1"/>
    <n v="16"/>
    <n v="93370.51"/>
    <n v="267567.83"/>
    <x v="1"/>
  </r>
  <r>
    <x v="3"/>
    <x v="1"/>
    <x v="2"/>
    <x v="1"/>
    <x v="19"/>
    <x v="0"/>
    <x v="1"/>
    <n v="6"/>
    <n v="38299.550000000003"/>
    <n v="165356.14000000001"/>
    <x v="1"/>
  </r>
  <r>
    <x v="3"/>
    <x v="1"/>
    <x v="2"/>
    <x v="1"/>
    <x v="19"/>
    <x v="1"/>
    <x v="0"/>
    <n v="10"/>
    <n v="64245.09"/>
    <n v="181047.34"/>
    <x v="1"/>
  </r>
  <r>
    <x v="3"/>
    <x v="1"/>
    <x v="2"/>
    <x v="1"/>
    <x v="19"/>
    <x v="1"/>
    <x v="1"/>
    <n v="27"/>
    <n v="156093.88"/>
    <n v="448813.52"/>
    <x v="1"/>
  </r>
  <r>
    <x v="3"/>
    <x v="1"/>
    <x v="2"/>
    <x v="1"/>
    <x v="20"/>
    <x v="0"/>
    <x v="1"/>
    <n v="6"/>
    <n v="33149.5"/>
    <n v="151901.20000000001"/>
    <x v="1"/>
  </r>
  <r>
    <x v="3"/>
    <x v="1"/>
    <x v="2"/>
    <x v="1"/>
    <x v="20"/>
    <x v="1"/>
    <x v="0"/>
    <n v="21"/>
    <n v="114111.62"/>
    <n v="324539.39"/>
    <x v="1"/>
  </r>
  <r>
    <x v="3"/>
    <x v="1"/>
    <x v="2"/>
    <x v="1"/>
    <x v="20"/>
    <x v="1"/>
    <x v="1"/>
    <n v="23"/>
    <n v="120541.45"/>
    <n v="345465.27"/>
    <x v="1"/>
  </r>
  <r>
    <x v="3"/>
    <x v="1"/>
    <x v="2"/>
    <x v="2"/>
    <x v="21"/>
    <x v="0"/>
    <x v="0"/>
    <n v="4"/>
    <n v="22903.42"/>
    <n v="102644.03"/>
    <x v="1"/>
  </r>
  <r>
    <x v="3"/>
    <x v="1"/>
    <x v="2"/>
    <x v="2"/>
    <x v="21"/>
    <x v="1"/>
    <x v="1"/>
    <n v="5"/>
    <n v="23812.9"/>
    <n v="63329.7"/>
    <x v="1"/>
  </r>
  <r>
    <x v="3"/>
    <x v="1"/>
    <x v="2"/>
    <x v="2"/>
    <x v="22"/>
    <x v="0"/>
    <x v="1"/>
    <n v="3"/>
    <n v="17849.59"/>
    <n v="74870.320000000007"/>
    <x v="1"/>
  </r>
  <r>
    <x v="3"/>
    <x v="1"/>
    <x v="2"/>
    <x v="2"/>
    <x v="22"/>
    <x v="1"/>
    <x v="0"/>
    <n v="7"/>
    <n v="39393.69"/>
    <n v="102688.45"/>
    <x v="1"/>
  </r>
  <r>
    <x v="3"/>
    <x v="1"/>
    <x v="2"/>
    <x v="2"/>
    <x v="22"/>
    <x v="1"/>
    <x v="1"/>
    <n v="13"/>
    <n v="74332.17"/>
    <n v="175057.55"/>
    <x v="1"/>
  </r>
  <r>
    <x v="3"/>
    <x v="1"/>
    <x v="2"/>
    <x v="2"/>
    <x v="29"/>
    <x v="0"/>
    <x v="1"/>
    <n v="1"/>
    <n v="4222.87"/>
    <n v="19547.240000000002"/>
    <x v="1"/>
  </r>
  <r>
    <x v="3"/>
    <x v="1"/>
    <x v="2"/>
    <x v="2"/>
    <x v="29"/>
    <x v="1"/>
    <x v="1"/>
    <n v="10"/>
    <n v="51837.05"/>
    <n v="136859.78"/>
    <x v="1"/>
  </r>
  <r>
    <x v="3"/>
    <x v="1"/>
    <x v="2"/>
    <x v="2"/>
    <x v="23"/>
    <x v="1"/>
    <x v="1"/>
    <n v="11"/>
    <n v="59677.599999999999"/>
    <n v="173830.36"/>
    <x v="1"/>
  </r>
  <r>
    <x v="3"/>
    <x v="1"/>
    <x v="2"/>
    <x v="2"/>
    <x v="24"/>
    <x v="0"/>
    <x v="1"/>
    <n v="3"/>
    <n v="16435.740000000002"/>
    <n v="65291.23"/>
    <x v="1"/>
  </r>
  <r>
    <x v="3"/>
    <x v="1"/>
    <x v="2"/>
    <x v="3"/>
    <x v="25"/>
    <x v="0"/>
    <x v="1"/>
    <n v="3"/>
    <n v="17267.419999999998"/>
    <n v="67920.7"/>
    <x v="1"/>
  </r>
  <r>
    <x v="3"/>
    <x v="1"/>
    <x v="2"/>
    <x v="3"/>
    <x v="25"/>
    <x v="1"/>
    <x v="0"/>
    <n v="5"/>
    <n v="23495.31"/>
    <n v="69155.850000000006"/>
    <x v="1"/>
  </r>
  <r>
    <x v="3"/>
    <x v="1"/>
    <x v="2"/>
    <x v="3"/>
    <x v="25"/>
    <x v="1"/>
    <x v="1"/>
    <n v="6"/>
    <n v="41113.629999999997"/>
    <n v="130227.79"/>
    <x v="1"/>
  </r>
  <r>
    <x v="3"/>
    <x v="1"/>
    <x v="2"/>
    <x v="3"/>
    <x v="26"/>
    <x v="0"/>
    <x v="0"/>
    <n v="4"/>
    <n v="25582.78"/>
    <n v="105635.45"/>
    <x v="1"/>
  </r>
  <r>
    <x v="3"/>
    <x v="1"/>
    <x v="2"/>
    <x v="3"/>
    <x v="26"/>
    <x v="0"/>
    <x v="1"/>
    <n v="1"/>
    <n v="5135.5600000000004"/>
    <n v="20497.98"/>
    <x v="1"/>
  </r>
  <r>
    <x v="3"/>
    <x v="1"/>
    <x v="2"/>
    <x v="3"/>
    <x v="26"/>
    <x v="1"/>
    <x v="0"/>
    <n v="3"/>
    <n v="15511.08"/>
    <n v="43591.01"/>
    <x v="1"/>
  </r>
  <r>
    <x v="3"/>
    <x v="1"/>
    <x v="2"/>
    <x v="3"/>
    <x v="26"/>
    <x v="1"/>
    <x v="1"/>
    <n v="14"/>
    <n v="82326.740000000005"/>
    <n v="240699.28"/>
    <x v="1"/>
  </r>
  <r>
    <x v="3"/>
    <x v="1"/>
    <x v="2"/>
    <x v="3"/>
    <x v="27"/>
    <x v="0"/>
    <x v="0"/>
    <n v="1"/>
    <n v="6819.57"/>
    <n v="31593.81"/>
    <x v="1"/>
  </r>
  <r>
    <x v="3"/>
    <x v="1"/>
    <x v="2"/>
    <x v="3"/>
    <x v="27"/>
    <x v="0"/>
    <x v="1"/>
    <n v="8"/>
    <n v="47201.43"/>
    <n v="194587.09"/>
    <x v="1"/>
  </r>
  <r>
    <x v="3"/>
    <x v="1"/>
    <x v="2"/>
    <x v="3"/>
    <x v="27"/>
    <x v="1"/>
    <x v="0"/>
    <n v="20"/>
    <n v="133170.96"/>
    <n v="393664.37"/>
    <x v="1"/>
  </r>
  <r>
    <x v="3"/>
    <x v="1"/>
    <x v="2"/>
    <x v="3"/>
    <x v="27"/>
    <x v="1"/>
    <x v="1"/>
    <n v="40"/>
    <n v="222525.19"/>
    <n v="625917.06999999995"/>
    <x v="1"/>
  </r>
  <r>
    <x v="3"/>
    <x v="1"/>
    <x v="3"/>
    <x v="0"/>
    <x v="0"/>
    <x v="0"/>
    <x v="0"/>
    <n v="2"/>
    <n v="14052.91"/>
    <n v="61600.81"/>
    <x v="1"/>
  </r>
  <r>
    <x v="3"/>
    <x v="1"/>
    <x v="3"/>
    <x v="0"/>
    <x v="0"/>
    <x v="0"/>
    <x v="1"/>
    <n v="1"/>
    <n v="5063.8"/>
    <n v="23905.52"/>
    <x v="1"/>
  </r>
  <r>
    <x v="3"/>
    <x v="1"/>
    <x v="3"/>
    <x v="0"/>
    <x v="0"/>
    <x v="1"/>
    <x v="1"/>
    <n v="5"/>
    <n v="32876.660000000003"/>
    <n v="94307.34"/>
    <x v="1"/>
  </r>
  <r>
    <x v="3"/>
    <x v="1"/>
    <x v="3"/>
    <x v="0"/>
    <x v="1"/>
    <x v="0"/>
    <x v="0"/>
    <n v="4"/>
    <n v="23214.85"/>
    <n v="103348.48"/>
    <x v="1"/>
  </r>
  <r>
    <x v="3"/>
    <x v="1"/>
    <x v="3"/>
    <x v="0"/>
    <x v="1"/>
    <x v="0"/>
    <x v="1"/>
    <n v="2"/>
    <n v="13721.87"/>
    <n v="62210.07"/>
    <x v="1"/>
  </r>
  <r>
    <x v="3"/>
    <x v="1"/>
    <x v="3"/>
    <x v="0"/>
    <x v="1"/>
    <x v="1"/>
    <x v="0"/>
    <n v="20"/>
    <n v="120771.68"/>
    <n v="355658.21"/>
    <x v="1"/>
  </r>
  <r>
    <x v="3"/>
    <x v="1"/>
    <x v="3"/>
    <x v="0"/>
    <x v="1"/>
    <x v="1"/>
    <x v="1"/>
    <n v="12"/>
    <n v="77732.86"/>
    <n v="210315.29"/>
    <x v="1"/>
  </r>
  <r>
    <x v="3"/>
    <x v="1"/>
    <x v="3"/>
    <x v="0"/>
    <x v="2"/>
    <x v="0"/>
    <x v="1"/>
    <n v="7"/>
    <n v="40851.81"/>
    <n v="179457.6"/>
    <x v="1"/>
  </r>
  <r>
    <x v="3"/>
    <x v="1"/>
    <x v="3"/>
    <x v="0"/>
    <x v="2"/>
    <x v="1"/>
    <x v="1"/>
    <n v="9"/>
    <n v="50720.35"/>
    <n v="141923.13"/>
    <x v="1"/>
  </r>
  <r>
    <x v="3"/>
    <x v="1"/>
    <x v="3"/>
    <x v="0"/>
    <x v="3"/>
    <x v="0"/>
    <x v="0"/>
    <n v="7"/>
    <n v="44251.56"/>
    <n v="195743.72"/>
    <x v="1"/>
  </r>
  <r>
    <x v="3"/>
    <x v="1"/>
    <x v="3"/>
    <x v="0"/>
    <x v="3"/>
    <x v="0"/>
    <x v="1"/>
    <n v="13"/>
    <n v="82372.17"/>
    <n v="374351.46"/>
    <x v="1"/>
  </r>
  <r>
    <x v="3"/>
    <x v="1"/>
    <x v="3"/>
    <x v="0"/>
    <x v="3"/>
    <x v="1"/>
    <x v="0"/>
    <n v="20"/>
    <n v="126508.15"/>
    <n v="370499.53"/>
    <x v="1"/>
  </r>
  <r>
    <x v="3"/>
    <x v="1"/>
    <x v="3"/>
    <x v="0"/>
    <x v="3"/>
    <x v="1"/>
    <x v="1"/>
    <n v="30"/>
    <n v="182719.31"/>
    <n v="512791.95"/>
    <x v="1"/>
  </r>
  <r>
    <x v="3"/>
    <x v="1"/>
    <x v="3"/>
    <x v="0"/>
    <x v="28"/>
    <x v="1"/>
    <x v="1"/>
    <n v="3"/>
    <n v="15161.88"/>
    <n v="44952.58"/>
    <x v="1"/>
  </r>
  <r>
    <x v="3"/>
    <x v="1"/>
    <x v="3"/>
    <x v="0"/>
    <x v="4"/>
    <x v="1"/>
    <x v="0"/>
    <n v="13"/>
    <n v="93247.33"/>
    <n v="260524.53"/>
    <x v="1"/>
  </r>
  <r>
    <x v="3"/>
    <x v="1"/>
    <x v="3"/>
    <x v="0"/>
    <x v="4"/>
    <x v="1"/>
    <x v="1"/>
    <n v="2"/>
    <n v="13767.89"/>
    <n v="39173.5"/>
    <x v="1"/>
  </r>
  <r>
    <x v="3"/>
    <x v="1"/>
    <x v="3"/>
    <x v="0"/>
    <x v="5"/>
    <x v="0"/>
    <x v="1"/>
    <n v="7"/>
    <n v="42920.32"/>
    <n v="193691.71"/>
    <x v="1"/>
  </r>
  <r>
    <x v="3"/>
    <x v="1"/>
    <x v="3"/>
    <x v="0"/>
    <x v="5"/>
    <x v="1"/>
    <x v="0"/>
    <n v="6"/>
    <n v="40738.69"/>
    <n v="121784.62"/>
    <x v="1"/>
  </r>
  <r>
    <x v="3"/>
    <x v="1"/>
    <x v="3"/>
    <x v="0"/>
    <x v="5"/>
    <x v="1"/>
    <x v="1"/>
    <n v="21"/>
    <n v="131509.19"/>
    <n v="393553.98"/>
    <x v="1"/>
  </r>
  <r>
    <x v="3"/>
    <x v="1"/>
    <x v="3"/>
    <x v="0"/>
    <x v="6"/>
    <x v="1"/>
    <x v="1"/>
    <n v="4"/>
    <n v="29572.89"/>
    <n v="91978.99"/>
    <x v="1"/>
  </r>
  <r>
    <x v="3"/>
    <x v="1"/>
    <x v="3"/>
    <x v="0"/>
    <x v="7"/>
    <x v="1"/>
    <x v="1"/>
    <n v="2"/>
    <n v="14328.16"/>
    <n v="46540.59"/>
    <x v="1"/>
  </r>
  <r>
    <x v="3"/>
    <x v="1"/>
    <x v="3"/>
    <x v="0"/>
    <x v="8"/>
    <x v="0"/>
    <x v="1"/>
    <n v="5"/>
    <n v="27119.42"/>
    <n v="122068.48"/>
    <x v="1"/>
  </r>
  <r>
    <x v="3"/>
    <x v="1"/>
    <x v="3"/>
    <x v="0"/>
    <x v="8"/>
    <x v="1"/>
    <x v="1"/>
    <n v="1"/>
    <n v="5928.18"/>
    <n v="15835.97"/>
    <x v="1"/>
  </r>
  <r>
    <x v="3"/>
    <x v="1"/>
    <x v="3"/>
    <x v="1"/>
    <x v="9"/>
    <x v="1"/>
    <x v="1"/>
    <n v="1"/>
    <n v="7295.7"/>
    <n v="23953.94"/>
    <x v="1"/>
  </r>
  <r>
    <x v="3"/>
    <x v="1"/>
    <x v="3"/>
    <x v="1"/>
    <x v="31"/>
    <x v="1"/>
    <x v="0"/>
    <n v="2"/>
    <n v="12694.42"/>
    <n v="33929.43"/>
    <x v="1"/>
  </r>
  <r>
    <x v="3"/>
    <x v="1"/>
    <x v="3"/>
    <x v="1"/>
    <x v="10"/>
    <x v="0"/>
    <x v="0"/>
    <n v="4"/>
    <n v="21746.87"/>
    <n v="99972.79"/>
    <x v="1"/>
  </r>
  <r>
    <x v="3"/>
    <x v="1"/>
    <x v="3"/>
    <x v="1"/>
    <x v="10"/>
    <x v="0"/>
    <x v="1"/>
    <n v="3"/>
    <n v="17501.169999999998"/>
    <n v="78730.31"/>
    <x v="1"/>
  </r>
  <r>
    <x v="3"/>
    <x v="1"/>
    <x v="3"/>
    <x v="1"/>
    <x v="10"/>
    <x v="1"/>
    <x v="0"/>
    <n v="29"/>
    <n v="187475.24"/>
    <n v="560072.11"/>
    <x v="1"/>
  </r>
  <r>
    <x v="3"/>
    <x v="1"/>
    <x v="3"/>
    <x v="1"/>
    <x v="10"/>
    <x v="1"/>
    <x v="1"/>
    <n v="12"/>
    <n v="73982.92"/>
    <n v="228428.79"/>
    <x v="1"/>
  </r>
  <r>
    <x v="3"/>
    <x v="1"/>
    <x v="3"/>
    <x v="1"/>
    <x v="11"/>
    <x v="0"/>
    <x v="1"/>
    <n v="17"/>
    <n v="106648.06"/>
    <n v="474474.4"/>
    <x v="1"/>
  </r>
  <r>
    <x v="3"/>
    <x v="1"/>
    <x v="3"/>
    <x v="1"/>
    <x v="11"/>
    <x v="1"/>
    <x v="0"/>
    <n v="3"/>
    <n v="17500.349999999999"/>
    <n v="50838.99"/>
    <x v="1"/>
  </r>
  <r>
    <x v="3"/>
    <x v="1"/>
    <x v="3"/>
    <x v="1"/>
    <x v="11"/>
    <x v="1"/>
    <x v="1"/>
    <n v="52"/>
    <n v="317980.15000000002"/>
    <n v="939200.56"/>
    <x v="1"/>
  </r>
  <r>
    <x v="3"/>
    <x v="1"/>
    <x v="3"/>
    <x v="1"/>
    <x v="12"/>
    <x v="1"/>
    <x v="1"/>
    <n v="3"/>
    <n v="16951.05"/>
    <n v="53763.29"/>
    <x v="1"/>
  </r>
  <r>
    <x v="3"/>
    <x v="1"/>
    <x v="3"/>
    <x v="1"/>
    <x v="13"/>
    <x v="0"/>
    <x v="1"/>
    <n v="3"/>
    <n v="18787.04"/>
    <n v="86735.11"/>
    <x v="1"/>
  </r>
  <r>
    <x v="3"/>
    <x v="1"/>
    <x v="3"/>
    <x v="1"/>
    <x v="13"/>
    <x v="1"/>
    <x v="0"/>
    <n v="6"/>
    <n v="45936.39"/>
    <n v="143275.04"/>
    <x v="1"/>
  </r>
  <r>
    <x v="3"/>
    <x v="1"/>
    <x v="3"/>
    <x v="1"/>
    <x v="13"/>
    <x v="1"/>
    <x v="1"/>
    <n v="6"/>
    <n v="38350.629999999997"/>
    <n v="112101.88"/>
    <x v="1"/>
  </r>
  <r>
    <x v="3"/>
    <x v="1"/>
    <x v="3"/>
    <x v="1"/>
    <x v="14"/>
    <x v="0"/>
    <x v="1"/>
    <n v="4"/>
    <n v="27154.09"/>
    <n v="112375.25"/>
    <x v="1"/>
  </r>
  <r>
    <x v="3"/>
    <x v="1"/>
    <x v="3"/>
    <x v="1"/>
    <x v="14"/>
    <x v="1"/>
    <x v="0"/>
    <n v="17"/>
    <n v="100308.26"/>
    <n v="300752.94"/>
    <x v="1"/>
  </r>
  <r>
    <x v="3"/>
    <x v="1"/>
    <x v="3"/>
    <x v="1"/>
    <x v="14"/>
    <x v="1"/>
    <x v="1"/>
    <n v="10"/>
    <n v="70697.27"/>
    <n v="207947.19"/>
    <x v="1"/>
  </r>
  <r>
    <x v="3"/>
    <x v="1"/>
    <x v="3"/>
    <x v="1"/>
    <x v="15"/>
    <x v="1"/>
    <x v="0"/>
    <n v="3"/>
    <n v="15278.79"/>
    <n v="49314.64"/>
    <x v="1"/>
  </r>
  <r>
    <x v="3"/>
    <x v="1"/>
    <x v="3"/>
    <x v="1"/>
    <x v="15"/>
    <x v="1"/>
    <x v="1"/>
    <n v="5"/>
    <n v="29211"/>
    <n v="89585.02"/>
    <x v="1"/>
  </r>
  <r>
    <x v="3"/>
    <x v="1"/>
    <x v="3"/>
    <x v="1"/>
    <x v="16"/>
    <x v="0"/>
    <x v="1"/>
    <n v="4"/>
    <n v="24559.99"/>
    <n v="113464.05"/>
    <x v="1"/>
  </r>
  <r>
    <x v="3"/>
    <x v="1"/>
    <x v="3"/>
    <x v="1"/>
    <x v="16"/>
    <x v="1"/>
    <x v="0"/>
    <n v="2"/>
    <n v="11431.44"/>
    <n v="34228.239999999998"/>
    <x v="1"/>
  </r>
  <r>
    <x v="3"/>
    <x v="1"/>
    <x v="3"/>
    <x v="1"/>
    <x v="16"/>
    <x v="1"/>
    <x v="1"/>
    <n v="8"/>
    <n v="51105.75"/>
    <n v="147484.49"/>
    <x v="1"/>
  </r>
  <r>
    <x v="3"/>
    <x v="1"/>
    <x v="3"/>
    <x v="1"/>
    <x v="17"/>
    <x v="0"/>
    <x v="1"/>
    <n v="3"/>
    <n v="15927.44"/>
    <n v="71166.009999999995"/>
    <x v="1"/>
  </r>
  <r>
    <x v="3"/>
    <x v="1"/>
    <x v="3"/>
    <x v="1"/>
    <x v="17"/>
    <x v="1"/>
    <x v="0"/>
    <n v="6"/>
    <n v="35145.120000000003"/>
    <n v="103331.77"/>
    <x v="1"/>
  </r>
  <r>
    <x v="3"/>
    <x v="1"/>
    <x v="3"/>
    <x v="1"/>
    <x v="17"/>
    <x v="1"/>
    <x v="1"/>
    <n v="2"/>
    <n v="11603.64"/>
    <n v="33571.53"/>
    <x v="1"/>
  </r>
  <r>
    <x v="3"/>
    <x v="1"/>
    <x v="3"/>
    <x v="1"/>
    <x v="18"/>
    <x v="0"/>
    <x v="1"/>
    <n v="13"/>
    <n v="93240.06"/>
    <n v="413105.63"/>
    <x v="1"/>
  </r>
  <r>
    <x v="3"/>
    <x v="1"/>
    <x v="3"/>
    <x v="1"/>
    <x v="18"/>
    <x v="1"/>
    <x v="1"/>
    <n v="8"/>
    <n v="47319.4"/>
    <n v="143772.95000000001"/>
    <x v="1"/>
  </r>
  <r>
    <x v="3"/>
    <x v="1"/>
    <x v="3"/>
    <x v="1"/>
    <x v="19"/>
    <x v="0"/>
    <x v="1"/>
    <n v="9"/>
    <n v="52072.62"/>
    <n v="238397.35"/>
    <x v="1"/>
  </r>
  <r>
    <x v="3"/>
    <x v="1"/>
    <x v="3"/>
    <x v="1"/>
    <x v="19"/>
    <x v="1"/>
    <x v="0"/>
    <n v="13"/>
    <n v="82248.95"/>
    <n v="258444.47"/>
    <x v="1"/>
  </r>
  <r>
    <x v="3"/>
    <x v="1"/>
    <x v="3"/>
    <x v="1"/>
    <x v="19"/>
    <x v="1"/>
    <x v="1"/>
    <n v="3"/>
    <n v="17937.900000000001"/>
    <n v="54201.67"/>
    <x v="1"/>
  </r>
  <r>
    <x v="3"/>
    <x v="1"/>
    <x v="3"/>
    <x v="1"/>
    <x v="20"/>
    <x v="0"/>
    <x v="0"/>
    <n v="1"/>
    <n v="5869.71"/>
    <n v="27339.98"/>
    <x v="1"/>
  </r>
  <r>
    <x v="3"/>
    <x v="1"/>
    <x v="3"/>
    <x v="1"/>
    <x v="20"/>
    <x v="0"/>
    <x v="1"/>
    <n v="6"/>
    <n v="34701"/>
    <n v="171423.18"/>
    <x v="1"/>
  </r>
  <r>
    <x v="3"/>
    <x v="1"/>
    <x v="3"/>
    <x v="1"/>
    <x v="20"/>
    <x v="1"/>
    <x v="0"/>
    <n v="3"/>
    <n v="19647.38"/>
    <n v="60289.96"/>
    <x v="1"/>
  </r>
  <r>
    <x v="3"/>
    <x v="1"/>
    <x v="3"/>
    <x v="1"/>
    <x v="20"/>
    <x v="1"/>
    <x v="1"/>
    <n v="17"/>
    <n v="107245.43"/>
    <n v="335342.98"/>
    <x v="1"/>
  </r>
  <r>
    <x v="3"/>
    <x v="1"/>
    <x v="3"/>
    <x v="2"/>
    <x v="21"/>
    <x v="0"/>
    <x v="0"/>
    <n v="5"/>
    <n v="37918.68"/>
    <n v="165899.15"/>
    <x v="1"/>
  </r>
  <r>
    <x v="3"/>
    <x v="1"/>
    <x v="3"/>
    <x v="2"/>
    <x v="21"/>
    <x v="1"/>
    <x v="1"/>
    <n v="5"/>
    <n v="25753.85"/>
    <n v="72139.83"/>
    <x v="1"/>
  </r>
  <r>
    <x v="3"/>
    <x v="1"/>
    <x v="3"/>
    <x v="2"/>
    <x v="22"/>
    <x v="0"/>
    <x v="1"/>
    <n v="8"/>
    <n v="49543.1"/>
    <n v="225138"/>
    <x v="1"/>
  </r>
  <r>
    <x v="3"/>
    <x v="1"/>
    <x v="3"/>
    <x v="2"/>
    <x v="22"/>
    <x v="1"/>
    <x v="1"/>
    <n v="5"/>
    <n v="33972.29"/>
    <n v="94588.02"/>
    <x v="1"/>
  </r>
  <r>
    <x v="3"/>
    <x v="1"/>
    <x v="3"/>
    <x v="2"/>
    <x v="29"/>
    <x v="0"/>
    <x v="1"/>
    <n v="4"/>
    <n v="24115.34"/>
    <n v="109217.98"/>
    <x v="1"/>
  </r>
  <r>
    <x v="3"/>
    <x v="1"/>
    <x v="3"/>
    <x v="2"/>
    <x v="29"/>
    <x v="1"/>
    <x v="1"/>
    <n v="2"/>
    <n v="11479.84"/>
    <n v="32602.52"/>
    <x v="1"/>
  </r>
  <r>
    <x v="3"/>
    <x v="1"/>
    <x v="3"/>
    <x v="2"/>
    <x v="23"/>
    <x v="1"/>
    <x v="1"/>
    <n v="1"/>
    <n v="4900.34"/>
    <n v="14630.65"/>
    <x v="1"/>
  </r>
  <r>
    <x v="3"/>
    <x v="1"/>
    <x v="3"/>
    <x v="2"/>
    <x v="24"/>
    <x v="0"/>
    <x v="1"/>
    <n v="3"/>
    <n v="19065.97"/>
    <n v="84209.01"/>
    <x v="1"/>
  </r>
  <r>
    <x v="3"/>
    <x v="1"/>
    <x v="3"/>
    <x v="3"/>
    <x v="25"/>
    <x v="0"/>
    <x v="1"/>
    <n v="3"/>
    <n v="18448.11"/>
    <n v="83835"/>
    <x v="1"/>
  </r>
  <r>
    <x v="3"/>
    <x v="1"/>
    <x v="3"/>
    <x v="3"/>
    <x v="25"/>
    <x v="1"/>
    <x v="0"/>
    <n v="5"/>
    <n v="27977.47"/>
    <n v="88030.35"/>
    <x v="1"/>
  </r>
  <r>
    <x v="3"/>
    <x v="1"/>
    <x v="3"/>
    <x v="3"/>
    <x v="25"/>
    <x v="1"/>
    <x v="1"/>
    <n v="16"/>
    <n v="87448.57"/>
    <n v="272566.17"/>
    <x v="1"/>
  </r>
  <r>
    <x v="3"/>
    <x v="1"/>
    <x v="3"/>
    <x v="3"/>
    <x v="26"/>
    <x v="0"/>
    <x v="0"/>
    <n v="5"/>
    <n v="31196.400000000001"/>
    <n v="133371.85999999999"/>
    <x v="1"/>
  </r>
  <r>
    <x v="3"/>
    <x v="1"/>
    <x v="3"/>
    <x v="3"/>
    <x v="26"/>
    <x v="0"/>
    <x v="1"/>
    <n v="7"/>
    <n v="41736.68"/>
    <n v="187014"/>
    <x v="1"/>
  </r>
  <r>
    <x v="3"/>
    <x v="1"/>
    <x v="3"/>
    <x v="3"/>
    <x v="26"/>
    <x v="1"/>
    <x v="0"/>
    <n v="4"/>
    <n v="20884.48"/>
    <n v="65527.7"/>
    <x v="1"/>
  </r>
  <r>
    <x v="3"/>
    <x v="1"/>
    <x v="3"/>
    <x v="3"/>
    <x v="26"/>
    <x v="1"/>
    <x v="1"/>
    <n v="20"/>
    <n v="115068.65"/>
    <n v="357647"/>
    <x v="1"/>
  </r>
  <r>
    <x v="3"/>
    <x v="1"/>
    <x v="3"/>
    <x v="3"/>
    <x v="27"/>
    <x v="0"/>
    <x v="0"/>
    <n v="2"/>
    <n v="11554.49"/>
    <n v="50538.82"/>
    <x v="1"/>
  </r>
  <r>
    <x v="3"/>
    <x v="1"/>
    <x v="3"/>
    <x v="3"/>
    <x v="27"/>
    <x v="0"/>
    <x v="1"/>
    <n v="7"/>
    <n v="44060.480000000003"/>
    <n v="196094.04"/>
    <x v="1"/>
  </r>
  <r>
    <x v="3"/>
    <x v="1"/>
    <x v="3"/>
    <x v="3"/>
    <x v="27"/>
    <x v="1"/>
    <x v="0"/>
    <n v="33"/>
    <n v="198284.67"/>
    <n v="607343.9"/>
    <x v="1"/>
  </r>
  <r>
    <x v="3"/>
    <x v="1"/>
    <x v="3"/>
    <x v="3"/>
    <x v="27"/>
    <x v="1"/>
    <x v="1"/>
    <n v="32"/>
    <n v="210374.68"/>
    <n v="634605.98"/>
    <x v="1"/>
  </r>
  <r>
    <x v="3"/>
    <x v="1"/>
    <x v="4"/>
    <x v="0"/>
    <x v="0"/>
    <x v="0"/>
    <x v="0"/>
    <n v="2"/>
    <n v="10961.52"/>
    <n v="44311.02"/>
    <x v="1"/>
  </r>
  <r>
    <x v="3"/>
    <x v="1"/>
    <x v="4"/>
    <x v="0"/>
    <x v="0"/>
    <x v="1"/>
    <x v="0"/>
    <n v="4"/>
    <n v="20074.12"/>
    <n v="62216.91"/>
    <x v="1"/>
  </r>
  <r>
    <x v="3"/>
    <x v="1"/>
    <x v="4"/>
    <x v="0"/>
    <x v="0"/>
    <x v="1"/>
    <x v="1"/>
    <n v="6"/>
    <n v="33193.160000000003"/>
    <n v="101383.38"/>
    <x v="1"/>
  </r>
  <r>
    <x v="3"/>
    <x v="1"/>
    <x v="4"/>
    <x v="0"/>
    <x v="1"/>
    <x v="0"/>
    <x v="0"/>
    <n v="1"/>
    <n v="5022.5600000000004"/>
    <n v="22396.03"/>
    <x v="1"/>
  </r>
  <r>
    <x v="3"/>
    <x v="1"/>
    <x v="4"/>
    <x v="0"/>
    <x v="1"/>
    <x v="0"/>
    <x v="1"/>
    <n v="1"/>
    <n v="4970.45"/>
    <n v="22879.5"/>
    <x v="1"/>
  </r>
  <r>
    <x v="3"/>
    <x v="1"/>
    <x v="4"/>
    <x v="0"/>
    <x v="1"/>
    <x v="1"/>
    <x v="0"/>
    <n v="15"/>
    <n v="74078.17"/>
    <n v="220927.43"/>
    <x v="1"/>
  </r>
  <r>
    <x v="3"/>
    <x v="1"/>
    <x v="4"/>
    <x v="0"/>
    <x v="1"/>
    <x v="1"/>
    <x v="1"/>
    <n v="18"/>
    <n v="94193.32"/>
    <n v="273455.42"/>
    <x v="1"/>
  </r>
  <r>
    <x v="3"/>
    <x v="1"/>
    <x v="4"/>
    <x v="0"/>
    <x v="2"/>
    <x v="0"/>
    <x v="1"/>
    <n v="9"/>
    <n v="47458.93"/>
    <n v="217132.25"/>
    <x v="1"/>
  </r>
  <r>
    <x v="3"/>
    <x v="1"/>
    <x v="4"/>
    <x v="0"/>
    <x v="2"/>
    <x v="1"/>
    <x v="1"/>
    <n v="5"/>
    <n v="25106.83"/>
    <n v="73232.86"/>
    <x v="1"/>
  </r>
  <r>
    <x v="3"/>
    <x v="1"/>
    <x v="4"/>
    <x v="0"/>
    <x v="3"/>
    <x v="0"/>
    <x v="0"/>
    <n v="2"/>
    <n v="9593.92"/>
    <n v="43987.07"/>
    <x v="1"/>
  </r>
  <r>
    <x v="3"/>
    <x v="1"/>
    <x v="4"/>
    <x v="0"/>
    <x v="3"/>
    <x v="0"/>
    <x v="1"/>
    <n v="8"/>
    <n v="40513.199999999997"/>
    <n v="177800.03"/>
    <x v="1"/>
  </r>
  <r>
    <x v="3"/>
    <x v="1"/>
    <x v="4"/>
    <x v="0"/>
    <x v="3"/>
    <x v="1"/>
    <x v="0"/>
    <n v="6"/>
    <n v="28415.94"/>
    <n v="85472.57"/>
    <x v="1"/>
  </r>
  <r>
    <x v="3"/>
    <x v="1"/>
    <x v="4"/>
    <x v="0"/>
    <x v="3"/>
    <x v="1"/>
    <x v="1"/>
    <n v="27"/>
    <n v="136690.16"/>
    <n v="388078.46"/>
    <x v="1"/>
  </r>
  <r>
    <x v="3"/>
    <x v="1"/>
    <x v="4"/>
    <x v="0"/>
    <x v="28"/>
    <x v="1"/>
    <x v="1"/>
    <n v="3"/>
    <n v="16356.02"/>
    <n v="49969.26"/>
    <x v="1"/>
  </r>
  <r>
    <x v="3"/>
    <x v="1"/>
    <x v="4"/>
    <x v="0"/>
    <x v="4"/>
    <x v="0"/>
    <x v="1"/>
    <n v="1"/>
    <n v="6658.77"/>
    <n v="33535.61"/>
    <x v="1"/>
  </r>
  <r>
    <x v="3"/>
    <x v="1"/>
    <x v="4"/>
    <x v="0"/>
    <x v="4"/>
    <x v="1"/>
    <x v="0"/>
    <n v="2"/>
    <n v="9624.5400000000009"/>
    <n v="28434.52"/>
    <x v="1"/>
  </r>
  <r>
    <x v="3"/>
    <x v="1"/>
    <x v="4"/>
    <x v="0"/>
    <x v="4"/>
    <x v="1"/>
    <x v="1"/>
    <n v="3"/>
    <n v="14706.26"/>
    <n v="42923.66"/>
    <x v="1"/>
  </r>
  <r>
    <x v="3"/>
    <x v="1"/>
    <x v="4"/>
    <x v="0"/>
    <x v="5"/>
    <x v="0"/>
    <x v="1"/>
    <n v="3"/>
    <n v="14648.36"/>
    <n v="66870.64"/>
    <x v="1"/>
  </r>
  <r>
    <x v="3"/>
    <x v="1"/>
    <x v="4"/>
    <x v="0"/>
    <x v="5"/>
    <x v="1"/>
    <x v="0"/>
    <n v="6"/>
    <n v="32360.639999999999"/>
    <n v="87407.44"/>
    <x v="1"/>
  </r>
  <r>
    <x v="3"/>
    <x v="1"/>
    <x v="4"/>
    <x v="0"/>
    <x v="5"/>
    <x v="1"/>
    <x v="1"/>
    <n v="7"/>
    <n v="35784.04"/>
    <n v="102135.84"/>
    <x v="1"/>
  </r>
  <r>
    <x v="3"/>
    <x v="1"/>
    <x v="4"/>
    <x v="0"/>
    <x v="6"/>
    <x v="0"/>
    <x v="1"/>
    <n v="3"/>
    <n v="20266.32"/>
    <n v="100851.79"/>
    <x v="1"/>
  </r>
  <r>
    <x v="3"/>
    <x v="1"/>
    <x v="4"/>
    <x v="0"/>
    <x v="6"/>
    <x v="1"/>
    <x v="1"/>
    <n v="2"/>
    <n v="10119.99"/>
    <n v="31251.53"/>
    <x v="1"/>
  </r>
  <r>
    <x v="3"/>
    <x v="1"/>
    <x v="4"/>
    <x v="0"/>
    <x v="7"/>
    <x v="1"/>
    <x v="1"/>
    <n v="8"/>
    <n v="46562.17"/>
    <n v="146447.82"/>
    <x v="1"/>
  </r>
  <r>
    <x v="3"/>
    <x v="1"/>
    <x v="4"/>
    <x v="0"/>
    <x v="8"/>
    <x v="1"/>
    <x v="1"/>
    <n v="4"/>
    <n v="19594.060000000001"/>
    <n v="61946.32"/>
    <x v="1"/>
  </r>
  <r>
    <x v="3"/>
    <x v="1"/>
    <x v="4"/>
    <x v="1"/>
    <x v="31"/>
    <x v="1"/>
    <x v="0"/>
    <n v="5"/>
    <n v="26168.47"/>
    <n v="81617.850000000006"/>
    <x v="1"/>
  </r>
  <r>
    <x v="3"/>
    <x v="1"/>
    <x v="4"/>
    <x v="1"/>
    <x v="10"/>
    <x v="0"/>
    <x v="0"/>
    <n v="2"/>
    <n v="9983.59"/>
    <n v="47182.03"/>
    <x v="1"/>
  </r>
  <r>
    <x v="3"/>
    <x v="1"/>
    <x v="4"/>
    <x v="1"/>
    <x v="10"/>
    <x v="0"/>
    <x v="1"/>
    <n v="6"/>
    <n v="37077.050000000003"/>
    <n v="176557.02"/>
    <x v="1"/>
  </r>
  <r>
    <x v="3"/>
    <x v="1"/>
    <x v="4"/>
    <x v="1"/>
    <x v="10"/>
    <x v="1"/>
    <x v="0"/>
    <n v="14"/>
    <n v="74273.820000000007"/>
    <n v="227641.03"/>
    <x v="1"/>
  </r>
  <r>
    <x v="3"/>
    <x v="1"/>
    <x v="4"/>
    <x v="1"/>
    <x v="10"/>
    <x v="1"/>
    <x v="1"/>
    <n v="26"/>
    <n v="134146.35"/>
    <n v="425701.83"/>
    <x v="1"/>
  </r>
  <r>
    <x v="3"/>
    <x v="1"/>
    <x v="4"/>
    <x v="1"/>
    <x v="11"/>
    <x v="0"/>
    <x v="1"/>
    <n v="7"/>
    <n v="37503.449999999997"/>
    <n v="173213.69"/>
    <x v="1"/>
  </r>
  <r>
    <x v="3"/>
    <x v="1"/>
    <x v="4"/>
    <x v="1"/>
    <x v="11"/>
    <x v="1"/>
    <x v="0"/>
    <n v="19"/>
    <n v="118728.86"/>
    <n v="364102.87"/>
    <x v="1"/>
  </r>
  <r>
    <x v="3"/>
    <x v="1"/>
    <x v="4"/>
    <x v="1"/>
    <x v="11"/>
    <x v="1"/>
    <x v="1"/>
    <n v="39"/>
    <n v="207488.3"/>
    <n v="611799.74"/>
    <x v="1"/>
  </r>
  <r>
    <x v="3"/>
    <x v="1"/>
    <x v="4"/>
    <x v="1"/>
    <x v="12"/>
    <x v="1"/>
    <x v="0"/>
    <n v="5"/>
    <n v="33489.35"/>
    <n v="113609.97"/>
    <x v="1"/>
  </r>
  <r>
    <x v="3"/>
    <x v="1"/>
    <x v="4"/>
    <x v="1"/>
    <x v="12"/>
    <x v="1"/>
    <x v="1"/>
    <n v="1"/>
    <n v="5513.13"/>
    <n v="15048.4"/>
    <x v="1"/>
  </r>
  <r>
    <x v="3"/>
    <x v="1"/>
    <x v="4"/>
    <x v="1"/>
    <x v="13"/>
    <x v="0"/>
    <x v="1"/>
    <n v="6"/>
    <n v="29398.799999999999"/>
    <n v="138318.35"/>
    <x v="1"/>
  </r>
  <r>
    <x v="3"/>
    <x v="1"/>
    <x v="4"/>
    <x v="1"/>
    <x v="13"/>
    <x v="1"/>
    <x v="0"/>
    <n v="11"/>
    <n v="54416.480000000003"/>
    <n v="169243.54"/>
    <x v="1"/>
  </r>
  <r>
    <x v="3"/>
    <x v="1"/>
    <x v="4"/>
    <x v="1"/>
    <x v="13"/>
    <x v="1"/>
    <x v="1"/>
    <n v="9"/>
    <n v="48179.26"/>
    <n v="154868.51999999999"/>
    <x v="1"/>
  </r>
  <r>
    <x v="3"/>
    <x v="1"/>
    <x v="4"/>
    <x v="1"/>
    <x v="14"/>
    <x v="0"/>
    <x v="1"/>
    <n v="1"/>
    <n v="4745.2299999999996"/>
    <n v="21897.8"/>
    <x v="1"/>
  </r>
  <r>
    <x v="3"/>
    <x v="1"/>
    <x v="4"/>
    <x v="1"/>
    <x v="14"/>
    <x v="1"/>
    <x v="0"/>
    <n v="9"/>
    <n v="46014.14"/>
    <n v="145972.69"/>
    <x v="1"/>
  </r>
  <r>
    <x v="3"/>
    <x v="1"/>
    <x v="4"/>
    <x v="1"/>
    <x v="14"/>
    <x v="1"/>
    <x v="1"/>
    <n v="17"/>
    <n v="88774.16"/>
    <n v="249931.82"/>
    <x v="1"/>
  </r>
  <r>
    <x v="3"/>
    <x v="1"/>
    <x v="4"/>
    <x v="1"/>
    <x v="15"/>
    <x v="1"/>
    <x v="0"/>
    <n v="11"/>
    <n v="58057.55"/>
    <n v="160842.22"/>
    <x v="1"/>
  </r>
  <r>
    <x v="3"/>
    <x v="1"/>
    <x v="4"/>
    <x v="1"/>
    <x v="16"/>
    <x v="1"/>
    <x v="0"/>
    <n v="7"/>
    <n v="37343.86"/>
    <n v="115424.61"/>
    <x v="1"/>
  </r>
  <r>
    <x v="3"/>
    <x v="1"/>
    <x v="4"/>
    <x v="1"/>
    <x v="16"/>
    <x v="1"/>
    <x v="1"/>
    <n v="14"/>
    <n v="74643.839999999997"/>
    <n v="228301.53"/>
    <x v="1"/>
  </r>
  <r>
    <x v="3"/>
    <x v="1"/>
    <x v="4"/>
    <x v="1"/>
    <x v="17"/>
    <x v="0"/>
    <x v="1"/>
    <n v="5"/>
    <n v="26676.85"/>
    <n v="117413.53"/>
    <x v="1"/>
  </r>
  <r>
    <x v="3"/>
    <x v="1"/>
    <x v="4"/>
    <x v="1"/>
    <x v="17"/>
    <x v="1"/>
    <x v="0"/>
    <n v="6"/>
    <n v="31495.29"/>
    <n v="91016.63"/>
    <x v="1"/>
  </r>
  <r>
    <x v="3"/>
    <x v="1"/>
    <x v="4"/>
    <x v="1"/>
    <x v="17"/>
    <x v="1"/>
    <x v="1"/>
    <n v="3"/>
    <n v="14797.15"/>
    <n v="43773.61"/>
    <x v="1"/>
  </r>
  <r>
    <x v="3"/>
    <x v="1"/>
    <x v="4"/>
    <x v="1"/>
    <x v="18"/>
    <x v="0"/>
    <x v="1"/>
    <n v="2"/>
    <n v="10337.16"/>
    <n v="43992.44"/>
    <x v="1"/>
  </r>
  <r>
    <x v="3"/>
    <x v="1"/>
    <x v="4"/>
    <x v="1"/>
    <x v="18"/>
    <x v="1"/>
    <x v="0"/>
    <n v="11"/>
    <n v="59164.03"/>
    <n v="168690.62"/>
    <x v="1"/>
  </r>
  <r>
    <x v="3"/>
    <x v="1"/>
    <x v="4"/>
    <x v="1"/>
    <x v="18"/>
    <x v="1"/>
    <x v="1"/>
    <n v="19"/>
    <n v="103758"/>
    <n v="331672.90999999997"/>
    <x v="1"/>
  </r>
  <r>
    <x v="3"/>
    <x v="1"/>
    <x v="4"/>
    <x v="1"/>
    <x v="19"/>
    <x v="0"/>
    <x v="1"/>
    <n v="1"/>
    <n v="4678.5600000000004"/>
    <n v="23211.39"/>
    <x v="1"/>
  </r>
  <r>
    <x v="3"/>
    <x v="1"/>
    <x v="4"/>
    <x v="1"/>
    <x v="19"/>
    <x v="1"/>
    <x v="0"/>
    <n v="17"/>
    <n v="89884.54"/>
    <n v="265342.32"/>
    <x v="1"/>
  </r>
  <r>
    <x v="3"/>
    <x v="1"/>
    <x v="4"/>
    <x v="1"/>
    <x v="19"/>
    <x v="1"/>
    <x v="1"/>
    <n v="13"/>
    <n v="62660.69"/>
    <n v="200178.39"/>
    <x v="1"/>
  </r>
  <r>
    <x v="3"/>
    <x v="1"/>
    <x v="4"/>
    <x v="1"/>
    <x v="20"/>
    <x v="0"/>
    <x v="0"/>
    <n v="1"/>
    <n v="4765.0200000000004"/>
    <n v="24144.54"/>
    <x v="1"/>
  </r>
  <r>
    <x v="3"/>
    <x v="1"/>
    <x v="4"/>
    <x v="1"/>
    <x v="20"/>
    <x v="0"/>
    <x v="1"/>
    <n v="13"/>
    <n v="67572.639999999999"/>
    <n v="313820.28000000003"/>
    <x v="1"/>
  </r>
  <r>
    <x v="3"/>
    <x v="1"/>
    <x v="4"/>
    <x v="1"/>
    <x v="20"/>
    <x v="1"/>
    <x v="0"/>
    <n v="8"/>
    <n v="40212.53"/>
    <n v="129166.74"/>
    <x v="1"/>
  </r>
  <r>
    <x v="3"/>
    <x v="1"/>
    <x v="4"/>
    <x v="1"/>
    <x v="20"/>
    <x v="1"/>
    <x v="1"/>
    <n v="44"/>
    <n v="227327.62"/>
    <n v="685142.59"/>
    <x v="1"/>
  </r>
  <r>
    <x v="3"/>
    <x v="1"/>
    <x v="4"/>
    <x v="2"/>
    <x v="21"/>
    <x v="0"/>
    <x v="0"/>
    <n v="1"/>
    <n v="5563.86"/>
    <n v="25816.560000000001"/>
    <x v="1"/>
  </r>
  <r>
    <x v="3"/>
    <x v="1"/>
    <x v="4"/>
    <x v="2"/>
    <x v="22"/>
    <x v="0"/>
    <x v="1"/>
    <n v="2"/>
    <n v="12322.82"/>
    <n v="55813.49"/>
    <x v="1"/>
  </r>
  <r>
    <x v="3"/>
    <x v="1"/>
    <x v="4"/>
    <x v="2"/>
    <x v="22"/>
    <x v="1"/>
    <x v="0"/>
    <n v="5"/>
    <n v="25868.83"/>
    <n v="67615.22"/>
    <x v="1"/>
  </r>
  <r>
    <x v="3"/>
    <x v="1"/>
    <x v="4"/>
    <x v="2"/>
    <x v="22"/>
    <x v="1"/>
    <x v="1"/>
    <n v="8"/>
    <n v="44156.03"/>
    <n v="121636.22"/>
    <x v="1"/>
  </r>
  <r>
    <x v="3"/>
    <x v="1"/>
    <x v="4"/>
    <x v="2"/>
    <x v="29"/>
    <x v="1"/>
    <x v="1"/>
    <n v="5"/>
    <n v="23303.05"/>
    <n v="71668.63"/>
    <x v="1"/>
  </r>
  <r>
    <x v="3"/>
    <x v="1"/>
    <x v="4"/>
    <x v="3"/>
    <x v="25"/>
    <x v="0"/>
    <x v="1"/>
    <n v="1"/>
    <n v="5279.25"/>
    <n v="25442.82"/>
    <x v="1"/>
  </r>
  <r>
    <x v="3"/>
    <x v="1"/>
    <x v="4"/>
    <x v="3"/>
    <x v="25"/>
    <x v="1"/>
    <x v="0"/>
    <n v="3"/>
    <n v="15745.78"/>
    <n v="49682.66"/>
    <x v="1"/>
  </r>
  <r>
    <x v="3"/>
    <x v="1"/>
    <x v="4"/>
    <x v="3"/>
    <x v="25"/>
    <x v="1"/>
    <x v="1"/>
    <n v="10"/>
    <n v="50445.58"/>
    <n v="158086.18"/>
    <x v="1"/>
  </r>
  <r>
    <x v="3"/>
    <x v="1"/>
    <x v="4"/>
    <x v="3"/>
    <x v="26"/>
    <x v="0"/>
    <x v="0"/>
    <n v="2"/>
    <n v="9838.42"/>
    <n v="44248.37"/>
    <x v="1"/>
  </r>
  <r>
    <x v="3"/>
    <x v="1"/>
    <x v="4"/>
    <x v="3"/>
    <x v="26"/>
    <x v="0"/>
    <x v="1"/>
    <n v="1"/>
    <n v="4773.74"/>
    <n v="22253.07"/>
    <x v="1"/>
  </r>
  <r>
    <x v="3"/>
    <x v="1"/>
    <x v="4"/>
    <x v="3"/>
    <x v="26"/>
    <x v="1"/>
    <x v="0"/>
    <n v="2"/>
    <n v="10976.84"/>
    <n v="30702.58"/>
    <x v="1"/>
  </r>
  <r>
    <x v="3"/>
    <x v="1"/>
    <x v="4"/>
    <x v="3"/>
    <x v="26"/>
    <x v="1"/>
    <x v="1"/>
    <n v="5"/>
    <n v="26840.21"/>
    <n v="88994.76"/>
    <x v="1"/>
  </r>
  <r>
    <x v="3"/>
    <x v="1"/>
    <x v="4"/>
    <x v="3"/>
    <x v="27"/>
    <x v="0"/>
    <x v="0"/>
    <n v="1"/>
    <n v="5133.9799999999996"/>
    <n v="25391.82"/>
    <x v="1"/>
  </r>
  <r>
    <x v="3"/>
    <x v="1"/>
    <x v="4"/>
    <x v="3"/>
    <x v="27"/>
    <x v="0"/>
    <x v="1"/>
    <n v="4"/>
    <n v="23859.3"/>
    <n v="110988.16"/>
    <x v="1"/>
  </r>
  <r>
    <x v="3"/>
    <x v="1"/>
    <x v="4"/>
    <x v="3"/>
    <x v="27"/>
    <x v="1"/>
    <x v="0"/>
    <n v="9"/>
    <n v="46441.9"/>
    <n v="148673.51999999999"/>
    <x v="1"/>
  </r>
  <r>
    <x v="3"/>
    <x v="1"/>
    <x v="4"/>
    <x v="3"/>
    <x v="27"/>
    <x v="1"/>
    <x v="1"/>
    <n v="28"/>
    <n v="148719.06"/>
    <n v="470031.91"/>
    <x v="1"/>
  </r>
  <r>
    <x v="3"/>
    <x v="1"/>
    <x v="5"/>
    <x v="0"/>
    <x v="0"/>
    <x v="0"/>
    <x v="0"/>
    <n v="1"/>
    <n v="4380.55"/>
    <n v="18409.990000000002"/>
    <x v="1"/>
  </r>
  <r>
    <x v="3"/>
    <x v="1"/>
    <x v="5"/>
    <x v="0"/>
    <x v="0"/>
    <x v="1"/>
    <x v="0"/>
    <n v="9"/>
    <n v="44442.48"/>
    <n v="112050.43"/>
    <x v="1"/>
  </r>
  <r>
    <x v="3"/>
    <x v="1"/>
    <x v="5"/>
    <x v="0"/>
    <x v="0"/>
    <x v="1"/>
    <x v="1"/>
    <n v="7"/>
    <n v="33964.730000000003"/>
    <n v="89645.56"/>
    <x v="1"/>
  </r>
  <r>
    <x v="3"/>
    <x v="1"/>
    <x v="5"/>
    <x v="0"/>
    <x v="1"/>
    <x v="0"/>
    <x v="0"/>
    <n v="2"/>
    <n v="9622.32"/>
    <n v="40523.9"/>
    <x v="1"/>
  </r>
  <r>
    <x v="3"/>
    <x v="1"/>
    <x v="5"/>
    <x v="0"/>
    <x v="1"/>
    <x v="0"/>
    <x v="1"/>
    <n v="2"/>
    <n v="9282.01"/>
    <n v="38325.919999999998"/>
    <x v="1"/>
  </r>
  <r>
    <x v="3"/>
    <x v="1"/>
    <x v="5"/>
    <x v="0"/>
    <x v="1"/>
    <x v="1"/>
    <x v="0"/>
    <n v="16"/>
    <n v="98127.69"/>
    <n v="249238.98"/>
    <x v="1"/>
  </r>
  <r>
    <x v="3"/>
    <x v="1"/>
    <x v="5"/>
    <x v="0"/>
    <x v="1"/>
    <x v="1"/>
    <x v="1"/>
    <n v="6"/>
    <n v="30853.52"/>
    <n v="75120.240000000005"/>
    <x v="1"/>
  </r>
  <r>
    <x v="3"/>
    <x v="1"/>
    <x v="5"/>
    <x v="0"/>
    <x v="2"/>
    <x v="0"/>
    <x v="1"/>
    <n v="4"/>
    <n v="27113.66"/>
    <n v="110192.09"/>
    <x v="1"/>
  </r>
  <r>
    <x v="3"/>
    <x v="1"/>
    <x v="5"/>
    <x v="0"/>
    <x v="2"/>
    <x v="1"/>
    <x v="1"/>
    <n v="5"/>
    <n v="33232.97"/>
    <n v="84835.1"/>
    <x v="1"/>
  </r>
  <r>
    <x v="3"/>
    <x v="1"/>
    <x v="5"/>
    <x v="0"/>
    <x v="3"/>
    <x v="0"/>
    <x v="1"/>
    <n v="3"/>
    <n v="19223.03"/>
    <n v="74090.740000000005"/>
    <x v="1"/>
  </r>
  <r>
    <x v="3"/>
    <x v="1"/>
    <x v="5"/>
    <x v="0"/>
    <x v="3"/>
    <x v="1"/>
    <x v="0"/>
    <n v="7"/>
    <n v="48848.59"/>
    <n v="122713.5"/>
    <x v="1"/>
  </r>
  <r>
    <x v="3"/>
    <x v="1"/>
    <x v="5"/>
    <x v="0"/>
    <x v="3"/>
    <x v="1"/>
    <x v="1"/>
    <n v="9"/>
    <n v="57489.5"/>
    <n v="147070.35"/>
    <x v="1"/>
  </r>
  <r>
    <x v="3"/>
    <x v="1"/>
    <x v="5"/>
    <x v="0"/>
    <x v="28"/>
    <x v="1"/>
    <x v="1"/>
    <n v="5"/>
    <n v="34003.96"/>
    <n v="82149.899999999994"/>
    <x v="1"/>
  </r>
  <r>
    <x v="3"/>
    <x v="1"/>
    <x v="5"/>
    <x v="0"/>
    <x v="4"/>
    <x v="1"/>
    <x v="0"/>
    <n v="12"/>
    <n v="62915.94"/>
    <n v="163587.14000000001"/>
    <x v="1"/>
  </r>
  <r>
    <x v="3"/>
    <x v="1"/>
    <x v="5"/>
    <x v="0"/>
    <x v="4"/>
    <x v="1"/>
    <x v="1"/>
    <n v="2"/>
    <n v="11109.95"/>
    <n v="29405.88"/>
    <x v="1"/>
  </r>
  <r>
    <x v="3"/>
    <x v="1"/>
    <x v="5"/>
    <x v="0"/>
    <x v="5"/>
    <x v="0"/>
    <x v="1"/>
    <n v="3"/>
    <n v="17069"/>
    <n v="67782.19"/>
    <x v="1"/>
  </r>
  <r>
    <x v="3"/>
    <x v="1"/>
    <x v="5"/>
    <x v="0"/>
    <x v="5"/>
    <x v="1"/>
    <x v="0"/>
    <n v="2"/>
    <n v="9637.68"/>
    <n v="26008.99"/>
    <x v="1"/>
  </r>
  <r>
    <x v="3"/>
    <x v="1"/>
    <x v="5"/>
    <x v="0"/>
    <x v="5"/>
    <x v="1"/>
    <x v="1"/>
    <n v="7"/>
    <n v="48266.73"/>
    <n v="127326.35"/>
    <x v="1"/>
  </r>
  <r>
    <x v="3"/>
    <x v="1"/>
    <x v="5"/>
    <x v="0"/>
    <x v="6"/>
    <x v="0"/>
    <x v="1"/>
    <n v="4"/>
    <n v="26287.33"/>
    <n v="100775.31"/>
    <x v="1"/>
  </r>
  <r>
    <x v="3"/>
    <x v="1"/>
    <x v="5"/>
    <x v="0"/>
    <x v="7"/>
    <x v="1"/>
    <x v="1"/>
    <n v="1"/>
    <n v="6621.2"/>
    <n v="18462.72"/>
    <x v="1"/>
  </r>
  <r>
    <x v="3"/>
    <x v="1"/>
    <x v="5"/>
    <x v="0"/>
    <x v="8"/>
    <x v="0"/>
    <x v="1"/>
    <n v="4"/>
    <n v="20788.63"/>
    <n v="84749.07"/>
    <x v="1"/>
  </r>
  <r>
    <x v="3"/>
    <x v="1"/>
    <x v="5"/>
    <x v="0"/>
    <x v="8"/>
    <x v="1"/>
    <x v="1"/>
    <n v="3"/>
    <n v="17249.939999999999"/>
    <n v="46816.53"/>
    <x v="1"/>
  </r>
  <r>
    <x v="3"/>
    <x v="1"/>
    <x v="5"/>
    <x v="1"/>
    <x v="30"/>
    <x v="1"/>
    <x v="0"/>
    <n v="2"/>
    <n v="13122.44"/>
    <n v="35710.07"/>
    <x v="1"/>
  </r>
  <r>
    <x v="3"/>
    <x v="1"/>
    <x v="5"/>
    <x v="1"/>
    <x v="9"/>
    <x v="1"/>
    <x v="1"/>
    <n v="2"/>
    <n v="9802.33"/>
    <n v="25898.01"/>
    <x v="1"/>
  </r>
  <r>
    <x v="3"/>
    <x v="1"/>
    <x v="5"/>
    <x v="1"/>
    <x v="31"/>
    <x v="1"/>
    <x v="0"/>
    <n v="7"/>
    <n v="37236.5"/>
    <n v="100797.64"/>
    <x v="1"/>
  </r>
  <r>
    <x v="3"/>
    <x v="1"/>
    <x v="5"/>
    <x v="1"/>
    <x v="10"/>
    <x v="0"/>
    <x v="1"/>
    <n v="2"/>
    <n v="13653.57"/>
    <n v="54732.22"/>
    <x v="1"/>
  </r>
  <r>
    <x v="3"/>
    <x v="1"/>
    <x v="5"/>
    <x v="1"/>
    <x v="10"/>
    <x v="1"/>
    <x v="0"/>
    <n v="8"/>
    <n v="49888.85"/>
    <n v="133215.62"/>
    <x v="1"/>
  </r>
  <r>
    <x v="3"/>
    <x v="1"/>
    <x v="5"/>
    <x v="1"/>
    <x v="10"/>
    <x v="1"/>
    <x v="1"/>
    <n v="13"/>
    <n v="81839.53"/>
    <n v="226762.85"/>
    <x v="1"/>
  </r>
  <r>
    <x v="3"/>
    <x v="1"/>
    <x v="5"/>
    <x v="1"/>
    <x v="11"/>
    <x v="0"/>
    <x v="1"/>
    <n v="5"/>
    <n v="25980.33"/>
    <n v="102058.57"/>
    <x v="1"/>
  </r>
  <r>
    <x v="3"/>
    <x v="1"/>
    <x v="5"/>
    <x v="1"/>
    <x v="11"/>
    <x v="1"/>
    <x v="0"/>
    <n v="4"/>
    <n v="23482.240000000002"/>
    <n v="60957.39"/>
    <x v="1"/>
  </r>
  <r>
    <x v="3"/>
    <x v="1"/>
    <x v="5"/>
    <x v="1"/>
    <x v="11"/>
    <x v="1"/>
    <x v="1"/>
    <n v="18"/>
    <n v="109199.94"/>
    <n v="278708.78999999998"/>
    <x v="1"/>
  </r>
  <r>
    <x v="3"/>
    <x v="1"/>
    <x v="5"/>
    <x v="1"/>
    <x v="12"/>
    <x v="1"/>
    <x v="1"/>
    <n v="3"/>
    <n v="14211.06"/>
    <n v="40095.800000000003"/>
    <x v="1"/>
  </r>
  <r>
    <x v="3"/>
    <x v="1"/>
    <x v="5"/>
    <x v="1"/>
    <x v="13"/>
    <x v="0"/>
    <x v="1"/>
    <n v="1"/>
    <n v="7188.27"/>
    <n v="27122.52"/>
    <x v="1"/>
  </r>
  <r>
    <x v="3"/>
    <x v="1"/>
    <x v="5"/>
    <x v="1"/>
    <x v="13"/>
    <x v="1"/>
    <x v="0"/>
    <n v="2"/>
    <n v="9710.48"/>
    <n v="26837.93"/>
    <x v="1"/>
  </r>
  <r>
    <x v="3"/>
    <x v="1"/>
    <x v="5"/>
    <x v="1"/>
    <x v="13"/>
    <x v="1"/>
    <x v="1"/>
    <n v="13"/>
    <n v="78360.41"/>
    <n v="209931.57"/>
    <x v="1"/>
  </r>
  <r>
    <x v="3"/>
    <x v="1"/>
    <x v="5"/>
    <x v="1"/>
    <x v="14"/>
    <x v="1"/>
    <x v="0"/>
    <n v="7"/>
    <n v="45763.33"/>
    <n v="117945.12"/>
    <x v="1"/>
  </r>
  <r>
    <x v="3"/>
    <x v="1"/>
    <x v="5"/>
    <x v="1"/>
    <x v="14"/>
    <x v="1"/>
    <x v="1"/>
    <n v="8"/>
    <n v="50726.42"/>
    <n v="140844.81"/>
    <x v="1"/>
  </r>
  <r>
    <x v="3"/>
    <x v="1"/>
    <x v="5"/>
    <x v="1"/>
    <x v="16"/>
    <x v="0"/>
    <x v="1"/>
    <n v="3"/>
    <n v="15927.77"/>
    <n v="63836.44"/>
    <x v="1"/>
  </r>
  <r>
    <x v="3"/>
    <x v="1"/>
    <x v="5"/>
    <x v="1"/>
    <x v="16"/>
    <x v="1"/>
    <x v="0"/>
    <n v="1"/>
    <n v="4940.3999999999996"/>
    <n v="11936.23"/>
    <x v="1"/>
  </r>
  <r>
    <x v="3"/>
    <x v="1"/>
    <x v="5"/>
    <x v="1"/>
    <x v="16"/>
    <x v="1"/>
    <x v="1"/>
    <n v="11"/>
    <n v="62703.15"/>
    <n v="165741.81"/>
    <x v="1"/>
  </r>
  <r>
    <x v="3"/>
    <x v="1"/>
    <x v="5"/>
    <x v="1"/>
    <x v="17"/>
    <x v="1"/>
    <x v="0"/>
    <n v="3"/>
    <n v="19968.52"/>
    <n v="54814.080000000002"/>
    <x v="1"/>
  </r>
  <r>
    <x v="3"/>
    <x v="1"/>
    <x v="5"/>
    <x v="1"/>
    <x v="17"/>
    <x v="1"/>
    <x v="1"/>
    <n v="4"/>
    <n v="24140.82"/>
    <n v="60561.61"/>
    <x v="1"/>
  </r>
  <r>
    <x v="3"/>
    <x v="1"/>
    <x v="5"/>
    <x v="1"/>
    <x v="18"/>
    <x v="0"/>
    <x v="1"/>
    <n v="8"/>
    <n v="41854.75"/>
    <n v="168797.65"/>
    <x v="1"/>
  </r>
  <r>
    <x v="3"/>
    <x v="1"/>
    <x v="5"/>
    <x v="1"/>
    <x v="18"/>
    <x v="1"/>
    <x v="0"/>
    <n v="4"/>
    <n v="21895.16"/>
    <n v="56462.92"/>
    <x v="1"/>
  </r>
  <r>
    <x v="3"/>
    <x v="1"/>
    <x v="5"/>
    <x v="1"/>
    <x v="18"/>
    <x v="1"/>
    <x v="1"/>
    <n v="16"/>
    <n v="93815.75"/>
    <n v="256077.56"/>
    <x v="1"/>
  </r>
  <r>
    <x v="3"/>
    <x v="1"/>
    <x v="5"/>
    <x v="1"/>
    <x v="19"/>
    <x v="1"/>
    <x v="0"/>
    <n v="10"/>
    <n v="57880.2"/>
    <n v="160993.37"/>
    <x v="1"/>
  </r>
  <r>
    <x v="3"/>
    <x v="1"/>
    <x v="5"/>
    <x v="1"/>
    <x v="19"/>
    <x v="1"/>
    <x v="1"/>
    <n v="17"/>
    <n v="87728.639999999999"/>
    <n v="225201.19"/>
    <x v="1"/>
  </r>
  <r>
    <x v="3"/>
    <x v="1"/>
    <x v="5"/>
    <x v="1"/>
    <x v="20"/>
    <x v="0"/>
    <x v="0"/>
    <n v="2"/>
    <n v="13161.17"/>
    <n v="57482.02"/>
    <x v="1"/>
  </r>
  <r>
    <x v="3"/>
    <x v="1"/>
    <x v="5"/>
    <x v="1"/>
    <x v="20"/>
    <x v="0"/>
    <x v="1"/>
    <n v="4"/>
    <n v="21336.62"/>
    <n v="88891.66"/>
    <x v="1"/>
  </r>
  <r>
    <x v="3"/>
    <x v="1"/>
    <x v="5"/>
    <x v="1"/>
    <x v="20"/>
    <x v="1"/>
    <x v="0"/>
    <n v="6"/>
    <n v="30618.67"/>
    <n v="81735.520000000004"/>
    <x v="1"/>
  </r>
  <r>
    <x v="3"/>
    <x v="1"/>
    <x v="5"/>
    <x v="1"/>
    <x v="20"/>
    <x v="1"/>
    <x v="1"/>
    <n v="14"/>
    <n v="72537.100000000006"/>
    <n v="197519.14"/>
    <x v="1"/>
  </r>
  <r>
    <x v="3"/>
    <x v="1"/>
    <x v="5"/>
    <x v="2"/>
    <x v="21"/>
    <x v="0"/>
    <x v="0"/>
    <n v="2"/>
    <n v="14276.43"/>
    <n v="54589.49"/>
    <x v="1"/>
  </r>
  <r>
    <x v="3"/>
    <x v="1"/>
    <x v="5"/>
    <x v="2"/>
    <x v="22"/>
    <x v="0"/>
    <x v="1"/>
    <n v="1"/>
    <n v="4900.1099999999997"/>
    <n v="19575.43"/>
    <x v="1"/>
  </r>
  <r>
    <x v="3"/>
    <x v="1"/>
    <x v="5"/>
    <x v="2"/>
    <x v="22"/>
    <x v="1"/>
    <x v="0"/>
    <n v="2"/>
    <n v="11873.93"/>
    <n v="28818.19"/>
    <x v="1"/>
  </r>
  <r>
    <x v="3"/>
    <x v="1"/>
    <x v="5"/>
    <x v="2"/>
    <x v="22"/>
    <x v="1"/>
    <x v="1"/>
    <n v="13"/>
    <n v="82895.289999999994"/>
    <n v="191536.27"/>
    <x v="1"/>
  </r>
  <r>
    <x v="3"/>
    <x v="1"/>
    <x v="5"/>
    <x v="2"/>
    <x v="29"/>
    <x v="0"/>
    <x v="1"/>
    <n v="1"/>
    <n v="4827.3100000000004"/>
    <n v="18100.21"/>
    <x v="1"/>
  </r>
  <r>
    <x v="3"/>
    <x v="1"/>
    <x v="5"/>
    <x v="2"/>
    <x v="29"/>
    <x v="1"/>
    <x v="1"/>
    <n v="6"/>
    <n v="39635.339999999997"/>
    <n v="99446.2"/>
    <x v="1"/>
  </r>
  <r>
    <x v="3"/>
    <x v="1"/>
    <x v="5"/>
    <x v="2"/>
    <x v="23"/>
    <x v="1"/>
    <x v="1"/>
    <n v="2"/>
    <n v="9845.2999999999993"/>
    <n v="22737.75"/>
    <x v="1"/>
  </r>
  <r>
    <x v="3"/>
    <x v="1"/>
    <x v="5"/>
    <x v="2"/>
    <x v="24"/>
    <x v="0"/>
    <x v="1"/>
    <n v="2"/>
    <n v="11631.06"/>
    <n v="47021.75"/>
    <x v="1"/>
  </r>
  <r>
    <x v="3"/>
    <x v="1"/>
    <x v="5"/>
    <x v="3"/>
    <x v="25"/>
    <x v="1"/>
    <x v="0"/>
    <n v="7"/>
    <n v="42061.11"/>
    <n v="113148.93"/>
    <x v="1"/>
  </r>
  <r>
    <x v="3"/>
    <x v="1"/>
    <x v="5"/>
    <x v="3"/>
    <x v="25"/>
    <x v="1"/>
    <x v="1"/>
    <n v="8"/>
    <n v="44100.4"/>
    <n v="116713.19"/>
    <x v="1"/>
  </r>
  <r>
    <x v="3"/>
    <x v="1"/>
    <x v="5"/>
    <x v="3"/>
    <x v="26"/>
    <x v="0"/>
    <x v="0"/>
    <n v="1"/>
    <n v="4897.63"/>
    <n v="17962.900000000001"/>
    <x v="1"/>
  </r>
  <r>
    <x v="3"/>
    <x v="1"/>
    <x v="5"/>
    <x v="3"/>
    <x v="26"/>
    <x v="0"/>
    <x v="1"/>
    <n v="1"/>
    <n v="5213.46"/>
    <n v="19922.72"/>
    <x v="1"/>
  </r>
  <r>
    <x v="3"/>
    <x v="1"/>
    <x v="5"/>
    <x v="3"/>
    <x v="26"/>
    <x v="1"/>
    <x v="0"/>
    <n v="7"/>
    <n v="47081"/>
    <n v="133889.20000000001"/>
    <x v="1"/>
  </r>
  <r>
    <x v="3"/>
    <x v="1"/>
    <x v="5"/>
    <x v="3"/>
    <x v="26"/>
    <x v="1"/>
    <x v="1"/>
    <n v="14"/>
    <n v="88132.64"/>
    <n v="248412.48"/>
    <x v="1"/>
  </r>
  <r>
    <x v="3"/>
    <x v="1"/>
    <x v="5"/>
    <x v="3"/>
    <x v="27"/>
    <x v="0"/>
    <x v="1"/>
    <n v="8"/>
    <n v="45436.35"/>
    <n v="176645.53"/>
    <x v="1"/>
  </r>
  <r>
    <x v="3"/>
    <x v="1"/>
    <x v="5"/>
    <x v="3"/>
    <x v="27"/>
    <x v="1"/>
    <x v="0"/>
    <n v="24"/>
    <n v="137542.9"/>
    <n v="367175.19"/>
    <x v="1"/>
  </r>
  <r>
    <x v="3"/>
    <x v="1"/>
    <x v="5"/>
    <x v="3"/>
    <x v="27"/>
    <x v="1"/>
    <x v="1"/>
    <n v="27"/>
    <n v="152916.01999999999"/>
    <n v="410698.78"/>
    <x v="1"/>
  </r>
  <r>
    <x v="3"/>
    <x v="1"/>
    <x v="6"/>
    <x v="0"/>
    <x v="0"/>
    <x v="0"/>
    <x v="1"/>
    <n v="1"/>
    <n v="3042.33"/>
    <n v="10611.5"/>
    <x v="1"/>
  </r>
  <r>
    <x v="3"/>
    <x v="1"/>
    <x v="6"/>
    <x v="0"/>
    <x v="0"/>
    <x v="1"/>
    <x v="0"/>
    <n v="2"/>
    <n v="6142.62"/>
    <n v="13394.58"/>
    <x v="1"/>
  </r>
  <r>
    <x v="3"/>
    <x v="1"/>
    <x v="6"/>
    <x v="0"/>
    <x v="0"/>
    <x v="1"/>
    <x v="1"/>
    <n v="15"/>
    <n v="43092.78"/>
    <n v="96590.9"/>
    <x v="1"/>
  </r>
  <r>
    <x v="3"/>
    <x v="1"/>
    <x v="6"/>
    <x v="0"/>
    <x v="1"/>
    <x v="0"/>
    <x v="0"/>
    <n v="5"/>
    <n v="13404.6"/>
    <n v="46924.74"/>
    <x v="1"/>
  </r>
  <r>
    <x v="3"/>
    <x v="1"/>
    <x v="6"/>
    <x v="0"/>
    <x v="1"/>
    <x v="0"/>
    <x v="1"/>
    <n v="3"/>
    <n v="9026.16"/>
    <n v="32919.519999999997"/>
    <x v="1"/>
  </r>
  <r>
    <x v="3"/>
    <x v="1"/>
    <x v="6"/>
    <x v="0"/>
    <x v="1"/>
    <x v="1"/>
    <x v="1"/>
    <n v="13"/>
    <n v="32766.21"/>
    <n v="74671.570000000007"/>
    <x v="1"/>
  </r>
  <r>
    <x v="3"/>
    <x v="1"/>
    <x v="6"/>
    <x v="0"/>
    <x v="2"/>
    <x v="0"/>
    <x v="1"/>
    <n v="7"/>
    <n v="19577.87"/>
    <n v="65646.539999999994"/>
    <x v="1"/>
  </r>
  <r>
    <x v="3"/>
    <x v="1"/>
    <x v="6"/>
    <x v="0"/>
    <x v="2"/>
    <x v="1"/>
    <x v="0"/>
    <n v="5"/>
    <n v="15234.54"/>
    <n v="31223.07"/>
    <x v="1"/>
  </r>
  <r>
    <x v="3"/>
    <x v="1"/>
    <x v="6"/>
    <x v="0"/>
    <x v="2"/>
    <x v="1"/>
    <x v="1"/>
    <n v="2"/>
    <n v="5237.41"/>
    <n v="11460.41"/>
    <x v="1"/>
  </r>
  <r>
    <x v="3"/>
    <x v="1"/>
    <x v="6"/>
    <x v="0"/>
    <x v="3"/>
    <x v="0"/>
    <x v="1"/>
    <n v="2"/>
    <n v="5445.85"/>
    <n v="18075.52"/>
    <x v="1"/>
  </r>
  <r>
    <x v="3"/>
    <x v="1"/>
    <x v="6"/>
    <x v="0"/>
    <x v="3"/>
    <x v="1"/>
    <x v="0"/>
    <n v="4"/>
    <n v="12158.82"/>
    <n v="27087.32"/>
    <x v="1"/>
  </r>
  <r>
    <x v="3"/>
    <x v="1"/>
    <x v="6"/>
    <x v="0"/>
    <x v="3"/>
    <x v="1"/>
    <x v="1"/>
    <n v="13"/>
    <n v="37970.92"/>
    <n v="82594.09"/>
    <x v="1"/>
  </r>
  <r>
    <x v="3"/>
    <x v="1"/>
    <x v="6"/>
    <x v="0"/>
    <x v="28"/>
    <x v="1"/>
    <x v="1"/>
    <n v="4"/>
    <n v="12560.75"/>
    <n v="27600.37"/>
    <x v="1"/>
  </r>
  <r>
    <x v="3"/>
    <x v="1"/>
    <x v="6"/>
    <x v="0"/>
    <x v="4"/>
    <x v="0"/>
    <x v="1"/>
    <n v="1"/>
    <n v="3245.23"/>
    <n v="10817.86"/>
    <x v="1"/>
  </r>
  <r>
    <x v="3"/>
    <x v="1"/>
    <x v="6"/>
    <x v="0"/>
    <x v="4"/>
    <x v="1"/>
    <x v="0"/>
    <n v="5"/>
    <n v="13716.56"/>
    <n v="30524.36"/>
    <x v="1"/>
  </r>
  <r>
    <x v="3"/>
    <x v="1"/>
    <x v="6"/>
    <x v="0"/>
    <x v="4"/>
    <x v="1"/>
    <x v="1"/>
    <n v="15"/>
    <n v="38146.230000000003"/>
    <n v="83176.740000000005"/>
    <x v="1"/>
  </r>
  <r>
    <x v="3"/>
    <x v="1"/>
    <x v="6"/>
    <x v="0"/>
    <x v="5"/>
    <x v="0"/>
    <x v="1"/>
    <n v="7"/>
    <n v="18030.72"/>
    <n v="60989.94"/>
    <x v="1"/>
  </r>
  <r>
    <x v="3"/>
    <x v="1"/>
    <x v="6"/>
    <x v="0"/>
    <x v="5"/>
    <x v="1"/>
    <x v="1"/>
    <n v="11"/>
    <n v="28550.22"/>
    <n v="66163.63"/>
    <x v="1"/>
  </r>
  <r>
    <x v="3"/>
    <x v="1"/>
    <x v="6"/>
    <x v="0"/>
    <x v="6"/>
    <x v="1"/>
    <x v="1"/>
    <n v="5"/>
    <n v="15150.74"/>
    <n v="34378.5"/>
    <x v="1"/>
  </r>
  <r>
    <x v="3"/>
    <x v="1"/>
    <x v="6"/>
    <x v="0"/>
    <x v="7"/>
    <x v="1"/>
    <x v="1"/>
    <n v="2"/>
    <n v="5255.94"/>
    <n v="12327.47"/>
    <x v="1"/>
  </r>
  <r>
    <x v="3"/>
    <x v="1"/>
    <x v="6"/>
    <x v="0"/>
    <x v="8"/>
    <x v="0"/>
    <x v="1"/>
    <n v="4"/>
    <n v="11604.2"/>
    <n v="39983.01"/>
    <x v="1"/>
  </r>
  <r>
    <x v="3"/>
    <x v="1"/>
    <x v="6"/>
    <x v="0"/>
    <x v="8"/>
    <x v="1"/>
    <x v="1"/>
    <n v="4"/>
    <n v="7620.36"/>
    <n v="16950.18"/>
    <x v="1"/>
  </r>
  <r>
    <x v="3"/>
    <x v="1"/>
    <x v="6"/>
    <x v="1"/>
    <x v="9"/>
    <x v="1"/>
    <x v="1"/>
    <n v="6"/>
    <n v="11559.2"/>
    <n v="27972.75"/>
    <x v="1"/>
  </r>
  <r>
    <x v="3"/>
    <x v="1"/>
    <x v="6"/>
    <x v="1"/>
    <x v="31"/>
    <x v="1"/>
    <x v="0"/>
    <n v="2"/>
    <n v="6129.2"/>
    <n v="14953.01"/>
    <x v="1"/>
  </r>
  <r>
    <x v="3"/>
    <x v="1"/>
    <x v="6"/>
    <x v="1"/>
    <x v="10"/>
    <x v="0"/>
    <x v="0"/>
    <n v="8"/>
    <n v="22109.37"/>
    <n v="75937.88"/>
    <x v="1"/>
  </r>
  <r>
    <x v="3"/>
    <x v="1"/>
    <x v="6"/>
    <x v="1"/>
    <x v="10"/>
    <x v="0"/>
    <x v="1"/>
    <n v="2"/>
    <n v="6676.4"/>
    <n v="21237.63"/>
    <x v="1"/>
  </r>
  <r>
    <x v="3"/>
    <x v="1"/>
    <x v="6"/>
    <x v="1"/>
    <x v="10"/>
    <x v="1"/>
    <x v="0"/>
    <n v="1"/>
    <n v="3014.58"/>
    <n v="7233.52"/>
    <x v="1"/>
  </r>
  <r>
    <x v="3"/>
    <x v="1"/>
    <x v="6"/>
    <x v="1"/>
    <x v="10"/>
    <x v="1"/>
    <x v="1"/>
    <n v="15"/>
    <n v="44440.7"/>
    <n v="104703.27"/>
    <x v="1"/>
  </r>
  <r>
    <x v="3"/>
    <x v="1"/>
    <x v="6"/>
    <x v="1"/>
    <x v="11"/>
    <x v="0"/>
    <x v="1"/>
    <n v="10"/>
    <n v="28617.919999999998"/>
    <n v="98756.76"/>
    <x v="1"/>
  </r>
  <r>
    <x v="3"/>
    <x v="1"/>
    <x v="6"/>
    <x v="1"/>
    <x v="11"/>
    <x v="1"/>
    <x v="0"/>
    <n v="12"/>
    <n v="36394.67"/>
    <n v="82727.94"/>
    <x v="1"/>
  </r>
  <r>
    <x v="3"/>
    <x v="1"/>
    <x v="6"/>
    <x v="1"/>
    <x v="11"/>
    <x v="1"/>
    <x v="1"/>
    <n v="18"/>
    <n v="54899.16"/>
    <n v="120331.8"/>
    <x v="1"/>
  </r>
  <r>
    <x v="3"/>
    <x v="1"/>
    <x v="6"/>
    <x v="1"/>
    <x v="12"/>
    <x v="1"/>
    <x v="0"/>
    <n v="3"/>
    <n v="9142.83"/>
    <n v="21691.919999999998"/>
    <x v="1"/>
  </r>
  <r>
    <x v="3"/>
    <x v="1"/>
    <x v="6"/>
    <x v="1"/>
    <x v="13"/>
    <x v="0"/>
    <x v="1"/>
    <n v="2"/>
    <n v="6540.68"/>
    <n v="21254.99"/>
    <x v="1"/>
  </r>
  <r>
    <x v="3"/>
    <x v="1"/>
    <x v="6"/>
    <x v="1"/>
    <x v="13"/>
    <x v="1"/>
    <x v="0"/>
    <n v="1"/>
    <n v="3287.16"/>
    <n v="7172.91"/>
    <x v="1"/>
  </r>
  <r>
    <x v="3"/>
    <x v="1"/>
    <x v="6"/>
    <x v="1"/>
    <x v="13"/>
    <x v="1"/>
    <x v="1"/>
    <n v="13"/>
    <n v="37910.28"/>
    <n v="87815.87"/>
    <x v="1"/>
  </r>
  <r>
    <x v="3"/>
    <x v="1"/>
    <x v="6"/>
    <x v="1"/>
    <x v="14"/>
    <x v="1"/>
    <x v="0"/>
    <n v="8"/>
    <n v="19401.7"/>
    <n v="44456.78"/>
    <x v="1"/>
  </r>
  <r>
    <x v="3"/>
    <x v="1"/>
    <x v="6"/>
    <x v="1"/>
    <x v="14"/>
    <x v="1"/>
    <x v="1"/>
    <n v="6"/>
    <n v="15241.4"/>
    <n v="33813.17"/>
    <x v="1"/>
  </r>
  <r>
    <x v="3"/>
    <x v="1"/>
    <x v="6"/>
    <x v="1"/>
    <x v="15"/>
    <x v="1"/>
    <x v="0"/>
    <n v="5"/>
    <n v="15209.15"/>
    <n v="36431.660000000003"/>
    <x v="1"/>
  </r>
  <r>
    <x v="3"/>
    <x v="1"/>
    <x v="6"/>
    <x v="1"/>
    <x v="16"/>
    <x v="1"/>
    <x v="0"/>
    <n v="7"/>
    <n v="16250.52"/>
    <n v="36011.74"/>
    <x v="1"/>
  </r>
  <r>
    <x v="3"/>
    <x v="1"/>
    <x v="6"/>
    <x v="1"/>
    <x v="16"/>
    <x v="1"/>
    <x v="1"/>
    <n v="6"/>
    <n v="18611.82"/>
    <n v="42062.879999999997"/>
    <x v="1"/>
  </r>
  <r>
    <x v="3"/>
    <x v="1"/>
    <x v="6"/>
    <x v="1"/>
    <x v="17"/>
    <x v="0"/>
    <x v="1"/>
    <n v="3"/>
    <n v="9889.98"/>
    <n v="31500.33"/>
    <x v="1"/>
  </r>
  <r>
    <x v="3"/>
    <x v="1"/>
    <x v="6"/>
    <x v="1"/>
    <x v="17"/>
    <x v="1"/>
    <x v="0"/>
    <n v="6"/>
    <n v="16248.97"/>
    <n v="36958.69"/>
    <x v="1"/>
  </r>
  <r>
    <x v="3"/>
    <x v="1"/>
    <x v="6"/>
    <x v="1"/>
    <x v="17"/>
    <x v="1"/>
    <x v="1"/>
    <n v="6"/>
    <n v="17459.900000000001"/>
    <n v="39887.199999999997"/>
    <x v="1"/>
  </r>
  <r>
    <x v="3"/>
    <x v="1"/>
    <x v="6"/>
    <x v="1"/>
    <x v="18"/>
    <x v="0"/>
    <x v="1"/>
    <n v="11"/>
    <n v="30896.23"/>
    <n v="107868.27"/>
    <x v="1"/>
  </r>
  <r>
    <x v="3"/>
    <x v="1"/>
    <x v="6"/>
    <x v="1"/>
    <x v="18"/>
    <x v="1"/>
    <x v="0"/>
    <n v="4"/>
    <n v="12566.48"/>
    <n v="29539.14"/>
    <x v="1"/>
  </r>
  <r>
    <x v="3"/>
    <x v="1"/>
    <x v="6"/>
    <x v="1"/>
    <x v="18"/>
    <x v="1"/>
    <x v="1"/>
    <n v="19"/>
    <n v="53358.44"/>
    <n v="127793.01"/>
    <x v="1"/>
  </r>
  <r>
    <x v="3"/>
    <x v="1"/>
    <x v="6"/>
    <x v="1"/>
    <x v="19"/>
    <x v="0"/>
    <x v="1"/>
    <n v="3"/>
    <n v="8306.11"/>
    <n v="27925.360000000001"/>
    <x v="1"/>
  </r>
  <r>
    <x v="3"/>
    <x v="1"/>
    <x v="6"/>
    <x v="1"/>
    <x v="19"/>
    <x v="1"/>
    <x v="0"/>
    <n v="5"/>
    <n v="12207.15"/>
    <n v="29062.720000000001"/>
    <x v="1"/>
  </r>
  <r>
    <x v="3"/>
    <x v="1"/>
    <x v="6"/>
    <x v="1"/>
    <x v="19"/>
    <x v="1"/>
    <x v="1"/>
    <n v="4"/>
    <n v="10931.74"/>
    <n v="26032.12"/>
    <x v="1"/>
  </r>
  <r>
    <x v="3"/>
    <x v="1"/>
    <x v="6"/>
    <x v="1"/>
    <x v="20"/>
    <x v="0"/>
    <x v="0"/>
    <n v="2"/>
    <n v="6625"/>
    <n v="22116.29"/>
    <x v="1"/>
  </r>
  <r>
    <x v="3"/>
    <x v="1"/>
    <x v="6"/>
    <x v="1"/>
    <x v="20"/>
    <x v="0"/>
    <x v="1"/>
    <n v="11"/>
    <n v="27487.56"/>
    <n v="100101.3"/>
    <x v="1"/>
  </r>
  <r>
    <x v="3"/>
    <x v="1"/>
    <x v="6"/>
    <x v="1"/>
    <x v="20"/>
    <x v="1"/>
    <x v="0"/>
    <n v="6"/>
    <n v="13761.47"/>
    <n v="33822.14"/>
    <x v="1"/>
  </r>
  <r>
    <x v="3"/>
    <x v="1"/>
    <x v="6"/>
    <x v="1"/>
    <x v="20"/>
    <x v="1"/>
    <x v="1"/>
    <n v="20"/>
    <n v="52110.55"/>
    <n v="121442.81"/>
    <x v="1"/>
  </r>
  <r>
    <x v="3"/>
    <x v="1"/>
    <x v="6"/>
    <x v="2"/>
    <x v="21"/>
    <x v="1"/>
    <x v="1"/>
    <n v="6"/>
    <n v="13009.8"/>
    <n v="28027.88"/>
    <x v="1"/>
  </r>
  <r>
    <x v="3"/>
    <x v="1"/>
    <x v="6"/>
    <x v="2"/>
    <x v="22"/>
    <x v="1"/>
    <x v="0"/>
    <n v="6"/>
    <n v="19181.75"/>
    <n v="39421.449999999997"/>
    <x v="1"/>
  </r>
  <r>
    <x v="3"/>
    <x v="1"/>
    <x v="6"/>
    <x v="2"/>
    <x v="22"/>
    <x v="1"/>
    <x v="1"/>
    <n v="4"/>
    <n v="8645.7000000000007"/>
    <n v="18676.53"/>
    <x v="1"/>
  </r>
  <r>
    <x v="3"/>
    <x v="1"/>
    <x v="6"/>
    <x v="2"/>
    <x v="29"/>
    <x v="0"/>
    <x v="1"/>
    <n v="3"/>
    <n v="6933.8"/>
    <n v="23871.26"/>
    <x v="1"/>
  </r>
  <r>
    <x v="3"/>
    <x v="1"/>
    <x v="6"/>
    <x v="2"/>
    <x v="23"/>
    <x v="1"/>
    <x v="1"/>
    <n v="4"/>
    <n v="12912.55"/>
    <n v="26888.75"/>
    <x v="1"/>
  </r>
  <r>
    <x v="3"/>
    <x v="1"/>
    <x v="6"/>
    <x v="2"/>
    <x v="24"/>
    <x v="0"/>
    <x v="1"/>
    <n v="3"/>
    <n v="5608.14"/>
    <n v="19955.79"/>
    <x v="1"/>
  </r>
  <r>
    <x v="3"/>
    <x v="1"/>
    <x v="6"/>
    <x v="3"/>
    <x v="25"/>
    <x v="0"/>
    <x v="1"/>
    <n v="1"/>
    <n v="2088.1799999999998"/>
    <n v="7669.38"/>
    <x v="1"/>
  </r>
  <r>
    <x v="3"/>
    <x v="1"/>
    <x v="6"/>
    <x v="3"/>
    <x v="25"/>
    <x v="1"/>
    <x v="0"/>
    <n v="1"/>
    <n v="2151.4"/>
    <n v="5240.07"/>
    <x v="1"/>
  </r>
  <r>
    <x v="3"/>
    <x v="1"/>
    <x v="6"/>
    <x v="3"/>
    <x v="25"/>
    <x v="1"/>
    <x v="1"/>
    <n v="10"/>
    <n v="28734.01"/>
    <n v="67611.19"/>
    <x v="1"/>
  </r>
  <r>
    <x v="3"/>
    <x v="1"/>
    <x v="6"/>
    <x v="3"/>
    <x v="26"/>
    <x v="1"/>
    <x v="1"/>
    <n v="8"/>
    <n v="20439.77"/>
    <n v="50622.32"/>
    <x v="1"/>
  </r>
  <r>
    <x v="3"/>
    <x v="1"/>
    <x v="6"/>
    <x v="3"/>
    <x v="27"/>
    <x v="0"/>
    <x v="1"/>
    <n v="5"/>
    <n v="12120.98"/>
    <n v="42353.3"/>
    <x v="1"/>
  </r>
  <r>
    <x v="3"/>
    <x v="1"/>
    <x v="6"/>
    <x v="3"/>
    <x v="27"/>
    <x v="1"/>
    <x v="0"/>
    <n v="6"/>
    <n v="14490.28"/>
    <n v="34735"/>
    <x v="1"/>
  </r>
  <r>
    <x v="3"/>
    <x v="1"/>
    <x v="6"/>
    <x v="3"/>
    <x v="27"/>
    <x v="1"/>
    <x v="1"/>
    <n v="30"/>
    <n v="87805.99"/>
    <n v="203536.4"/>
    <x v="1"/>
  </r>
  <r>
    <x v="3"/>
    <x v="1"/>
    <x v="7"/>
    <x v="0"/>
    <x v="0"/>
    <x v="0"/>
    <x v="0"/>
    <n v="1"/>
    <n v="5847.83"/>
    <n v="22272.91"/>
    <x v="1"/>
  </r>
  <r>
    <x v="3"/>
    <x v="1"/>
    <x v="7"/>
    <x v="0"/>
    <x v="0"/>
    <x v="0"/>
    <x v="1"/>
    <n v="2"/>
    <n v="10331.35"/>
    <n v="36837.08"/>
    <x v="1"/>
  </r>
  <r>
    <x v="3"/>
    <x v="1"/>
    <x v="7"/>
    <x v="0"/>
    <x v="0"/>
    <x v="1"/>
    <x v="1"/>
    <n v="6"/>
    <n v="29919.78"/>
    <n v="72325.42"/>
    <x v="1"/>
  </r>
  <r>
    <x v="3"/>
    <x v="1"/>
    <x v="7"/>
    <x v="0"/>
    <x v="1"/>
    <x v="0"/>
    <x v="0"/>
    <n v="2"/>
    <n v="10206.65"/>
    <n v="38577.54"/>
    <x v="1"/>
  </r>
  <r>
    <x v="3"/>
    <x v="1"/>
    <x v="7"/>
    <x v="0"/>
    <x v="1"/>
    <x v="0"/>
    <x v="1"/>
    <n v="5"/>
    <n v="19710.45"/>
    <n v="78832.42"/>
    <x v="1"/>
  </r>
  <r>
    <x v="3"/>
    <x v="1"/>
    <x v="7"/>
    <x v="0"/>
    <x v="1"/>
    <x v="1"/>
    <x v="0"/>
    <n v="2"/>
    <n v="8327.02"/>
    <n v="20876.310000000001"/>
    <x v="1"/>
  </r>
  <r>
    <x v="3"/>
    <x v="1"/>
    <x v="7"/>
    <x v="0"/>
    <x v="1"/>
    <x v="1"/>
    <x v="1"/>
    <n v="18"/>
    <n v="96077.759999999995"/>
    <n v="230407.29"/>
    <x v="1"/>
  </r>
  <r>
    <x v="3"/>
    <x v="1"/>
    <x v="7"/>
    <x v="0"/>
    <x v="2"/>
    <x v="0"/>
    <x v="1"/>
    <n v="2"/>
    <n v="7987.96"/>
    <n v="29151.89"/>
    <x v="1"/>
  </r>
  <r>
    <x v="3"/>
    <x v="1"/>
    <x v="7"/>
    <x v="0"/>
    <x v="2"/>
    <x v="1"/>
    <x v="1"/>
    <n v="2"/>
    <n v="12710.94"/>
    <n v="27684.2"/>
    <x v="1"/>
  </r>
  <r>
    <x v="3"/>
    <x v="1"/>
    <x v="7"/>
    <x v="0"/>
    <x v="3"/>
    <x v="0"/>
    <x v="0"/>
    <n v="4"/>
    <n v="19557.240000000002"/>
    <n v="73020.350000000006"/>
    <x v="1"/>
  </r>
  <r>
    <x v="3"/>
    <x v="1"/>
    <x v="7"/>
    <x v="0"/>
    <x v="3"/>
    <x v="0"/>
    <x v="1"/>
    <n v="5"/>
    <n v="24596.35"/>
    <n v="94898.28"/>
    <x v="1"/>
  </r>
  <r>
    <x v="3"/>
    <x v="1"/>
    <x v="7"/>
    <x v="0"/>
    <x v="3"/>
    <x v="1"/>
    <x v="0"/>
    <n v="9"/>
    <n v="45643.9"/>
    <n v="118283.19"/>
    <x v="1"/>
  </r>
  <r>
    <x v="3"/>
    <x v="1"/>
    <x v="7"/>
    <x v="0"/>
    <x v="3"/>
    <x v="1"/>
    <x v="1"/>
    <n v="27"/>
    <n v="132413.53"/>
    <n v="317380.8"/>
    <x v="1"/>
  </r>
  <r>
    <x v="3"/>
    <x v="1"/>
    <x v="7"/>
    <x v="0"/>
    <x v="28"/>
    <x v="1"/>
    <x v="1"/>
    <n v="3"/>
    <n v="17747.98"/>
    <n v="42669.599999999999"/>
    <x v="1"/>
  </r>
  <r>
    <x v="3"/>
    <x v="1"/>
    <x v="7"/>
    <x v="0"/>
    <x v="4"/>
    <x v="0"/>
    <x v="1"/>
    <n v="1"/>
    <n v="5524.19"/>
    <n v="22165.73"/>
    <x v="1"/>
  </r>
  <r>
    <x v="3"/>
    <x v="1"/>
    <x v="7"/>
    <x v="0"/>
    <x v="4"/>
    <x v="1"/>
    <x v="0"/>
    <n v="7"/>
    <n v="29555.56"/>
    <n v="73754.98"/>
    <x v="1"/>
  </r>
  <r>
    <x v="3"/>
    <x v="1"/>
    <x v="7"/>
    <x v="0"/>
    <x v="4"/>
    <x v="1"/>
    <x v="1"/>
    <n v="3"/>
    <n v="16448.45"/>
    <n v="37900.870000000003"/>
    <x v="1"/>
  </r>
  <r>
    <x v="3"/>
    <x v="1"/>
    <x v="7"/>
    <x v="0"/>
    <x v="5"/>
    <x v="0"/>
    <x v="1"/>
    <n v="2"/>
    <n v="12026.6"/>
    <n v="44391.46"/>
    <x v="1"/>
  </r>
  <r>
    <x v="3"/>
    <x v="1"/>
    <x v="7"/>
    <x v="0"/>
    <x v="5"/>
    <x v="1"/>
    <x v="0"/>
    <n v="10"/>
    <n v="48629.18"/>
    <n v="121572.28"/>
    <x v="1"/>
  </r>
  <r>
    <x v="3"/>
    <x v="1"/>
    <x v="7"/>
    <x v="0"/>
    <x v="5"/>
    <x v="1"/>
    <x v="1"/>
    <n v="11"/>
    <n v="65225.5"/>
    <n v="161744.54999999999"/>
    <x v="1"/>
  </r>
  <r>
    <x v="3"/>
    <x v="1"/>
    <x v="7"/>
    <x v="0"/>
    <x v="6"/>
    <x v="0"/>
    <x v="1"/>
    <n v="1"/>
    <n v="5544.04"/>
    <n v="22367.119999999999"/>
    <x v="1"/>
  </r>
  <r>
    <x v="3"/>
    <x v="1"/>
    <x v="7"/>
    <x v="0"/>
    <x v="6"/>
    <x v="1"/>
    <x v="1"/>
    <n v="1"/>
    <n v="6082.94"/>
    <n v="13947.85"/>
    <x v="1"/>
  </r>
  <r>
    <x v="3"/>
    <x v="1"/>
    <x v="7"/>
    <x v="0"/>
    <x v="7"/>
    <x v="1"/>
    <x v="1"/>
    <n v="1"/>
    <n v="6281.16"/>
    <n v="14833.06"/>
    <x v="1"/>
  </r>
  <r>
    <x v="3"/>
    <x v="1"/>
    <x v="7"/>
    <x v="0"/>
    <x v="8"/>
    <x v="0"/>
    <x v="1"/>
    <n v="1"/>
    <n v="3870.17"/>
    <n v="14616.61"/>
    <x v="1"/>
  </r>
  <r>
    <x v="3"/>
    <x v="1"/>
    <x v="7"/>
    <x v="0"/>
    <x v="8"/>
    <x v="1"/>
    <x v="1"/>
    <n v="4"/>
    <n v="15793.1"/>
    <n v="37227.370000000003"/>
    <x v="1"/>
  </r>
  <r>
    <x v="3"/>
    <x v="1"/>
    <x v="7"/>
    <x v="1"/>
    <x v="9"/>
    <x v="1"/>
    <x v="1"/>
    <n v="4"/>
    <n v="15630.28"/>
    <n v="40007.919999999998"/>
    <x v="1"/>
  </r>
  <r>
    <x v="3"/>
    <x v="1"/>
    <x v="7"/>
    <x v="1"/>
    <x v="10"/>
    <x v="0"/>
    <x v="1"/>
    <n v="3"/>
    <n v="16614.990000000002"/>
    <n v="66157.36"/>
    <x v="1"/>
  </r>
  <r>
    <x v="3"/>
    <x v="1"/>
    <x v="7"/>
    <x v="1"/>
    <x v="10"/>
    <x v="1"/>
    <x v="0"/>
    <n v="5"/>
    <n v="25355.279999999999"/>
    <n v="65702.59"/>
    <x v="1"/>
  </r>
  <r>
    <x v="3"/>
    <x v="1"/>
    <x v="7"/>
    <x v="1"/>
    <x v="10"/>
    <x v="1"/>
    <x v="1"/>
    <n v="14"/>
    <n v="84692.6"/>
    <n v="206235.03"/>
    <x v="1"/>
  </r>
  <r>
    <x v="3"/>
    <x v="1"/>
    <x v="7"/>
    <x v="1"/>
    <x v="11"/>
    <x v="0"/>
    <x v="1"/>
    <n v="12"/>
    <n v="61706.23"/>
    <n v="229002.48"/>
    <x v="1"/>
  </r>
  <r>
    <x v="3"/>
    <x v="1"/>
    <x v="7"/>
    <x v="1"/>
    <x v="11"/>
    <x v="1"/>
    <x v="0"/>
    <n v="7"/>
    <n v="24930.9"/>
    <n v="64183.71"/>
    <x v="1"/>
  </r>
  <r>
    <x v="3"/>
    <x v="1"/>
    <x v="7"/>
    <x v="1"/>
    <x v="11"/>
    <x v="1"/>
    <x v="1"/>
    <n v="25"/>
    <n v="123705.16"/>
    <n v="296832.5"/>
    <x v="1"/>
  </r>
  <r>
    <x v="3"/>
    <x v="1"/>
    <x v="7"/>
    <x v="1"/>
    <x v="13"/>
    <x v="1"/>
    <x v="1"/>
    <n v="2"/>
    <n v="11053.34"/>
    <n v="30176.68"/>
    <x v="1"/>
  </r>
  <r>
    <x v="3"/>
    <x v="1"/>
    <x v="7"/>
    <x v="1"/>
    <x v="14"/>
    <x v="1"/>
    <x v="0"/>
    <n v="3"/>
    <n v="13584.3"/>
    <n v="33079.199999999997"/>
    <x v="1"/>
  </r>
  <r>
    <x v="3"/>
    <x v="1"/>
    <x v="7"/>
    <x v="1"/>
    <x v="14"/>
    <x v="1"/>
    <x v="1"/>
    <n v="5"/>
    <n v="25614.66"/>
    <n v="63647.32"/>
    <x v="1"/>
  </r>
  <r>
    <x v="3"/>
    <x v="1"/>
    <x v="7"/>
    <x v="1"/>
    <x v="15"/>
    <x v="1"/>
    <x v="0"/>
    <n v="3"/>
    <n v="11518.92"/>
    <n v="28337.65"/>
    <x v="1"/>
  </r>
  <r>
    <x v="3"/>
    <x v="1"/>
    <x v="7"/>
    <x v="1"/>
    <x v="16"/>
    <x v="0"/>
    <x v="1"/>
    <n v="2"/>
    <n v="11036.2"/>
    <n v="44637.88"/>
    <x v="1"/>
  </r>
  <r>
    <x v="3"/>
    <x v="1"/>
    <x v="7"/>
    <x v="1"/>
    <x v="16"/>
    <x v="1"/>
    <x v="0"/>
    <n v="1"/>
    <n v="6426.79"/>
    <n v="14611"/>
    <x v="1"/>
  </r>
  <r>
    <x v="3"/>
    <x v="1"/>
    <x v="7"/>
    <x v="1"/>
    <x v="16"/>
    <x v="1"/>
    <x v="1"/>
    <n v="4"/>
    <n v="20822"/>
    <n v="53179.519999999997"/>
    <x v="1"/>
  </r>
  <r>
    <x v="3"/>
    <x v="1"/>
    <x v="7"/>
    <x v="1"/>
    <x v="17"/>
    <x v="0"/>
    <x v="1"/>
    <n v="2"/>
    <n v="8081.27"/>
    <n v="30690.74"/>
    <x v="1"/>
  </r>
  <r>
    <x v="3"/>
    <x v="1"/>
    <x v="7"/>
    <x v="1"/>
    <x v="17"/>
    <x v="1"/>
    <x v="0"/>
    <n v="7"/>
    <n v="31983.02"/>
    <n v="83760.42"/>
    <x v="1"/>
  </r>
  <r>
    <x v="3"/>
    <x v="1"/>
    <x v="7"/>
    <x v="1"/>
    <x v="17"/>
    <x v="1"/>
    <x v="1"/>
    <n v="1"/>
    <n v="4315.54"/>
    <n v="10704.4"/>
    <x v="1"/>
  </r>
  <r>
    <x v="3"/>
    <x v="1"/>
    <x v="7"/>
    <x v="1"/>
    <x v="18"/>
    <x v="0"/>
    <x v="1"/>
    <n v="14"/>
    <n v="72921.850000000006"/>
    <n v="271826.31"/>
    <x v="1"/>
  </r>
  <r>
    <x v="3"/>
    <x v="1"/>
    <x v="7"/>
    <x v="1"/>
    <x v="18"/>
    <x v="1"/>
    <x v="0"/>
    <n v="14"/>
    <n v="73765.17"/>
    <n v="193821.94"/>
    <x v="1"/>
  </r>
  <r>
    <x v="3"/>
    <x v="1"/>
    <x v="7"/>
    <x v="1"/>
    <x v="18"/>
    <x v="1"/>
    <x v="1"/>
    <n v="25"/>
    <n v="126609.79"/>
    <n v="332156.67"/>
    <x v="1"/>
  </r>
  <r>
    <x v="3"/>
    <x v="1"/>
    <x v="7"/>
    <x v="1"/>
    <x v="19"/>
    <x v="0"/>
    <x v="1"/>
    <n v="1"/>
    <n v="6159.19"/>
    <n v="22367.119999999999"/>
    <x v="1"/>
  </r>
  <r>
    <x v="3"/>
    <x v="1"/>
    <x v="7"/>
    <x v="1"/>
    <x v="19"/>
    <x v="1"/>
    <x v="0"/>
    <n v="11"/>
    <n v="50818.98"/>
    <n v="125698.88"/>
    <x v="1"/>
  </r>
  <r>
    <x v="3"/>
    <x v="1"/>
    <x v="7"/>
    <x v="1"/>
    <x v="19"/>
    <x v="1"/>
    <x v="1"/>
    <n v="13"/>
    <n v="55063.28"/>
    <n v="138982.51"/>
    <x v="1"/>
  </r>
  <r>
    <x v="3"/>
    <x v="1"/>
    <x v="7"/>
    <x v="1"/>
    <x v="20"/>
    <x v="0"/>
    <x v="1"/>
    <n v="2"/>
    <n v="9320.43"/>
    <n v="38743.14"/>
    <x v="1"/>
  </r>
  <r>
    <x v="3"/>
    <x v="1"/>
    <x v="7"/>
    <x v="1"/>
    <x v="20"/>
    <x v="1"/>
    <x v="0"/>
    <n v="9"/>
    <n v="38650.54"/>
    <n v="100137.74"/>
    <x v="1"/>
  </r>
  <r>
    <x v="3"/>
    <x v="1"/>
    <x v="7"/>
    <x v="1"/>
    <x v="20"/>
    <x v="1"/>
    <x v="1"/>
    <n v="17"/>
    <n v="88055.09"/>
    <n v="224603.96"/>
    <x v="1"/>
  </r>
  <r>
    <x v="3"/>
    <x v="1"/>
    <x v="7"/>
    <x v="2"/>
    <x v="21"/>
    <x v="1"/>
    <x v="1"/>
    <n v="1"/>
    <n v="4160.26"/>
    <n v="8988.7999999999993"/>
    <x v="1"/>
  </r>
  <r>
    <x v="3"/>
    <x v="1"/>
    <x v="7"/>
    <x v="2"/>
    <x v="22"/>
    <x v="0"/>
    <x v="1"/>
    <n v="7"/>
    <n v="35937.040000000001"/>
    <n v="133598.79"/>
    <x v="1"/>
  </r>
  <r>
    <x v="3"/>
    <x v="1"/>
    <x v="7"/>
    <x v="2"/>
    <x v="22"/>
    <x v="1"/>
    <x v="0"/>
    <n v="1"/>
    <n v="3666.37"/>
    <n v="8859.16"/>
    <x v="1"/>
  </r>
  <r>
    <x v="3"/>
    <x v="1"/>
    <x v="7"/>
    <x v="2"/>
    <x v="22"/>
    <x v="1"/>
    <x v="1"/>
    <n v="4"/>
    <n v="22823.3"/>
    <n v="49214.07"/>
    <x v="1"/>
  </r>
  <r>
    <x v="3"/>
    <x v="1"/>
    <x v="7"/>
    <x v="2"/>
    <x v="23"/>
    <x v="1"/>
    <x v="1"/>
    <n v="2"/>
    <n v="11697.76"/>
    <n v="28107.7"/>
    <x v="1"/>
  </r>
  <r>
    <x v="3"/>
    <x v="1"/>
    <x v="7"/>
    <x v="2"/>
    <x v="24"/>
    <x v="0"/>
    <x v="1"/>
    <n v="3"/>
    <n v="16720.400000000001"/>
    <n v="66504.67"/>
    <x v="1"/>
  </r>
  <r>
    <x v="3"/>
    <x v="1"/>
    <x v="7"/>
    <x v="3"/>
    <x v="25"/>
    <x v="0"/>
    <x v="1"/>
    <n v="1"/>
    <n v="5429.98"/>
    <n v="22130.65"/>
    <x v="1"/>
  </r>
  <r>
    <x v="3"/>
    <x v="1"/>
    <x v="7"/>
    <x v="3"/>
    <x v="25"/>
    <x v="1"/>
    <x v="0"/>
    <n v="15"/>
    <n v="61931.94"/>
    <n v="164379.79999999999"/>
    <x v="1"/>
  </r>
  <r>
    <x v="3"/>
    <x v="1"/>
    <x v="7"/>
    <x v="3"/>
    <x v="25"/>
    <x v="1"/>
    <x v="1"/>
    <n v="1"/>
    <n v="3400.03"/>
    <n v="9599.24"/>
    <x v="1"/>
  </r>
  <r>
    <x v="3"/>
    <x v="1"/>
    <x v="7"/>
    <x v="3"/>
    <x v="26"/>
    <x v="0"/>
    <x v="0"/>
    <n v="4"/>
    <n v="24577.7"/>
    <n v="88793.81"/>
    <x v="1"/>
  </r>
  <r>
    <x v="3"/>
    <x v="1"/>
    <x v="7"/>
    <x v="3"/>
    <x v="26"/>
    <x v="1"/>
    <x v="0"/>
    <n v="5"/>
    <n v="22304.39"/>
    <n v="56263"/>
    <x v="1"/>
  </r>
  <r>
    <x v="3"/>
    <x v="1"/>
    <x v="7"/>
    <x v="3"/>
    <x v="26"/>
    <x v="1"/>
    <x v="1"/>
    <n v="27"/>
    <n v="138360.88"/>
    <n v="354034.73"/>
    <x v="1"/>
  </r>
  <r>
    <x v="3"/>
    <x v="1"/>
    <x v="7"/>
    <x v="3"/>
    <x v="27"/>
    <x v="0"/>
    <x v="0"/>
    <n v="1"/>
    <n v="6259.92"/>
    <n v="22256.19"/>
    <x v="1"/>
  </r>
  <r>
    <x v="3"/>
    <x v="1"/>
    <x v="7"/>
    <x v="3"/>
    <x v="27"/>
    <x v="0"/>
    <x v="1"/>
    <n v="7"/>
    <n v="36543.019999999997"/>
    <n v="142032.5"/>
    <x v="1"/>
  </r>
  <r>
    <x v="3"/>
    <x v="1"/>
    <x v="7"/>
    <x v="3"/>
    <x v="27"/>
    <x v="1"/>
    <x v="0"/>
    <n v="8"/>
    <n v="49298.06"/>
    <n v="118592.9"/>
    <x v="1"/>
  </r>
  <r>
    <x v="3"/>
    <x v="1"/>
    <x v="7"/>
    <x v="3"/>
    <x v="27"/>
    <x v="1"/>
    <x v="1"/>
    <n v="18"/>
    <n v="94259.87"/>
    <n v="236904.5"/>
    <x v="1"/>
  </r>
  <r>
    <x v="3"/>
    <x v="1"/>
    <x v="8"/>
    <x v="0"/>
    <x v="0"/>
    <x v="0"/>
    <x v="1"/>
    <n v="2"/>
    <n v="5544.66"/>
    <n v="20109.34"/>
    <x v="1"/>
  </r>
  <r>
    <x v="3"/>
    <x v="1"/>
    <x v="8"/>
    <x v="0"/>
    <x v="0"/>
    <x v="1"/>
    <x v="0"/>
    <n v="9"/>
    <n v="35077.599999999999"/>
    <n v="78880.91"/>
    <x v="1"/>
  </r>
  <r>
    <x v="3"/>
    <x v="1"/>
    <x v="8"/>
    <x v="0"/>
    <x v="0"/>
    <x v="1"/>
    <x v="1"/>
    <n v="12"/>
    <n v="39051.1"/>
    <n v="90624.8"/>
    <x v="1"/>
  </r>
  <r>
    <x v="3"/>
    <x v="1"/>
    <x v="8"/>
    <x v="0"/>
    <x v="1"/>
    <x v="0"/>
    <x v="0"/>
    <n v="3"/>
    <n v="10809.96"/>
    <n v="38193.519999999997"/>
    <x v="1"/>
  </r>
  <r>
    <x v="3"/>
    <x v="1"/>
    <x v="8"/>
    <x v="0"/>
    <x v="1"/>
    <x v="0"/>
    <x v="1"/>
    <n v="11"/>
    <n v="35057.94"/>
    <n v="125363.65"/>
    <x v="1"/>
  </r>
  <r>
    <x v="3"/>
    <x v="1"/>
    <x v="8"/>
    <x v="0"/>
    <x v="1"/>
    <x v="1"/>
    <x v="0"/>
    <n v="13"/>
    <n v="42992.15"/>
    <n v="96285.47"/>
    <x v="1"/>
  </r>
  <r>
    <x v="3"/>
    <x v="1"/>
    <x v="8"/>
    <x v="0"/>
    <x v="1"/>
    <x v="1"/>
    <x v="1"/>
    <n v="29"/>
    <n v="90552.14"/>
    <n v="204142.84"/>
    <x v="1"/>
  </r>
  <r>
    <x v="3"/>
    <x v="1"/>
    <x v="8"/>
    <x v="0"/>
    <x v="2"/>
    <x v="0"/>
    <x v="1"/>
    <n v="5"/>
    <n v="19276.73"/>
    <n v="65707.31"/>
    <x v="1"/>
  </r>
  <r>
    <x v="3"/>
    <x v="1"/>
    <x v="8"/>
    <x v="0"/>
    <x v="2"/>
    <x v="1"/>
    <x v="0"/>
    <n v="5"/>
    <n v="15930.05"/>
    <n v="35147.69"/>
    <x v="1"/>
  </r>
  <r>
    <x v="3"/>
    <x v="1"/>
    <x v="8"/>
    <x v="0"/>
    <x v="2"/>
    <x v="1"/>
    <x v="1"/>
    <n v="1"/>
    <n v="4205.51"/>
    <n v="8820.01"/>
    <x v="1"/>
  </r>
  <r>
    <x v="3"/>
    <x v="1"/>
    <x v="8"/>
    <x v="0"/>
    <x v="3"/>
    <x v="0"/>
    <x v="0"/>
    <n v="3"/>
    <n v="9958.16"/>
    <n v="34051.980000000003"/>
    <x v="1"/>
  </r>
  <r>
    <x v="3"/>
    <x v="1"/>
    <x v="8"/>
    <x v="0"/>
    <x v="3"/>
    <x v="0"/>
    <x v="1"/>
    <n v="13"/>
    <n v="42817.06"/>
    <n v="150016.29"/>
    <x v="1"/>
  </r>
  <r>
    <x v="3"/>
    <x v="1"/>
    <x v="8"/>
    <x v="0"/>
    <x v="3"/>
    <x v="1"/>
    <x v="0"/>
    <n v="9"/>
    <n v="32030.57"/>
    <n v="72788.59"/>
    <x v="1"/>
  </r>
  <r>
    <x v="3"/>
    <x v="1"/>
    <x v="8"/>
    <x v="0"/>
    <x v="3"/>
    <x v="1"/>
    <x v="1"/>
    <n v="24"/>
    <n v="89910.35"/>
    <n v="199524.56"/>
    <x v="1"/>
  </r>
  <r>
    <x v="3"/>
    <x v="1"/>
    <x v="8"/>
    <x v="0"/>
    <x v="4"/>
    <x v="1"/>
    <x v="0"/>
    <n v="7"/>
    <n v="22245.96"/>
    <n v="48240.66"/>
    <x v="1"/>
  </r>
  <r>
    <x v="3"/>
    <x v="1"/>
    <x v="8"/>
    <x v="0"/>
    <x v="4"/>
    <x v="1"/>
    <x v="1"/>
    <n v="15"/>
    <n v="53277.95"/>
    <n v="114167.95"/>
    <x v="1"/>
  </r>
  <r>
    <x v="3"/>
    <x v="1"/>
    <x v="8"/>
    <x v="0"/>
    <x v="5"/>
    <x v="0"/>
    <x v="1"/>
    <n v="4"/>
    <n v="16910.099999999999"/>
    <n v="56473.56"/>
    <x v="1"/>
  </r>
  <r>
    <x v="3"/>
    <x v="1"/>
    <x v="8"/>
    <x v="0"/>
    <x v="5"/>
    <x v="1"/>
    <x v="0"/>
    <n v="4"/>
    <n v="16093.08"/>
    <n v="37438.85"/>
    <x v="1"/>
  </r>
  <r>
    <x v="3"/>
    <x v="1"/>
    <x v="8"/>
    <x v="0"/>
    <x v="5"/>
    <x v="1"/>
    <x v="1"/>
    <n v="37"/>
    <n v="138116.74"/>
    <n v="310488.5"/>
    <x v="1"/>
  </r>
  <r>
    <x v="3"/>
    <x v="1"/>
    <x v="8"/>
    <x v="0"/>
    <x v="6"/>
    <x v="0"/>
    <x v="1"/>
    <n v="2"/>
    <n v="8100.09"/>
    <n v="28401.4"/>
    <x v="1"/>
  </r>
  <r>
    <x v="3"/>
    <x v="1"/>
    <x v="8"/>
    <x v="0"/>
    <x v="6"/>
    <x v="1"/>
    <x v="1"/>
    <n v="6"/>
    <n v="24933.56"/>
    <n v="55536.38"/>
    <x v="1"/>
  </r>
  <r>
    <x v="3"/>
    <x v="1"/>
    <x v="8"/>
    <x v="0"/>
    <x v="7"/>
    <x v="1"/>
    <x v="1"/>
    <n v="2"/>
    <n v="8775.48"/>
    <n v="18782.62"/>
    <x v="1"/>
  </r>
  <r>
    <x v="3"/>
    <x v="1"/>
    <x v="8"/>
    <x v="0"/>
    <x v="8"/>
    <x v="0"/>
    <x v="1"/>
    <n v="1"/>
    <n v="2948.12"/>
    <n v="10135.64"/>
    <x v="1"/>
  </r>
  <r>
    <x v="3"/>
    <x v="1"/>
    <x v="8"/>
    <x v="0"/>
    <x v="8"/>
    <x v="1"/>
    <x v="1"/>
    <n v="3"/>
    <n v="12840.87"/>
    <n v="26998.79"/>
    <x v="1"/>
  </r>
  <r>
    <x v="3"/>
    <x v="1"/>
    <x v="8"/>
    <x v="1"/>
    <x v="9"/>
    <x v="1"/>
    <x v="1"/>
    <n v="5"/>
    <n v="14058.61"/>
    <n v="33494.14"/>
    <x v="1"/>
  </r>
  <r>
    <x v="3"/>
    <x v="1"/>
    <x v="8"/>
    <x v="1"/>
    <x v="31"/>
    <x v="1"/>
    <x v="0"/>
    <n v="9"/>
    <n v="31825.42"/>
    <n v="77243.990000000005"/>
    <x v="1"/>
  </r>
  <r>
    <x v="3"/>
    <x v="1"/>
    <x v="8"/>
    <x v="1"/>
    <x v="10"/>
    <x v="0"/>
    <x v="1"/>
    <n v="6"/>
    <n v="20609.05"/>
    <n v="71219.649999999994"/>
    <x v="1"/>
  </r>
  <r>
    <x v="3"/>
    <x v="1"/>
    <x v="8"/>
    <x v="1"/>
    <x v="10"/>
    <x v="1"/>
    <x v="0"/>
    <n v="17"/>
    <n v="54983.68"/>
    <n v="126711.82"/>
    <x v="1"/>
  </r>
  <r>
    <x v="3"/>
    <x v="1"/>
    <x v="8"/>
    <x v="1"/>
    <x v="10"/>
    <x v="1"/>
    <x v="1"/>
    <n v="25"/>
    <n v="99603.89"/>
    <n v="230651.96"/>
    <x v="1"/>
  </r>
  <r>
    <x v="3"/>
    <x v="1"/>
    <x v="8"/>
    <x v="1"/>
    <x v="11"/>
    <x v="0"/>
    <x v="1"/>
    <n v="17"/>
    <n v="49712.160000000003"/>
    <n v="173566.32"/>
    <x v="1"/>
  </r>
  <r>
    <x v="3"/>
    <x v="1"/>
    <x v="8"/>
    <x v="1"/>
    <x v="11"/>
    <x v="1"/>
    <x v="0"/>
    <n v="9"/>
    <n v="32498.240000000002"/>
    <n v="69687.64"/>
    <x v="1"/>
  </r>
  <r>
    <x v="3"/>
    <x v="1"/>
    <x v="8"/>
    <x v="1"/>
    <x v="11"/>
    <x v="1"/>
    <x v="1"/>
    <n v="27"/>
    <n v="82703.820000000007"/>
    <n v="187734.39999999999"/>
    <x v="1"/>
  </r>
  <r>
    <x v="3"/>
    <x v="1"/>
    <x v="8"/>
    <x v="1"/>
    <x v="12"/>
    <x v="1"/>
    <x v="0"/>
    <n v="2"/>
    <n v="5398.3"/>
    <n v="13747.06"/>
    <x v="1"/>
  </r>
  <r>
    <x v="3"/>
    <x v="1"/>
    <x v="8"/>
    <x v="1"/>
    <x v="12"/>
    <x v="1"/>
    <x v="1"/>
    <n v="5"/>
    <n v="20165.150000000001"/>
    <n v="47727.71"/>
    <x v="1"/>
  </r>
  <r>
    <x v="3"/>
    <x v="1"/>
    <x v="8"/>
    <x v="1"/>
    <x v="13"/>
    <x v="0"/>
    <x v="1"/>
    <n v="5"/>
    <n v="18230.689999999999"/>
    <n v="62334.6"/>
    <x v="1"/>
  </r>
  <r>
    <x v="3"/>
    <x v="1"/>
    <x v="8"/>
    <x v="1"/>
    <x v="13"/>
    <x v="1"/>
    <x v="0"/>
    <n v="8"/>
    <n v="32884.79"/>
    <n v="73401.41"/>
    <x v="1"/>
  </r>
  <r>
    <x v="3"/>
    <x v="1"/>
    <x v="8"/>
    <x v="1"/>
    <x v="13"/>
    <x v="1"/>
    <x v="1"/>
    <n v="13"/>
    <n v="45176.4"/>
    <n v="107274.68"/>
    <x v="1"/>
  </r>
  <r>
    <x v="3"/>
    <x v="1"/>
    <x v="8"/>
    <x v="1"/>
    <x v="14"/>
    <x v="0"/>
    <x v="1"/>
    <n v="2"/>
    <n v="7219.53"/>
    <n v="24084.959999999999"/>
    <x v="1"/>
  </r>
  <r>
    <x v="3"/>
    <x v="1"/>
    <x v="8"/>
    <x v="1"/>
    <x v="14"/>
    <x v="1"/>
    <x v="0"/>
    <n v="10"/>
    <n v="35833.699999999997"/>
    <n v="82256.899999999994"/>
    <x v="1"/>
  </r>
  <r>
    <x v="3"/>
    <x v="1"/>
    <x v="8"/>
    <x v="1"/>
    <x v="14"/>
    <x v="1"/>
    <x v="1"/>
    <n v="5"/>
    <n v="21590.26"/>
    <n v="45974.92"/>
    <x v="1"/>
  </r>
  <r>
    <x v="3"/>
    <x v="1"/>
    <x v="8"/>
    <x v="1"/>
    <x v="15"/>
    <x v="1"/>
    <x v="0"/>
    <n v="6"/>
    <n v="18181.2"/>
    <n v="41960.84"/>
    <x v="1"/>
  </r>
  <r>
    <x v="3"/>
    <x v="1"/>
    <x v="8"/>
    <x v="1"/>
    <x v="15"/>
    <x v="1"/>
    <x v="1"/>
    <n v="1"/>
    <n v="4176.59"/>
    <n v="9812.7199999999993"/>
    <x v="1"/>
  </r>
  <r>
    <x v="3"/>
    <x v="1"/>
    <x v="8"/>
    <x v="1"/>
    <x v="16"/>
    <x v="0"/>
    <x v="1"/>
    <n v="4"/>
    <n v="14853.81"/>
    <n v="51410.11"/>
    <x v="1"/>
  </r>
  <r>
    <x v="3"/>
    <x v="1"/>
    <x v="8"/>
    <x v="1"/>
    <x v="16"/>
    <x v="1"/>
    <x v="0"/>
    <n v="5"/>
    <n v="19591.400000000001"/>
    <n v="46311.44"/>
    <x v="1"/>
  </r>
  <r>
    <x v="3"/>
    <x v="1"/>
    <x v="8"/>
    <x v="1"/>
    <x v="16"/>
    <x v="1"/>
    <x v="1"/>
    <n v="4"/>
    <n v="16214.57"/>
    <n v="37215.54"/>
    <x v="1"/>
  </r>
  <r>
    <x v="3"/>
    <x v="1"/>
    <x v="8"/>
    <x v="1"/>
    <x v="17"/>
    <x v="1"/>
    <x v="0"/>
    <n v="11"/>
    <n v="40831.68"/>
    <n v="88562.240000000005"/>
    <x v="1"/>
  </r>
  <r>
    <x v="3"/>
    <x v="1"/>
    <x v="8"/>
    <x v="1"/>
    <x v="17"/>
    <x v="1"/>
    <x v="1"/>
    <n v="6"/>
    <n v="24716.31"/>
    <n v="55638.33"/>
    <x v="1"/>
  </r>
  <r>
    <x v="3"/>
    <x v="1"/>
    <x v="8"/>
    <x v="1"/>
    <x v="18"/>
    <x v="0"/>
    <x v="1"/>
    <n v="21"/>
    <n v="63005.21"/>
    <n v="215494.81"/>
    <x v="1"/>
  </r>
  <r>
    <x v="3"/>
    <x v="1"/>
    <x v="8"/>
    <x v="1"/>
    <x v="18"/>
    <x v="1"/>
    <x v="0"/>
    <n v="7"/>
    <n v="25455.119999999999"/>
    <n v="58618.35"/>
    <x v="1"/>
  </r>
  <r>
    <x v="3"/>
    <x v="1"/>
    <x v="8"/>
    <x v="1"/>
    <x v="18"/>
    <x v="1"/>
    <x v="1"/>
    <n v="15"/>
    <n v="57617.02"/>
    <n v="137932.45000000001"/>
    <x v="1"/>
  </r>
  <r>
    <x v="3"/>
    <x v="1"/>
    <x v="8"/>
    <x v="1"/>
    <x v="19"/>
    <x v="0"/>
    <x v="1"/>
    <n v="2"/>
    <n v="5015.9799999999996"/>
    <n v="18593.29"/>
    <x v="1"/>
  </r>
  <r>
    <x v="3"/>
    <x v="1"/>
    <x v="8"/>
    <x v="1"/>
    <x v="19"/>
    <x v="1"/>
    <x v="0"/>
    <n v="9"/>
    <n v="30557.42"/>
    <n v="72219.539999999994"/>
    <x v="1"/>
  </r>
  <r>
    <x v="3"/>
    <x v="1"/>
    <x v="8"/>
    <x v="1"/>
    <x v="19"/>
    <x v="1"/>
    <x v="1"/>
    <n v="13"/>
    <n v="47783.43"/>
    <n v="110395.71"/>
    <x v="1"/>
  </r>
  <r>
    <x v="3"/>
    <x v="1"/>
    <x v="8"/>
    <x v="1"/>
    <x v="20"/>
    <x v="0"/>
    <x v="0"/>
    <n v="3"/>
    <n v="8451.09"/>
    <n v="31789.51"/>
    <x v="1"/>
  </r>
  <r>
    <x v="3"/>
    <x v="1"/>
    <x v="8"/>
    <x v="1"/>
    <x v="20"/>
    <x v="0"/>
    <x v="1"/>
    <n v="10"/>
    <n v="34811.94"/>
    <n v="124974.47"/>
    <x v="1"/>
  </r>
  <r>
    <x v="3"/>
    <x v="1"/>
    <x v="8"/>
    <x v="1"/>
    <x v="20"/>
    <x v="1"/>
    <x v="0"/>
    <n v="14"/>
    <n v="53208.99"/>
    <n v="127280.06"/>
    <x v="1"/>
  </r>
  <r>
    <x v="3"/>
    <x v="1"/>
    <x v="8"/>
    <x v="1"/>
    <x v="20"/>
    <x v="1"/>
    <x v="1"/>
    <n v="34"/>
    <n v="122218.88"/>
    <n v="282796.90999999997"/>
    <x v="1"/>
  </r>
  <r>
    <x v="3"/>
    <x v="1"/>
    <x v="8"/>
    <x v="2"/>
    <x v="21"/>
    <x v="0"/>
    <x v="0"/>
    <n v="4"/>
    <n v="15330.17"/>
    <n v="52833.21"/>
    <x v="1"/>
  </r>
  <r>
    <x v="3"/>
    <x v="1"/>
    <x v="8"/>
    <x v="2"/>
    <x v="21"/>
    <x v="1"/>
    <x v="1"/>
    <n v="1"/>
    <n v="2619.23"/>
    <n v="6231.73"/>
    <x v="1"/>
  </r>
  <r>
    <x v="3"/>
    <x v="1"/>
    <x v="8"/>
    <x v="2"/>
    <x v="22"/>
    <x v="0"/>
    <x v="1"/>
    <n v="5"/>
    <n v="18171.39"/>
    <n v="59962.9"/>
    <x v="1"/>
  </r>
  <r>
    <x v="3"/>
    <x v="1"/>
    <x v="8"/>
    <x v="2"/>
    <x v="22"/>
    <x v="1"/>
    <x v="0"/>
    <n v="4"/>
    <n v="17045.64"/>
    <n v="34592.870000000003"/>
    <x v="1"/>
  </r>
  <r>
    <x v="3"/>
    <x v="1"/>
    <x v="8"/>
    <x v="2"/>
    <x v="22"/>
    <x v="1"/>
    <x v="1"/>
    <n v="10"/>
    <n v="34580.47"/>
    <n v="71470.490000000005"/>
    <x v="1"/>
  </r>
  <r>
    <x v="3"/>
    <x v="1"/>
    <x v="8"/>
    <x v="2"/>
    <x v="29"/>
    <x v="0"/>
    <x v="1"/>
    <n v="3"/>
    <n v="12567.13"/>
    <n v="42525.68"/>
    <x v="1"/>
  </r>
  <r>
    <x v="3"/>
    <x v="1"/>
    <x v="8"/>
    <x v="2"/>
    <x v="29"/>
    <x v="1"/>
    <x v="1"/>
    <n v="4"/>
    <n v="15173.82"/>
    <n v="33316.35"/>
    <x v="1"/>
  </r>
  <r>
    <x v="3"/>
    <x v="1"/>
    <x v="8"/>
    <x v="2"/>
    <x v="23"/>
    <x v="1"/>
    <x v="1"/>
    <n v="5"/>
    <n v="13107.64"/>
    <n v="31223.4"/>
    <x v="1"/>
  </r>
  <r>
    <x v="3"/>
    <x v="1"/>
    <x v="8"/>
    <x v="2"/>
    <x v="24"/>
    <x v="0"/>
    <x v="1"/>
    <n v="3"/>
    <n v="11474.9"/>
    <n v="38368.730000000003"/>
    <x v="1"/>
  </r>
  <r>
    <x v="3"/>
    <x v="1"/>
    <x v="8"/>
    <x v="3"/>
    <x v="25"/>
    <x v="0"/>
    <x v="1"/>
    <n v="4"/>
    <n v="14081.56"/>
    <n v="48522.63"/>
    <x v="1"/>
  </r>
  <r>
    <x v="3"/>
    <x v="1"/>
    <x v="8"/>
    <x v="3"/>
    <x v="25"/>
    <x v="1"/>
    <x v="0"/>
    <n v="15"/>
    <n v="58239.25"/>
    <n v="136304.13"/>
    <x v="1"/>
  </r>
  <r>
    <x v="3"/>
    <x v="1"/>
    <x v="8"/>
    <x v="3"/>
    <x v="25"/>
    <x v="1"/>
    <x v="1"/>
    <n v="11"/>
    <n v="35790.589999999997"/>
    <n v="89523.55"/>
    <x v="1"/>
  </r>
  <r>
    <x v="3"/>
    <x v="1"/>
    <x v="8"/>
    <x v="3"/>
    <x v="26"/>
    <x v="0"/>
    <x v="0"/>
    <n v="4"/>
    <n v="15483.82"/>
    <n v="52606.49"/>
    <x v="1"/>
  </r>
  <r>
    <x v="3"/>
    <x v="1"/>
    <x v="8"/>
    <x v="3"/>
    <x v="26"/>
    <x v="1"/>
    <x v="0"/>
    <n v="8"/>
    <n v="30676.94"/>
    <n v="71863.199999999997"/>
    <x v="1"/>
  </r>
  <r>
    <x v="3"/>
    <x v="1"/>
    <x v="8"/>
    <x v="3"/>
    <x v="26"/>
    <x v="1"/>
    <x v="1"/>
    <n v="12"/>
    <n v="41339.379999999997"/>
    <n v="97040.65"/>
    <x v="1"/>
  </r>
  <r>
    <x v="3"/>
    <x v="1"/>
    <x v="8"/>
    <x v="3"/>
    <x v="27"/>
    <x v="0"/>
    <x v="0"/>
    <n v="1"/>
    <n v="3870.73"/>
    <n v="14033.88"/>
    <x v="1"/>
  </r>
  <r>
    <x v="3"/>
    <x v="1"/>
    <x v="8"/>
    <x v="3"/>
    <x v="27"/>
    <x v="0"/>
    <x v="1"/>
    <n v="16"/>
    <n v="58642.94"/>
    <n v="201017"/>
    <x v="1"/>
  </r>
  <r>
    <x v="3"/>
    <x v="1"/>
    <x v="8"/>
    <x v="3"/>
    <x v="27"/>
    <x v="1"/>
    <x v="0"/>
    <n v="14"/>
    <n v="37234.370000000003"/>
    <n v="90660.47"/>
    <x v="1"/>
  </r>
  <r>
    <x v="3"/>
    <x v="1"/>
    <x v="8"/>
    <x v="3"/>
    <x v="27"/>
    <x v="1"/>
    <x v="1"/>
    <n v="42"/>
    <n v="135504.01"/>
    <n v="311144.90000000002"/>
    <x v="1"/>
  </r>
  <r>
    <x v="3"/>
    <x v="1"/>
    <x v="9"/>
    <x v="0"/>
    <x v="0"/>
    <x v="1"/>
    <x v="0"/>
    <n v="8"/>
    <n v="24521.07"/>
    <n v="53086.63"/>
    <x v="1"/>
  </r>
  <r>
    <x v="3"/>
    <x v="1"/>
    <x v="9"/>
    <x v="0"/>
    <x v="0"/>
    <x v="1"/>
    <x v="1"/>
    <n v="9"/>
    <n v="19421.11"/>
    <n v="43849.599999999999"/>
    <x v="1"/>
  </r>
  <r>
    <x v="3"/>
    <x v="1"/>
    <x v="9"/>
    <x v="0"/>
    <x v="1"/>
    <x v="0"/>
    <x v="0"/>
    <n v="1"/>
    <n v="2287.3000000000002"/>
    <n v="7903.74"/>
    <x v="1"/>
  </r>
  <r>
    <x v="3"/>
    <x v="1"/>
    <x v="9"/>
    <x v="0"/>
    <x v="1"/>
    <x v="0"/>
    <x v="1"/>
    <n v="5"/>
    <n v="16114.65"/>
    <n v="53172.35"/>
    <x v="1"/>
  </r>
  <r>
    <x v="3"/>
    <x v="1"/>
    <x v="9"/>
    <x v="0"/>
    <x v="1"/>
    <x v="1"/>
    <x v="0"/>
    <n v="9"/>
    <n v="27225.02"/>
    <n v="58852.05"/>
    <x v="1"/>
  </r>
  <r>
    <x v="3"/>
    <x v="1"/>
    <x v="9"/>
    <x v="0"/>
    <x v="1"/>
    <x v="1"/>
    <x v="1"/>
    <n v="30"/>
    <n v="88264.53"/>
    <n v="189354.9"/>
    <x v="1"/>
  </r>
  <r>
    <x v="3"/>
    <x v="1"/>
    <x v="9"/>
    <x v="0"/>
    <x v="2"/>
    <x v="0"/>
    <x v="1"/>
    <n v="2"/>
    <n v="5659.86"/>
    <n v="19221.939999999999"/>
    <x v="1"/>
  </r>
  <r>
    <x v="3"/>
    <x v="1"/>
    <x v="9"/>
    <x v="0"/>
    <x v="2"/>
    <x v="1"/>
    <x v="0"/>
    <n v="6"/>
    <n v="21061.919999999998"/>
    <n v="44723.19"/>
    <x v="1"/>
  </r>
  <r>
    <x v="3"/>
    <x v="1"/>
    <x v="9"/>
    <x v="0"/>
    <x v="2"/>
    <x v="1"/>
    <x v="1"/>
    <n v="10"/>
    <n v="28872.06"/>
    <n v="59048.01"/>
    <x v="1"/>
  </r>
  <r>
    <x v="3"/>
    <x v="1"/>
    <x v="9"/>
    <x v="0"/>
    <x v="3"/>
    <x v="0"/>
    <x v="0"/>
    <n v="2"/>
    <n v="5288.32"/>
    <n v="16753.13"/>
    <x v="1"/>
  </r>
  <r>
    <x v="3"/>
    <x v="1"/>
    <x v="9"/>
    <x v="0"/>
    <x v="3"/>
    <x v="0"/>
    <x v="1"/>
    <n v="9"/>
    <n v="22805.62"/>
    <n v="75383.850000000006"/>
    <x v="1"/>
  </r>
  <r>
    <x v="3"/>
    <x v="1"/>
    <x v="9"/>
    <x v="0"/>
    <x v="3"/>
    <x v="1"/>
    <x v="0"/>
    <n v="9"/>
    <n v="23574.16"/>
    <n v="49746.93"/>
    <x v="1"/>
  </r>
  <r>
    <x v="3"/>
    <x v="1"/>
    <x v="9"/>
    <x v="0"/>
    <x v="3"/>
    <x v="1"/>
    <x v="1"/>
    <n v="23"/>
    <n v="59667.07"/>
    <n v="128483.4"/>
    <x v="1"/>
  </r>
  <r>
    <x v="3"/>
    <x v="1"/>
    <x v="9"/>
    <x v="0"/>
    <x v="28"/>
    <x v="1"/>
    <x v="1"/>
    <n v="8"/>
    <n v="19670.78"/>
    <n v="44640.2"/>
    <x v="1"/>
  </r>
  <r>
    <x v="3"/>
    <x v="1"/>
    <x v="9"/>
    <x v="0"/>
    <x v="4"/>
    <x v="0"/>
    <x v="1"/>
    <n v="5"/>
    <n v="15260.05"/>
    <n v="50437.64"/>
    <x v="1"/>
  </r>
  <r>
    <x v="3"/>
    <x v="1"/>
    <x v="9"/>
    <x v="0"/>
    <x v="4"/>
    <x v="1"/>
    <x v="0"/>
    <n v="2"/>
    <n v="7246.78"/>
    <n v="14993.91"/>
    <x v="1"/>
  </r>
  <r>
    <x v="3"/>
    <x v="1"/>
    <x v="9"/>
    <x v="0"/>
    <x v="4"/>
    <x v="1"/>
    <x v="1"/>
    <n v="5"/>
    <n v="18089.68"/>
    <n v="37461.81"/>
    <x v="1"/>
  </r>
  <r>
    <x v="3"/>
    <x v="1"/>
    <x v="9"/>
    <x v="0"/>
    <x v="5"/>
    <x v="0"/>
    <x v="1"/>
    <n v="4"/>
    <n v="14972.03"/>
    <n v="47127.77"/>
    <x v="1"/>
  </r>
  <r>
    <x v="3"/>
    <x v="1"/>
    <x v="9"/>
    <x v="0"/>
    <x v="5"/>
    <x v="1"/>
    <x v="1"/>
    <n v="19"/>
    <n v="53480.55"/>
    <n v="114870.05"/>
    <x v="1"/>
  </r>
  <r>
    <x v="3"/>
    <x v="1"/>
    <x v="9"/>
    <x v="0"/>
    <x v="6"/>
    <x v="0"/>
    <x v="1"/>
    <n v="3"/>
    <n v="7870.61"/>
    <n v="27369.26"/>
    <x v="1"/>
  </r>
  <r>
    <x v="3"/>
    <x v="1"/>
    <x v="9"/>
    <x v="0"/>
    <x v="7"/>
    <x v="1"/>
    <x v="1"/>
    <n v="18"/>
    <n v="49684.86"/>
    <n v="108959.94"/>
    <x v="1"/>
  </r>
  <r>
    <x v="3"/>
    <x v="1"/>
    <x v="9"/>
    <x v="0"/>
    <x v="8"/>
    <x v="0"/>
    <x v="1"/>
    <n v="3"/>
    <n v="7223.57"/>
    <n v="24066.55"/>
    <x v="1"/>
  </r>
  <r>
    <x v="3"/>
    <x v="1"/>
    <x v="9"/>
    <x v="0"/>
    <x v="8"/>
    <x v="1"/>
    <x v="1"/>
    <n v="7"/>
    <n v="19587.849999999999"/>
    <n v="41025.730000000003"/>
    <x v="1"/>
  </r>
  <r>
    <x v="3"/>
    <x v="1"/>
    <x v="9"/>
    <x v="1"/>
    <x v="9"/>
    <x v="1"/>
    <x v="1"/>
    <n v="5"/>
    <n v="10978.9"/>
    <n v="25581.46"/>
    <x v="1"/>
  </r>
  <r>
    <x v="3"/>
    <x v="1"/>
    <x v="9"/>
    <x v="1"/>
    <x v="31"/>
    <x v="1"/>
    <x v="0"/>
    <n v="5"/>
    <n v="10221.15"/>
    <n v="24814.59"/>
    <x v="1"/>
  </r>
  <r>
    <x v="3"/>
    <x v="1"/>
    <x v="9"/>
    <x v="1"/>
    <x v="10"/>
    <x v="0"/>
    <x v="0"/>
    <n v="2"/>
    <n v="4428.7"/>
    <n v="14937.83"/>
    <x v="1"/>
  </r>
  <r>
    <x v="3"/>
    <x v="1"/>
    <x v="9"/>
    <x v="1"/>
    <x v="10"/>
    <x v="0"/>
    <x v="1"/>
    <n v="4"/>
    <n v="12808.23"/>
    <n v="42457.41"/>
    <x v="1"/>
  </r>
  <r>
    <x v="3"/>
    <x v="1"/>
    <x v="9"/>
    <x v="1"/>
    <x v="10"/>
    <x v="1"/>
    <x v="0"/>
    <n v="3"/>
    <n v="8011.61"/>
    <n v="18439.03"/>
    <x v="1"/>
  </r>
  <r>
    <x v="3"/>
    <x v="1"/>
    <x v="9"/>
    <x v="1"/>
    <x v="10"/>
    <x v="1"/>
    <x v="1"/>
    <n v="34"/>
    <n v="97009.81"/>
    <n v="214622.06"/>
    <x v="1"/>
  </r>
  <r>
    <x v="3"/>
    <x v="1"/>
    <x v="9"/>
    <x v="1"/>
    <x v="11"/>
    <x v="0"/>
    <x v="1"/>
    <n v="14"/>
    <n v="41461.21"/>
    <n v="135060.56"/>
    <x v="1"/>
  </r>
  <r>
    <x v="3"/>
    <x v="1"/>
    <x v="9"/>
    <x v="1"/>
    <x v="11"/>
    <x v="1"/>
    <x v="0"/>
    <n v="8"/>
    <n v="25901.360000000001"/>
    <n v="55997.19"/>
    <x v="1"/>
  </r>
  <r>
    <x v="3"/>
    <x v="1"/>
    <x v="9"/>
    <x v="1"/>
    <x v="11"/>
    <x v="1"/>
    <x v="1"/>
    <n v="26"/>
    <n v="71610.570000000007"/>
    <n v="151435.12"/>
    <x v="1"/>
  </r>
  <r>
    <x v="3"/>
    <x v="1"/>
    <x v="9"/>
    <x v="1"/>
    <x v="12"/>
    <x v="1"/>
    <x v="0"/>
    <n v="2"/>
    <n v="4626.88"/>
    <n v="10485.34"/>
    <x v="1"/>
  </r>
  <r>
    <x v="3"/>
    <x v="1"/>
    <x v="9"/>
    <x v="1"/>
    <x v="12"/>
    <x v="1"/>
    <x v="1"/>
    <n v="1"/>
    <n v="2085.65"/>
    <n v="4893.6499999999996"/>
    <x v="1"/>
  </r>
  <r>
    <x v="3"/>
    <x v="1"/>
    <x v="9"/>
    <x v="1"/>
    <x v="13"/>
    <x v="1"/>
    <x v="0"/>
    <n v="6"/>
    <n v="22423.98"/>
    <n v="47878.5"/>
    <x v="1"/>
  </r>
  <r>
    <x v="3"/>
    <x v="1"/>
    <x v="9"/>
    <x v="1"/>
    <x v="13"/>
    <x v="1"/>
    <x v="1"/>
    <n v="11"/>
    <n v="29729.35"/>
    <n v="66342.14"/>
    <x v="1"/>
  </r>
  <r>
    <x v="3"/>
    <x v="1"/>
    <x v="9"/>
    <x v="1"/>
    <x v="14"/>
    <x v="0"/>
    <x v="1"/>
    <n v="2"/>
    <n v="5892.1"/>
    <n v="19324.52"/>
    <x v="1"/>
  </r>
  <r>
    <x v="3"/>
    <x v="1"/>
    <x v="9"/>
    <x v="1"/>
    <x v="14"/>
    <x v="1"/>
    <x v="0"/>
    <n v="22"/>
    <n v="62275.21"/>
    <n v="132800.71"/>
    <x v="1"/>
  </r>
  <r>
    <x v="3"/>
    <x v="1"/>
    <x v="9"/>
    <x v="1"/>
    <x v="14"/>
    <x v="1"/>
    <x v="1"/>
    <n v="13"/>
    <n v="34728.26"/>
    <n v="74246.23"/>
    <x v="1"/>
  </r>
  <r>
    <x v="3"/>
    <x v="1"/>
    <x v="9"/>
    <x v="1"/>
    <x v="15"/>
    <x v="1"/>
    <x v="0"/>
    <n v="1"/>
    <n v="2030.32"/>
    <n v="5067.8100000000004"/>
    <x v="1"/>
  </r>
  <r>
    <x v="3"/>
    <x v="1"/>
    <x v="9"/>
    <x v="1"/>
    <x v="16"/>
    <x v="1"/>
    <x v="0"/>
    <n v="3"/>
    <n v="8278.74"/>
    <n v="17482.98"/>
    <x v="1"/>
  </r>
  <r>
    <x v="3"/>
    <x v="1"/>
    <x v="9"/>
    <x v="1"/>
    <x v="16"/>
    <x v="1"/>
    <x v="1"/>
    <n v="9"/>
    <n v="27666.09"/>
    <n v="59896.95"/>
    <x v="1"/>
  </r>
  <r>
    <x v="3"/>
    <x v="1"/>
    <x v="9"/>
    <x v="1"/>
    <x v="17"/>
    <x v="0"/>
    <x v="1"/>
    <n v="3"/>
    <n v="9474.0400000000009"/>
    <n v="30655.39"/>
    <x v="1"/>
  </r>
  <r>
    <x v="3"/>
    <x v="1"/>
    <x v="9"/>
    <x v="1"/>
    <x v="17"/>
    <x v="1"/>
    <x v="0"/>
    <n v="7"/>
    <n v="24502.12"/>
    <n v="52065.87"/>
    <x v="1"/>
  </r>
  <r>
    <x v="3"/>
    <x v="1"/>
    <x v="9"/>
    <x v="1"/>
    <x v="17"/>
    <x v="1"/>
    <x v="1"/>
    <n v="3"/>
    <n v="11001.29"/>
    <n v="23602.5"/>
    <x v="1"/>
  </r>
  <r>
    <x v="3"/>
    <x v="1"/>
    <x v="9"/>
    <x v="1"/>
    <x v="18"/>
    <x v="0"/>
    <x v="1"/>
    <n v="20"/>
    <n v="55924.1"/>
    <n v="185212.14"/>
    <x v="1"/>
  </r>
  <r>
    <x v="3"/>
    <x v="1"/>
    <x v="9"/>
    <x v="1"/>
    <x v="18"/>
    <x v="1"/>
    <x v="0"/>
    <n v="17"/>
    <n v="49157.74"/>
    <n v="114265.02"/>
    <x v="1"/>
  </r>
  <r>
    <x v="3"/>
    <x v="1"/>
    <x v="9"/>
    <x v="1"/>
    <x v="18"/>
    <x v="1"/>
    <x v="1"/>
    <n v="23"/>
    <n v="64777.9"/>
    <n v="150313.76999999999"/>
    <x v="1"/>
  </r>
  <r>
    <x v="3"/>
    <x v="1"/>
    <x v="9"/>
    <x v="1"/>
    <x v="19"/>
    <x v="0"/>
    <x v="1"/>
    <n v="3"/>
    <n v="9364.2099999999991"/>
    <n v="30920.97"/>
    <x v="1"/>
  </r>
  <r>
    <x v="3"/>
    <x v="1"/>
    <x v="9"/>
    <x v="1"/>
    <x v="19"/>
    <x v="1"/>
    <x v="0"/>
    <n v="2"/>
    <n v="7547.96"/>
    <n v="15879.82"/>
    <x v="1"/>
  </r>
  <r>
    <x v="3"/>
    <x v="1"/>
    <x v="9"/>
    <x v="1"/>
    <x v="19"/>
    <x v="1"/>
    <x v="1"/>
    <n v="20"/>
    <n v="45277.02"/>
    <n v="102675.28"/>
    <x v="1"/>
  </r>
  <r>
    <x v="3"/>
    <x v="1"/>
    <x v="9"/>
    <x v="1"/>
    <x v="20"/>
    <x v="0"/>
    <x v="1"/>
    <n v="4"/>
    <n v="10578.05"/>
    <n v="36905.08"/>
    <x v="1"/>
  </r>
  <r>
    <x v="3"/>
    <x v="1"/>
    <x v="9"/>
    <x v="1"/>
    <x v="20"/>
    <x v="1"/>
    <x v="0"/>
    <n v="12"/>
    <n v="39126.57"/>
    <n v="88937.98"/>
    <x v="1"/>
  </r>
  <r>
    <x v="3"/>
    <x v="1"/>
    <x v="9"/>
    <x v="1"/>
    <x v="20"/>
    <x v="1"/>
    <x v="1"/>
    <n v="8"/>
    <n v="24815.87"/>
    <n v="55966.34"/>
    <x v="1"/>
  </r>
  <r>
    <x v="3"/>
    <x v="1"/>
    <x v="9"/>
    <x v="2"/>
    <x v="21"/>
    <x v="0"/>
    <x v="0"/>
    <n v="2"/>
    <n v="7402.5"/>
    <n v="23606.14"/>
    <x v="1"/>
  </r>
  <r>
    <x v="3"/>
    <x v="1"/>
    <x v="9"/>
    <x v="2"/>
    <x v="22"/>
    <x v="0"/>
    <x v="1"/>
    <n v="3"/>
    <n v="9048.81"/>
    <n v="31248.73"/>
    <x v="1"/>
  </r>
  <r>
    <x v="3"/>
    <x v="1"/>
    <x v="9"/>
    <x v="2"/>
    <x v="22"/>
    <x v="1"/>
    <x v="0"/>
    <n v="11"/>
    <n v="33813.9"/>
    <n v="67600.87"/>
    <x v="1"/>
  </r>
  <r>
    <x v="3"/>
    <x v="1"/>
    <x v="9"/>
    <x v="2"/>
    <x v="22"/>
    <x v="1"/>
    <x v="1"/>
    <n v="10"/>
    <n v="31906.99"/>
    <n v="64491.88"/>
    <x v="1"/>
  </r>
  <r>
    <x v="3"/>
    <x v="1"/>
    <x v="9"/>
    <x v="2"/>
    <x v="29"/>
    <x v="0"/>
    <x v="1"/>
    <n v="3"/>
    <n v="9423.23"/>
    <n v="30998.48"/>
    <x v="1"/>
  </r>
  <r>
    <x v="3"/>
    <x v="1"/>
    <x v="9"/>
    <x v="2"/>
    <x v="29"/>
    <x v="1"/>
    <x v="1"/>
    <n v="6"/>
    <n v="19680.52"/>
    <n v="41180.839999999997"/>
    <x v="1"/>
  </r>
  <r>
    <x v="3"/>
    <x v="1"/>
    <x v="9"/>
    <x v="2"/>
    <x v="23"/>
    <x v="1"/>
    <x v="1"/>
    <n v="10"/>
    <n v="37006.1"/>
    <n v="73551.360000000001"/>
    <x v="1"/>
  </r>
  <r>
    <x v="3"/>
    <x v="1"/>
    <x v="9"/>
    <x v="2"/>
    <x v="24"/>
    <x v="0"/>
    <x v="1"/>
    <n v="3"/>
    <n v="6848"/>
    <n v="23596.27"/>
    <x v="1"/>
  </r>
  <r>
    <x v="3"/>
    <x v="1"/>
    <x v="9"/>
    <x v="2"/>
    <x v="24"/>
    <x v="1"/>
    <x v="1"/>
    <n v="5"/>
    <n v="11018.1"/>
    <n v="21734.41"/>
    <x v="1"/>
  </r>
  <r>
    <x v="3"/>
    <x v="1"/>
    <x v="9"/>
    <x v="3"/>
    <x v="25"/>
    <x v="0"/>
    <x v="1"/>
    <n v="3"/>
    <n v="6653.29"/>
    <n v="23322.67"/>
    <x v="1"/>
  </r>
  <r>
    <x v="3"/>
    <x v="1"/>
    <x v="9"/>
    <x v="3"/>
    <x v="25"/>
    <x v="1"/>
    <x v="0"/>
    <n v="5"/>
    <n v="18405.189999999999"/>
    <n v="39882.769999999997"/>
    <x v="1"/>
  </r>
  <r>
    <x v="3"/>
    <x v="1"/>
    <x v="9"/>
    <x v="3"/>
    <x v="25"/>
    <x v="1"/>
    <x v="1"/>
    <n v="10"/>
    <n v="30329.52"/>
    <n v="68418.25"/>
    <x v="1"/>
  </r>
  <r>
    <x v="3"/>
    <x v="1"/>
    <x v="9"/>
    <x v="3"/>
    <x v="26"/>
    <x v="0"/>
    <x v="0"/>
    <n v="2"/>
    <n v="4127.95"/>
    <n v="14768.98"/>
    <x v="1"/>
  </r>
  <r>
    <x v="3"/>
    <x v="1"/>
    <x v="9"/>
    <x v="3"/>
    <x v="26"/>
    <x v="1"/>
    <x v="0"/>
    <n v="2"/>
    <n v="6940.24"/>
    <n v="16412.509999999998"/>
    <x v="1"/>
  </r>
  <r>
    <x v="3"/>
    <x v="1"/>
    <x v="9"/>
    <x v="3"/>
    <x v="26"/>
    <x v="1"/>
    <x v="1"/>
    <n v="10"/>
    <n v="29595.65"/>
    <n v="67577.289999999994"/>
    <x v="1"/>
  </r>
  <r>
    <x v="3"/>
    <x v="1"/>
    <x v="9"/>
    <x v="3"/>
    <x v="27"/>
    <x v="0"/>
    <x v="0"/>
    <n v="3"/>
    <n v="8447.5499999999993"/>
    <n v="27934.59"/>
    <x v="1"/>
  </r>
  <r>
    <x v="3"/>
    <x v="1"/>
    <x v="9"/>
    <x v="3"/>
    <x v="27"/>
    <x v="0"/>
    <x v="1"/>
    <n v="10"/>
    <n v="31353.02"/>
    <n v="104319.09"/>
    <x v="1"/>
  </r>
  <r>
    <x v="3"/>
    <x v="1"/>
    <x v="9"/>
    <x v="3"/>
    <x v="27"/>
    <x v="1"/>
    <x v="0"/>
    <n v="9"/>
    <n v="26725.48"/>
    <n v="59332.03"/>
    <x v="1"/>
  </r>
  <r>
    <x v="3"/>
    <x v="1"/>
    <x v="9"/>
    <x v="3"/>
    <x v="27"/>
    <x v="1"/>
    <x v="1"/>
    <n v="20"/>
    <n v="55089.89"/>
    <n v="123750.01"/>
    <x v="1"/>
  </r>
  <r>
    <x v="4"/>
    <x v="0"/>
    <x v="0"/>
    <x v="0"/>
    <x v="0"/>
    <x v="0"/>
    <x v="0"/>
    <n v="3"/>
    <n v="22282.21"/>
    <n v="96316.23"/>
    <x v="0"/>
  </r>
  <r>
    <x v="4"/>
    <x v="0"/>
    <x v="0"/>
    <x v="0"/>
    <x v="0"/>
    <x v="0"/>
    <x v="1"/>
    <n v="2"/>
    <n v="13013.62"/>
    <n v="55181.18"/>
    <x v="0"/>
  </r>
  <r>
    <x v="4"/>
    <x v="0"/>
    <x v="0"/>
    <x v="0"/>
    <x v="0"/>
    <x v="1"/>
    <x v="0"/>
    <n v="21"/>
    <n v="138367.48000000001"/>
    <n v="387787.24"/>
    <x v="0"/>
  </r>
  <r>
    <x v="4"/>
    <x v="0"/>
    <x v="0"/>
    <x v="0"/>
    <x v="0"/>
    <x v="1"/>
    <x v="1"/>
    <n v="22"/>
    <n v="130985.75"/>
    <n v="372695.7"/>
    <x v="0"/>
  </r>
  <r>
    <x v="4"/>
    <x v="0"/>
    <x v="0"/>
    <x v="0"/>
    <x v="1"/>
    <x v="0"/>
    <x v="0"/>
    <n v="6"/>
    <n v="40933.760000000002"/>
    <n v="174573.18"/>
    <x v="0"/>
  </r>
  <r>
    <x v="4"/>
    <x v="0"/>
    <x v="0"/>
    <x v="0"/>
    <x v="1"/>
    <x v="0"/>
    <x v="1"/>
    <n v="5"/>
    <n v="28790.86"/>
    <n v="124408.49"/>
    <x v="0"/>
  </r>
  <r>
    <x v="4"/>
    <x v="0"/>
    <x v="0"/>
    <x v="0"/>
    <x v="1"/>
    <x v="1"/>
    <x v="0"/>
    <n v="9"/>
    <n v="56833.93"/>
    <n v="153410.85"/>
    <x v="0"/>
  </r>
  <r>
    <x v="4"/>
    <x v="0"/>
    <x v="0"/>
    <x v="0"/>
    <x v="1"/>
    <x v="1"/>
    <x v="1"/>
    <n v="24"/>
    <n v="167088.81"/>
    <n v="456743.63"/>
    <x v="0"/>
  </r>
  <r>
    <x v="4"/>
    <x v="0"/>
    <x v="0"/>
    <x v="0"/>
    <x v="2"/>
    <x v="0"/>
    <x v="1"/>
    <n v="5"/>
    <n v="33761.919999999998"/>
    <n v="149490.82"/>
    <x v="0"/>
  </r>
  <r>
    <x v="4"/>
    <x v="0"/>
    <x v="0"/>
    <x v="0"/>
    <x v="2"/>
    <x v="1"/>
    <x v="0"/>
    <n v="4"/>
    <n v="28679"/>
    <n v="78768.12"/>
    <x v="0"/>
  </r>
  <r>
    <x v="4"/>
    <x v="0"/>
    <x v="0"/>
    <x v="0"/>
    <x v="2"/>
    <x v="1"/>
    <x v="1"/>
    <n v="24"/>
    <n v="150769.07999999999"/>
    <n v="396715.71"/>
    <x v="0"/>
  </r>
  <r>
    <x v="4"/>
    <x v="0"/>
    <x v="0"/>
    <x v="0"/>
    <x v="3"/>
    <x v="0"/>
    <x v="0"/>
    <n v="1"/>
    <n v="7497.15"/>
    <n v="32105.41"/>
    <x v="0"/>
  </r>
  <r>
    <x v="4"/>
    <x v="0"/>
    <x v="0"/>
    <x v="0"/>
    <x v="3"/>
    <x v="0"/>
    <x v="1"/>
    <n v="8"/>
    <n v="51364.21"/>
    <n v="227747.77"/>
    <x v="0"/>
  </r>
  <r>
    <x v="4"/>
    <x v="0"/>
    <x v="0"/>
    <x v="0"/>
    <x v="3"/>
    <x v="1"/>
    <x v="0"/>
    <n v="14"/>
    <n v="96886.8"/>
    <n v="272861.88"/>
    <x v="0"/>
  </r>
  <r>
    <x v="4"/>
    <x v="0"/>
    <x v="0"/>
    <x v="0"/>
    <x v="3"/>
    <x v="1"/>
    <x v="1"/>
    <n v="23"/>
    <n v="165826.26999999999"/>
    <n v="458616.08"/>
    <x v="0"/>
  </r>
  <r>
    <x v="4"/>
    <x v="0"/>
    <x v="0"/>
    <x v="0"/>
    <x v="28"/>
    <x v="1"/>
    <x v="1"/>
    <n v="3"/>
    <n v="16866.7"/>
    <n v="48555.42"/>
    <x v="0"/>
  </r>
  <r>
    <x v="4"/>
    <x v="0"/>
    <x v="0"/>
    <x v="0"/>
    <x v="4"/>
    <x v="0"/>
    <x v="1"/>
    <n v="1"/>
    <n v="7076.53"/>
    <n v="32105.41"/>
    <x v="0"/>
  </r>
  <r>
    <x v="4"/>
    <x v="0"/>
    <x v="0"/>
    <x v="0"/>
    <x v="4"/>
    <x v="1"/>
    <x v="0"/>
    <n v="15"/>
    <n v="99787.11"/>
    <n v="278025.09000000003"/>
    <x v="0"/>
  </r>
  <r>
    <x v="4"/>
    <x v="0"/>
    <x v="0"/>
    <x v="0"/>
    <x v="4"/>
    <x v="1"/>
    <x v="1"/>
    <n v="7"/>
    <n v="47386.23"/>
    <n v="132274.29"/>
    <x v="0"/>
  </r>
  <r>
    <x v="4"/>
    <x v="0"/>
    <x v="0"/>
    <x v="0"/>
    <x v="5"/>
    <x v="0"/>
    <x v="1"/>
    <n v="3"/>
    <n v="17026.87"/>
    <n v="76250.36"/>
    <x v="0"/>
  </r>
  <r>
    <x v="4"/>
    <x v="0"/>
    <x v="0"/>
    <x v="0"/>
    <x v="5"/>
    <x v="1"/>
    <x v="1"/>
    <n v="18"/>
    <n v="106964.18"/>
    <n v="312174.17"/>
    <x v="0"/>
  </r>
  <r>
    <x v="4"/>
    <x v="0"/>
    <x v="0"/>
    <x v="0"/>
    <x v="6"/>
    <x v="0"/>
    <x v="1"/>
    <n v="3"/>
    <n v="19588.919999999998"/>
    <n v="87286.59"/>
    <x v="0"/>
  </r>
  <r>
    <x v="4"/>
    <x v="0"/>
    <x v="0"/>
    <x v="0"/>
    <x v="6"/>
    <x v="1"/>
    <x v="1"/>
    <n v="3"/>
    <n v="22125.54"/>
    <n v="63279.76"/>
    <x v="0"/>
  </r>
  <r>
    <x v="4"/>
    <x v="0"/>
    <x v="0"/>
    <x v="0"/>
    <x v="7"/>
    <x v="1"/>
    <x v="1"/>
    <n v="4"/>
    <n v="27342.47"/>
    <n v="79753.850000000006"/>
    <x v="0"/>
  </r>
  <r>
    <x v="4"/>
    <x v="0"/>
    <x v="0"/>
    <x v="0"/>
    <x v="8"/>
    <x v="0"/>
    <x v="1"/>
    <n v="2"/>
    <n v="14816.33"/>
    <n v="64210.82"/>
    <x v="0"/>
  </r>
  <r>
    <x v="4"/>
    <x v="0"/>
    <x v="0"/>
    <x v="0"/>
    <x v="8"/>
    <x v="1"/>
    <x v="1"/>
    <n v="23"/>
    <n v="156936.5"/>
    <n v="438152.33"/>
    <x v="0"/>
  </r>
  <r>
    <x v="4"/>
    <x v="0"/>
    <x v="0"/>
    <x v="1"/>
    <x v="31"/>
    <x v="1"/>
    <x v="0"/>
    <n v="2"/>
    <n v="14360.62"/>
    <n v="44626.52"/>
    <x v="0"/>
  </r>
  <r>
    <x v="4"/>
    <x v="0"/>
    <x v="0"/>
    <x v="1"/>
    <x v="10"/>
    <x v="0"/>
    <x v="0"/>
    <n v="3"/>
    <n v="16277.65"/>
    <n v="69227.31"/>
    <x v="0"/>
  </r>
  <r>
    <x v="4"/>
    <x v="0"/>
    <x v="0"/>
    <x v="1"/>
    <x v="10"/>
    <x v="0"/>
    <x v="1"/>
    <n v="2"/>
    <n v="14777.15"/>
    <n v="64210.82"/>
    <x v="0"/>
  </r>
  <r>
    <x v="4"/>
    <x v="0"/>
    <x v="0"/>
    <x v="1"/>
    <x v="10"/>
    <x v="1"/>
    <x v="0"/>
    <n v="8"/>
    <n v="53171.42"/>
    <n v="160113.70000000001"/>
    <x v="0"/>
  </r>
  <r>
    <x v="4"/>
    <x v="0"/>
    <x v="0"/>
    <x v="1"/>
    <x v="10"/>
    <x v="1"/>
    <x v="1"/>
    <n v="41"/>
    <n v="268463.35999999999"/>
    <n v="789099.13"/>
    <x v="0"/>
  </r>
  <r>
    <x v="4"/>
    <x v="0"/>
    <x v="0"/>
    <x v="1"/>
    <x v="11"/>
    <x v="0"/>
    <x v="1"/>
    <n v="12"/>
    <n v="78176.78"/>
    <n v="340116.72"/>
    <x v="0"/>
  </r>
  <r>
    <x v="4"/>
    <x v="0"/>
    <x v="0"/>
    <x v="1"/>
    <x v="11"/>
    <x v="1"/>
    <x v="0"/>
    <n v="3"/>
    <n v="22346.46"/>
    <n v="62605.55"/>
    <x v="0"/>
  </r>
  <r>
    <x v="4"/>
    <x v="0"/>
    <x v="0"/>
    <x v="1"/>
    <x v="11"/>
    <x v="1"/>
    <x v="1"/>
    <n v="26"/>
    <n v="174620.69"/>
    <n v="496279.42"/>
    <x v="0"/>
  </r>
  <r>
    <x v="4"/>
    <x v="0"/>
    <x v="0"/>
    <x v="1"/>
    <x v="12"/>
    <x v="1"/>
    <x v="0"/>
    <n v="1"/>
    <n v="5336.64"/>
    <n v="15783.83"/>
    <x v="0"/>
  </r>
  <r>
    <x v="4"/>
    <x v="0"/>
    <x v="0"/>
    <x v="1"/>
    <x v="13"/>
    <x v="0"/>
    <x v="1"/>
    <n v="8"/>
    <n v="59571.83"/>
    <n v="256843.28"/>
    <x v="0"/>
  </r>
  <r>
    <x v="4"/>
    <x v="0"/>
    <x v="0"/>
    <x v="1"/>
    <x v="13"/>
    <x v="1"/>
    <x v="1"/>
    <n v="6"/>
    <n v="40067.699999999997"/>
    <n v="118884.34"/>
    <x v="0"/>
  </r>
  <r>
    <x v="4"/>
    <x v="0"/>
    <x v="0"/>
    <x v="1"/>
    <x v="14"/>
    <x v="0"/>
    <x v="1"/>
    <n v="3"/>
    <n v="18297.97"/>
    <n v="78256.95"/>
    <x v="0"/>
  </r>
  <r>
    <x v="4"/>
    <x v="0"/>
    <x v="0"/>
    <x v="1"/>
    <x v="14"/>
    <x v="1"/>
    <x v="0"/>
    <n v="16"/>
    <n v="108008.29"/>
    <n v="311876.11"/>
    <x v="0"/>
  </r>
  <r>
    <x v="4"/>
    <x v="0"/>
    <x v="0"/>
    <x v="1"/>
    <x v="14"/>
    <x v="1"/>
    <x v="1"/>
    <n v="9"/>
    <n v="54821.49"/>
    <n v="160177.92000000001"/>
    <x v="0"/>
  </r>
  <r>
    <x v="4"/>
    <x v="0"/>
    <x v="0"/>
    <x v="1"/>
    <x v="15"/>
    <x v="1"/>
    <x v="0"/>
    <n v="10"/>
    <n v="59675.4"/>
    <n v="183718.21"/>
    <x v="0"/>
  </r>
  <r>
    <x v="4"/>
    <x v="0"/>
    <x v="0"/>
    <x v="1"/>
    <x v="16"/>
    <x v="0"/>
    <x v="1"/>
    <n v="1"/>
    <n v="4591.01"/>
    <n v="21069.18"/>
    <x v="0"/>
  </r>
  <r>
    <x v="4"/>
    <x v="0"/>
    <x v="0"/>
    <x v="1"/>
    <x v="16"/>
    <x v="1"/>
    <x v="0"/>
    <n v="4"/>
    <n v="25742.9"/>
    <n v="72618.429999999993"/>
    <x v="0"/>
  </r>
  <r>
    <x v="4"/>
    <x v="0"/>
    <x v="0"/>
    <x v="1"/>
    <x v="16"/>
    <x v="1"/>
    <x v="1"/>
    <n v="5"/>
    <n v="36986.080000000002"/>
    <n v="105626.8"/>
    <x v="0"/>
  </r>
  <r>
    <x v="4"/>
    <x v="0"/>
    <x v="0"/>
    <x v="1"/>
    <x v="17"/>
    <x v="1"/>
    <x v="0"/>
    <n v="15"/>
    <n v="99212.2"/>
    <n v="289791.48"/>
    <x v="0"/>
  </r>
  <r>
    <x v="4"/>
    <x v="0"/>
    <x v="0"/>
    <x v="1"/>
    <x v="17"/>
    <x v="1"/>
    <x v="1"/>
    <n v="11"/>
    <n v="68684.02"/>
    <n v="198523.83"/>
    <x v="0"/>
  </r>
  <r>
    <x v="4"/>
    <x v="0"/>
    <x v="0"/>
    <x v="1"/>
    <x v="18"/>
    <x v="0"/>
    <x v="1"/>
    <n v="20"/>
    <n v="127936.11"/>
    <n v="554821.67000000004"/>
    <x v="0"/>
  </r>
  <r>
    <x v="4"/>
    <x v="0"/>
    <x v="0"/>
    <x v="1"/>
    <x v="18"/>
    <x v="1"/>
    <x v="0"/>
    <n v="12"/>
    <n v="76463.19"/>
    <n v="233591.96"/>
    <x v="0"/>
  </r>
  <r>
    <x v="4"/>
    <x v="0"/>
    <x v="0"/>
    <x v="1"/>
    <x v="18"/>
    <x v="1"/>
    <x v="1"/>
    <n v="12"/>
    <n v="82539.179999999993"/>
    <n v="247600.04"/>
    <x v="0"/>
  </r>
  <r>
    <x v="4"/>
    <x v="0"/>
    <x v="0"/>
    <x v="1"/>
    <x v="19"/>
    <x v="0"/>
    <x v="1"/>
    <n v="8"/>
    <n v="56923.38"/>
    <n v="247813.64"/>
    <x v="0"/>
  </r>
  <r>
    <x v="4"/>
    <x v="0"/>
    <x v="0"/>
    <x v="1"/>
    <x v="19"/>
    <x v="1"/>
    <x v="0"/>
    <n v="14"/>
    <n v="101819.94"/>
    <n v="297935.73"/>
    <x v="0"/>
  </r>
  <r>
    <x v="4"/>
    <x v="0"/>
    <x v="0"/>
    <x v="1"/>
    <x v="19"/>
    <x v="1"/>
    <x v="1"/>
    <n v="11"/>
    <n v="61562.5"/>
    <n v="182579.49"/>
    <x v="0"/>
  </r>
  <r>
    <x v="4"/>
    <x v="0"/>
    <x v="0"/>
    <x v="1"/>
    <x v="20"/>
    <x v="0"/>
    <x v="0"/>
    <n v="4"/>
    <n v="23477.73"/>
    <n v="101332.72"/>
    <x v="0"/>
  </r>
  <r>
    <x v="4"/>
    <x v="0"/>
    <x v="0"/>
    <x v="1"/>
    <x v="20"/>
    <x v="0"/>
    <x v="1"/>
    <n v="13"/>
    <n v="91040.639999999999"/>
    <n v="397304.46"/>
    <x v="0"/>
  </r>
  <r>
    <x v="4"/>
    <x v="0"/>
    <x v="0"/>
    <x v="1"/>
    <x v="20"/>
    <x v="1"/>
    <x v="0"/>
    <n v="11"/>
    <n v="68057.259999999995"/>
    <n v="192509.06"/>
    <x v="0"/>
  </r>
  <r>
    <x v="4"/>
    <x v="0"/>
    <x v="0"/>
    <x v="1"/>
    <x v="20"/>
    <x v="1"/>
    <x v="1"/>
    <n v="19"/>
    <n v="123536.89"/>
    <n v="350440.62"/>
    <x v="0"/>
  </r>
  <r>
    <x v="4"/>
    <x v="0"/>
    <x v="0"/>
    <x v="2"/>
    <x v="21"/>
    <x v="0"/>
    <x v="0"/>
    <n v="3"/>
    <n v="19928.95"/>
    <n v="87286.59"/>
    <x v="0"/>
  </r>
  <r>
    <x v="4"/>
    <x v="0"/>
    <x v="0"/>
    <x v="2"/>
    <x v="22"/>
    <x v="0"/>
    <x v="1"/>
    <n v="3"/>
    <n v="20000.36"/>
    <n v="87286.59"/>
    <x v="0"/>
  </r>
  <r>
    <x v="4"/>
    <x v="0"/>
    <x v="0"/>
    <x v="2"/>
    <x v="22"/>
    <x v="1"/>
    <x v="0"/>
    <n v="1"/>
    <n v="7316.64"/>
    <n v="19552.189999999999"/>
    <x v="0"/>
  </r>
  <r>
    <x v="4"/>
    <x v="0"/>
    <x v="0"/>
    <x v="2"/>
    <x v="22"/>
    <x v="1"/>
    <x v="1"/>
    <n v="4"/>
    <n v="24012.79"/>
    <n v="60144.47"/>
    <x v="0"/>
  </r>
  <r>
    <x v="4"/>
    <x v="0"/>
    <x v="0"/>
    <x v="2"/>
    <x v="29"/>
    <x v="0"/>
    <x v="1"/>
    <n v="8"/>
    <n v="52711.76"/>
    <n v="229754.36"/>
    <x v="0"/>
  </r>
  <r>
    <x v="4"/>
    <x v="0"/>
    <x v="0"/>
    <x v="2"/>
    <x v="29"/>
    <x v="1"/>
    <x v="1"/>
    <n v="6"/>
    <n v="36788.78"/>
    <n v="103211.88"/>
    <x v="0"/>
  </r>
  <r>
    <x v="4"/>
    <x v="0"/>
    <x v="0"/>
    <x v="2"/>
    <x v="24"/>
    <x v="0"/>
    <x v="1"/>
    <n v="4"/>
    <n v="25056.58"/>
    <n v="108355.77"/>
    <x v="0"/>
  </r>
  <r>
    <x v="4"/>
    <x v="0"/>
    <x v="0"/>
    <x v="3"/>
    <x v="25"/>
    <x v="0"/>
    <x v="1"/>
    <n v="5"/>
    <n v="35378.35"/>
    <n v="151497.41"/>
    <x v="0"/>
  </r>
  <r>
    <x v="4"/>
    <x v="0"/>
    <x v="0"/>
    <x v="3"/>
    <x v="25"/>
    <x v="1"/>
    <x v="0"/>
    <n v="2"/>
    <n v="10717.14"/>
    <n v="31613.8"/>
    <x v="0"/>
  </r>
  <r>
    <x v="4"/>
    <x v="0"/>
    <x v="0"/>
    <x v="3"/>
    <x v="25"/>
    <x v="1"/>
    <x v="1"/>
    <n v="17"/>
    <n v="109209.56"/>
    <n v="318199.76"/>
    <x v="0"/>
  </r>
  <r>
    <x v="4"/>
    <x v="0"/>
    <x v="0"/>
    <x v="3"/>
    <x v="26"/>
    <x v="0"/>
    <x v="0"/>
    <n v="1"/>
    <n v="7726.69"/>
    <n v="32105.41"/>
    <x v="0"/>
  </r>
  <r>
    <x v="4"/>
    <x v="0"/>
    <x v="0"/>
    <x v="3"/>
    <x v="26"/>
    <x v="0"/>
    <x v="1"/>
    <n v="2"/>
    <n v="11936.46"/>
    <n v="53174.59"/>
    <x v="0"/>
  </r>
  <r>
    <x v="4"/>
    <x v="0"/>
    <x v="0"/>
    <x v="3"/>
    <x v="26"/>
    <x v="1"/>
    <x v="0"/>
    <n v="5"/>
    <n v="36840.25"/>
    <n v="105755.16"/>
    <x v="0"/>
  </r>
  <r>
    <x v="4"/>
    <x v="0"/>
    <x v="0"/>
    <x v="3"/>
    <x v="26"/>
    <x v="1"/>
    <x v="1"/>
    <n v="16"/>
    <n v="88597.36"/>
    <n v="266525.12"/>
    <x v="0"/>
  </r>
  <r>
    <x v="4"/>
    <x v="0"/>
    <x v="0"/>
    <x v="3"/>
    <x v="27"/>
    <x v="0"/>
    <x v="0"/>
    <n v="4"/>
    <n v="25431.26"/>
    <n v="110362.36"/>
    <x v="0"/>
  </r>
  <r>
    <x v="4"/>
    <x v="0"/>
    <x v="0"/>
    <x v="3"/>
    <x v="27"/>
    <x v="0"/>
    <x v="1"/>
    <n v="11"/>
    <n v="74675.399999999994"/>
    <n v="324064"/>
    <x v="0"/>
  </r>
  <r>
    <x v="4"/>
    <x v="0"/>
    <x v="0"/>
    <x v="3"/>
    <x v="27"/>
    <x v="1"/>
    <x v="0"/>
    <n v="6"/>
    <n v="40825.72"/>
    <n v="124299.11"/>
    <x v="0"/>
  </r>
  <r>
    <x v="4"/>
    <x v="0"/>
    <x v="0"/>
    <x v="3"/>
    <x v="27"/>
    <x v="1"/>
    <x v="1"/>
    <n v="30"/>
    <n v="203746.52"/>
    <n v="594167.68999999994"/>
    <x v="0"/>
  </r>
  <r>
    <x v="4"/>
    <x v="0"/>
    <x v="1"/>
    <x v="0"/>
    <x v="0"/>
    <x v="0"/>
    <x v="0"/>
    <n v="1"/>
    <n v="3177.33"/>
    <n v="11175.26"/>
    <x v="0"/>
  </r>
  <r>
    <x v="4"/>
    <x v="0"/>
    <x v="1"/>
    <x v="0"/>
    <x v="0"/>
    <x v="0"/>
    <x v="1"/>
    <n v="1"/>
    <n v="2165.73"/>
    <n v="7333.76"/>
    <x v="0"/>
  </r>
  <r>
    <x v="4"/>
    <x v="0"/>
    <x v="1"/>
    <x v="0"/>
    <x v="0"/>
    <x v="1"/>
    <x v="0"/>
    <n v="14"/>
    <n v="35582.18"/>
    <n v="80438.3"/>
    <x v="0"/>
  </r>
  <r>
    <x v="4"/>
    <x v="0"/>
    <x v="1"/>
    <x v="0"/>
    <x v="0"/>
    <x v="1"/>
    <x v="1"/>
    <n v="1"/>
    <n v="2078.89"/>
    <n v="4796.28"/>
    <x v="0"/>
  </r>
  <r>
    <x v="4"/>
    <x v="0"/>
    <x v="1"/>
    <x v="0"/>
    <x v="1"/>
    <x v="0"/>
    <x v="0"/>
    <n v="3"/>
    <n v="8748.31"/>
    <n v="29684.28"/>
    <x v="0"/>
  </r>
  <r>
    <x v="4"/>
    <x v="0"/>
    <x v="1"/>
    <x v="0"/>
    <x v="1"/>
    <x v="1"/>
    <x v="0"/>
    <n v="3"/>
    <n v="6421.05"/>
    <n v="14146.82"/>
    <x v="0"/>
  </r>
  <r>
    <x v="4"/>
    <x v="0"/>
    <x v="1"/>
    <x v="0"/>
    <x v="1"/>
    <x v="1"/>
    <x v="1"/>
    <n v="8"/>
    <n v="23819.99"/>
    <n v="52545.37"/>
    <x v="0"/>
  </r>
  <r>
    <x v="4"/>
    <x v="0"/>
    <x v="1"/>
    <x v="0"/>
    <x v="2"/>
    <x v="1"/>
    <x v="1"/>
    <n v="6"/>
    <n v="14155.02"/>
    <n v="29711.16"/>
    <x v="0"/>
  </r>
  <r>
    <x v="4"/>
    <x v="0"/>
    <x v="1"/>
    <x v="0"/>
    <x v="3"/>
    <x v="0"/>
    <x v="0"/>
    <n v="1"/>
    <n v="2074.04"/>
    <n v="7333.76"/>
    <x v="0"/>
  </r>
  <r>
    <x v="4"/>
    <x v="0"/>
    <x v="1"/>
    <x v="0"/>
    <x v="3"/>
    <x v="0"/>
    <x v="1"/>
    <n v="2"/>
    <n v="4110.46"/>
    <n v="14318.3"/>
    <x v="0"/>
  </r>
  <r>
    <x v="4"/>
    <x v="0"/>
    <x v="1"/>
    <x v="0"/>
    <x v="3"/>
    <x v="1"/>
    <x v="0"/>
    <n v="9"/>
    <n v="22869.41"/>
    <n v="51742.21"/>
    <x v="0"/>
  </r>
  <r>
    <x v="4"/>
    <x v="0"/>
    <x v="1"/>
    <x v="0"/>
    <x v="3"/>
    <x v="1"/>
    <x v="1"/>
    <n v="13"/>
    <n v="41646.74"/>
    <n v="91142.63"/>
    <x v="0"/>
  </r>
  <r>
    <x v="4"/>
    <x v="0"/>
    <x v="1"/>
    <x v="0"/>
    <x v="4"/>
    <x v="0"/>
    <x v="1"/>
    <n v="1"/>
    <n v="3056.64"/>
    <n v="11175.26"/>
    <x v="0"/>
  </r>
  <r>
    <x v="4"/>
    <x v="0"/>
    <x v="1"/>
    <x v="0"/>
    <x v="4"/>
    <x v="1"/>
    <x v="0"/>
    <n v="12"/>
    <n v="31933.42"/>
    <n v="71074.64"/>
    <x v="0"/>
  </r>
  <r>
    <x v="4"/>
    <x v="0"/>
    <x v="1"/>
    <x v="0"/>
    <x v="4"/>
    <x v="1"/>
    <x v="1"/>
    <n v="8"/>
    <n v="23238.32"/>
    <n v="51776.66"/>
    <x v="0"/>
  </r>
  <r>
    <x v="4"/>
    <x v="0"/>
    <x v="1"/>
    <x v="0"/>
    <x v="5"/>
    <x v="1"/>
    <x v="0"/>
    <n v="3"/>
    <n v="9688.4699999999993"/>
    <n v="22093.49"/>
    <x v="0"/>
  </r>
  <r>
    <x v="4"/>
    <x v="0"/>
    <x v="1"/>
    <x v="0"/>
    <x v="5"/>
    <x v="1"/>
    <x v="1"/>
    <n v="13"/>
    <n v="33132.86"/>
    <n v="76081.08"/>
    <x v="0"/>
  </r>
  <r>
    <x v="4"/>
    <x v="0"/>
    <x v="1"/>
    <x v="0"/>
    <x v="6"/>
    <x v="0"/>
    <x v="1"/>
    <n v="1"/>
    <n v="3250.52"/>
    <n v="11175.26"/>
    <x v="0"/>
  </r>
  <r>
    <x v="4"/>
    <x v="0"/>
    <x v="1"/>
    <x v="0"/>
    <x v="6"/>
    <x v="1"/>
    <x v="1"/>
    <n v="1"/>
    <n v="2190.6799999999998"/>
    <n v="4818.28"/>
    <x v="0"/>
  </r>
  <r>
    <x v="4"/>
    <x v="0"/>
    <x v="1"/>
    <x v="0"/>
    <x v="8"/>
    <x v="0"/>
    <x v="1"/>
    <n v="1"/>
    <n v="3284.87"/>
    <n v="11175.26"/>
    <x v="0"/>
  </r>
  <r>
    <x v="4"/>
    <x v="0"/>
    <x v="1"/>
    <x v="0"/>
    <x v="8"/>
    <x v="1"/>
    <x v="1"/>
    <n v="2"/>
    <n v="6483.86"/>
    <n v="14237.28"/>
    <x v="0"/>
  </r>
  <r>
    <x v="4"/>
    <x v="0"/>
    <x v="1"/>
    <x v="1"/>
    <x v="31"/>
    <x v="1"/>
    <x v="0"/>
    <n v="10"/>
    <n v="32730.67"/>
    <n v="77668.06"/>
    <x v="0"/>
  </r>
  <r>
    <x v="4"/>
    <x v="0"/>
    <x v="1"/>
    <x v="1"/>
    <x v="10"/>
    <x v="0"/>
    <x v="0"/>
    <n v="1"/>
    <n v="3269.33"/>
    <n v="11175.26"/>
    <x v="0"/>
  </r>
  <r>
    <x v="4"/>
    <x v="0"/>
    <x v="1"/>
    <x v="1"/>
    <x v="10"/>
    <x v="1"/>
    <x v="0"/>
    <n v="13"/>
    <n v="35307.760000000002"/>
    <n v="85504"/>
    <x v="0"/>
  </r>
  <r>
    <x v="4"/>
    <x v="0"/>
    <x v="1"/>
    <x v="1"/>
    <x v="10"/>
    <x v="1"/>
    <x v="1"/>
    <n v="13"/>
    <n v="28173.34"/>
    <n v="68355.570000000007"/>
    <x v="0"/>
  </r>
  <r>
    <x v="4"/>
    <x v="0"/>
    <x v="1"/>
    <x v="1"/>
    <x v="11"/>
    <x v="0"/>
    <x v="1"/>
    <n v="6"/>
    <n v="16027.39"/>
    <n v="55527.06"/>
    <x v="0"/>
  </r>
  <r>
    <x v="4"/>
    <x v="0"/>
    <x v="1"/>
    <x v="1"/>
    <x v="11"/>
    <x v="1"/>
    <x v="0"/>
    <n v="3"/>
    <n v="6408.29"/>
    <n v="14087.29"/>
    <x v="0"/>
  </r>
  <r>
    <x v="4"/>
    <x v="0"/>
    <x v="1"/>
    <x v="1"/>
    <x v="11"/>
    <x v="1"/>
    <x v="1"/>
    <n v="13"/>
    <n v="31969.69"/>
    <n v="73550.679999999993"/>
    <x v="0"/>
  </r>
  <r>
    <x v="4"/>
    <x v="0"/>
    <x v="1"/>
    <x v="1"/>
    <x v="12"/>
    <x v="1"/>
    <x v="0"/>
    <n v="5"/>
    <n v="16144.95"/>
    <n v="38219.39"/>
    <x v="0"/>
  </r>
  <r>
    <x v="4"/>
    <x v="0"/>
    <x v="1"/>
    <x v="1"/>
    <x v="13"/>
    <x v="0"/>
    <x v="1"/>
    <n v="1"/>
    <n v="3130.32"/>
    <n v="11175.26"/>
    <x v="0"/>
  </r>
  <r>
    <x v="4"/>
    <x v="0"/>
    <x v="1"/>
    <x v="1"/>
    <x v="13"/>
    <x v="1"/>
    <x v="1"/>
    <n v="10"/>
    <n v="29974.69"/>
    <n v="68721.990000000005"/>
    <x v="0"/>
  </r>
  <r>
    <x v="4"/>
    <x v="0"/>
    <x v="1"/>
    <x v="1"/>
    <x v="14"/>
    <x v="0"/>
    <x v="1"/>
    <n v="2"/>
    <n v="5194.71"/>
    <n v="18159.8"/>
    <x v="0"/>
  </r>
  <r>
    <x v="4"/>
    <x v="0"/>
    <x v="1"/>
    <x v="1"/>
    <x v="14"/>
    <x v="1"/>
    <x v="0"/>
    <n v="2"/>
    <n v="6334.08"/>
    <n v="14930.15"/>
    <x v="0"/>
  </r>
  <r>
    <x v="4"/>
    <x v="0"/>
    <x v="1"/>
    <x v="1"/>
    <x v="15"/>
    <x v="1"/>
    <x v="0"/>
    <n v="1"/>
    <n v="2089.11"/>
    <n v="5067.63"/>
    <x v="0"/>
  </r>
  <r>
    <x v="4"/>
    <x v="0"/>
    <x v="1"/>
    <x v="1"/>
    <x v="15"/>
    <x v="1"/>
    <x v="1"/>
    <n v="1"/>
    <n v="2169.88"/>
    <n v="4880.4399999999996"/>
    <x v="0"/>
  </r>
  <r>
    <x v="4"/>
    <x v="0"/>
    <x v="1"/>
    <x v="1"/>
    <x v="16"/>
    <x v="0"/>
    <x v="1"/>
    <n v="2"/>
    <n v="4035.47"/>
    <n v="14318.3"/>
    <x v="0"/>
  </r>
  <r>
    <x v="4"/>
    <x v="0"/>
    <x v="1"/>
    <x v="1"/>
    <x v="16"/>
    <x v="1"/>
    <x v="0"/>
    <n v="3"/>
    <n v="9316.17"/>
    <n v="22059.96"/>
    <x v="0"/>
  </r>
  <r>
    <x v="4"/>
    <x v="0"/>
    <x v="1"/>
    <x v="1"/>
    <x v="16"/>
    <x v="1"/>
    <x v="1"/>
    <n v="4"/>
    <n v="10538.56"/>
    <n v="24357.87"/>
    <x v="0"/>
  </r>
  <r>
    <x v="4"/>
    <x v="0"/>
    <x v="1"/>
    <x v="1"/>
    <x v="17"/>
    <x v="0"/>
    <x v="1"/>
    <n v="1"/>
    <n v="3272.68"/>
    <n v="11175.26"/>
    <x v="0"/>
  </r>
  <r>
    <x v="4"/>
    <x v="0"/>
    <x v="1"/>
    <x v="1"/>
    <x v="17"/>
    <x v="1"/>
    <x v="0"/>
    <n v="7"/>
    <n v="15479.48"/>
    <n v="35240.339999999997"/>
    <x v="0"/>
  </r>
  <r>
    <x v="4"/>
    <x v="0"/>
    <x v="1"/>
    <x v="1"/>
    <x v="17"/>
    <x v="1"/>
    <x v="1"/>
    <n v="1"/>
    <n v="2083.7600000000002"/>
    <n v="4869.62"/>
    <x v="0"/>
  </r>
  <r>
    <x v="4"/>
    <x v="0"/>
    <x v="1"/>
    <x v="1"/>
    <x v="18"/>
    <x v="0"/>
    <x v="1"/>
    <n v="8"/>
    <n v="22107.48"/>
    <n v="77877.58"/>
    <x v="0"/>
  </r>
  <r>
    <x v="4"/>
    <x v="0"/>
    <x v="1"/>
    <x v="1"/>
    <x v="18"/>
    <x v="1"/>
    <x v="0"/>
    <n v="5"/>
    <n v="10268.790000000001"/>
    <n v="24999.4"/>
    <x v="0"/>
  </r>
  <r>
    <x v="4"/>
    <x v="0"/>
    <x v="1"/>
    <x v="1"/>
    <x v="18"/>
    <x v="1"/>
    <x v="1"/>
    <n v="28"/>
    <n v="69167.59"/>
    <n v="165191.85999999999"/>
    <x v="0"/>
  </r>
  <r>
    <x v="4"/>
    <x v="0"/>
    <x v="1"/>
    <x v="1"/>
    <x v="19"/>
    <x v="0"/>
    <x v="1"/>
    <n v="5"/>
    <n v="12496.47"/>
    <n v="44002.58"/>
    <x v="0"/>
  </r>
  <r>
    <x v="4"/>
    <x v="0"/>
    <x v="1"/>
    <x v="1"/>
    <x v="19"/>
    <x v="1"/>
    <x v="0"/>
    <n v="8"/>
    <n v="21155.17"/>
    <n v="49900.33"/>
    <x v="0"/>
  </r>
  <r>
    <x v="4"/>
    <x v="0"/>
    <x v="1"/>
    <x v="1"/>
    <x v="19"/>
    <x v="1"/>
    <x v="1"/>
    <n v="2"/>
    <n v="4290.54"/>
    <n v="9885.9"/>
    <x v="0"/>
  </r>
  <r>
    <x v="4"/>
    <x v="0"/>
    <x v="1"/>
    <x v="1"/>
    <x v="20"/>
    <x v="0"/>
    <x v="0"/>
    <n v="6"/>
    <n v="16877.63"/>
    <n v="59368.56"/>
    <x v="0"/>
  </r>
  <r>
    <x v="4"/>
    <x v="0"/>
    <x v="1"/>
    <x v="1"/>
    <x v="20"/>
    <x v="0"/>
    <x v="1"/>
    <n v="7"/>
    <n v="18989.939999999999"/>
    <n v="66353.100000000006"/>
    <x v="0"/>
  </r>
  <r>
    <x v="4"/>
    <x v="0"/>
    <x v="1"/>
    <x v="1"/>
    <x v="20"/>
    <x v="1"/>
    <x v="0"/>
    <n v="7"/>
    <n v="19508.22"/>
    <n v="44223.64"/>
    <x v="0"/>
  </r>
  <r>
    <x v="4"/>
    <x v="0"/>
    <x v="1"/>
    <x v="1"/>
    <x v="20"/>
    <x v="1"/>
    <x v="1"/>
    <n v="9"/>
    <n v="27070.77"/>
    <n v="61588.94"/>
    <x v="0"/>
  </r>
  <r>
    <x v="4"/>
    <x v="0"/>
    <x v="1"/>
    <x v="2"/>
    <x v="21"/>
    <x v="0"/>
    <x v="0"/>
    <n v="1"/>
    <n v="3213.54"/>
    <n v="11175.26"/>
    <x v="0"/>
  </r>
  <r>
    <x v="4"/>
    <x v="0"/>
    <x v="1"/>
    <x v="2"/>
    <x v="22"/>
    <x v="0"/>
    <x v="1"/>
    <n v="2"/>
    <n v="4037.76"/>
    <n v="14667.52"/>
    <x v="0"/>
  </r>
  <r>
    <x v="4"/>
    <x v="0"/>
    <x v="1"/>
    <x v="2"/>
    <x v="22"/>
    <x v="1"/>
    <x v="0"/>
    <n v="1"/>
    <n v="3075.84"/>
    <n v="6805.73"/>
    <x v="0"/>
  </r>
  <r>
    <x v="4"/>
    <x v="0"/>
    <x v="1"/>
    <x v="2"/>
    <x v="22"/>
    <x v="1"/>
    <x v="1"/>
    <n v="6"/>
    <n v="12502.45"/>
    <n v="26797.56"/>
    <x v="0"/>
  </r>
  <r>
    <x v="4"/>
    <x v="0"/>
    <x v="1"/>
    <x v="2"/>
    <x v="29"/>
    <x v="0"/>
    <x v="1"/>
    <n v="1"/>
    <n v="3112.96"/>
    <n v="11175.26"/>
    <x v="0"/>
  </r>
  <r>
    <x v="4"/>
    <x v="0"/>
    <x v="1"/>
    <x v="2"/>
    <x v="29"/>
    <x v="1"/>
    <x v="1"/>
    <n v="9"/>
    <n v="18989.21"/>
    <n v="42704.49"/>
    <x v="0"/>
  </r>
  <r>
    <x v="4"/>
    <x v="0"/>
    <x v="1"/>
    <x v="2"/>
    <x v="23"/>
    <x v="1"/>
    <x v="1"/>
    <n v="2"/>
    <n v="6249.06"/>
    <n v="14170.23"/>
    <x v="0"/>
  </r>
  <r>
    <x v="4"/>
    <x v="0"/>
    <x v="1"/>
    <x v="2"/>
    <x v="24"/>
    <x v="0"/>
    <x v="1"/>
    <n v="2"/>
    <n v="4160.92"/>
    <n v="14667.52"/>
    <x v="0"/>
  </r>
  <r>
    <x v="4"/>
    <x v="0"/>
    <x v="1"/>
    <x v="2"/>
    <x v="24"/>
    <x v="1"/>
    <x v="0"/>
    <n v="6"/>
    <n v="15892.44"/>
    <n v="34218.519999999997"/>
    <x v="0"/>
  </r>
  <r>
    <x v="4"/>
    <x v="0"/>
    <x v="1"/>
    <x v="2"/>
    <x v="24"/>
    <x v="1"/>
    <x v="1"/>
    <n v="5"/>
    <n v="12890.74"/>
    <n v="27212.28"/>
    <x v="0"/>
  </r>
  <r>
    <x v="4"/>
    <x v="0"/>
    <x v="1"/>
    <x v="3"/>
    <x v="25"/>
    <x v="0"/>
    <x v="1"/>
    <n v="1"/>
    <n v="2151.37"/>
    <n v="7333.76"/>
    <x v="0"/>
  </r>
  <r>
    <x v="4"/>
    <x v="0"/>
    <x v="1"/>
    <x v="3"/>
    <x v="25"/>
    <x v="1"/>
    <x v="0"/>
    <n v="4"/>
    <n v="12717.5"/>
    <n v="30620.22"/>
    <x v="0"/>
  </r>
  <r>
    <x v="4"/>
    <x v="0"/>
    <x v="1"/>
    <x v="3"/>
    <x v="25"/>
    <x v="1"/>
    <x v="1"/>
    <n v="9"/>
    <n v="19052.77"/>
    <n v="45212.63"/>
    <x v="0"/>
  </r>
  <r>
    <x v="4"/>
    <x v="0"/>
    <x v="1"/>
    <x v="3"/>
    <x v="26"/>
    <x v="0"/>
    <x v="0"/>
    <n v="2"/>
    <n v="5287.4"/>
    <n v="18509.02"/>
    <x v="0"/>
  </r>
  <r>
    <x v="4"/>
    <x v="0"/>
    <x v="1"/>
    <x v="3"/>
    <x v="26"/>
    <x v="0"/>
    <x v="1"/>
    <n v="1"/>
    <n v="1992.16"/>
    <n v="6984.54"/>
    <x v="0"/>
  </r>
  <r>
    <x v="4"/>
    <x v="0"/>
    <x v="1"/>
    <x v="3"/>
    <x v="26"/>
    <x v="1"/>
    <x v="1"/>
    <n v="22"/>
    <n v="60789.33"/>
    <n v="145302.82"/>
    <x v="0"/>
  </r>
  <r>
    <x v="4"/>
    <x v="0"/>
    <x v="1"/>
    <x v="3"/>
    <x v="27"/>
    <x v="0"/>
    <x v="1"/>
    <n v="3"/>
    <n v="8484.3700000000008"/>
    <n v="29684.28"/>
    <x v="0"/>
  </r>
  <r>
    <x v="4"/>
    <x v="0"/>
    <x v="1"/>
    <x v="3"/>
    <x v="27"/>
    <x v="1"/>
    <x v="0"/>
    <n v="1"/>
    <n v="1938.33"/>
    <n v="4728.53"/>
    <x v="0"/>
  </r>
  <r>
    <x v="4"/>
    <x v="0"/>
    <x v="1"/>
    <x v="3"/>
    <x v="27"/>
    <x v="1"/>
    <x v="1"/>
    <n v="12"/>
    <n v="31982.33"/>
    <n v="75183.64"/>
    <x v="0"/>
  </r>
  <r>
    <x v="4"/>
    <x v="0"/>
    <x v="2"/>
    <x v="0"/>
    <x v="0"/>
    <x v="0"/>
    <x v="1"/>
    <n v="1"/>
    <n v="4533.71"/>
    <n v="19953.169999999998"/>
    <x v="0"/>
  </r>
  <r>
    <x v="4"/>
    <x v="0"/>
    <x v="2"/>
    <x v="0"/>
    <x v="0"/>
    <x v="1"/>
    <x v="0"/>
    <n v="7"/>
    <n v="39493.440000000002"/>
    <n v="111230.37"/>
    <x v="0"/>
  </r>
  <r>
    <x v="4"/>
    <x v="0"/>
    <x v="2"/>
    <x v="0"/>
    <x v="0"/>
    <x v="1"/>
    <x v="1"/>
    <n v="12"/>
    <n v="60339.44"/>
    <n v="169641.85"/>
    <x v="0"/>
  </r>
  <r>
    <x v="4"/>
    <x v="0"/>
    <x v="2"/>
    <x v="0"/>
    <x v="1"/>
    <x v="0"/>
    <x v="0"/>
    <n v="5"/>
    <n v="31250.26"/>
    <n v="132070.98000000001"/>
    <x v="0"/>
  </r>
  <r>
    <x v="4"/>
    <x v="0"/>
    <x v="2"/>
    <x v="0"/>
    <x v="1"/>
    <x v="0"/>
    <x v="1"/>
    <n v="3"/>
    <n v="18342.25"/>
    <n v="79812.679999999993"/>
    <x v="0"/>
  </r>
  <r>
    <x v="4"/>
    <x v="0"/>
    <x v="2"/>
    <x v="0"/>
    <x v="1"/>
    <x v="1"/>
    <x v="0"/>
    <n v="1"/>
    <n v="5272.89"/>
    <n v="14051.78"/>
    <x v="0"/>
  </r>
  <r>
    <x v="4"/>
    <x v="0"/>
    <x v="2"/>
    <x v="0"/>
    <x v="1"/>
    <x v="1"/>
    <x v="1"/>
    <n v="24"/>
    <n v="135141.88"/>
    <n v="375121.5"/>
    <x v="0"/>
  </r>
  <r>
    <x v="4"/>
    <x v="0"/>
    <x v="2"/>
    <x v="0"/>
    <x v="2"/>
    <x v="0"/>
    <x v="1"/>
    <n v="4"/>
    <n v="21806.75"/>
    <n v="93114.79"/>
    <x v="0"/>
  </r>
  <r>
    <x v="4"/>
    <x v="0"/>
    <x v="2"/>
    <x v="0"/>
    <x v="2"/>
    <x v="1"/>
    <x v="0"/>
    <n v="15"/>
    <n v="71834.13"/>
    <n v="187477.36"/>
    <x v="0"/>
  </r>
  <r>
    <x v="4"/>
    <x v="0"/>
    <x v="2"/>
    <x v="0"/>
    <x v="2"/>
    <x v="1"/>
    <x v="1"/>
    <n v="37"/>
    <n v="186627.61"/>
    <n v="495636.73"/>
    <x v="0"/>
  </r>
  <r>
    <x v="4"/>
    <x v="0"/>
    <x v="2"/>
    <x v="0"/>
    <x v="3"/>
    <x v="0"/>
    <x v="1"/>
    <n v="6"/>
    <n v="27676.9"/>
    <n v="119719.02"/>
    <x v="0"/>
  </r>
  <r>
    <x v="4"/>
    <x v="0"/>
    <x v="2"/>
    <x v="0"/>
    <x v="3"/>
    <x v="1"/>
    <x v="0"/>
    <n v="12"/>
    <n v="67597.42"/>
    <n v="189049.63"/>
    <x v="0"/>
  </r>
  <r>
    <x v="4"/>
    <x v="0"/>
    <x v="2"/>
    <x v="0"/>
    <x v="3"/>
    <x v="1"/>
    <x v="1"/>
    <n v="28"/>
    <n v="148182.13"/>
    <n v="413085.72"/>
    <x v="0"/>
  </r>
  <r>
    <x v="4"/>
    <x v="0"/>
    <x v="2"/>
    <x v="0"/>
    <x v="28"/>
    <x v="1"/>
    <x v="1"/>
    <n v="5"/>
    <n v="21954.75"/>
    <n v="62139.88"/>
    <x v="0"/>
  </r>
  <r>
    <x v="4"/>
    <x v="0"/>
    <x v="2"/>
    <x v="0"/>
    <x v="4"/>
    <x v="0"/>
    <x v="1"/>
    <n v="2"/>
    <n v="14249.23"/>
    <n v="60809.66"/>
    <x v="0"/>
  </r>
  <r>
    <x v="4"/>
    <x v="0"/>
    <x v="2"/>
    <x v="0"/>
    <x v="4"/>
    <x v="1"/>
    <x v="0"/>
    <n v="10"/>
    <n v="49346.82"/>
    <n v="132601.87"/>
    <x v="0"/>
  </r>
  <r>
    <x v="4"/>
    <x v="0"/>
    <x v="2"/>
    <x v="0"/>
    <x v="4"/>
    <x v="1"/>
    <x v="1"/>
    <n v="2"/>
    <n v="9862.74"/>
    <n v="27972.44"/>
    <x v="0"/>
  </r>
  <r>
    <x v="4"/>
    <x v="0"/>
    <x v="2"/>
    <x v="0"/>
    <x v="5"/>
    <x v="0"/>
    <x v="1"/>
    <n v="4"/>
    <n v="21028.59"/>
    <n v="90264.34"/>
    <x v="0"/>
  </r>
  <r>
    <x v="4"/>
    <x v="0"/>
    <x v="2"/>
    <x v="0"/>
    <x v="5"/>
    <x v="1"/>
    <x v="0"/>
    <n v="5"/>
    <n v="23250.1"/>
    <n v="59392.7"/>
    <x v="0"/>
  </r>
  <r>
    <x v="4"/>
    <x v="0"/>
    <x v="2"/>
    <x v="0"/>
    <x v="5"/>
    <x v="1"/>
    <x v="1"/>
    <n v="11"/>
    <n v="55605.25"/>
    <n v="154320.66"/>
    <x v="0"/>
  </r>
  <r>
    <x v="4"/>
    <x v="0"/>
    <x v="2"/>
    <x v="0"/>
    <x v="6"/>
    <x v="0"/>
    <x v="1"/>
    <n v="2"/>
    <n v="9185.4"/>
    <n v="39906.339999999997"/>
    <x v="0"/>
  </r>
  <r>
    <x v="4"/>
    <x v="0"/>
    <x v="2"/>
    <x v="0"/>
    <x v="7"/>
    <x v="1"/>
    <x v="1"/>
    <n v="6"/>
    <n v="27753.37"/>
    <n v="79972.3"/>
    <x v="0"/>
  </r>
  <r>
    <x v="4"/>
    <x v="0"/>
    <x v="2"/>
    <x v="0"/>
    <x v="8"/>
    <x v="0"/>
    <x v="1"/>
    <n v="1"/>
    <n v="4343.7700000000004"/>
    <n v="19003.02"/>
    <x v="0"/>
  </r>
  <r>
    <x v="4"/>
    <x v="0"/>
    <x v="2"/>
    <x v="0"/>
    <x v="8"/>
    <x v="1"/>
    <x v="1"/>
    <n v="3"/>
    <n v="21589.71"/>
    <n v="58103.63"/>
    <x v="0"/>
  </r>
  <r>
    <x v="4"/>
    <x v="0"/>
    <x v="2"/>
    <x v="1"/>
    <x v="31"/>
    <x v="1"/>
    <x v="0"/>
    <n v="1"/>
    <n v="4758.66"/>
    <n v="13867.45"/>
    <x v="0"/>
  </r>
  <r>
    <x v="4"/>
    <x v="0"/>
    <x v="2"/>
    <x v="1"/>
    <x v="10"/>
    <x v="0"/>
    <x v="1"/>
    <n v="5"/>
    <n v="25428.29"/>
    <n v="109267.35"/>
    <x v="0"/>
  </r>
  <r>
    <x v="4"/>
    <x v="0"/>
    <x v="2"/>
    <x v="1"/>
    <x v="10"/>
    <x v="1"/>
    <x v="0"/>
    <n v="2"/>
    <n v="11638.15"/>
    <n v="33696.15"/>
    <x v="0"/>
  </r>
  <r>
    <x v="4"/>
    <x v="0"/>
    <x v="2"/>
    <x v="1"/>
    <x v="10"/>
    <x v="1"/>
    <x v="1"/>
    <n v="50"/>
    <n v="260511.61"/>
    <n v="759224.15"/>
    <x v="0"/>
  </r>
  <r>
    <x v="4"/>
    <x v="0"/>
    <x v="2"/>
    <x v="1"/>
    <x v="11"/>
    <x v="0"/>
    <x v="1"/>
    <n v="9"/>
    <n v="45118.55"/>
    <n v="191930.49"/>
    <x v="0"/>
  </r>
  <r>
    <x v="4"/>
    <x v="0"/>
    <x v="2"/>
    <x v="1"/>
    <x v="11"/>
    <x v="1"/>
    <x v="0"/>
    <n v="7"/>
    <n v="30519.13"/>
    <n v="87698.94"/>
    <x v="0"/>
  </r>
  <r>
    <x v="4"/>
    <x v="0"/>
    <x v="2"/>
    <x v="1"/>
    <x v="11"/>
    <x v="1"/>
    <x v="1"/>
    <n v="15"/>
    <n v="79224.53"/>
    <n v="220913.34"/>
    <x v="0"/>
  </r>
  <r>
    <x v="4"/>
    <x v="0"/>
    <x v="2"/>
    <x v="1"/>
    <x v="13"/>
    <x v="0"/>
    <x v="1"/>
    <n v="2"/>
    <n v="9075.48"/>
    <n v="39906.339999999997"/>
    <x v="0"/>
  </r>
  <r>
    <x v="4"/>
    <x v="0"/>
    <x v="2"/>
    <x v="1"/>
    <x v="13"/>
    <x v="1"/>
    <x v="1"/>
    <n v="7"/>
    <n v="35366.339999999997"/>
    <n v="101044.68"/>
    <x v="0"/>
  </r>
  <r>
    <x v="4"/>
    <x v="0"/>
    <x v="2"/>
    <x v="1"/>
    <x v="14"/>
    <x v="0"/>
    <x v="1"/>
    <n v="2"/>
    <n v="8907.85"/>
    <n v="38006.04"/>
    <x v="0"/>
  </r>
  <r>
    <x v="4"/>
    <x v="0"/>
    <x v="2"/>
    <x v="1"/>
    <x v="14"/>
    <x v="1"/>
    <x v="0"/>
    <n v="18"/>
    <n v="91816.27"/>
    <n v="263481.01"/>
    <x v="0"/>
  </r>
  <r>
    <x v="4"/>
    <x v="0"/>
    <x v="2"/>
    <x v="1"/>
    <x v="14"/>
    <x v="1"/>
    <x v="1"/>
    <n v="3"/>
    <n v="17591.009999999998"/>
    <n v="48376.29"/>
    <x v="0"/>
  </r>
  <r>
    <x v="4"/>
    <x v="0"/>
    <x v="2"/>
    <x v="1"/>
    <x v="15"/>
    <x v="1"/>
    <x v="0"/>
    <n v="3"/>
    <n v="13606.02"/>
    <n v="41362.92"/>
    <x v="0"/>
  </r>
  <r>
    <x v="4"/>
    <x v="0"/>
    <x v="2"/>
    <x v="1"/>
    <x v="15"/>
    <x v="1"/>
    <x v="1"/>
    <n v="1"/>
    <n v="4497.16"/>
    <n v="13131.09"/>
    <x v="0"/>
  </r>
  <r>
    <x v="4"/>
    <x v="0"/>
    <x v="2"/>
    <x v="1"/>
    <x v="16"/>
    <x v="0"/>
    <x v="1"/>
    <n v="1"/>
    <n v="5060.21"/>
    <n v="21853.47"/>
    <x v="0"/>
  </r>
  <r>
    <x v="4"/>
    <x v="0"/>
    <x v="2"/>
    <x v="1"/>
    <x v="16"/>
    <x v="1"/>
    <x v="0"/>
    <n v="4"/>
    <n v="18050.72"/>
    <n v="51266.34"/>
    <x v="0"/>
  </r>
  <r>
    <x v="4"/>
    <x v="0"/>
    <x v="2"/>
    <x v="1"/>
    <x v="16"/>
    <x v="1"/>
    <x v="1"/>
    <n v="14"/>
    <n v="78448.31"/>
    <n v="213647.33"/>
    <x v="0"/>
  </r>
  <r>
    <x v="4"/>
    <x v="0"/>
    <x v="2"/>
    <x v="1"/>
    <x v="17"/>
    <x v="1"/>
    <x v="0"/>
    <n v="9"/>
    <n v="58815.24"/>
    <n v="164664.95000000001"/>
    <x v="0"/>
  </r>
  <r>
    <x v="4"/>
    <x v="0"/>
    <x v="2"/>
    <x v="1"/>
    <x v="17"/>
    <x v="1"/>
    <x v="1"/>
    <n v="7"/>
    <n v="38947.06"/>
    <n v="109145.73"/>
    <x v="0"/>
  </r>
  <r>
    <x v="4"/>
    <x v="0"/>
    <x v="2"/>
    <x v="1"/>
    <x v="18"/>
    <x v="0"/>
    <x v="1"/>
    <n v="9"/>
    <n v="49820.09"/>
    <n v="213783.96"/>
    <x v="0"/>
  </r>
  <r>
    <x v="4"/>
    <x v="0"/>
    <x v="2"/>
    <x v="1"/>
    <x v="18"/>
    <x v="1"/>
    <x v="0"/>
    <n v="2"/>
    <n v="8528.68"/>
    <n v="26414.2"/>
    <x v="0"/>
  </r>
  <r>
    <x v="4"/>
    <x v="0"/>
    <x v="2"/>
    <x v="1"/>
    <x v="18"/>
    <x v="1"/>
    <x v="1"/>
    <n v="36"/>
    <n v="188750.17"/>
    <n v="561301.68000000005"/>
    <x v="0"/>
  </r>
  <r>
    <x v="4"/>
    <x v="0"/>
    <x v="2"/>
    <x v="1"/>
    <x v="19"/>
    <x v="0"/>
    <x v="1"/>
    <n v="5"/>
    <n v="27177.75"/>
    <n v="112117.81"/>
    <x v="0"/>
  </r>
  <r>
    <x v="4"/>
    <x v="0"/>
    <x v="2"/>
    <x v="1"/>
    <x v="19"/>
    <x v="1"/>
    <x v="0"/>
    <n v="6"/>
    <n v="34585.67"/>
    <n v="100543.08"/>
    <x v="0"/>
  </r>
  <r>
    <x v="4"/>
    <x v="0"/>
    <x v="2"/>
    <x v="1"/>
    <x v="19"/>
    <x v="1"/>
    <x v="1"/>
    <n v="18"/>
    <n v="81839.820000000007"/>
    <n v="233839.76"/>
    <x v="0"/>
  </r>
  <r>
    <x v="4"/>
    <x v="0"/>
    <x v="2"/>
    <x v="1"/>
    <x v="20"/>
    <x v="0"/>
    <x v="0"/>
    <n v="1"/>
    <n v="5276.42"/>
    <n v="21853.47"/>
    <x v="0"/>
  </r>
  <r>
    <x v="4"/>
    <x v="0"/>
    <x v="2"/>
    <x v="1"/>
    <x v="20"/>
    <x v="0"/>
    <x v="1"/>
    <n v="12"/>
    <n v="56024"/>
    <n v="240388.19"/>
    <x v="0"/>
  </r>
  <r>
    <x v="4"/>
    <x v="0"/>
    <x v="2"/>
    <x v="1"/>
    <x v="20"/>
    <x v="1"/>
    <x v="0"/>
    <n v="20"/>
    <n v="103888.54"/>
    <n v="294458.89"/>
    <x v="0"/>
  </r>
  <r>
    <x v="4"/>
    <x v="0"/>
    <x v="2"/>
    <x v="1"/>
    <x v="20"/>
    <x v="1"/>
    <x v="1"/>
    <n v="30"/>
    <n v="150671.19"/>
    <n v="427829.46"/>
    <x v="0"/>
  </r>
  <r>
    <x v="4"/>
    <x v="0"/>
    <x v="2"/>
    <x v="2"/>
    <x v="21"/>
    <x v="0"/>
    <x v="0"/>
    <n v="8"/>
    <n v="36180.050000000003"/>
    <n v="156774.91"/>
    <x v="0"/>
  </r>
  <r>
    <x v="4"/>
    <x v="0"/>
    <x v="2"/>
    <x v="2"/>
    <x v="21"/>
    <x v="1"/>
    <x v="1"/>
    <n v="2"/>
    <n v="8758.8799999999992"/>
    <n v="23145.68"/>
    <x v="0"/>
  </r>
  <r>
    <x v="4"/>
    <x v="0"/>
    <x v="2"/>
    <x v="2"/>
    <x v="22"/>
    <x v="0"/>
    <x v="1"/>
    <n v="1"/>
    <n v="7239.33"/>
    <n v="30404.83"/>
    <x v="0"/>
  </r>
  <r>
    <x v="4"/>
    <x v="0"/>
    <x v="2"/>
    <x v="2"/>
    <x v="22"/>
    <x v="1"/>
    <x v="1"/>
    <n v="32"/>
    <n v="161782.39999999999"/>
    <n v="424723.18"/>
    <x v="0"/>
  </r>
  <r>
    <x v="4"/>
    <x v="0"/>
    <x v="2"/>
    <x v="2"/>
    <x v="29"/>
    <x v="0"/>
    <x v="1"/>
    <n v="3"/>
    <n v="19202.38"/>
    <n v="79812.679999999993"/>
    <x v="0"/>
  </r>
  <r>
    <x v="4"/>
    <x v="0"/>
    <x v="2"/>
    <x v="2"/>
    <x v="29"/>
    <x v="1"/>
    <x v="1"/>
    <n v="3"/>
    <n v="13954.1"/>
    <n v="38729.11"/>
    <x v="0"/>
  </r>
  <r>
    <x v="4"/>
    <x v="0"/>
    <x v="2"/>
    <x v="2"/>
    <x v="24"/>
    <x v="0"/>
    <x v="1"/>
    <n v="3"/>
    <n v="13551.09"/>
    <n v="59859.51"/>
    <x v="0"/>
  </r>
  <r>
    <x v="4"/>
    <x v="0"/>
    <x v="2"/>
    <x v="2"/>
    <x v="24"/>
    <x v="1"/>
    <x v="0"/>
    <n v="2"/>
    <n v="10359.58"/>
    <n v="27098.3"/>
    <x v="0"/>
  </r>
  <r>
    <x v="4"/>
    <x v="0"/>
    <x v="2"/>
    <x v="2"/>
    <x v="24"/>
    <x v="1"/>
    <x v="1"/>
    <n v="4"/>
    <n v="18505.82"/>
    <n v="49483.86"/>
    <x v="0"/>
  </r>
  <r>
    <x v="4"/>
    <x v="0"/>
    <x v="2"/>
    <x v="3"/>
    <x v="25"/>
    <x v="1"/>
    <x v="0"/>
    <n v="7"/>
    <n v="37064.699999999997"/>
    <n v="106739.95"/>
    <x v="0"/>
  </r>
  <r>
    <x v="4"/>
    <x v="0"/>
    <x v="2"/>
    <x v="3"/>
    <x v="25"/>
    <x v="1"/>
    <x v="1"/>
    <n v="6"/>
    <n v="34763.01"/>
    <n v="101533.14"/>
    <x v="0"/>
  </r>
  <r>
    <x v="4"/>
    <x v="0"/>
    <x v="2"/>
    <x v="3"/>
    <x v="26"/>
    <x v="0"/>
    <x v="0"/>
    <n v="2"/>
    <n v="11465.11"/>
    <n v="50358"/>
    <x v="0"/>
  </r>
  <r>
    <x v="4"/>
    <x v="0"/>
    <x v="2"/>
    <x v="3"/>
    <x v="26"/>
    <x v="0"/>
    <x v="1"/>
    <n v="1"/>
    <n v="4378.37"/>
    <n v="19003.02"/>
    <x v="0"/>
  </r>
  <r>
    <x v="4"/>
    <x v="0"/>
    <x v="2"/>
    <x v="3"/>
    <x v="26"/>
    <x v="1"/>
    <x v="0"/>
    <n v="3"/>
    <n v="13873.95"/>
    <n v="39336.25"/>
    <x v="0"/>
  </r>
  <r>
    <x v="4"/>
    <x v="0"/>
    <x v="2"/>
    <x v="3"/>
    <x v="26"/>
    <x v="1"/>
    <x v="1"/>
    <n v="30"/>
    <n v="160735.17000000001"/>
    <n v="473346.19"/>
    <x v="0"/>
  </r>
  <r>
    <x v="4"/>
    <x v="0"/>
    <x v="2"/>
    <x v="3"/>
    <x v="27"/>
    <x v="0"/>
    <x v="0"/>
    <n v="1"/>
    <n v="5211.17"/>
    <n v="21853.47"/>
    <x v="0"/>
  </r>
  <r>
    <x v="4"/>
    <x v="0"/>
    <x v="2"/>
    <x v="3"/>
    <x v="27"/>
    <x v="0"/>
    <x v="1"/>
    <n v="9"/>
    <n v="46139.37"/>
    <n v="198581.55"/>
    <x v="0"/>
  </r>
  <r>
    <x v="4"/>
    <x v="0"/>
    <x v="2"/>
    <x v="3"/>
    <x v="27"/>
    <x v="1"/>
    <x v="0"/>
    <n v="15"/>
    <n v="80130.34"/>
    <n v="230927.53"/>
    <x v="0"/>
  </r>
  <r>
    <x v="4"/>
    <x v="0"/>
    <x v="2"/>
    <x v="3"/>
    <x v="27"/>
    <x v="1"/>
    <x v="1"/>
    <n v="46"/>
    <n v="246051.91"/>
    <n v="715026.71"/>
    <x v="0"/>
  </r>
  <r>
    <x v="4"/>
    <x v="0"/>
    <x v="3"/>
    <x v="0"/>
    <x v="0"/>
    <x v="0"/>
    <x v="0"/>
    <n v="2"/>
    <n v="13376.68"/>
    <n v="58704.61"/>
    <x v="0"/>
  </r>
  <r>
    <x v="4"/>
    <x v="0"/>
    <x v="3"/>
    <x v="0"/>
    <x v="0"/>
    <x v="0"/>
    <x v="1"/>
    <n v="5"/>
    <n v="33653.83"/>
    <n v="151053.65"/>
    <x v="0"/>
  </r>
  <r>
    <x v="4"/>
    <x v="0"/>
    <x v="3"/>
    <x v="0"/>
    <x v="0"/>
    <x v="1"/>
    <x v="0"/>
    <n v="5"/>
    <n v="33224.639999999999"/>
    <n v="98789.09"/>
    <x v="0"/>
  </r>
  <r>
    <x v="4"/>
    <x v="0"/>
    <x v="3"/>
    <x v="0"/>
    <x v="0"/>
    <x v="1"/>
    <x v="1"/>
    <n v="6"/>
    <n v="32708.12"/>
    <n v="95929.17"/>
    <x v="0"/>
  </r>
  <r>
    <x v="4"/>
    <x v="0"/>
    <x v="3"/>
    <x v="0"/>
    <x v="1"/>
    <x v="0"/>
    <x v="0"/>
    <n v="7"/>
    <n v="43490.12"/>
    <n v="197905.29"/>
    <x v="0"/>
  </r>
  <r>
    <x v="4"/>
    <x v="0"/>
    <x v="3"/>
    <x v="0"/>
    <x v="1"/>
    <x v="0"/>
    <x v="1"/>
    <n v="5"/>
    <n v="31002.799999999999"/>
    <n v="139200.68"/>
    <x v="0"/>
  </r>
  <r>
    <x v="4"/>
    <x v="0"/>
    <x v="3"/>
    <x v="0"/>
    <x v="1"/>
    <x v="1"/>
    <x v="0"/>
    <n v="9"/>
    <n v="59432.92"/>
    <n v="171815.85"/>
    <x v="0"/>
  </r>
  <r>
    <x v="4"/>
    <x v="0"/>
    <x v="3"/>
    <x v="0"/>
    <x v="1"/>
    <x v="1"/>
    <x v="1"/>
    <n v="13"/>
    <n v="75147.429999999993"/>
    <n v="218946.02"/>
    <x v="0"/>
  </r>
  <r>
    <x v="4"/>
    <x v="0"/>
    <x v="3"/>
    <x v="0"/>
    <x v="2"/>
    <x v="0"/>
    <x v="1"/>
    <n v="6"/>
    <n v="36628.44"/>
    <n v="165350.43"/>
    <x v="0"/>
  </r>
  <r>
    <x v="4"/>
    <x v="0"/>
    <x v="3"/>
    <x v="0"/>
    <x v="2"/>
    <x v="1"/>
    <x v="0"/>
    <n v="4"/>
    <n v="22404.959999999999"/>
    <n v="62249.48"/>
    <x v="0"/>
  </r>
  <r>
    <x v="4"/>
    <x v="0"/>
    <x v="3"/>
    <x v="0"/>
    <x v="2"/>
    <x v="1"/>
    <x v="1"/>
    <n v="10"/>
    <n v="52189.29"/>
    <n v="147230.16"/>
    <x v="0"/>
  </r>
  <r>
    <x v="4"/>
    <x v="0"/>
    <x v="3"/>
    <x v="0"/>
    <x v="3"/>
    <x v="0"/>
    <x v="0"/>
    <n v="2"/>
    <n v="12060.99"/>
    <n v="55435.89"/>
    <x v="0"/>
  </r>
  <r>
    <x v="4"/>
    <x v="0"/>
    <x v="3"/>
    <x v="0"/>
    <x v="3"/>
    <x v="0"/>
    <x v="1"/>
    <n v="8"/>
    <n v="42599.5"/>
    <n v="192722.09"/>
    <x v="0"/>
  </r>
  <r>
    <x v="4"/>
    <x v="0"/>
    <x v="3"/>
    <x v="0"/>
    <x v="3"/>
    <x v="1"/>
    <x v="0"/>
    <n v="10"/>
    <n v="54875.68"/>
    <n v="156874.70000000001"/>
    <x v="0"/>
  </r>
  <r>
    <x v="4"/>
    <x v="0"/>
    <x v="3"/>
    <x v="0"/>
    <x v="3"/>
    <x v="1"/>
    <x v="1"/>
    <n v="11"/>
    <n v="59708.09"/>
    <n v="173656.18"/>
    <x v="0"/>
  </r>
  <r>
    <x v="4"/>
    <x v="0"/>
    <x v="3"/>
    <x v="0"/>
    <x v="4"/>
    <x v="0"/>
    <x v="1"/>
    <n v="1"/>
    <n v="5611.94"/>
    <n v="25060.18"/>
    <x v="0"/>
  </r>
  <r>
    <x v="4"/>
    <x v="0"/>
    <x v="3"/>
    <x v="0"/>
    <x v="4"/>
    <x v="1"/>
    <x v="0"/>
    <n v="2"/>
    <n v="9750.2099999999991"/>
    <n v="27604.54"/>
    <x v="0"/>
  </r>
  <r>
    <x v="4"/>
    <x v="0"/>
    <x v="3"/>
    <x v="0"/>
    <x v="4"/>
    <x v="1"/>
    <x v="1"/>
    <n v="11"/>
    <n v="70344.75"/>
    <n v="203893.28"/>
    <x v="0"/>
  </r>
  <r>
    <x v="4"/>
    <x v="0"/>
    <x v="3"/>
    <x v="0"/>
    <x v="5"/>
    <x v="0"/>
    <x v="1"/>
    <n v="5"/>
    <n v="27096.55"/>
    <n v="124078.99"/>
    <x v="0"/>
  </r>
  <r>
    <x v="4"/>
    <x v="0"/>
    <x v="3"/>
    <x v="0"/>
    <x v="5"/>
    <x v="1"/>
    <x v="1"/>
    <n v="16"/>
    <n v="87492.18"/>
    <n v="260582.98"/>
    <x v="0"/>
  </r>
  <r>
    <x v="4"/>
    <x v="0"/>
    <x v="3"/>
    <x v="0"/>
    <x v="6"/>
    <x v="0"/>
    <x v="1"/>
    <n v="1"/>
    <n v="5714.23"/>
    <n v="25060.18"/>
    <x v="0"/>
  </r>
  <r>
    <x v="4"/>
    <x v="0"/>
    <x v="3"/>
    <x v="0"/>
    <x v="7"/>
    <x v="1"/>
    <x v="1"/>
    <n v="5"/>
    <n v="25090"/>
    <n v="76422.64"/>
    <x v="0"/>
  </r>
  <r>
    <x v="4"/>
    <x v="0"/>
    <x v="3"/>
    <x v="0"/>
    <x v="8"/>
    <x v="1"/>
    <x v="1"/>
    <n v="5"/>
    <n v="31232.11"/>
    <n v="90753"/>
    <x v="0"/>
  </r>
  <r>
    <x v="4"/>
    <x v="0"/>
    <x v="3"/>
    <x v="1"/>
    <x v="9"/>
    <x v="1"/>
    <x v="1"/>
    <n v="3"/>
    <n v="17237.03"/>
    <n v="51688.76"/>
    <x v="0"/>
  </r>
  <r>
    <x v="4"/>
    <x v="0"/>
    <x v="3"/>
    <x v="1"/>
    <x v="31"/>
    <x v="1"/>
    <x v="0"/>
    <n v="2"/>
    <n v="11112.49"/>
    <n v="34833.660000000003"/>
    <x v="0"/>
  </r>
  <r>
    <x v="4"/>
    <x v="0"/>
    <x v="3"/>
    <x v="1"/>
    <x v="10"/>
    <x v="0"/>
    <x v="0"/>
    <n v="2"/>
    <n v="12201.64"/>
    <n v="55435.89"/>
    <x v="0"/>
  </r>
  <r>
    <x v="4"/>
    <x v="0"/>
    <x v="3"/>
    <x v="1"/>
    <x v="10"/>
    <x v="0"/>
    <x v="1"/>
    <n v="11"/>
    <n v="61829.13"/>
    <n v="280977.51"/>
    <x v="0"/>
  </r>
  <r>
    <x v="4"/>
    <x v="0"/>
    <x v="3"/>
    <x v="1"/>
    <x v="10"/>
    <x v="1"/>
    <x v="0"/>
    <n v="13"/>
    <n v="70942.09"/>
    <n v="216238.84"/>
    <x v="0"/>
  </r>
  <r>
    <x v="4"/>
    <x v="0"/>
    <x v="3"/>
    <x v="1"/>
    <x v="10"/>
    <x v="1"/>
    <x v="1"/>
    <n v="22"/>
    <n v="149879.53"/>
    <n v="448266.19"/>
    <x v="0"/>
  </r>
  <r>
    <x v="4"/>
    <x v="0"/>
    <x v="3"/>
    <x v="1"/>
    <x v="11"/>
    <x v="0"/>
    <x v="1"/>
    <n v="11"/>
    <n v="71084.12"/>
    <n v="320630.03999999998"/>
    <x v="0"/>
  </r>
  <r>
    <x v="4"/>
    <x v="0"/>
    <x v="3"/>
    <x v="1"/>
    <x v="11"/>
    <x v="1"/>
    <x v="0"/>
    <n v="11"/>
    <n v="69369.509999999995"/>
    <n v="207079.1"/>
    <x v="0"/>
  </r>
  <r>
    <x v="4"/>
    <x v="0"/>
    <x v="3"/>
    <x v="1"/>
    <x v="11"/>
    <x v="1"/>
    <x v="1"/>
    <n v="23"/>
    <n v="137001.59"/>
    <n v="400960.02"/>
    <x v="0"/>
  </r>
  <r>
    <x v="4"/>
    <x v="0"/>
    <x v="3"/>
    <x v="1"/>
    <x v="12"/>
    <x v="1"/>
    <x v="0"/>
    <n v="2"/>
    <n v="11230.29"/>
    <n v="33819.94"/>
    <x v="0"/>
  </r>
  <r>
    <x v="4"/>
    <x v="0"/>
    <x v="3"/>
    <x v="1"/>
    <x v="12"/>
    <x v="1"/>
    <x v="1"/>
    <n v="2"/>
    <n v="9981.2800000000007"/>
    <n v="31301.25"/>
    <x v="0"/>
  </r>
  <r>
    <x v="4"/>
    <x v="0"/>
    <x v="3"/>
    <x v="1"/>
    <x v="13"/>
    <x v="0"/>
    <x v="1"/>
    <n v="3"/>
    <n v="20923.62"/>
    <n v="92349.04"/>
    <x v="0"/>
  </r>
  <r>
    <x v="4"/>
    <x v="0"/>
    <x v="3"/>
    <x v="1"/>
    <x v="13"/>
    <x v="1"/>
    <x v="1"/>
    <n v="7"/>
    <n v="34384.35"/>
    <n v="105363.88"/>
    <x v="0"/>
  </r>
  <r>
    <x v="4"/>
    <x v="0"/>
    <x v="3"/>
    <x v="1"/>
    <x v="14"/>
    <x v="0"/>
    <x v="1"/>
    <n v="2"/>
    <n v="13057.7"/>
    <n v="58704.61"/>
    <x v="0"/>
  </r>
  <r>
    <x v="4"/>
    <x v="0"/>
    <x v="3"/>
    <x v="1"/>
    <x v="14"/>
    <x v="1"/>
    <x v="0"/>
    <n v="2"/>
    <n v="11074.8"/>
    <n v="33480.400000000001"/>
    <x v="0"/>
  </r>
  <r>
    <x v="4"/>
    <x v="0"/>
    <x v="3"/>
    <x v="1"/>
    <x v="14"/>
    <x v="1"/>
    <x v="1"/>
    <n v="2"/>
    <n v="15192.67"/>
    <n v="44948.959999999999"/>
    <x v="0"/>
  </r>
  <r>
    <x v="4"/>
    <x v="0"/>
    <x v="3"/>
    <x v="1"/>
    <x v="15"/>
    <x v="1"/>
    <x v="0"/>
    <n v="2"/>
    <n v="10900.8"/>
    <n v="34633.17"/>
    <x v="0"/>
  </r>
  <r>
    <x v="4"/>
    <x v="0"/>
    <x v="3"/>
    <x v="1"/>
    <x v="16"/>
    <x v="1"/>
    <x v="0"/>
    <n v="4"/>
    <n v="22407.18"/>
    <n v="64524.52"/>
    <x v="0"/>
  </r>
  <r>
    <x v="4"/>
    <x v="0"/>
    <x v="3"/>
    <x v="1"/>
    <x v="16"/>
    <x v="1"/>
    <x v="1"/>
    <n v="16"/>
    <n v="92675.81"/>
    <n v="276477.24"/>
    <x v="0"/>
  </r>
  <r>
    <x v="4"/>
    <x v="0"/>
    <x v="3"/>
    <x v="1"/>
    <x v="17"/>
    <x v="0"/>
    <x v="1"/>
    <n v="1"/>
    <n v="5606.08"/>
    <n v="25060.18"/>
    <x v="0"/>
  </r>
  <r>
    <x v="4"/>
    <x v="0"/>
    <x v="3"/>
    <x v="1"/>
    <x v="17"/>
    <x v="1"/>
    <x v="0"/>
    <n v="8"/>
    <n v="43106.32"/>
    <n v="129502.29"/>
    <x v="0"/>
  </r>
  <r>
    <x v="4"/>
    <x v="0"/>
    <x v="3"/>
    <x v="1"/>
    <x v="17"/>
    <x v="1"/>
    <x v="1"/>
    <n v="4"/>
    <n v="22606.6"/>
    <n v="66559.839999999997"/>
    <x v="0"/>
  </r>
  <r>
    <x v="4"/>
    <x v="0"/>
    <x v="3"/>
    <x v="1"/>
    <x v="18"/>
    <x v="0"/>
    <x v="1"/>
    <n v="14"/>
    <n v="77053.740000000005"/>
    <n v="345262.31"/>
    <x v="0"/>
  </r>
  <r>
    <x v="4"/>
    <x v="0"/>
    <x v="3"/>
    <x v="1"/>
    <x v="18"/>
    <x v="1"/>
    <x v="0"/>
    <n v="5"/>
    <n v="27884.5"/>
    <n v="87084.13"/>
    <x v="0"/>
  </r>
  <r>
    <x v="4"/>
    <x v="0"/>
    <x v="3"/>
    <x v="1"/>
    <x v="18"/>
    <x v="1"/>
    <x v="1"/>
    <n v="19"/>
    <n v="107231.91"/>
    <n v="332664.81"/>
    <x v="0"/>
  </r>
  <r>
    <x v="4"/>
    <x v="0"/>
    <x v="3"/>
    <x v="1"/>
    <x v="19"/>
    <x v="0"/>
    <x v="1"/>
    <n v="2"/>
    <n v="14833.34"/>
    <n v="67288.86"/>
    <x v="0"/>
  </r>
  <r>
    <x v="4"/>
    <x v="0"/>
    <x v="3"/>
    <x v="1"/>
    <x v="19"/>
    <x v="1"/>
    <x v="0"/>
    <n v="3"/>
    <n v="20267.189999999999"/>
    <n v="62243.25"/>
    <x v="0"/>
  </r>
  <r>
    <x v="4"/>
    <x v="0"/>
    <x v="3"/>
    <x v="1"/>
    <x v="19"/>
    <x v="1"/>
    <x v="1"/>
    <n v="18"/>
    <n v="96519.25"/>
    <n v="293675.27"/>
    <x v="0"/>
  </r>
  <r>
    <x v="4"/>
    <x v="0"/>
    <x v="3"/>
    <x v="1"/>
    <x v="20"/>
    <x v="0"/>
    <x v="0"/>
    <n v="2"/>
    <n v="12253.57"/>
    <n v="55435.89"/>
    <x v="0"/>
  </r>
  <r>
    <x v="4"/>
    <x v="0"/>
    <x v="3"/>
    <x v="1"/>
    <x v="20"/>
    <x v="0"/>
    <x v="1"/>
    <n v="17"/>
    <n v="94179.53"/>
    <n v="426847.95"/>
    <x v="0"/>
  </r>
  <r>
    <x v="4"/>
    <x v="0"/>
    <x v="3"/>
    <x v="1"/>
    <x v="20"/>
    <x v="1"/>
    <x v="0"/>
    <n v="12"/>
    <n v="72371.55"/>
    <n v="216277.4"/>
    <x v="0"/>
  </r>
  <r>
    <x v="4"/>
    <x v="0"/>
    <x v="3"/>
    <x v="1"/>
    <x v="20"/>
    <x v="1"/>
    <x v="1"/>
    <n v="23"/>
    <n v="156598.39999999999"/>
    <n v="480252.82"/>
    <x v="0"/>
  </r>
  <r>
    <x v="4"/>
    <x v="0"/>
    <x v="3"/>
    <x v="2"/>
    <x v="21"/>
    <x v="0"/>
    <x v="0"/>
    <n v="3"/>
    <n v="15352.48"/>
    <n v="68643.100000000006"/>
    <x v="0"/>
  </r>
  <r>
    <x v="4"/>
    <x v="0"/>
    <x v="3"/>
    <x v="2"/>
    <x v="22"/>
    <x v="0"/>
    <x v="1"/>
    <n v="2"/>
    <n v="11036.22"/>
    <n v="50120.36"/>
    <x v="0"/>
  </r>
  <r>
    <x v="4"/>
    <x v="0"/>
    <x v="3"/>
    <x v="2"/>
    <x v="22"/>
    <x v="1"/>
    <x v="0"/>
    <n v="3"/>
    <n v="16691.79"/>
    <n v="45784.95"/>
    <x v="0"/>
  </r>
  <r>
    <x v="4"/>
    <x v="0"/>
    <x v="3"/>
    <x v="2"/>
    <x v="22"/>
    <x v="1"/>
    <x v="1"/>
    <n v="9"/>
    <n v="57226.65"/>
    <n v="155531.29"/>
    <x v="0"/>
  </r>
  <r>
    <x v="4"/>
    <x v="0"/>
    <x v="3"/>
    <x v="2"/>
    <x v="29"/>
    <x v="0"/>
    <x v="1"/>
    <n v="3"/>
    <n v="16025.26"/>
    <n v="71911.820000000007"/>
    <x v="0"/>
  </r>
  <r>
    <x v="4"/>
    <x v="0"/>
    <x v="3"/>
    <x v="2"/>
    <x v="24"/>
    <x v="0"/>
    <x v="1"/>
    <n v="4"/>
    <n v="21082.97"/>
    <n v="95882.42"/>
    <x v="0"/>
  </r>
  <r>
    <x v="4"/>
    <x v="0"/>
    <x v="3"/>
    <x v="2"/>
    <x v="24"/>
    <x v="1"/>
    <x v="0"/>
    <n v="8"/>
    <n v="51197.87"/>
    <n v="140265.20000000001"/>
    <x v="0"/>
  </r>
  <r>
    <x v="4"/>
    <x v="0"/>
    <x v="3"/>
    <x v="2"/>
    <x v="24"/>
    <x v="1"/>
    <x v="1"/>
    <n v="3"/>
    <n v="18165.099999999999"/>
    <n v="51934.17"/>
    <x v="0"/>
  </r>
  <r>
    <x v="4"/>
    <x v="0"/>
    <x v="3"/>
    <x v="3"/>
    <x v="25"/>
    <x v="0"/>
    <x v="1"/>
    <n v="2"/>
    <n v="11373.1"/>
    <n v="50120.36"/>
    <x v="0"/>
  </r>
  <r>
    <x v="4"/>
    <x v="0"/>
    <x v="3"/>
    <x v="3"/>
    <x v="25"/>
    <x v="1"/>
    <x v="0"/>
    <n v="5"/>
    <n v="24159.5"/>
    <n v="74635.75"/>
    <x v="0"/>
  </r>
  <r>
    <x v="4"/>
    <x v="0"/>
    <x v="3"/>
    <x v="3"/>
    <x v="25"/>
    <x v="1"/>
    <x v="1"/>
    <n v="8"/>
    <n v="51117.2"/>
    <n v="162252.69"/>
    <x v="0"/>
  </r>
  <r>
    <x v="4"/>
    <x v="0"/>
    <x v="3"/>
    <x v="3"/>
    <x v="26"/>
    <x v="0"/>
    <x v="0"/>
    <n v="2"/>
    <n v="12857"/>
    <n v="58704.61"/>
    <x v="0"/>
  </r>
  <r>
    <x v="4"/>
    <x v="0"/>
    <x v="3"/>
    <x v="3"/>
    <x v="26"/>
    <x v="0"/>
    <x v="1"/>
    <n v="4"/>
    <n v="21591.02"/>
    <n v="98061.57"/>
    <x v="0"/>
  </r>
  <r>
    <x v="4"/>
    <x v="0"/>
    <x v="3"/>
    <x v="3"/>
    <x v="26"/>
    <x v="1"/>
    <x v="0"/>
    <n v="9"/>
    <n v="45794.45"/>
    <n v="145850.23000000001"/>
    <x v="0"/>
  </r>
  <r>
    <x v="4"/>
    <x v="0"/>
    <x v="3"/>
    <x v="3"/>
    <x v="26"/>
    <x v="1"/>
    <x v="1"/>
    <n v="14"/>
    <n v="74823.539999999994"/>
    <n v="233908.44"/>
    <x v="0"/>
  </r>
  <r>
    <x v="4"/>
    <x v="0"/>
    <x v="3"/>
    <x v="3"/>
    <x v="27"/>
    <x v="0"/>
    <x v="0"/>
    <n v="3"/>
    <n v="19309.97"/>
    <n v="90169.89"/>
    <x v="0"/>
  </r>
  <r>
    <x v="4"/>
    <x v="0"/>
    <x v="3"/>
    <x v="3"/>
    <x v="27"/>
    <x v="0"/>
    <x v="1"/>
    <n v="10"/>
    <n v="58646.03"/>
    <n v="264369.24"/>
    <x v="0"/>
  </r>
  <r>
    <x v="4"/>
    <x v="0"/>
    <x v="3"/>
    <x v="3"/>
    <x v="27"/>
    <x v="1"/>
    <x v="0"/>
    <n v="12"/>
    <n v="60995.21"/>
    <n v="188098.44"/>
    <x v="0"/>
  </r>
  <r>
    <x v="4"/>
    <x v="0"/>
    <x v="3"/>
    <x v="3"/>
    <x v="27"/>
    <x v="1"/>
    <x v="1"/>
    <n v="17"/>
    <n v="107170.99"/>
    <n v="323340.78000000003"/>
    <x v="0"/>
  </r>
  <r>
    <x v="4"/>
    <x v="0"/>
    <x v="4"/>
    <x v="0"/>
    <x v="0"/>
    <x v="0"/>
    <x v="0"/>
    <n v="1"/>
    <n v="5554.91"/>
    <n v="24908.27"/>
    <x v="0"/>
  </r>
  <r>
    <x v="4"/>
    <x v="0"/>
    <x v="4"/>
    <x v="0"/>
    <x v="0"/>
    <x v="1"/>
    <x v="0"/>
    <n v="8"/>
    <n v="40131.599999999999"/>
    <n v="117571.35"/>
    <x v="0"/>
  </r>
  <r>
    <x v="4"/>
    <x v="0"/>
    <x v="4"/>
    <x v="0"/>
    <x v="0"/>
    <x v="1"/>
    <x v="1"/>
    <n v="9"/>
    <n v="43271.5"/>
    <n v="127680.78"/>
    <x v="0"/>
  </r>
  <r>
    <x v="4"/>
    <x v="0"/>
    <x v="4"/>
    <x v="0"/>
    <x v="1"/>
    <x v="0"/>
    <x v="0"/>
    <n v="1"/>
    <n v="4831.42"/>
    <n v="21659.360000000001"/>
    <x v="0"/>
  </r>
  <r>
    <x v="4"/>
    <x v="0"/>
    <x v="4"/>
    <x v="0"/>
    <x v="1"/>
    <x v="0"/>
    <x v="1"/>
    <n v="2"/>
    <n v="9479.8700000000008"/>
    <n v="44401.69"/>
    <x v="0"/>
  </r>
  <r>
    <x v="4"/>
    <x v="0"/>
    <x v="4"/>
    <x v="0"/>
    <x v="1"/>
    <x v="1"/>
    <x v="0"/>
    <n v="8"/>
    <n v="39123"/>
    <n v="110002.65"/>
    <x v="0"/>
  </r>
  <r>
    <x v="4"/>
    <x v="0"/>
    <x v="4"/>
    <x v="0"/>
    <x v="1"/>
    <x v="1"/>
    <x v="1"/>
    <n v="26"/>
    <n v="141658.93"/>
    <n v="426632.34"/>
    <x v="0"/>
  </r>
  <r>
    <x v="4"/>
    <x v="0"/>
    <x v="4"/>
    <x v="0"/>
    <x v="2"/>
    <x v="0"/>
    <x v="1"/>
    <n v="1"/>
    <n v="6847.33"/>
    <n v="32535.42"/>
    <x v="0"/>
  </r>
  <r>
    <x v="4"/>
    <x v="0"/>
    <x v="4"/>
    <x v="0"/>
    <x v="2"/>
    <x v="1"/>
    <x v="0"/>
    <n v="17"/>
    <n v="85201.01"/>
    <n v="244408.98"/>
    <x v="0"/>
  </r>
  <r>
    <x v="4"/>
    <x v="0"/>
    <x v="4"/>
    <x v="0"/>
    <x v="2"/>
    <x v="1"/>
    <x v="1"/>
    <n v="21"/>
    <n v="114109.05"/>
    <n v="328917.05"/>
    <x v="0"/>
  </r>
  <r>
    <x v="4"/>
    <x v="0"/>
    <x v="4"/>
    <x v="0"/>
    <x v="3"/>
    <x v="0"/>
    <x v="0"/>
    <n v="1"/>
    <n v="4982.88"/>
    <n v="21659.360000000001"/>
    <x v="0"/>
  </r>
  <r>
    <x v="4"/>
    <x v="0"/>
    <x v="4"/>
    <x v="0"/>
    <x v="3"/>
    <x v="0"/>
    <x v="1"/>
    <n v="2"/>
    <n v="11684.97"/>
    <n v="54194.78"/>
    <x v="0"/>
  </r>
  <r>
    <x v="4"/>
    <x v="0"/>
    <x v="4"/>
    <x v="0"/>
    <x v="3"/>
    <x v="1"/>
    <x v="0"/>
    <n v="4"/>
    <n v="25244.75"/>
    <n v="77045.59"/>
    <x v="0"/>
  </r>
  <r>
    <x v="4"/>
    <x v="0"/>
    <x v="4"/>
    <x v="0"/>
    <x v="3"/>
    <x v="1"/>
    <x v="1"/>
    <n v="27"/>
    <n v="132384.79"/>
    <n v="388421.94"/>
    <x v="0"/>
  </r>
  <r>
    <x v="4"/>
    <x v="0"/>
    <x v="4"/>
    <x v="0"/>
    <x v="4"/>
    <x v="1"/>
    <x v="0"/>
    <n v="12"/>
    <n v="56925.95"/>
    <n v="169917.8"/>
    <x v="0"/>
  </r>
  <r>
    <x v="4"/>
    <x v="0"/>
    <x v="4"/>
    <x v="0"/>
    <x v="4"/>
    <x v="1"/>
    <x v="1"/>
    <n v="10"/>
    <n v="49959.53"/>
    <n v="145597.26"/>
    <x v="0"/>
  </r>
  <r>
    <x v="4"/>
    <x v="0"/>
    <x v="4"/>
    <x v="0"/>
    <x v="5"/>
    <x v="1"/>
    <x v="1"/>
    <n v="52"/>
    <n v="255936.31"/>
    <n v="763574.64"/>
    <x v="0"/>
  </r>
  <r>
    <x v="4"/>
    <x v="0"/>
    <x v="4"/>
    <x v="0"/>
    <x v="6"/>
    <x v="0"/>
    <x v="1"/>
    <n v="1"/>
    <n v="4834.12"/>
    <n v="21659.360000000001"/>
    <x v="0"/>
  </r>
  <r>
    <x v="4"/>
    <x v="0"/>
    <x v="4"/>
    <x v="0"/>
    <x v="6"/>
    <x v="1"/>
    <x v="1"/>
    <n v="3"/>
    <n v="14255.91"/>
    <n v="44825.13"/>
    <x v="0"/>
  </r>
  <r>
    <x v="4"/>
    <x v="0"/>
    <x v="4"/>
    <x v="0"/>
    <x v="7"/>
    <x v="1"/>
    <x v="1"/>
    <n v="4"/>
    <n v="19586.95"/>
    <n v="57873.81"/>
    <x v="0"/>
  </r>
  <r>
    <x v="4"/>
    <x v="0"/>
    <x v="4"/>
    <x v="0"/>
    <x v="8"/>
    <x v="0"/>
    <x v="1"/>
    <n v="1"/>
    <n v="5366.22"/>
    <n v="24908.27"/>
    <x v="0"/>
  </r>
  <r>
    <x v="4"/>
    <x v="0"/>
    <x v="4"/>
    <x v="0"/>
    <x v="8"/>
    <x v="1"/>
    <x v="1"/>
    <n v="2"/>
    <n v="9982.56"/>
    <n v="27594.02"/>
    <x v="0"/>
  </r>
  <r>
    <x v="4"/>
    <x v="0"/>
    <x v="4"/>
    <x v="1"/>
    <x v="9"/>
    <x v="1"/>
    <x v="1"/>
    <n v="5"/>
    <n v="28367.4"/>
    <n v="89855.21"/>
    <x v="0"/>
  </r>
  <r>
    <x v="4"/>
    <x v="0"/>
    <x v="4"/>
    <x v="1"/>
    <x v="31"/>
    <x v="1"/>
    <x v="0"/>
    <n v="2"/>
    <n v="9525.32"/>
    <n v="30106.51"/>
    <x v="0"/>
  </r>
  <r>
    <x v="4"/>
    <x v="0"/>
    <x v="4"/>
    <x v="1"/>
    <x v="10"/>
    <x v="0"/>
    <x v="0"/>
    <n v="1"/>
    <n v="4930.95"/>
    <n v="21659.360000000001"/>
    <x v="0"/>
  </r>
  <r>
    <x v="4"/>
    <x v="0"/>
    <x v="4"/>
    <x v="1"/>
    <x v="10"/>
    <x v="0"/>
    <x v="1"/>
    <n v="1"/>
    <n v="4884.9399999999996"/>
    <n v="21659.360000000001"/>
    <x v="0"/>
  </r>
  <r>
    <x v="4"/>
    <x v="0"/>
    <x v="4"/>
    <x v="1"/>
    <x v="10"/>
    <x v="1"/>
    <x v="0"/>
    <n v="12"/>
    <n v="61945.42"/>
    <n v="192802.12"/>
    <x v="0"/>
  </r>
  <r>
    <x v="4"/>
    <x v="0"/>
    <x v="4"/>
    <x v="1"/>
    <x v="10"/>
    <x v="1"/>
    <x v="1"/>
    <n v="22"/>
    <n v="114978.76"/>
    <n v="358816.53"/>
    <x v="0"/>
  </r>
  <r>
    <x v="4"/>
    <x v="0"/>
    <x v="4"/>
    <x v="1"/>
    <x v="11"/>
    <x v="0"/>
    <x v="1"/>
    <n v="2"/>
    <n v="9403.73"/>
    <n v="43318.720000000001"/>
    <x v="0"/>
  </r>
  <r>
    <x v="4"/>
    <x v="0"/>
    <x v="4"/>
    <x v="1"/>
    <x v="11"/>
    <x v="1"/>
    <x v="1"/>
    <n v="21"/>
    <n v="102821.21"/>
    <n v="309055.05"/>
    <x v="0"/>
  </r>
  <r>
    <x v="4"/>
    <x v="0"/>
    <x v="4"/>
    <x v="1"/>
    <x v="12"/>
    <x v="1"/>
    <x v="0"/>
    <n v="2"/>
    <n v="9911.42"/>
    <n v="29630"/>
    <x v="0"/>
  </r>
  <r>
    <x v="4"/>
    <x v="0"/>
    <x v="4"/>
    <x v="1"/>
    <x v="13"/>
    <x v="0"/>
    <x v="1"/>
    <n v="3"/>
    <n v="13946.97"/>
    <n v="64978.080000000002"/>
    <x v="0"/>
  </r>
  <r>
    <x v="4"/>
    <x v="0"/>
    <x v="4"/>
    <x v="1"/>
    <x v="13"/>
    <x v="1"/>
    <x v="0"/>
    <n v="4"/>
    <n v="19548.099999999999"/>
    <n v="59000.1"/>
    <x v="0"/>
  </r>
  <r>
    <x v="4"/>
    <x v="0"/>
    <x v="4"/>
    <x v="1"/>
    <x v="13"/>
    <x v="1"/>
    <x v="1"/>
    <n v="4"/>
    <n v="19348.669999999998"/>
    <n v="59000.09"/>
    <x v="0"/>
  </r>
  <r>
    <x v="4"/>
    <x v="0"/>
    <x v="4"/>
    <x v="1"/>
    <x v="14"/>
    <x v="1"/>
    <x v="0"/>
    <n v="17"/>
    <n v="83290.8"/>
    <n v="256846.01"/>
    <x v="0"/>
  </r>
  <r>
    <x v="4"/>
    <x v="0"/>
    <x v="4"/>
    <x v="1"/>
    <x v="14"/>
    <x v="1"/>
    <x v="1"/>
    <n v="1"/>
    <n v="4736.33"/>
    <n v="14468.45"/>
    <x v="0"/>
  </r>
  <r>
    <x v="4"/>
    <x v="0"/>
    <x v="4"/>
    <x v="1"/>
    <x v="15"/>
    <x v="1"/>
    <x v="0"/>
    <n v="5"/>
    <n v="24190.25"/>
    <n v="73540.97"/>
    <x v="0"/>
  </r>
  <r>
    <x v="4"/>
    <x v="0"/>
    <x v="4"/>
    <x v="1"/>
    <x v="15"/>
    <x v="1"/>
    <x v="1"/>
    <n v="3"/>
    <n v="14075.11"/>
    <n v="44041.15"/>
    <x v="0"/>
  </r>
  <r>
    <x v="4"/>
    <x v="0"/>
    <x v="4"/>
    <x v="1"/>
    <x v="16"/>
    <x v="0"/>
    <x v="1"/>
    <n v="1"/>
    <n v="4742.08"/>
    <n v="21659.360000000001"/>
    <x v="0"/>
  </r>
  <r>
    <x v="4"/>
    <x v="0"/>
    <x v="4"/>
    <x v="1"/>
    <x v="16"/>
    <x v="1"/>
    <x v="0"/>
    <n v="2"/>
    <n v="9431.08"/>
    <n v="28503.72"/>
    <x v="0"/>
  </r>
  <r>
    <x v="4"/>
    <x v="0"/>
    <x v="4"/>
    <x v="1"/>
    <x v="16"/>
    <x v="1"/>
    <x v="1"/>
    <n v="8"/>
    <n v="44512.13"/>
    <n v="136878.89000000001"/>
    <x v="0"/>
  </r>
  <r>
    <x v="4"/>
    <x v="0"/>
    <x v="4"/>
    <x v="1"/>
    <x v="17"/>
    <x v="0"/>
    <x v="1"/>
    <n v="2"/>
    <n v="9984.7199999999993"/>
    <n v="43318.720000000001"/>
    <x v="0"/>
  </r>
  <r>
    <x v="4"/>
    <x v="0"/>
    <x v="4"/>
    <x v="1"/>
    <x v="17"/>
    <x v="1"/>
    <x v="0"/>
    <n v="3"/>
    <n v="14979.5"/>
    <n v="46740.9"/>
    <x v="0"/>
  </r>
  <r>
    <x v="4"/>
    <x v="0"/>
    <x v="4"/>
    <x v="1"/>
    <x v="17"/>
    <x v="1"/>
    <x v="1"/>
    <n v="5"/>
    <n v="27005.1"/>
    <n v="82695.460000000006"/>
    <x v="0"/>
  </r>
  <r>
    <x v="4"/>
    <x v="0"/>
    <x v="4"/>
    <x v="1"/>
    <x v="18"/>
    <x v="0"/>
    <x v="1"/>
    <n v="16"/>
    <n v="84925.74"/>
    <n v="391090.61"/>
    <x v="0"/>
  </r>
  <r>
    <x v="4"/>
    <x v="0"/>
    <x v="4"/>
    <x v="1"/>
    <x v="18"/>
    <x v="1"/>
    <x v="0"/>
    <n v="4"/>
    <n v="25757.69"/>
    <n v="82889.61"/>
    <x v="0"/>
  </r>
  <r>
    <x v="4"/>
    <x v="0"/>
    <x v="4"/>
    <x v="1"/>
    <x v="18"/>
    <x v="1"/>
    <x v="1"/>
    <n v="21"/>
    <n v="115548.29"/>
    <n v="367437.83"/>
    <x v="0"/>
  </r>
  <r>
    <x v="4"/>
    <x v="0"/>
    <x v="4"/>
    <x v="1"/>
    <x v="19"/>
    <x v="0"/>
    <x v="1"/>
    <n v="3"/>
    <n v="15608.82"/>
    <n v="71475.899999999994"/>
    <x v="0"/>
  </r>
  <r>
    <x v="4"/>
    <x v="0"/>
    <x v="4"/>
    <x v="1"/>
    <x v="19"/>
    <x v="1"/>
    <x v="0"/>
    <n v="6"/>
    <n v="29833.13"/>
    <n v="88320.37"/>
    <x v="0"/>
  </r>
  <r>
    <x v="4"/>
    <x v="0"/>
    <x v="4"/>
    <x v="1"/>
    <x v="19"/>
    <x v="1"/>
    <x v="1"/>
    <n v="9"/>
    <n v="44888.93"/>
    <n v="140905.91"/>
    <x v="0"/>
  </r>
  <r>
    <x v="4"/>
    <x v="0"/>
    <x v="4"/>
    <x v="1"/>
    <x v="20"/>
    <x v="0"/>
    <x v="0"/>
    <n v="2"/>
    <n v="11599.26"/>
    <n v="54194.78"/>
    <x v="0"/>
  </r>
  <r>
    <x v="4"/>
    <x v="0"/>
    <x v="4"/>
    <x v="1"/>
    <x v="20"/>
    <x v="0"/>
    <x v="1"/>
    <n v="2"/>
    <n v="11476.28"/>
    <n v="54194.78"/>
    <x v="0"/>
  </r>
  <r>
    <x v="4"/>
    <x v="0"/>
    <x v="4"/>
    <x v="1"/>
    <x v="20"/>
    <x v="1"/>
    <x v="0"/>
    <n v="8"/>
    <n v="41629.83"/>
    <n v="129302.91"/>
    <x v="0"/>
  </r>
  <r>
    <x v="4"/>
    <x v="0"/>
    <x v="4"/>
    <x v="1"/>
    <x v="20"/>
    <x v="1"/>
    <x v="1"/>
    <n v="22"/>
    <n v="110674.88"/>
    <n v="331282.64"/>
    <x v="0"/>
  </r>
  <r>
    <x v="4"/>
    <x v="0"/>
    <x v="4"/>
    <x v="2"/>
    <x v="21"/>
    <x v="0"/>
    <x v="0"/>
    <n v="2"/>
    <n v="9511.7199999999993"/>
    <n v="43318.720000000001"/>
    <x v="0"/>
  </r>
  <r>
    <x v="4"/>
    <x v="0"/>
    <x v="4"/>
    <x v="2"/>
    <x v="22"/>
    <x v="1"/>
    <x v="0"/>
    <n v="2"/>
    <n v="9555.75"/>
    <n v="27040.63"/>
    <x v="0"/>
  </r>
  <r>
    <x v="4"/>
    <x v="0"/>
    <x v="4"/>
    <x v="2"/>
    <x v="22"/>
    <x v="1"/>
    <x v="1"/>
    <n v="14"/>
    <n v="86073.52"/>
    <n v="246257.97"/>
    <x v="0"/>
  </r>
  <r>
    <x v="4"/>
    <x v="0"/>
    <x v="4"/>
    <x v="2"/>
    <x v="29"/>
    <x v="0"/>
    <x v="1"/>
    <n v="1"/>
    <n v="5335.47"/>
    <n v="24908.27"/>
    <x v="0"/>
  </r>
  <r>
    <x v="4"/>
    <x v="0"/>
    <x v="4"/>
    <x v="2"/>
    <x v="23"/>
    <x v="1"/>
    <x v="1"/>
    <n v="1"/>
    <n v="5370.25"/>
    <n v="15791.84"/>
    <x v="0"/>
  </r>
  <r>
    <x v="4"/>
    <x v="0"/>
    <x v="4"/>
    <x v="2"/>
    <x v="24"/>
    <x v="1"/>
    <x v="1"/>
    <n v="12"/>
    <n v="67875.179999999993"/>
    <n v="194861.43"/>
    <x v="0"/>
  </r>
  <r>
    <x v="4"/>
    <x v="0"/>
    <x v="4"/>
    <x v="3"/>
    <x v="25"/>
    <x v="0"/>
    <x v="1"/>
    <n v="1"/>
    <n v="4737.7700000000004"/>
    <n v="21659.360000000001"/>
    <x v="0"/>
  </r>
  <r>
    <x v="4"/>
    <x v="0"/>
    <x v="4"/>
    <x v="3"/>
    <x v="25"/>
    <x v="1"/>
    <x v="0"/>
    <n v="5"/>
    <n v="25983.01"/>
    <n v="80859.81"/>
    <x v="0"/>
  </r>
  <r>
    <x v="4"/>
    <x v="0"/>
    <x v="4"/>
    <x v="3"/>
    <x v="25"/>
    <x v="1"/>
    <x v="1"/>
    <n v="7"/>
    <n v="33994.46"/>
    <n v="106417.25"/>
    <x v="0"/>
  </r>
  <r>
    <x v="4"/>
    <x v="0"/>
    <x v="4"/>
    <x v="3"/>
    <x v="26"/>
    <x v="0"/>
    <x v="1"/>
    <n v="2"/>
    <n v="12413.06"/>
    <n v="57443.69"/>
    <x v="0"/>
  </r>
  <r>
    <x v="4"/>
    <x v="0"/>
    <x v="4"/>
    <x v="3"/>
    <x v="26"/>
    <x v="1"/>
    <x v="0"/>
    <n v="20"/>
    <n v="106674.92"/>
    <n v="336421.58"/>
    <x v="0"/>
  </r>
  <r>
    <x v="4"/>
    <x v="0"/>
    <x v="4"/>
    <x v="3"/>
    <x v="26"/>
    <x v="1"/>
    <x v="1"/>
    <n v="28"/>
    <n v="139711.23000000001"/>
    <n v="430729.24"/>
    <x v="0"/>
  </r>
  <r>
    <x v="4"/>
    <x v="0"/>
    <x v="4"/>
    <x v="3"/>
    <x v="27"/>
    <x v="0"/>
    <x v="1"/>
    <n v="6"/>
    <n v="29886.28"/>
    <n v="134288.04"/>
    <x v="0"/>
  </r>
  <r>
    <x v="4"/>
    <x v="0"/>
    <x v="4"/>
    <x v="3"/>
    <x v="27"/>
    <x v="1"/>
    <x v="0"/>
    <n v="14"/>
    <n v="80859.3"/>
    <n v="250900.93"/>
    <x v="0"/>
  </r>
  <r>
    <x v="4"/>
    <x v="0"/>
    <x v="4"/>
    <x v="3"/>
    <x v="27"/>
    <x v="1"/>
    <x v="1"/>
    <n v="28"/>
    <n v="149595.32"/>
    <n v="464943.34"/>
    <x v="0"/>
  </r>
  <r>
    <x v="4"/>
    <x v="0"/>
    <x v="5"/>
    <x v="0"/>
    <x v="0"/>
    <x v="0"/>
    <x v="1"/>
    <n v="1"/>
    <n v="6410.79"/>
    <n v="26367.040000000001"/>
    <x v="0"/>
  </r>
  <r>
    <x v="4"/>
    <x v="0"/>
    <x v="5"/>
    <x v="0"/>
    <x v="0"/>
    <x v="1"/>
    <x v="0"/>
    <n v="4"/>
    <n v="19335.490000000002"/>
    <n v="51193.25"/>
    <x v="0"/>
  </r>
  <r>
    <x v="4"/>
    <x v="0"/>
    <x v="5"/>
    <x v="0"/>
    <x v="0"/>
    <x v="1"/>
    <x v="1"/>
    <n v="2"/>
    <n v="9282.94"/>
    <n v="24788.31"/>
    <x v="0"/>
  </r>
  <r>
    <x v="4"/>
    <x v="0"/>
    <x v="5"/>
    <x v="0"/>
    <x v="1"/>
    <x v="0"/>
    <x v="0"/>
    <n v="3"/>
    <n v="19071.62"/>
    <n v="79101.119999999995"/>
    <x v="0"/>
  </r>
  <r>
    <x v="4"/>
    <x v="0"/>
    <x v="5"/>
    <x v="0"/>
    <x v="1"/>
    <x v="0"/>
    <x v="1"/>
    <n v="1"/>
    <n v="6345.48"/>
    <n v="26367.040000000001"/>
    <x v="0"/>
  </r>
  <r>
    <x v="4"/>
    <x v="0"/>
    <x v="5"/>
    <x v="0"/>
    <x v="1"/>
    <x v="1"/>
    <x v="0"/>
    <n v="8"/>
    <n v="44933.87"/>
    <n v="118824.18"/>
    <x v="0"/>
  </r>
  <r>
    <x v="4"/>
    <x v="0"/>
    <x v="5"/>
    <x v="0"/>
    <x v="1"/>
    <x v="1"/>
    <x v="1"/>
    <n v="10"/>
    <n v="62086.2"/>
    <n v="160003.43"/>
    <x v="0"/>
  </r>
  <r>
    <x v="4"/>
    <x v="0"/>
    <x v="5"/>
    <x v="0"/>
    <x v="2"/>
    <x v="0"/>
    <x v="1"/>
    <n v="3"/>
    <n v="18984.43"/>
    <n v="79101.119999999995"/>
    <x v="0"/>
  </r>
  <r>
    <x v="4"/>
    <x v="0"/>
    <x v="5"/>
    <x v="0"/>
    <x v="2"/>
    <x v="1"/>
    <x v="1"/>
    <n v="11"/>
    <n v="67565.42"/>
    <n v="168223.41"/>
    <x v="0"/>
  </r>
  <r>
    <x v="4"/>
    <x v="0"/>
    <x v="5"/>
    <x v="0"/>
    <x v="3"/>
    <x v="0"/>
    <x v="0"/>
    <n v="3"/>
    <n v="15709.08"/>
    <n v="62621.72"/>
    <x v="0"/>
  </r>
  <r>
    <x v="4"/>
    <x v="0"/>
    <x v="5"/>
    <x v="0"/>
    <x v="3"/>
    <x v="0"/>
    <x v="1"/>
    <n v="12"/>
    <n v="66199.990000000005"/>
    <n v="266966.28000000003"/>
    <x v="0"/>
  </r>
  <r>
    <x v="4"/>
    <x v="0"/>
    <x v="5"/>
    <x v="0"/>
    <x v="3"/>
    <x v="1"/>
    <x v="0"/>
    <n v="1"/>
    <n v="4248.6499999999996"/>
    <n v="11177.98"/>
    <x v="0"/>
  </r>
  <r>
    <x v="4"/>
    <x v="0"/>
    <x v="5"/>
    <x v="0"/>
    <x v="3"/>
    <x v="1"/>
    <x v="1"/>
    <n v="20"/>
    <n v="125552.73"/>
    <n v="325355.03000000003"/>
    <x v="0"/>
  </r>
  <r>
    <x v="4"/>
    <x v="0"/>
    <x v="5"/>
    <x v="0"/>
    <x v="28"/>
    <x v="1"/>
    <x v="1"/>
    <n v="5"/>
    <n v="21679.35"/>
    <n v="56582.02"/>
    <x v="0"/>
  </r>
  <r>
    <x v="4"/>
    <x v="0"/>
    <x v="5"/>
    <x v="0"/>
    <x v="4"/>
    <x v="1"/>
    <x v="0"/>
    <n v="3"/>
    <n v="18823.8"/>
    <n v="50624.72"/>
    <x v="0"/>
  </r>
  <r>
    <x v="4"/>
    <x v="0"/>
    <x v="5"/>
    <x v="0"/>
    <x v="4"/>
    <x v="1"/>
    <x v="1"/>
    <n v="2"/>
    <n v="8454.44"/>
    <n v="22148.31"/>
    <x v="0"/>
  </r>
  <r>
    <x v="4"/>
    <x v="0"/>
    <x v="5"/>
    <x v="0"/>
    <x v="5"/>
    <x v="0"/>
    <x v="1"/>
    <n v="3"/>
    <n v="15978.44"/>
    <n v="64269.66"/>
    <x v="0"/>
  </r>
  <r>
    <x v="4"/>
    <x v="0"/>
    <x v="5"/>
    <x v="0"/>
    <x v="5"/>
    <x v="1"/>
    <x v="0"/>
    <n v="3"/>
    <n v="14303.38"/>
    <n v="37466.74"/>
    <x v="0"/>
  </r>
  <r>
    <x v="4"/>
    <x v="0"/>
    <x v="5"/>
    <x v="0"/>
    <x v="5"/>
    <x v="1"/>
    <x v="1"/>
    <n v="9"/>
    <n v="51165.66"/>
    <n v="139041.4"/>
    <x v="0"/>
  </r>
  <r>
    <x v="4"/>
    <x v="0"/>
    <x v="5"/>
    <x v="0"/>
    <x v="6"/>
    <x v="0"/>
    <x v="1"/>
    <n v="4"/>
    <n v="23480.959999999999"/>
    <n v="96404.49"/>
    <x v="0"/>
  </r>
  <r>
    <x v="4"/>
    <x v="0"/>
    <x v="5"/>
    <x v="0"/>
    <x v="7"/>
    <x v="1"/>
    <x v="1"/>
    <n v="3"/>
    <n v="18432.21"/>
    <n v="52839.55"/>
    <x v="0"/>
  </r>
  <r>
    <x v="4"/>
    <x v="0"/>
    <x v="5"/>
    <x v="0"/>
    <x v="8"/>
    <x v="0"/>
    <x v="1"/>
    <n v="2"/>
    <n v="13066.84"/>
    <n v="52734.080000000002"/>
    <x v="0"/>
  </r>
  <r>
    <x v="4"/>
    <x v="0"/>
    <x v="5"/>
    <x v="0"/>
    <x v="8"/>
    <x v="1"/>
    <x v="1"/>
    <n v="2"/>
    <n v="12599.98"/>
    <n v="33591.61"/>
    <x v="0"/>
  </r>
  <r>
    <x v="4"/>
    <x v="0"/>
    <x v="5"/>
    <x v="1"/>
    <x v="9"/>
    <x v="1"/>
    <x v="1"/>
    <n v="1"/>
    <n v="6620.03"/>
    <n v="18140.52"/>
    <x v="0"/>
  </r>
  <r>
    <x v="4"/>
    <x v="0"/>
    <x v="5"/>
    <x v="1"/>
    <x v="10"/>
    <x v="0"/>
    <x v="0"/>
    <n v="4"/>
    <n v="26245.99"/>
    <n v="105468.16"/>
    <x v="0"/>
  </r>
  <r>
    <x v="4"/>
    <x v="0"/>
    <x v="5"/>
    <x v="1"/>
    <x v="10"/>
    <x v="1"/>
    <x v="0"/>
    <n v="1"/>
    <n v="4126.54"/>
    <n v="11553.34"/>
    <x v="0"/>
  </r>
  <r>
    <x v="4"/>
    <x v="0"/>
    <x v="5"/>
    <x v="1"/>
    <x v="10"/>
    <x v="1"/>
    <x v="1"/>
    <n v="24"/>
    <n v="126016.91"/>
    <n v="340648.13"/>
    <x v="0"/>
  </r>
  <r>
    <x v="4"/>
    <x v="0"/>
    <x v="5"/>
    <x v="1"/>
    <x v="11"/>
    <x v="0"/>
    <x v="1"/>
    <n v="10"/>
    <n v="52637.3"/>
    <n v="215880.14"/>
    <x v="0"/>
  </r>
  <r>
    <x v="4"/>
    <x v="0"/>
    <x v="5"/>
    <x v="1"/>
    <x v="11"/>
    <x v="1"/>
    <x v="0"/>
    <n v="6"/>
    <n v="36435.97"/>
    <n v="96940.07"/>
    <x v="0"/>
  </r>
  <r>
    <x v="4"/>
    <x v="0"/>
    <x v="5"/>
    <x v="1"/>
    <x v="11"/>
    <x v="1"/>
    <x v="1"/>
    <n v="10"/>
    <n v="43514.35"/>
    <n v="115685.38"/>
    <x v="0"/>
  </r>
  <r>
    <x v="4"/>
    <x v="0"/>
    <x v="5"/>
    <x v="1"/>
    <x v="13"/>
    <x v="0"/>
    <x v="1"/>
    <n v="2"/>
    <n v="10954.32"/>
    <n v="45318.35"/>
    <x v="0"/>
  </r>
  <r>
    <x v="4"/>
    <x v="0"/>
    <x v="5"/>
    <x v="1"/>
    <x v="13"/>
    <x v="1"/>
    <x v="1"/>
    <n v="3"/>
    <n v="18897.43"/>
    <n v="53867.86"/>
    <x v="0"/>
  </r>
  <r>
    <x v="4"/>
    <x v="0"/>
    <x v="5"/>
    <x v="1"/>
    <x v="14"/>
    <x v="1"/>
    <x v="0"/>
    <n v="12"/>
    <n v="66004.399999999994"/>
    <n v="180808.15"/>
    <x v="0"/>
  </r>
  <r>
    <x v="4"/>
    <x v="0"/>
    <x v="5"/>
    <x v="1"/>
    <x v="14"/>
    <x v="1"/>
    <x v="1"/>
    <n v="5"/>
    <n v="33270.589999999997"/>
    <n v="84994.04"/>
    <x v="0"/>
  </r>
  <r>
    <x v="4"/>
    <x v="0"/>
    <x v="5"/>
    <x v="1"/>
    <x v="15"/>
    <x v="1"/>
    <x v="0"/>
    <n v="2"/>
    <n v="9317.3799999999992"/>
    <n v="24866.9"/>
    <x v="0"/>
  </r>
  <r>
    <x v="4"/>
    <x v="0"/>
    <x v="5"/>
    <x v="1"/>
    <x v="16"/>
    <x v="0"/>
    <x v="1"/>
    <n v="3"/>
    <n v="14579.38"/>
    <n v="60973.78"/>
    <x v="0"/>
  </r>
  <r>
    <x v="4"/>
    <x v="0"/>
    <x v="5"/>
    <x v="1"/>
    <x v="16"/>
    <x v="1"/>
    <x v="0"/>
    <n v="3"/>
    <n v="17682.36"/>
    <n v="46084.639999999999"/>
    <x v="0"/>
  </r>
  <r>
    <x v="4"/>
    <x v="0"/>
    <x v="5"/>
    <x v="1"/>
    <x v="16"/>
    <x v="1"/>
    <x v="1"/>
    <n v="22"/>
    <n v="113020.14"/>
    <n v="298194.73"/>
    <x v="0"/>
  </r>
  <r>
    <x v="4"/>
    <x v="0"/>
    <x v="5"/>
    <x v="1"/>
    <x v="17"/>
    <x v="0"/>
    <x v="1"/>
    <n v="1"/>
    <n v="6245.56"/>
    <n v="26367.040000000001"/>
    <x v="0"/>
  </r>
  <r>
    <x v="4"/>
    <x v="0"/>
    <x v="5"/>
    <x v="1"/>
    <x v="17"/>
    <x v="1"/>
    <x v="0"/>
    <n v="6"/>
    <n v="37672.07"/>
    <n v="100122.24000000001"/>
    <x v="0"/>
  </r>
  <r>
    <x v="4"/>
    <x v="0"/>
    <x v="5"/>
    <x v="1"/>
    <x v="17"/>
    <x v="1"/>
    <x v="1"/>
    <n v="3"/>
    <n v="19508.79"/>
    <n v="52523.14"/>
    <x v="0"/>
  </r>
  <r>
    <x v="4"/>
    <x v="0"/>
    <x v="5"/>
    <x v="1"/>
    <x v="18"/>
    <x v="0"/>
    <x v="1"/>
    <n v="9"/>
    <n v="48945.32"/>
    <n v="196928.83"/>
    <x v="0"/>
  </r>
  <r>
    <x v="4"/>
    <x v="0"/>
    <x v="5"/>
    <x v="1"/>
    <x v="18"/>
    <x v="1"/>
    <x v="0"/>
    <n v="5"/>
    <n v="26171.37"/>
    <n v="72727.72"/>
    <x v="0"/>
  </r>
  <r>
    <x v="4"/>
    <x v="0"/>
    <x v="5"/>
    <x v="1"/>
    <x v="18"/>
    <x v="1"/>
    <x v="1"/>
    <n v="20"/>
    <n v="115721.55"/>
    <n v="327235.23"/>
    <x v="0"/>
  </r>
  <r>
    <x v="4"/>
    <x v="0"/>
    <x v="5"/>
    <x v="1"/>
    <x v="19"/>
    <x v="0"/>
    <x v="1"/>
    <n v="8"/>
    <n v="48582.559999999998"/>
    <n v="196104.86"/>
    <x v="0"/>
  </r>
  <r>
    <x v="4"/>
    <x v="0"/>
    <x v="5"/>
    <x v="1"/>
    <x v="19"/>
    <x v="1"/>
    <x v="0"/>
    <n v="2"/>
    <n v="8693.2999999999993"/>
    <n v="23324.94"/>
    <x v="0"/>
  </r>
  <r>
    <x v="4"/>
    <x v="0"/>
    <x v="5"/>
    <x v="1"/>
    <x v="19"/>
    <x v="1"/>
    <x v="1"/>
    <n v="12"/>
    <n v="63295.09"/>
    <n v="174937.07"/>
    <x v="0"/>
  </r>
  <r>
    <x v="4"/>
    <x v="0"/>
    <x v="5"/>
    <x v="1"/>
    <x v="20"/>
    <x v="0"/>
    <x v="0"/>
    <n v="1"/>
    <n v="4671.99"/>
    <n v="18951.310000000001"/>
    <x v="0"/>
  </r>
  <r>
    <x v="4"/>
    <x v="0"/>
    <x v="5"/>
    <x v="1"/>
    <x v="20"/>
    <x v="0"/>
    <x v="1"/>
    <n v="9"/>
    <n v="46961.120000000003"/>
    <n v="191161.04"/>
    <x v="0"/>
  </r>
  <r>
    <x v="4"/>
    <x v="0"/>
    <x v="5"/>
    <x v="1"/>
    <x v="20"/>
    <x v="1"/>
    <x v="0"/>
    <n v="9"/>
    <n v="51441.58"/>
    <n v="137665.62"/>
    <x v="0"/>
  </r>
  <r>
    <x v="4"/>
    <x v="0"/>
    <x v="5"/>
    <x v="1"/>
    <x v="20"/>
    <x v="1"/>
    <x v="1"/>
    <n v="16"/>
    <n v="89836.74"/>
    <n v="240911.45"/>
    <x v="0"/>
  </r>
  <r>
    <x v="4"/>
    <x v="0"/>
    <x v="5"/>
    <x v="2"/>
    <x v="21"/>
    <x v="0"/>
    <x v="0"/>
    <n v="1"/>
    <n v="4339.7299999999996"/>
    <n v="17303.37"/>
    <x v="0"/>
  </r>
  <r>
    <x v="4"/>
    <x v="0"/>
    <x v="5"/>
    <x v="2"/>
    <x v="21"/>
    <x v="1"/>
    <x v="1"/>
    <n v="4"/>
    <n v="20318.310000000001"/>
    <n v="48896.160000000003"/>
    <x v="0"/>
  </r>
  <r>
    <x v="4"/>
    <x v="0"/>
    <x v="5"/>
    <x v="2"/>
    <x v="22"/>
    <x v="0"/>
    <x v="1"/>
    <n v="2"/>
    <n v="8835.85"/>
    <n v="34606.74"/>
    <x v="0"/>
  </r>
  <r>
    <x v="4"/>
    <x v="0"/>
    <x v="5"/>
    <x v="2"/>
    <x v="22"/>
    <x v="1"/>
    <x v="0"/>
    <n v="2"/>
    <n v="12417.44"/>
    <n v="32115.05"/>
    <x v="0"/>
  </r>
  <r>
    <x v="4"/>
    <x v="0"/>
    <x v="5"/>
    <x v="2"/>
    <x v="22"/>
    <x v="1"/>
    <x v="1"/>
    <n v="1"/>
    <n v="4648.3"/>
    <n v="11541.35"/>
    <x v="0"/>
  </r>
  <r>
    <x v="4"/>
    <x v="0"/>
    <x v="5"/>
    <x v="2"/>
    <x v="29"/>
    <x v="0"/>
    <x v="1"/>
    <n v="2"/>
    <n v="9427.68"/>
    <n v="37902.620000000003"/>
    <x v="0"/>
  </r>
  <r>
    <x v="4"/>
    <x v="0"/>
    <x v="5"/>
    <x v="2"/>
    <x v="29"/>
    <x v="1"/>
    <x v="1"/>
    <n v="2"/>
    <n v="13576.88"/>
    <n v="34118.949999999997"/>
    <x v="0"/>
  </r>
  <r>
    <x v="4"/>
    <x v="0"/>
    <x v="5"/>
    <x v="2"/>
    <x v="23"/>
    <x v="1"/>
    <x v="1"/>
    <n v="10"/>
    <n v="48615.83"/>
    <n v="124330.48"/>
    <x v="0"/>
  </r>
  <r>
    <x v="4"/>
    <x v="0"/>
    <x v="5"/>
    <x v="2"/>
    <x v="24"/>
    <x v="0"/>
    <x v="1"/>
    <n v="3"/>
    <n v="19952.330000000002"/>
    <n v="79101.119999999995"/>
    <x v="0"/>
  </r>
  <r>
    <x v="4"/>
    <x v="0"/>
    <x v="5"/>
    <x v="2"/>
    <x v="24"/>
    <x v="1"/>
    <x v="0"/>
    <n v="5"/>
    <n v="31447.5"/>
    <n v="81737.820000000007"/>
    <x v="0"/>
  </r>
  <r>
    <x v="4"/>
    <x v="0"/>
    <x v="5"/>
    <x v="3"/>
    <x v="25"/>
    <x v="0"/>
    <x v="1"/>
    <n v="3"/>
    <n v="16055.44"/>
    <n v="64269.66"/>
    <x v="0"/>
  </r>
  <r>
    <x v="4"/>
    <x v="0"/>
    <x v="5"/>
    <x v="3"/>
    <x v="25"/>
    <x v="1"/>
    <x v="0"/>
    <n v="8"/>
    <n v="41901.839999999997"/>
    <n v="119092.51"/>
    <x v="0"/>
  </r>
  <r>
    <x v="4"/>
    <x v="0"/>
    <x v="5"/>
    <x v="3"/>
    <x v="25"/>
    <x v="1"/>
    <x v="1"/>
    <n v="8"/>
    <n v="42036.54"/>
    <n v="119092.5"/>
    <x v="0"/>
  </r>
  <r>
    <x v="4"/>
    <x v="0"/>
    <x v="5"/>
    <x v="3"/>
    <x v="26"/>
    <x v="0"/>
    <x v="0"/>
    <n v="2"/>
    <n v="10495.36"/>
    <n v="43670.41"/>
    <x v="0"/>
  </r>
  <r>
    <x v="4"/>
    <x v="0"/>
    <x v="5"/>
    <x v="3"/>
    <x v="26"/>
    <x v="0"/>
    <x v="1"/>
    <n v="2"/>
    <n v="12705.16"/>
    <n v="52734.080000000002"/>
    <x v="0"/>
  </r>
  <r>
    <x v="4"/>
    <x v="0"/>
    <x v="5"/>
    <x v="3"/>
    <x v="26"/>
    <x v="1"/>
    <x v="0"/>
    <n v="13"/>
    <n v="71594.67"/>
    <n v="197064.07"/>
    <x v="0"/>
  </r>
  <r>
    <x v="4"/>
    <x v="0"/>
    <x v="5"/>
    <x v="3"/>
    <x v="26"/>
    <x v="1"/>
    <x v="1"/>
    <n v="18"/>
    <n v="98582.14"/>
    <n v="278456.36"/>
    <x v="0"/>
  </r>
  <r>
    <x v="4"/>
    <x v="0"/>
    <x v="5"/>
    <x v="3"/>
    <x v="27"/>
    <x v="0"/>
    <x v="0"/>
    <n v="2"/>
    <n v="9524.48"/>
    <n v="37902.620000000003"/>
    <x v="0"/>
  </r>
  <r>
    <x v="4"/>
    <x v="0"/>
    <x v="5"/>
    <x v="3"/>
    <x v="27"/>
    <x v="0"/>
    <x v="1"/>
    <n v="6"/>
    <n v="30691.71"/>
    <n v="125243.44"/>
    <x v="0"/>
  </r>
  <r>
    <x v="4"/>
    <x v="0"/>
    <x v="5"/>
    <x v="3"/>
    <x v="27"/>
    <x v="1"/>
    <x v="0"/>
    <n v="4"/>
    <n v="19654.41"/>
    <n v="52993.63"/>
    <x v="0"/>
  </r>
  <r>
    <x v="4"/>
    <x v="0"/>
    <x v="5"/>
    <x v="3"/>
    <x v="27"/>
    <x v="1"/>
    <x v="1"/>
    <n v="36"/>
    <n v="193837.94"/>
    <n v="538323.73"/>
    <x v="0"/>
  </r>
  <r>
    <x v="4"/>
    <x v="0"/>
    <x v="6"/>
    <x v="0"/>
    <x v="0"/>
    <x v="0"/>
    <x v="0"/>
    <n v="1"/>
    <n v="2057.06"/>
    <n v="7414.4"/>
    <x v="0"/>
  </r>
  <r>
    <x v="4"/>
    <x v="0"/>
    <x v="6"/>
    <x v="0"/>
    <x v="0"/>
    <x v="0"/>
    <x v="1"/>
    <n v="2"/>
    <n v="5080.66"/>
    <n v="17730.080000000002"/>
    <x v="0"/>
  </r>
  <r>
    <x v="4"/>
    <x v="0"/>
    <x v="6"/>
    <x v="0"/>
    <x v="0"/>
    <x v="1"/>
    <x v="0"/>
    <n v="8"/>
    <n v="19395.580000000002"/>
    <n v="44182.84"/>
    <x v="0"/>
  </r>
  <r>
    <x v="4"/>
    <x v="0"/>
    <x v="6"/>
    <x v="0"/>
    <x v="0"/>
    <x v="1"/>
    <x v="1"/>
    <n v="1"/>
    <n v="3010.21"/>
    <n v="6746.45"/>
    <x v="0"/>
  </r>
  <r>
    <x v="4"/>
    <x v="0"/>
    <x v="6"/>
    <x v="0"/>
    <x v="1"/>
    <x v="0"/>
    <x v="1"/>
    <n v="4"/>
    <n v="11181.25"/>
    <n v="38361.440000000002"/>
    <x v="0"/>
  </r>
  <r>
    <x v="4"/>
    <x v="0"/>
    <x v="6"/>
    <x v="0"/>
    <x v="1"/>
    <x v="1"/>
    <x v="1"/>
    <n v="17"/>
    <n v="43617.45"/>
    <n v="97836.52"/>
    <x v="0"/>
  </r>
  <r>
    <x v="4"/>
    <x v="0"/>
    <x v="6"/>
    <x v="0"/>
    <x v="2"/>
    <x v="0"/>
    <x v="1"/>
    <n v="3"/>
    <n v="7109.23"/>
    <n v="25144.48"/>
    <x v="0"/>
  </r>
  <r>
    <x v="4"/>
    <x v="0"/>
    <x v="6"/>
    <x v="0"/>
    <x v="2"/>
    <x v="1"/>
    <x v="1"/>
    <n v="6"/>
    <n v="15089.67"/>
    <n v="32649.01"/>
    <x v="0"/>
  </r>
  <r>
    <x v="4"/>
    <x v="0"/>
    <x v="6"/>
    <x v="0"/>
    <x v="3"/>
    <x v="0"/>
    <x v="0"/>
    <n v="2"/>
    <n v="6036.28"/>
    <n v="20631.36"/>
    <x v="0"/>
  </r>
  <r>
    <x v="4"/>
    <x v="0"/>
    <x v="6"/>
    <x v="0"/>
    <x v="3"/>
    <x v="0"/>
    <x v="1"/>
    <n v="4"/>
    <n v="8941.07"/>
    <n v="31591.78"/>
    <x v="0"/>
  </r>
  <r>
    <x v="4"/>
    <x v="0"/>
    <x v="6"/>
    <x v="0"/>
    <x v="3"/>
    <x v="1"/>
    <x v="0"/>
    <n v="15"/>
    <n v="34729.199999999997"/>
    <n v="77791.960000000006"/>
    <x v="0"/>
  </r>
  <r>
    <x v="4"/>
    <x v="0"/>
    <x v="6"/>
    <x v="0"/>
    <x v="3"/>
    <x v="1"/>
    <x v="1"/>
    <n v="39"/>
    <n v="104783.18"/>
    <n v="233590.85"/>
    <x v="0"/>
  </r>
  <r>
    <x v="4"/>
    <x v="0"/>
    <x v="6"/>
    <x v="0"/>
    <x v="28"/>
    <x v="1"/>
    <x v="1"/>
    <n v="3"/>
    <n v="7173.46"/>
    <n v="16444.490000000002"/>
    <x v="0"/>
  </r>
  <r>
    <x v="4"/>
    <x v="0"/>
    <x v="6"/>
    <x v="0"/>
    <x v="4"/>
    <x v="1"/>
    <x v="0"/>
    <n v="5"/>
    <n v="10421.14"/>
    <n v="23726.080000000002"/>
    <x v="0"/>
  </r>
  <r>
    <x v="4"/>
    <x v="0"/>
    <x v="6"/>
    <x v="0"/>
    <x v="4"/>
    <x v="1"/>
    <x v="1"/>
    <n v="10"/>
    <n v="29721.48"/>
    <n v="64960.04"/>
    <x v="0"/>
  </r>
  <r>
    <x v="4"/>
    <x v="0"/>
    <x v="6"/>
    <x v="0"/>
    <x v="5"/>
    <x v="0"/>
    <x v="1"/>
    <n v="1"/>
    <n v="2971.95"/>
    <n v="10315.68"/>
    <x v="0"/>
  </r>
  <r>
    <x v="4"/>
    <x v="0"/>
    <x v="6"/>
    <x v="0"/>
    <x v="5"/>
    <x v="1"/>
    <x v="0"/>
    <n v="7"/>
    <n v="20916.650000000001"/>
    <n v="47586.239999999998"/>
    <x v="0"/>
  </r>
  <r>
    <x v="4"/>
    <x v="0"/>
    <x v="6"/>
    <x v="0"/>
    <x v="5"/>
    <x v="1"/>
    <x v="1"/>
    <n v="11"/>
    <n v="30770.32"/>
    <n v="70954.48"/>
    <x v="0"/>
  </r>
  <r>
    <x v="4"/>
    <x v="0"/>
    <x v="6"/>
    <x v="0"/>
    <x v="6"/>
    <x v="0"/>
    <x v="1"/>
    <n v="1"/>
    <n v="2994.31"/>
    <n v="10315.68"/>
    <x v="0"/>
  </r>
  <r>
    <x v="4"/>
    <x v="0"/>
    <x v="6"/>
    <x v="0"/>
    <x v="6"/>
    <x v="1"/>
    <x v="1"/>
    <n v="1"/>
    <n v="3057.39"/>
    <n v="6777.4"/>
    <x v="0"/>
  </r>
  <r>
    <x v="4"/>
    <x v="0"/>
    <x v="6"/>
    <x v="0"/>
    <x v="7"/>
    <x v="1"/>
    <x v="1"/>
    <n v="5"/>
    <n v="10554.2"/>
    <n v="24764.1"/>
    <x v="0"/>
  </r>
  <r>
    <x v="4"/>
    <x v="0"/>
    <x v="6"/>
    <x v="0"/>
    <x v="8"/>
    <x v="0"/>
    <x v="1"/>
    <n v="1"/>
    <n v="3030.38"/>
    <n v="10315.68"/>
    <x v="0"/>
  </r>
  <r>
    <x v="4"/>
    <x v="0"/>
    <x v="6"/>
    <x v="0"/>
    <x v="8"/>
    <x v="1"/>
    <x v="1"/>
    <n v="6"/>
    <n v="18262.95"/>
    <n v="38540.730000000003"/>
    <x v="0"/>
  </r>
  <r>
    <x v="4"/>
    <x v="0"/>
    <x v="6"/>
    <x v="1"/>
    <x v="10"/>
    <x v="0"/>
    <x v="0"/>
    <n v="2"/>
    <n v="6028.84"/>
    <n v="20631.36"/>
    <x v="0"/>
  </r>
  <r>
    <x v="4"/>
    <x v="0"/>
    <x v="6"/>
    <x v="1"/>
    <x v="10"/>
    <x v="0"/>
    <x v="1"/>
    <n v="4"/>
    <n v="7499.05"/>
    <n v="26756.3"/>
    <x v="0"/>
  </r>
  <r>
    <x v="4"/>
    <x v="0"/>
    <x v="6"/>
    <x v="1"/>
    <x v="10"/>
    <x v="1"/>
    <x v="0"/>
    <n v="1"/>
    <n v="2051.79"/>
    <n v="5056.62"/>
    <x v="0"/>
  </r>
  <r>
    <x v="4"/>
    <x v="0"/>
    <x v="6"/>
    <x v="1"/>
    <x v="10"/>
    <x v="1"/>
    <x v="1"/>
    <n v="25"/>
    <n v="56569.35"/>
    <n v="135649.26999999999"/>
    <x v="0"/>
  </r>
  <r>
    <x v="4"/>
    <x v="0"/>
    <x v="6"/>
    <x v="1"/>
    <x v="11"/>
    <x v="0"/>
    <x v="1"/>
    <n v="11"/>
    <n v="27826.81"/>
    <n v="97031.88"/>
    <x v="0"/>
  </r>
  <r>
    <x v="4"/>
    <x v="0"/>
    <x v="6"/>
    <x v="1"/>
    <x v="11"/>
    <x v="1"/>
    <x v="0"/>
    <n v="9"/>
    <n v="20158.23"/>
    <n v="45888.67"/>
    <x v="0"/>
  </r>
  <r>
    <x v="4"/>
    <x v="0"/>
    <x v="6"/>
    <x v="1"/>
    <x v="11"/>
    <x v="1"/>
    <x v="1"/>
    <n v="22"/>
    <n v="53703.55"/>
    <n v="120410.99"/>
    <x v="0"/>
  </r>
  <r>
    <x v="4"/>
    <x v="0"/>
    <x v="6"/>
    <x v="1"/>
    <x v="13"/>
    <x v="0"/>
    <x v="1"/>
    <n v="5"/>
    <n v="13221.6"/>
    <n v="45775.839999999997"/>
    <x v="0"/>
  </r>
  <r>
    <x v="4"/>
    <x v="0"/>
    <x v="6"/>
    <x v="1"/>
    <x v="13"/>
    <x v="1"/>
    <x v="0"/>
    <n v="5"/>
    <n v="14605.35"/>
    <n v="35124.89"/>
    <x v="0"/>
  </r>
  <r>
    <x v="4"/>
    <x v="0"/>
    <x v="6"/>
    <x v="1"/>
    <x v="13"/>
    <x v="1"/>
    <x v="1"/>
    <n v="1"/>
    <n v="2956.34"/>
    <n v="7024.98"/>
    <x v="0"/>
  </r>
  <r>
    <x v="4"/>
    <x v="0"/>
    <x v="6"/>
    <x v="1"/>
    <x v="14"/>
    <x v="1"/>
    <x v="0"/>
    <n v="17"/>
    <n v="44183.94"/>
    <n v="102286.43"/>
    <x v="0"/>
  </r>
  <r>
    <x v="4"/>
    <x v="0"/>
    <x v="6"/>
    <x v="1"/>
    <x v="14"/>
    <x v="1"/>
    <x v="1"/>
    <n v="16"/>
    <n v="38086.78"/>
    <n v="88949"/>
    <x v="0"/>
  </r>
  <r>
    <x v="4"/>
    <x v="0"/>
    <x v="6"/>
    <x v="1"/>
    <x v="16"/>
    <x v="0"/>
    <x v="1"/>
    <n v="3"/>
    <n v="5737.29"/>
    <n v="20309"/>
    <x v="0"/>
  </r>
  <r>
    <x v="4"/>
    <x v="0"/>
    <x v="6"/>
    <x v="1"/>
    <x v="16"/>
    <x v="1"/>
    <x v="1"/>
    <n v="5"/>
    <n v="12741.11"/>
    <n v="27887.71"/>
    <x v="0"/>
  </r>
  <r>
    <x v="4"/>
    <x v="0"/>
    <x v="6"/>
    <x v="1"/>
    <x v="17"/>
    <x v="1"/>
    <x v="1"/>
    <n v="10"/>
    <n v="28339.279999999999"/>
    <n v="64643.21"/>
    <x v="0"/>
  </r>
  <r>
    <x v="4"/>
    <x v="0"/>
    <x v="6"/>
    <x v="1"/>
    <x v="18"/>
    <x v="0"/>
    <x v="1"/>
    <n v="5"/>
    <n v="13301.24"/>
    <n v="45775.839999999997"/>
    <x v="0"/>
  </r>
  <r>
    <x v="4"/>
    <x v="0"/>
    <x v="6"/>
    <x v="1"/>
    <x v="18"/>
    <x v="1"/>
    <x v="0"/>
    <n v="2"/>
    <n v="4138.7"/>
    <n v="10306.02"/>
    <x v="0"/>
  </r>
  <r>
    <x v="4"/>
    <x v="0"/>
    <x v="6"/>
    <x v="1"/>
    <x v="18"/>
    <x v="1"/>
    <x v="1"/>
    <n v="23"/>
    <n v="65947.899999999994"/>
    <n v="157957.53"/>
    <x v="0"/>
  </r>
  <r>
    <x v="4"/>
    <x v="0"/>
    <x v="6"/>
    <x v="1"/>
    <x v="19"/>
    <x v="0"/>
    <x v="1"/>
    <n v="2"/>
    <n v="5932.26"/>
    <n v="20631.36"/>
    <x v="0"/>
  </r>
  <r>
    <x v="4"/>
    <x v="0"/>
    <x v="6"/>
    <x v="1"/>
    <x v="19"/>
    <x v="1"/>
    <x v="0"/>
    <n v="4"/>
    <n v="10292.959999999999"/>
    <n v="23900.15"/>
    <x v="0"/>
  </r>
  <r>
    <x v="4"/>
    <x v="0"/>
    <x v="6"/>
    <x v="1"/>
    <x v="19"/>
    <x v="1"/>
    <x v="1"/>
    <n v="11"/>
    <n v="29373.86"/>
    <n v="70614.06"/>
    <x v="0"/>
  </r>
  <r>
    <x v="4"/>
    <x v="0"/>
    <x v="6"/>
    <x v="1"/>
    <x v="20"/>
    <x v="0"/>
    <x v="0"/>
    <n v="1"/>
    <n v="2940.09"/>
    <n v="10315.68"/>
    <x v="0"/>
  </r>
  <r>
    <x v="4"/>
    <x v="0"/>
    <x v="6"/>
    <x v="1"/>
    <x v="20"/>
    <x v="0"/>
    <x v="1"/>
    <n v="9"/>
    <n v="24665.47"/>
    <n v="87038.56"/>
    <x v="0"/>
  </r>
  <r>
    <x v="4"/>
    <x v="0"/>
    <x v="6"/>
    <x v="1"/>
    <x v="20"/>
    <x v="1"/>
    <x v="0"/>
    <n v="8"/>
    <n v="23513.95"/>
    <n v="52790.83"/>
    <x v="0"/>
  </r>
  <r>
    <x v="4"/>
    <x v="0"/>
    <x v="6"/>
    <x v="1"/>
    <x v="20"/>
    <x v="1"/>
    <x v="1"/>
    <n v="16"/>
    <n v="43501.33"/>
    <n v="99811"/>
    <x v="0"/>
  </r>
  <r>
    <x v="4"/>
    <x v="0"/>
    <x v="6"/>
    <x v="2"/>
    <x v="21"/>
    <x v="0"/>
    <x v="0"/>
    <n v="1"/>
    <n v="2103.13"/>
    <n v="7414.4"/>
    <x v="0"/>
  </r>
  <r>
    <x v="4"/>
    <x v="0"/>
    <x v="6"/>
    <x v="2"/>
    <x v="22"/>
    <x v="0"/>
    <x v="1"/>
    <n v="3"/>
    <n v="7965.66"/>
    <n v="28045.759999999998"/>
    <x v="0"/>
  </r>
  <r>
    <x v="4"/>
    <x v="0"/>
    <x v="6"/>
    <x v="2"/>
    <x v="22"/>
    <x v="1"/>
    <x v="0"/>
    <n v="1"/>
    <n v="1830.36"/>
    <n v="3926.41"/>
    <x v="0"/>
  </r>
  <r>
    <x v="4"/>
    <x v="0"/>
    <x v="6"/>
    <x v="2"/>
    <x v="22"/>
    <x v="1"/>
    <x v="1"/>
    <n v="10"/>
    <n v="24275.69"/>
    <n v="51992.14"/>
    <x v="0"/>
  </r>
  <r>
    <x v="4"/>
    <x v="0"/>
    <x v="6"/>
    <x v="2"/>
    <x v="29"/>
    <x v="1"/>
    <x v="1"/>
    <n v="6"/>
    <n v="17179.12"/>
    <n v="37542.620000000003"/>
    <x v="0"/>
  </r>
  <r>
    <x v="4"/>
    <x v="0"/>
    <x v="6"/>
    <x v="3"/>
    <x v="25"/>
    <x v="0"/>
    <x v="1"/>
    <n v="5"/>
    <n v="13590.65"/>
    <n v="47710.02"/>
    <x v="0"/>
  </r>
  <r>
    <x v="4"/>
    <x v="0"/>
    <x v="6"/>
    <x v="3"/>
    <x v="25"/>
    <x v="1"/>
    <x v="0"/>
    <n v="3"/>
    <n v="6301.95"/>
    <n v="14870.62"/>
    <x v="0"/>
  </r>
  <r>
    <x v="4"/>
    <x v="0"/>
    <x v="6"/>
    <x v="3"/>
    <x v="26"/>
    <x v="0"/>
    <x v="0"/>
    <n v="2"/>
    <n v="5119.93"/>
    <n v="17730.080000000002"/>
    <x v="0"/>
  </r>
  <r>
    <x v="4"/>
    <x v="0"/>
    <x v="6"/>
    <x v="3"/>
    <x v="26"/>
    <x v="1"/>
    <x v="0"/>
    <n v="2"/>
    <n v="5870.47"/>
    <n v="14235.64"/>
    <x v="0"/>
  </r>
  <r>
    <x v="4"/>
    <x v="0"/>
    <x v="6"/>
    <x v="3"/>
    <x v="26"/>
    <x v="1"/>
    <x v="1"/>
    <n v="6"/>
    <n v="16116.84"/>
    <n v="38703.15"/>
    <x v="0"/>
  </r>
  <r>
    <x v="4"/>
    <x v="0"/>
    <x v="6"/>
    <x v="3"/>
    <x v="27"/>
    <x v="0"/>
    <x v="0"/>
    <n v="1"/>
    <n v="2117.52"/>
    <n v="7414.4"/>
    <x v="0"/>
  </r>
  <r>
    <x v="4"/>
    <x v="0"/>
    <x v="6"/>
    <x v="3"/>
    <x v="27"/>
    <x v="0"/>
    <x v="1"/>
    <n v="7"/>
    <n v="16947.05"/>
    <n v="58670.44"/>
    <x v="0"/>
  </r>
  <r>
    <x v="4"/>
    <x v="0"/>
    <x v="6"/>
    <x v="3"/>
    <x v="27"/>
    <x v="1"/>
    <x v="0"/>
    <n v="13"/>
    <n v="31956.46"/>
    <n v="75089.47"/>
    <x v="0"/>
  </r>
  <r>
    <x v="4"/>
    <x v="0"/>
    <x v="6"/>
    <x v="3"/>
    <x v="27"/>
    <x v="1"/>
    <x v="1"/>
    <n v="19"/>
    <n v="46879.81"/>
    <n v="110495.03"/>
    <x v="0"/>
  </r>
  <r>
    <x v="4"/>
    <x v="0"/>
    <x v="7"/>
    <x v="0"/>
    <x v="0"/>
    <x v="0"/>
    <x v="0"/>
    <n v="5"/>
    <n v="26001.78"/>
    <n v="100208.67"/>
    <x v="0"/>
  </r>
  <r>
    <x v="4"/>
    <x v="0"/>
    <x v="7"/>
    <x v="0"/>
    <x v="0"/>
    <x v="1"/>
    <x v="0"/>
    <n v="6"/>
    <n v="29718.799999999999"/>
    <n v="74566.990000000005"/>
    <x v="0"/>
  </r>
  <r>
    <x v="4"/>
    <x v="0"/>
    <x v="7"/>
    <x v="0"/>
    <x v="0"/>
    <x v="1"/>
    <x v="1"/>
    <n v="3"/>
    <n v="11007.03"/>
    <n v="27897.29"/>
    <x v="0"/>
  </r>
  <r>
    <x v="4"/>
    <x v="0"/>
    <x v="7"/>
    <x v="0"/>
    <x v="1"/>
    <x v="0"/>
    <x v="0"/>
    <n v="6"/>
    <n v="28078.27"/>
    <n v="107656.62"/>
    <x v="0"/>
  </r>
  <r>
    <x v="4"/>
    <x v="0"/>
    <x v="7"/>
    <x v="0"/>
    <x v="1"/>
    <x v="0"/>
    <x v="1"/>
    <n v="1"/>
    <n v="5347.77"/>
    <n v="21666.74"/>
    <x v="0"/>
  </r>
  <r>
    <x v="4"/>
    <x v="0"/>
    <x v="7"/>
    <x v="0"/>
    <x v="1"/>
    <x v="1"/>
    <x v="0"/>
    <n v="11"/>
    <n v="45609.21"/>
    <n v="113160.51"/>
    <x v="0"/>
  </r>
  <r>
    <x v="4"/>
    <x v="0"/>
    <x v="7"/>
    <x v="0"/>
    <x v="1"/>
    <x v="1"/>
    <x v="1"/>
    <n v="8"/>
    <n v="41564.22"/>
    <n v="102311.02"/>
    <x v="0"/>
  </r>
  <r>
    <x v="4"/>
    <x v="0"/>
    <x v="7"/>
    <x v="0"/>
    <x v="2"/>
    <x v="0"/>
    <x v="1"/>
    <n v="2"/>
    <n v="8967.06"/>
    <n v="35885.54"/>
    <x v="0"/>
  </r>
  <r>
    <x v="4"/>
    <x v="0"/>
    <x v="7"/>
    <x v="0"/>
    <x v="2"/>
    <x v="1"/>
    <x v="0"/>
    <n v="1"/>
    <n v="3524.22"/>
    <n v="8829.8700000000008"/>
    <x v="0"/>
  </r>
  <r>
    <x v="4"/>
    <x v="0"/>
    <x v="7"/>
    <x v="0"/>
    <x v="2"/>
    <x v="1"/>
    <x v="1"/>
    <n v="6"/>
    <n v="31514.63"/>
    <n v="73161.820000000007"/>
    <x v="0"/>
  </r>
  <r>
    <x v="4"/>
    <x v="0"/>
    <x v="7"/>
    <x v="0"/>
    <x v="3"/>
    <x v="0"/>
    <x v="0"/>
    <n v="3"/>
    <n v="11830.08"/>
    <n v="45364.74"/>
    <x v="0"/>
  </r>
  <r>
    <x v="4"/>
    <x v="0"/>
    <x v="7"/>
    <x v="0"/>
    <x v="3"/>
    <x v="0"/>
    <x v="1"/>
    <n v="5"/>
    <n v="25819.759999999998"/>
    <n v="100885.75999999999"/>
    <x v="0"/>
  </r>
  <r>
    <x v="4"/>
    <x v="0"/>
    <x v="7"/>
    <x v="0"/>
    <x v="3"/>
    <x v="1"/>
    <x v="0"/>
    <n v="7"/>
    <n v="33923.660000000003"/>
    <n v="88354.26"/>
    <x v="0"/>
  </r>
  <r>
    <x v="4"/>
    <x v="0"/>
    <x v="7"/>
    <x v="0"/>
    <x v="3"/>
    <x v="1"/>
    <x v="1"/>
    <n v="35"/>
    <n v="168809.16"/>
    <n v="419888.4"/>
    <x v="0"/>
  </r>
  <r>
    <x v="4"/>
    <x v="0"/>
    <x v="7"/>
    <x v="0"/>
    <x v="4"/>
    <x v="0"/>
    <x v="1"/>
    <n v="6"/>
    <n v="25994.61"/>
    <n v="101562.85"/>
    <x v="0"/>
  </r>
  <r>
    <x v="4"/>
    <x v="0"/>
    <x v="7"/>
    <x v="0"/>
    <x v="4"/>
    <x v="1"/>
    <x v="0"/>
    <n v="3"/>
    <n v="15576.34"/>
    <n v="37700.129999999997"/>
    <x v="0"/>
  </r>
  <r>
    <x v="4"/>
    <x v="0"/>
    <x v="7"/>
    <x v="0"/>
    <x v="4"/>
    <x v="1"/>
    <x v="1"/>
    <n v="5"/>
    <n v="19770.03"/>
    <n v="49400.160000000003"/>
    <x v="0"/>
  </r>
  <r>
    <x v="4"/>
    <x v="0"/>
    <x v="7"/>
    <x v="0"/>
    <x v="5"/>
    <x v="0"/>
    <x v="1"/>
    <n v="1"/>
    <n v="3709.76"/>
    <n v="14218.8"/>
    <x v="0"/>
  </r>
  <r>
    <x v="4"/>
    <x v="0"/>
    <x v="7"/>
    <x v="0"/>
    <x v="5"/>
    <x v="1"/>
    <x v="0"/>
    <n v="2"/>
    <n v="11432.01"/>
    <n v="28556.76"/>
    <x v="0"/>
  </r>
  <r>
    <x v="4"/>
    <x v="0"/>
    <x v="7"/>
    <x v="0"/>
    <x v="5"/>
    <x v="1"/>
    <x v="1"/>
    <n v="15"/>
    <n v="64781.63"/>
    <n v="164201.4"/>
    <x v="0"/>
  </r>
  <r>
    <x v="4"/>
    <x v="0"/>
    <x v="7"/>
    <x v="0"/>
    <x v="6"/>
    <x v="0"/>
    <x v="1"/>
    <n v="2"/>
    <n v="8712.18"/>
    <n v="35208.449999999997"/>
    <x v="0"/>
  </r>
  <r>
    <x v="4"/>
    <x v="0"/>
    <x v="7"/>
    <x v="0"/>
    <x v="7"/>
    <x v="1"/>
    <x v="1"/>
    <n v="5"/>
    <n v="24922.98"/>
    <n v="62048.37"/>
    <x v="0"/>
  </r>
  <r>
    <x v="4"/>
    <x v="0"/>
    <x v="7"/>
    <x v="0"/>
    <x v="8"/>
    <x v="0"/>
    <x v="1"/>
    <n v="3"/>
    <n v="16904.79"/>
    <n v="65000.22"/>
    <x v="0"/>
  </r>
  <r>
    <x v="4"/>
    <x v="0"/>
    <x v="7"/>
    <x v="0"/>
    <x v="8"/>
    <x v="1"/>
    <x v="1"/>
    <n v="4"/>
    <n v="16869.23"/>
    <n v="40516.639999999999"/>
    <x v="0"/>
  </r>
  <r>
    <x v="4"/>
    <x v="0"/>
    <x v="7"/>
    <x v="1"/>
    <x v="9"/>
    <x v="1"/>
    <x v="1"/>
    <n v="3"/>
    <n v="12837.88"/>
    <n v="34471.79"/>
    <x v="0"/>
  </r>
  <r>
    <x v="4"/>
    <x v="0"/>
    <x v="7"/>
    <x v="1"/>
    <x v="10"/>
    <x v="0"/>
    <x v="0"/>
    <n v="1"/>
    <n v="5651.33"/>
    <n v="21666.74"/>
    <x v="0"/>
  </r>
  <r>
    <x v="4"/>
    <x v="0"/>
    <x v="7"/>
    <x v="1"/>
    <x v="10"/>
    <x v="0"/>
    <x v="1"/>
    <n v="4"/>
    <n v="18166.080000000002"/>
    <n v="71771.08"/>
    <x v="0"/>
  </r>
  <r>
    <x v="4"/>
    <x v="0"/>
    <x v="7"/>
    <x v="1"/>
    <x v="10"/>
    <x v="1"/>
    <x v="0"/>
    <n v="1"/>
    <n v="3693.14"/>
    <n v="9697.2199999999993"/>
    <x v="0"/>
  </r>
  <r>
    <x v="4"/>
    <x v="0"/>
    <x v="7"/>
    <x v="1"/>
    <x v="10"/>
    <x v="1"/>
    <x v="1"/>
    <n v="42"/>
    <n v="182648.38"/>
    <n v="487169.86"/>
    <x v="0"/>
  </r>
  <r>
    <x v="4"/>
    <x v="0"/>
    <x v="7"/>
    <x v="1"/>
    <x v="11"/>
    <x v="0"/>
    <x v="1"/>
    <n v="5"/>
    <n v="21979.439999999999"/>
    <n v="84635.7"/>
    <x v="0"/>
  </r>
  <r>
    <x v="4"/>
    <x v="0"/>
    <x v="7"/>
    <x v="1"/>
    <x v="11"/>
    <x v="1"/>
    <x v="0"/>
    <n v="15"/>
    <n v="78676.5"/>
    <n v="196287.11"/>
    <x v="0"/>
  </r>
  <r>
    <x v="4"/>
    <x v="0"/>
    <x v="7"/>
    <x v="1"/>
    <x v="11"/>
    <x v="1"/>
    <x v="1"/>
    <n v="29"/>
    <n v="125367.16"/>
    <n v="315555.76"/>
    <x v="0"/>
  </r>
  <r>
    <x v="4"/>
    <x v="0"/>
    <x v="7"/>
    <x v="1"/>
    <x v="12"/>
    <x v="1"/>
    <x v="0"/>
    <n v="3"/>
    <n v="16826.240000000002"/>
    <n v="44460.15"/>
    <x v="0"/>
  </r>
  <r>
    <x v="4"/>
    <x v="0"/>
    <x v="7"/>
    <x v="1"/>
    <x v="13"/>
    <x v="0"/>
    <x v="1"/>
    <n v="3"/>
    <n v="14649.18"/>
    <n v="56875.19"/>
    <x v="0"/>
  </r>
  <r>
    <x v="4"/>
    <x v="0"/>
    <x v="7"/>
    <x v="1"/>
    <x v="13"/>
    <x v="1"/>
    <x v="1"/>
    <n v="5"/>
    <n v="22019.63"/>
    <n v="58130.3"/>
    <x v="0"/>
  </r>
  <r>
    <x v="4"/>
    <x v="0"/>
    <x v="7"/>
    <x v="1"/>
    <x v="14"/>
    <x v="0"/>
    <x v="1"/>
    <n v="2"/>
    <n v="9776.6200000000008"/>
    <n v="37239.71"/>
    <x v="0"/>
  </r>
  <r>
    <x v="4"/>
    <x v="0"/>
    <x v="7"/>
    <x v="1"/>
    <x v="14"/>
    <x v="1"/>
    <x v="0"/>
    <n v="24"/>
    <n v="96867.15"/>
    <n v="249665.84"/>
    <x v="0"/>
  </r>
  <r>
    <x v="4"/>
    <x v="0"/>
    <x v="7"/>
    <x v="1"/>
    <x v="14"/>
    <x v="1"/>
    <x v="1"/>
    <n v="8"/>
    <n v="45042.97"/>
    <n v="115787.06"/>
    <x v="0"/>
  </r>
  <r>
    <x v="4"/>
    <x v="0"/>
    <x v="7"/>
    <x v="1"/>
    <x v="15"/>
    <x v="1"/>
    <x v="0"/>
    <n v="3"/>
    <n v="16944.310000000001"/>
    <n v="44915.15"/>
    <x v="0"/>
  </r>
  <r>
    <x v="4"/>
    <x v="0"/>
    <x v="7"/>
    <x v="1"/>
    <x v="16"/>
    <x v="1"/>
    <x v="1"/>
    <n v="7"/>
    <n v="37261.019999999997"/>
    <n v="91777.600000000006"/>
    <x v="0"/>
  </r>
  <r>
    <x v="4"/>
    <x v="0"/>
    <x v="7"/>
    <x v="1"/>
    <x v="17"/>
    <x v="1"/>
    <x v="0"/>
    <n v="5"/>
    <n v="27358.95"/>
    <n v="71933.58"/>
    <x v="0"/>
  </r>
  <r>
    <x v="4"/>
    <x v="0"/>
    <x v="7"/>
    <x v="1"/>
    <x v="17"/>
    <x v="1"/>
    <x v="1"/>
    <n v="15"/>
    <n v="80439.23"/>
    <n v="202500.35"/>
    <x v="0"/>
  </r>
  <r>
    <x v="4"/>
    <x v="0"/>
    <x v="7"/>
    <x v="1"/>
    <x v="18"/>
    <x v="0"/>
    <x v="1"/>
    <n v="6"/>
    <n v="30137.72"/>
    <n v="116458.73"/>
    <x v="0"/>
  </r>
  <r>
    <x v="4"/>
    <x v="0"/>
    <x v="7"/>
    <x v="1"/>
    <x v="18"/>
    <x v="1"/>
    <x v="0"/>
    <n v="8"/>
    <n v="34967.19"/>
    <n v="94585.48"/>
    <x v="0"/>
  </r>
  <r>
    <x v="4"/>
    <x v="0"/>
    <x v="7"/>
    <x v="1"/>
    <x v="18"/>
    <x v="1"/>
    <x v="1"/>
    <n v="20"/>
    <n v="95800.94"/>
    <n v="261753.29"/>
    <x v="0"/>
  </r>
  <r>
    <x v="4"/>
    <x v="0"/>
    <x v="7"/>
    <x v="1"/>
    <x v="19"/>
    <x v="0"/>
    <x v="1"/>
    <n v="1"/>
    <n v="5403.89"/>
    <n v="21666.74"/>
    <x v="0"/>
  </r>
  <r>
    <x v="4"/>
    <x v="0"/>
    <x v="7"/>
    <x v="1"/>
    <x v="19"/>
    <x v="1"/>
    <x v="0"/>
    <n v="2"/>
    <n v="9082.4699999999993"/>
    <n v="24186.85"/>
    <x v="0"/>
  </r>
  <r>
    <x v="4"/>
    <x v="0"/>
    <x v="7"/>
    <x v="1"/>
    <x v="19"/>
    <x v="1"/>
    <x v="1"/>
    <n v="8"/>
    <n v="40465.800000000003"/>
    <n v="103592.75"/>
    <x v="0"/>
  </r>
  <r>
    <x v="4"/>
    <x v="0"/>
    <x v="7"/>
    <x v="1"/>
    <x v="20"/>
    <x v="0"/>
    <x v="0"/>
    <n v="1"/>
    <n v="5452.18"/>
    <n v="21666.74"/>
    <x v="0"/>
  </r>
  <r>
    <x v="4"/>
    <x v="0"/>
    <x v="7"/>
    <x v="1"/>
    <x v="20"/>
    <x v="0"/>
    <x v="1"/>
    <n v="10"/>
    <n v="48249.08"/>
    <n v="185521.46"/>
    <x v="0"/>
  </r>
  <r>
    <x v="4"/>
    <x v="0"/>
    <x v="7"/>
    <x v="1"/>
    <x v="20"/>
    <x v="1"/>
    <x v="0"/>
    <n v="10"/>
    <n v="45676.19"/>
    <n v="118690.38"/>
    <x v="0"/>
  </r>
  <r>
    <x v="4"/>
    <x v="0"/>
    <x v="7"/>
    <x v="1"/>
    <x v="20"/>
    <x v="1"/>
    <x v="1"/>
    <n v="18"/>
    <n v="84758.2"/>
    <n v="215924.66"/>
    <x v="0"/>
  </r>
  <r>
    <x v="4"/>
    <x v="0"/>
    <x v="7"/>
    <x v="2"/>
    <x v="22"/>
    <x v="0"/>
    <x v="1"/>
    <n v="1"/>
    <n v="4026.32"/>
    <n v="15572.97"/>
    <x v="0"/>
  </r>
  <r>
    <x v="4"/>
    <x v="0"/>
    <x v="7"/>
    <x v="2"/>
    <x v="22"/>
    <x v="1"/>
    <x v="1"/>
    <n v="5"/>
    <n v="18856.349999999999"/>
    <n v="43296.25"/>
    <x v="0"/>
  </r>
  <r>
    <x v="4"/>
    <x v="0"/>
    <x v="7"/>
    <x v="2"/>
    <x v="29"/>
    <x v="0"/>
    <x v="1"/>
    <n v="1"/>
    <n v="5743.4"/>
    <n v="21666.74"/>
    <x v="0"/>
  </r>
  <r>
    <x v="4"/>
    <x v="0"/>
    <x v="7"/>
    <x v="2"/>
    <x v="29"/>
    <x v="1"/>
    <x v="1"/>
    <n v="6"/>
    <n v="21964.799999999999"/>
    <n v="55197.38"/>
    <x v="0"/>
  </r>
  <r>
    <x v="4"/>
    <x v="0"/>
    <x v="7"/>
    <x v="2"/>
    <x v="23"/>
    <x v="1"/>
    <x v="1"/>
    <n v="5"/>
    <n v="18790.25"/>
    <n v="45073.599999999999"/>
    <x v="0"/>
  </r>
  <r>
    <x v="4"/>
    <x v="0"/>
    <x v="7"/>
    <x v="2"/>
    <x v="24"/>
    <x v="0"/>
    <x v="1"/>
    <n v="1"/>
    <n v="3698.14"/>
    <n v="14218.8"/>
    <x v="0"/>
  </r>
  <r>
    <x v="4"/>
    <x v="0"/>
    <x v="7"/>
    <x v="2"/>
    <x v="24"/>
    <x v="1"/>
    <x v="0"/>
    <n v="1"/>
    <n v="5503.17"/>
    <n v="13433.38"/>
    <x v="0"/>
  </r>
  <r>
    <x v="4"/>
    <x v="0"/>
    <x v="7"/>
    <x v="2"/>
    <x v="24"/>
    <x v="1"/>
    <x v="1"/>
    <n v="5"/>
    <n v="18193.3"/>
    <n v="44078.28"/>
    <x v="0"/>
  </r>
  <r>
    <x v="4"/>
    <x v="0"/>
    <x v="7"/>
    <x v="3"/>
    <x v="25"/>
    <x v="1"/>
    <x v="0"/>
    <n v="1"/>
    <n v="3694.97"/>
    <n v="9739.8799999999992"/>
    <x v="0"/>
  </r>
  <r>
    <x v="4"/>
    <x v="0"/>
    <x v="7"/>
    <x v="3"/>
    <x v="25"/>
    <x v="1"/>
    <x v="1"/>
    <n v="7"/>
    <n v="39243.1"/>
    <n v="103892.02"/>
    <x v="0"/>
  </r>
  <r>
    <x v="4"/>
    <x v="0"/>
    <x v="7"/>
    <x v="3"/>
    <x v="26"/>
    <x v="1"/>
    <x v="0"/>
    <n v="2"/>
    <n v="7332.38"/>
    <n v="19621.939999999999"/>
    <x v="0"/>
  </r>
  <r>
    <x v="4"/>
    <x v="0"/>
    <x v="7"/>
    <x v="3"/>
    <x v="26"/>
    <x v="1"/>
    <x v="1"/>
    <n v="15"/>
    <n v="71919.259999999995"/>
    <n v="192949.09"/>
    <x v="0"/>
  </r>
  <r>
    <x v="4"/>
    <x v="0"/>
    <x v="7"/>
    <x v="3"/>
    <x v="27"/>
    <x v="0"/>
    <x v="0"/>
    <n v="1"/>
    <n v="3691.41"/>
    <n v="14218.8"/>
    <x v="0"/>
  </r>
  <r>
    <x v="4"/>
    <x v="0"/>
    <x v="7"/>
    <x v="3"/>
    <x v="27"/>
    <x v="0"/>
    <x v="1"/>
    <n v="7"/>
    <n v="29675.07"/>
    <n v="115104.56"/>
    <x v="0"/>
  </r>
  <r>
    <x v="4"/>
    <x v="0"/>
    <x v="7"/>
    <x v="3"/>
    <x v="27"/>
    <x v="1"/>
    <x v="0"/>
    <n v="9"/>
    <n v="42402.87"/>
    <n v="111846.43"/>
    <x v="0"/>
  </r>
  <r>
    <x v="4"/>
    <x v="0"/>
    <x v="7"/>
    <x v="3"/>
    <x v="27"/>
    <x v="1"/>
    <x v="1"/>
    <n v="20"/>
    <n v="92783.55"/>
    <n v="244778.67"/>
    <x v="0"/>
  </r>
  <r>
    <x v="4"/>
    <x v="0"/>
    <x v="8"/>
    <x v="0"/>
    <x v="0"/>
    <x v="0"/>
    <x v="0"/>
    <n v="2"/>
    <n v="6486.38"/>
    <n v="23543.87"/>
    <x v="0"/>
  </r>
  <r>
    <x v="4"/>
    <x v="0"/>
    <x v="8"/>
    <x v="0"/>
    <x v="0"/>
    <x v="1"/>
    <x v="0"/>
    <n v="10"/>
    <n v="33055.870000000003"/>
    <n v="77616.990000000005"/>
    <x v="0"/>
  </r>
  <r>
    <x v="4"/>
    <x v="0"/>
    <x v="8"/>
    <x v="0"/>
    <x v="0"/>
    <x v="1"/>
    <x v="1"/>
    <n v="7"/>
    <n v="25090.01"/>
    <n v="57209.24"/>
    <x v="0"/>
  </r>
  <r>
    <x v="4"/>
    <x v="0"/>
    <x v="8"/>
    <x v="0"/>
    <x v="1"/>
    <x v="0"/>
    <x v="0"/>
    <n v="8"/>
    <n v="27276.47"/>
    <n v="98028.11"/>
    <x v="0"/>
  </r>
  <r>
    <x v="4"/>
    <x v="0"/>
    <x v="8"/>
    <x v="0"/>
    <x v="1"/>
    <x v="0"/>
    <x v="1"/>
    <n v="5"/>
    <n v="16923.09"/>
    <n v="60785.99"/>
    <x v="0"/>
  </r>
  <r>
    <x v="4"/>
    <x v="0"/>
    <x v="8"/>
    <x v="0"/>
    <x v="1"/>
    <x v="1"/>
    <x v="0"/>
    <n v="14"/>
    <n v="43210.86"/>
    <n v="98265.24"/>
    <x v="0"/>
  </r>
  <r>
    <x v="4"/>
    <x v="0"/>
    <x v="8"/>
    <x v="0"/>
    <x v="1"/>
    <x v="1"/>
    <x v="1"/>
    <n v="23"/>
    <n v="60522.77"/>
    <n v="138450.41"/>
    <x v="0"/>
  </r>
  <r>
    <x v="4"/>
    <x v="0"/>
    <x v="8"/>
    <x v="0"/>
    <x v="2"/>
    <x v="0"/>
    <x v="1"/>
    <n v="2"/>
    <n v="7641.19"/>
    <n v="27396.5"/>
    <x v="0"/>
  </r>
  <r>
    <x v="4"/>
    <x v="0"/>
    <x v="8"/>
    <x v="0"/>
    <x v="2"/>
    <x v="1"/>
    <x v="0"/>
    <n v="10"/>
    <n v="36238.5"/>
    <n v="78686.179999999993"/>
    <x v="0"/>
  </r>
  <r>
    <x v="4"/>
    <x v="0"/>
    <x v="8"/>
    <x v="0"/>
    <x v="2"/>
    <x v="1"/>
    <x v="1"/>
    <n v="18"/>
    <n v="59739.39"/>
    <n v="130789.21"/>
    <x v="0"/>
  </r>
  <r>
    <x v="4"/>
    <x v="0"/>
    <x v="8"/>
    <x v="0"/>
    <x v="3"/>
    <x v="0"/>
    <x v="0"/>
    <n v="1"/>
    <n v="3868.65"/>
    <n v="13698.25"/>
    <x v="0"/>
  </r>
  <r>
    <x v="4"/>
    <x v="0"/>
    <x v="8"/>
    <x v="0"/>
    <x v="3"/>
    <x v="0"/>
    <x v="1"/>
    <n v="8"/>
    <n v="27227.119999999999"/>
    <n v="95887.76"/>
    <x v="0"/>
  </r>
  <r>
    <x v="4"/>
    <x v="0"/>
    <x v="8"/>
    <x v="0"/>
    <x v="3"/>
    <x v="1"/>
    <x v="0"/>
    <n v="12"/>
    <n v="42774.5"/>
    <n v="95661.86"/>
    <x v="0"/>
  </r>
  <r>
    <x v="4"/>
    <x v="0"/>
    <x v="8"/>
    <x v="0"/>
    <x v="3"/>
    <x v="1"/>
    <x v="1"/>
    <n v="42"/>
    <n v="137313.99"/>
    <n v="308426.84999999998"/>
    <x v="0"/>
  </r>
  <r>
    <x v="4"/>
    <x v="0"/>
    <x v="8"/>
    <x v="0"/>
    <x v="28"/>
    <x v="1"/>
    <x v="1"/>
    <n v="3"/>
    <n v="11399.1"/>
    <n v="26875.97"/>
    <x v="0"/>
  </r>
  <r>
    <x v="4"/>
    <x v="0"/>
    <x v="8"/>
    <x v="0"/>
    <x v="4"/>
    <x v="1"/>
    <x v="1"/>
    <n v="7"/>
    <n v="18798.810000000001"/>
    <n v="44108.37"/>
    <x v="0"/>
  </r>
  <r>
    <x v="4"/>
    <x v="0"/>
    <x v="8"/>
    <x v="0"/>
    <x v="5"/>
    <x v="0"/>
    <x v="1"/>
    <n v="1"/>
    <n v="3657.43"/>
    <n v="13698.25"/>
    <x v="0"/>
  </r>
  <r>
    <x v="4"/>
    <x v="0"/>
    <x v="8"/>
    <x v="0"/>
    <x v="5"/>
    <x v="1"/>
    <x v="1"/>
    <n v="34"/>
    <n v="109630.6"/>
    <n v="256145.33"/>
    <x v="0"/>
  </r>
  <r>
    <x v="4"/>
    <x v="0"/>
    <x v="8"/>
    <x v="0"/>
    <x v="6"/>
    <x v="0"/>
    <x v="1"/>
    <n v="1"/>
    <n v="3890.54"/>
    <n v="13698.25"/>
    <x v="0"/>
  </r>
  <r>
    <x v="4"/>
    <x v="0"/>
    <x v="8"/>
    <x v="0"/>
    <x v="6"/>
    <x v="1"/>
    <x v="1"/>
    <n v="7"/>
    <n v="27108.07"/>
    <n v="62998.25"/>
    <x v="0"/>
  </r>
  <r>
    <x v="4"/>
    <x v="0"/>
    <x v="8"/>
    <x v="0"/>
    <x v="7"/>
    <x v="1"/>
    <x v="1"/>
    <n v="1"/>
    <n v="4056.85"/>
    <n v="9150.43"/>
    <x v="0"/>
  </r>
  <r>
    <x v="4"/>
    <x v="0"/>
    <x v="8"/>
    <x v="0"/>
    <x v="8"/>
    <x v="0"/>
    <x v="1"/>
    <n v="3"/>
    <n v="11548.37"/>
    <n v="41094.75"/>
    <x v="0"/>
  </r>
  <r>
    <x v="4"/>
    <x v="0"/>
    <x v="8"/>
    <x v="0"/>
    <x v="8"/>
    <x v="1"/>
    <x v="1"/>
    <n v="10"/>
    <n v="27237.45"/>
    <n v="62716.6"/>
    <x v="0"/>
  </r>
  <r>
    <x v="4"/>
    <x v="0"/>
    <x v="8"/>
    <x v="1"/>
    <x v="9"/>
    <x v="1"/>
    <x v="1"/>
    <n v="13"/>
    <n v="36955.599999999999"/>
    <n v="90415.32"/>
    <x v="0"/>
  </r>
  <r>
    <x v="4"/>
    <x v="0"/>
    <x v="8"/>
    <x v="1"/>
    <x v="31"/>
    <x v="1"/>
    <x v="0"/>
    <n v="2"/>
    <n v="6627.11"/>
    <n v="16362.99"/>
    <x v="0"/>
  </r>
  <r>
    <x v="4"/>
    <x v="0"/>
    <x v="8"/>
    <x v="1"/>
    <x v="10"/>
    <x v="0"/>
    <x v="0"/>
    <n v="1"/>
    <n v="3855.09"/>
    <n v="13698.25"/>
    <x v="0"/>
  </r>
  <r>
    <x v="4"/>
    <x v="0"/>
    <x v="8"/>
    <x v="1"/>
    <x v="10"/>
    <x v="0"/>
    <x v="1"/>
    <n v="7"/>
    <n v="22135.81"/>
    <n v="78764.95"/>
    <x v="0"/>
  </r>
  <r>
    <x v="4"/>
    <x v="0"/>
    <x v="8"/>
    <x v="1"/>
    <x v="10"/>
    <x v="1"/>
    <x v="0"/>
    <n v="11"/>
    <n v="36019.050000000003"/>
    <n v="85247.65"/>
    <x v="0"/>
  </r>
  <r>
    <x v="4"/>
    <x v="0"/>
    <x v="8"/>
    <x v="1"/>
    <x v="10"/>
    <x v="1"/>
    <x v="1"/>
    <n v="26"/>
    <n v="84976.65"/>
    <n v="204010.91"/>
    <x v="0"/>
  </r>
  <r>
    <x v="4"/>
    <x v="0"/>
    <x v="8"/>
    <x v="1"/>
    <x v="11"/>
    <x v="0"/>
    <x v="1"/>
    <n v="16"/>
    <n v="52261.31"/>
    <n v="184926.4"/>
    <x v="0"/>
  </r>
  <r>
    <x v="4"/>
    <x v="0"/>
    <x v="8"/>
    <x v="1"/>
    <x v="11"/>
    <x v="1"/>
    <x v="0"/>
    <n v="14"/>
    <n v="51153.97"/>
    <n v="115844.97"/>
    <x v="0"/>
  </r>
  <r>
    <x v="4"/>
    <x v="0"/>
    <x v="8"/>
    <x v="1"/>
    <x v="11"/>
    <x v="1"/>
    <x v="1"/>
    <n v="33"/>
    <n v="119037.39"/>
    <n v="269113.81"/>
    <x v="0"/>
  </r>
  <r>
    <x v="4"/>
    <x v="0"/>
    <x v="8"/>
    <x v="1"/>
    <x v="12"/>
    <x v="1"/>
    <x v="0"/>
    <n v="8"/>
    <n v="31121.49"/>
    <n v="74956.820000000007"/>
    <x v="0"/>
  </r>
  <r>
    <x v="4"/>
    <x v="0"/>
    <x v="8"/>
    <x v="1"/>
    <x v="13"/>
    <x v="0"/>
    <x v="1"/>
    <n v="4"/>
    <n v="10745.75"/>
    <n v="38098.269999999997"/>
    <x v="0"/>
  </r>
  <r>
    <x v="4"/>
    <x v="0"/>
    <x v="8"/>
    <x v="1"/>
    <x v="13"/>
    <x v="1"/>
    <x v="1"/>
    <n v="13"/>
    <n v="49430.82"/>
    <n v="116298.16"/>
    <x v="0"/>
  </r>
  <r>
    <x v="4"/>
    <x v="0"/>
    <x v="8"/>
    <x v="1"/>
    <x v="14"/>
    <x v="1"/>
    <x v="0"/>
    <n v="11"/>
    <n v="38991.769999999997"/>
    <n v="91790.26"/>
    <x v="0"/>
  </r>
  <r>
    <x v="4"/>
    <x v="0"/>
    <x v="8"/>
    <x v="1"/>
    <x v="14"/>
    <x v="1"/>
    <x v="1"/>
    <n v="4"/>
    <n v="15656.06"/>
    <n v="36071.39"/>
    <x v="0"/>
  </r>
  <r>
    <x v="4"/>
    <x v="0"/>
    <x v="8"/>
    <x v="1"/>
    <x v="15"/>
    <x v="1"/>
    <x v="0"/>
    <n v="7"/>
    <n v="25039.17"/>
    <n v="59750.91"/>
    <x v="0"/>
  </r>
  <r>
    <x v="4"/>
    <x v="0"/>
    <x v="8"/>
    <x v="1"/>
    <x v="15"/>
    <x v="1"/>
    <x v="1"/>
    <n v="16"/>
    <n v="50612.63"/>
    <n v="124826.18"/>
    <x v="0"/>
  </r>
  <r>
    <x v="4"/>
    <x v="0"/>
    <x v="8"/>
    <x v="1"/>
    <x v="16"/>
    <x v="0"/>
    <x v="1"/>
    <n v="4"/>
    <n v="12967.25"/>
    <n v="45803.53"/>
    <x v="0"/>
  </r>
  <r>
    <x v="4"/>
    <x v="0"/>
    <x v="8"/>
    <x v="1"/>
    <x v="16"/>
    <x v="1"/>
    <x v="0"/>
    <n v="8"/>
    <n v="28145.919999999998"/>
    <n v="65910.86"/>
    <x v="0"/>
  </r>
  <r>
    <x v="4"/>
    <x v="0"/>
    <x v="8"/>
    <x v="1"/>
    <x v="16"/>
    <x v="1"/>
    <x v="1"/>
    <n v="14"/>
    <n v="38989.83"/>
    <n v="91300.03"/>
    <x v="0"/>
  </r>
  <r>
    <x v="4"/>
    <x v="0"/>
    <x v="8"/>
    <x v="1"/>
    <x v="17"/>
    <x v="0"/>
    <x v="1"/>
    <n v="2"/>
    <n v="6762.85"/>
    <n v="23543.87"/>
    <x v="0"/>
  </r>
  <r>
    <x v="4"/>
    <x v="0"/>
    <x v="8"/>
    <x v="1"/>
    <x v="17"/>
    <x v="1"/>
    <x v="0"/>
    <n v="7"/>
    <n v="20005.13"/>
    <n v="47183.64"/>
    <x v="0"/>
  </r>
  <r>
    <x v="4"/>
    <x v="0"/>
    <x v="8"/>
    <x v="1"/>
    <x v="17"/>
    <x v="1"/>
    <x v="1"/>
    <n v="10"/>
    <n v="30577.4"/>
    <n v="72111.64"/>
    <x v="0"/>
  </r>
  <r>
    <x v="4"/>
    <x v="0"/>
    <x v="8"/>
    <x v="1"/>
    <x v="18"/>
    <x v="0"/>
    <x v="1"/>
    <n v="10"/>
    <n v="32825.68"/>
    <n v="116007.07"/>
    <x v="0"/>
  </r>
  <r>
    <x v="4"/>
    <x v="0"/>
    <x v="8"/>
    <x v="1"/>
    <x v="18"/>
    <x v="1"/>
    <x v="0"/>
    <n v="2"/>
    <n v="7810.34"/>
    <n v="19040.57"/>
    <x v="0"/>
  </r>
  <r>
    <x v="4"/>
    <x v="0"/>
    <x v="8"/>
    <x v="1"/>
    <x v="18"/>
    <x v="1"/>
    <x v="1"/>
    <n v="41"/>
    <n v="145261.32999999999"/>
    <n v="360612.37"/>
    <x v="0"/>
  </r>
  <r>
    <x v="4"/>
    <x v="0"/>
    <x v="8"/>
    <x v="1"/>
    <x v="19"/>
    <x v="0"/>
    <x v="1"/>
    <n v="1"/>
    <n v="2434.0700000000002"/>
    <n v="8561.41"/>
    <x v="0"/>
  </r>
  <r>
    <x v="4"/>
    <x v="0"/>
    <x v="8"/>
    <x v="1"/>
    <x v="19"/>
    <x v="1"/>
    <x v="0"/>
    <n v="9"/>
    <n v="34602.949999999997"/>
    <n v="83093.58"/>
    <x v="0"/>
  </r>
  <r>
    <x v="4"/>
    <x v="0"/>
    <x v="8"/>
    <x v="1"/>
    <x v="19"/>
    <x v="1"/>
    <x v="1"/>
    <n v="12"/>
    <n v="42873.82"/>
    <n v="101415.67"/>
    <x v="0"/>
  </r>
  <r>
    <x v="4"/>
    <x v="0"/>
    <x v="8"/>
    <x v="1"/>
    <x v="20"/>
    <x v="0"/>
    <x v="0"/>
    <n v="4"/>
    <n v="15330.48"/>
    <n v="54793"/>
    <x v="0"/>
  </r>
  <r>
    <x v="4"/>
    <x v="0"/>
    <x v="8"/>
    <x v="1"/>
    <x v="20"/>
    <x v="0"/>
    <x v="1"/>
    <n v="16"/>
    <n v="51350.15"/>
    <n v="182357.98"/>
    <x v="0"/>
  </r>
  <r>
    <x v="4"/>
    <x v="0"/>
    <x v="8"/>
    <x v="1"/>
    <x v="20"/>
    <x v="1"/>
    <x v="0"/>
    <n v="22"/>
    <n v="80879.98"/>
    <n v="187031.21"/>
    <x v="0"/>
  </r>
  <r>
    <x v="4"/>
    <x v="0"/>
    <x v="8"/>
    <x v="1"/>
    <x v="20"/>
    <x v="1"/>
    <x v="1"/>
    <n v="27"/>
    <n v="91236.160000000003"/>
    <n v="215509.21"/>
    <x v="0"/>
  </r>
  <r>
    <x v="4"/>
    <x v="0"/>
    <x v="8"/>
    <x v="2"/>
    <x v="21"/>
    <x v="0"/>
    <x v="0"/>
    <n v="4"/>
    <n v="15674.27"/>
    <n v="54793"/>
    <x v="0"/>
  </r>
  <r>
    <x v="4"/>
    <x v="0"/>
    <x v="8"/>
    <x v="2"/>
    <x v="21"/>
    <x v="1"/>
    <x v="1"/>
    <n v="5"/>
    <n v="15396.18"/>
    <n v="34342.559999999998"/>
    <x v="0"/>
  </r>
  <r>
    <x v="4"/>
    <x v="0"/>
    <x v="8"/>
    <x v="2"/>
    <x v="22"/>
    <x v="0"/>
    <x v="1"/>
    <n v="3"/>
    <n v="10405.5"/>
    <n v="36385.980000000003"/>
    <x v="0"/>
  </r>
  <r>
    <x v="4"/>
    <x v="0"/>
    <x v="8"/>
    <x v="2"/>
    <x v="22"/>
    <x v="1"/>
    <x v="0"/>
    <n v="8"/>
    <n v="26969.29"/>
    <n v="58134.95"/>
    <x v="0"/>
  </r>
  <r>
    <x v="4"/>
    <x v="0"/>
    <x v="8"/>
    <x v="2"/>
    <x v="22"/>
    <x v="1"/>
    <x v="1"/>
    <n v="15"/>
    <n v="44828.23"/>
    <n v="95425.22"/>
    <x v="0"/>
  </r>
  <r>
    <x v="4"/>
    <x v="0"/>
    <x v="8"/>
    <x v="2"/>
    <x v="29"/>
    <x v="0"/>
    <x v="1"/>
    <n v="3"/>
    <n v="7290.15"/>
    <n v="26112.3"/>
    <x v="0"/>
  </r>
  <r>
    <x v="4"/>
    <x v="0"/>
    <x v="8"/>
    <x v="2"/>
    <x v="29"/>
    <x v="1"/>
    <x v="1"/>
    <n v="3"/>
    <n v="8043.48"/>
    <n v="19110.349999999999"/>
    <x v="0"/>
  </r>
  <r>
    <x v="4"/>
    <x v="0"/>
    <x v="8"/>
    <x v="2"/>
    <x v="23"/>
    <x v="1"/>
    <x v="1"/>
    <n v="1"/>
    <n v="2521.6"/>
    <n v="5699.33"/>
    <x v="0"/>
  </r>
  <r>
    <x v="4"/>
    <x v="0"/>
    <x v="8"/>
    <x v="2"/>
    <x v="24"/>
    <x v="0"/>
    <x v="1"/>
    <n v="3"/>
    <n v="7775.6"/>
    <n v="28680.720000000001"/>
    <x v="0"/>
  </r>
  <r>
    <x v="4"/>
    <x v="0"/>
    <x v="8"/>
    <x v="2"/>
    <x v="24"/>
    <x v="1"/>
    <x v="0"/>
    <n v="7"/>
    <n v="27329.13"/>
    <n v="59450.400000000001"/>
    <x v="0"/>
  </r>
  <r>
    <x v="4"/>
    <x v="0"/>
    <x v="8"/>
    <x v="3"/>
    <x v="25"/>
    <x v="0"/>
    <x v="1"/>
    <n v="2"/>
    <n v="6358.09"/>
    <n v="22687.73"/>
    <x v="0"/>
  </r>
  <r>
    <x v="4"/>
    <x v="0"/>
    <x v="8"/>
    <x v="3"/>
    <x v="25"/>
    <x v="1"/>
    <x v="0"/>
    <n v="16"/>
    <n v="56907.519999999997"/>
    <n v="138403.71"/>
    <x v="0"/>
  </r>
  <r>
    <x v="4"/>
    <x v="0"/>
    <x v="8"/>
    <x v="3"/>
    <x v="25"/>
    <x v="1"/>
    <x v="1"/>
    <n v="13"/>
    <n v="44029.74"/>
    <n v="106572.28"/>
    <x v="0"/>
  </r>
  <r>
    <x v="4"/>
    <x v="0"/>
    <x v="8"/>
    <x v="3"/>
    <x v="26"/>
    <x v="0"/>
    <x v="0"/>
    <n v="2"/>
    <n v="6876.05"/>
    <n v="23543.87"/>
    <x v="0"/>
  </r>
  <r>
    <x v="4"/>
    <x v="0"/>
    <x v="8"/>
    <x v="3"/>
    <x v="26"/>
    <x v="0"/>
    <x v="1"/>
    <n v="1"/>
    <n v="2632.07"/>
    <n v="9845.6200000000008"/>
    <x v="0"/>
  </r>
  <r>
    <x v="4"/>
    <x v="0"/>
    <x v="8"/>
    <x v="3"/>
    <x v="26"/>
    <x v="1"/>
    <x v="1"/>
    <n v="19"/>
    <n v="58934.81"/>
    <n v="142367.65"/>
    <x v="0"/>
  </r>
  <r>
    <x v="4"/>
    <x v="0"/>
    <x v="8"/>
    <x v="3"/>
    <x v="27"/>
    <x v="0"/>
    <x v="0"/>
    <n v="4"/>
    <n v="13057.82"/>
    <n v="47087.74"/>
    <x v="0"/>
  </r>
  <r>
    <x v="4"/>
    <x v="0"/>
    <x v="8"/>
    <x v="3"/>
    <x v="27"/>
    <x v="0"/>
    <x v="1"/>
    <n v="13"/>
    <n v="46325.7"/>
    <n v="162666.73000000001"/>
    <x v="0"/>
  </r>
  <r>
    <x v="4"/>
    <x v="0"/>
    <x v="8"/>
    <x v="3"/>
    <x v="27"/>
    <x v="1"/>
    <x v="0"/>
    <n v="12"/>
    <n v="30000.54"/>
    <n v="72740.73"/>
    <x v="0"/>
  </r>
  <r>
    <x v="4"/>
    <x v="0"/>
    <x v="8"/>
    <x v="3"/>
    <x v="27"/>
    <x v="1"/>
    <x v="1"/>
    <n v="64"/>
    <n v="223467.55"/>
    <n v="535721.04"/>
    <x v="0"/>
  </r>
  <r>
    <x v="4"/>
    <x v="0"/>
    <x v="9"/>
    <x v="0"/>
    <x v="0"/>
    <x v="0"/>
    <x v="0"/>
    <n v="1"/>
    <n v="2184.8200000000002"/>
    <n v="7529.06"/>
    <x v="0"/>
  </r>
  <r>
    <x v="4"/>
    <x v="0"/>
    <x v="9"/>
    <x v="0"/>
    <x v="0"/>
    <x v="0"/>
    <x v="1"/>
    <n v="5"/>
    <n v="14638.41"/>
    <n v="50193.760000000002"/>
    <x v="0"/>
  </r>
  <r>
    <x v="4"/>
    <x v="0"/>
    <x v="9"/>
    <x v="0"/>
    <x v="0"/>
    <x v="1"/>
    <x v="0"/>
    <n v="4"/>
    <n v="8011.94"/>
    <n v="18758.14"/>
    <x v="0"/>
  </r>
  <r>
    <x v="4"/>
    <x v="0"/>
    <x v="9"/>
    <x v="0"/>
    <x v="0"/>
    <x v="1"/>
    <x v="1"/>
    <n v="6"/>
    <n v="19266.25"/>
    <n v="42909.21"/>
    <x v="0"/>
  </r>
  <r>
    <x v="4"/>
    <x v="0"/>
    <x v="9"/>
    <x v="0"/>
    <x v="1"/>
    <x v="0"/>
    <x v="0"/>
    <n v="3"/>
    <n v="7467.48"/>
    <n v="25813.94"/>
    <x v="0"/>
  </r>
  <r>
    <x v="4"/>
    <x v="0"/>
    <x v="9"/>
    <x v="0"/>
    <x v="1"/>
    <x v="0"/>
    <x v="1"/>
    <n v="5"/>
    <n v="13188.08"/>
    <n v="45532.92"/>
    <x v="0"/>
  </r>
  <r>
    <x v="4"/>
    <x v="0"/>
    <x v="9"/>
    <x v="0"/>
    <x v="1"/>
    <x v="1"/>
    <x v="0"/>
    <n v="9"/>
    <n v="20202.060000000001"/>
    <n v="44262.31"/>
    <x v="0"/>
  </r>
  <r>
    <x v="4"/>
    <x v="0"/>
    <x v="9"/>
    <x v="0"/>
    <x v="1"/>
    <x v="1"/>
    <x v="1"/>
    <n v="24"/>
    <n v="68284.570000000007"/>
    <n v="150443.79999999999"/>
    <x v="0"/>
  </r>
  <r>
    <x v="4"/>
    <x v="0"/>
    <x v="9"/>
    <x v="0"/>
    <x v="2"/>
    <x v="0"/>
    <x v="1"/>
    <n v="3"/>
    <n v="7404.08"/>
    <n v="26172.46"/>
    <x v="0"/>
  </r>
  <r>
    <x v="4"/>
    <x v="0"/>
    <x v="9"/>
    <x v="0"/>
    <x v="2"/>
    <x v="1"/>
    <x v="0"/>
    <n v="15"/>
    <n v="41119.42"/>
    <n v="88167.51"/>
    <x v="0"/>
  </r>
  <r>
    <x v="4"/>
    <x v="0"/>
    <x v="9"/>
    <x v="0"/>
    <x v="2"/>
    <x v="1"/>
    <x v="1"/>
    <n v="21"/>
    <n v="47209.97"/>
    <n v="102639.45"/>
    <x v="0"/>
  </r>
  <r>
    <x v="4"/>
    <x v="0"/>
    <x v="9"/>
    <x v="0"/>
    <x v="3"/>
    <x v="0"/>
    <x v="0"/>
    <n v="4"/>
    <n v="9034.66"/>
    <n v="30833.3"/>
    <x v="0"/>
  </r>
  <r>
    <x v="4"/>
    <x v="0"/>
    <x v="9"/>
    <x v="0"/>
    <x v="3"/>
    <x v="0"/>
    <x v="1"/>
    <n v="8"/>
    <n v="22355.21"/>
    <n v="76724.759999999995"/>
    <x v="0"/>
  </r>
  <r>
    <x v="4"/>
    <x v="0"/>
    <x v="9"/>
    <x v="0"/>
    <x v="3"/>
    <x v="1"/>
    <x v="0"/>
    <n v="9"/>
    <n v="21815.08"/>
    <n v="47711.31"/>
    <x v="0"/>
  </r>
  <r>
    <x v="4"/>
    <x v="0"/>
    <x v="9"/>
    <x v="0"/>
    <x v="3"/>
    <x v="1"/>
    <x v="1"/>
    <n v="36"/>
    <n v="91718.07"/>
    <n v="201613.89"/>
    <x v="0"/>
  </r>
  <r>
    <x v="4"/>
    <x v="0"/>
    <x v="9"/>
    <x v="0"/>
    <x v="28"/>
    <x v="1"/>
    <x v="1"/>
    <n v="1"/>
    <n v="2038.4"/>
    <n v="4689.53"/>
    <x v="0"/>
  </r>
  <r>
    <x v="4"/>
    <x v="0"/>
    <x v="9"/>
    <x v="0"/>
    <x v="4"/>
    <x v="1"/>
    <x v="0"/>
    <n v="17"/>
    <n v="46260.44"/>
    <n v="101649.54"/>
    <x v="0"/>
  </r>
  <r>
    <x v="4"/>
    <x v="0"/>
    <x v="9"/>
    <x v="0"/>
    <x v="5"/>
    <x v="0"/>
    <x v="1"/>
    <n v="2"/>
    <n v="5476.44"/>
    <n v="18643.400000000001"/>
    <x v="0"/>
  </r>
  <r>
    <x v="4"/>
    <x v="0"/>
    <x v="9"/>
    <x v="0"/>
    <x v="5"/>
    <x v="1"/>
    <x v="0"/>
    <n v="1"/>
    <n v="2087.52"/>
    <n v="4725.3900000000003"/>
    <x v="0"/>
  </r>
  <r>
    <x v="4"/>
    <x v="0"/>
    <x v="9"/>
    <x v="0"/>
    <x v="5"/>
    <x v="1"/>
    <x v="1"/>
    <n v="22"/>
    <n v="52951.4"/>
    <n v="120147.62"/>
    <x v="0"/>
  </r>
  <r>
    <x v="4"/>
    <x v="0"/>
    <x v="9"/>
    <x v="0"/>
    <x v="6"/>
    <x v="0"/>
    <x v="1"/>
    <n v="2"/>
    <n v="4183.1400000000003"/>
    <n v="15058.12"/>
    <x v="0"/>
  </r>
  <r>
    <x v="4"/>
    <x v="0"/>
    <x v="9"/>
    <x v="0"/>
    <x v="6"/>
    <x v="1"/>
    <x v="1"/>
    <n v="2"/>
    <n v="6875.02"/>
    <n v="15075.34"/>
    <x v="0"/>
  </r>
  <r>
    <x v="4"/>
    <x v="0"/>
    <x v="9"/>
    <x v="0"/>
    <x v="7"/>
    <x v="1"/>
    <x v="1"/>
    <n v="5"/>
    <n v="13225.84"/>
    <n v="29697.5"/>
    <x v="0"/>
  </r>
  <r>
    <x v="4"/>
    <x v="0"/>
    <x v="9"/>
    <x v="0"/>
    <x v="8"/>
    <x v="0"/>
    <x v="1"/>
    <n v="5"/>
    <n v="13358.94"/>
    <n v="45532.92"/>
    <x v="0"/>
  </r>
  <r>
    <x v="4"/>
    <x v="0"/>
    <x v="9"/>
    <x v="0"/>
    <x v="8"/>
    <x v="1"/>
    <x v="1"/>
    <n v="2"/>
    <n v="6774.62"/>
    <n v="14616.42"/>
    <x v="0"/>
  </r>
  <r>
    <x v="4"/>
    <x v="0"/>
    <x v="9"/>
    <x v="1"/>
    <x v="9"/>
    <x v="1"/>
    <x v="1"/>
    <n v="1"/>
    <n v="2475.64"/>
    <n v="5352.49"/>
    <x v="0"/>
  </r>
  <r>
    <x v="4"/>
    <x v="0"/>
    <x v="9"/>
    <x v="1"/>
    <x v="31"/>
    <x v="1"/>
    <x v="0"/>
    <n v="1"/>
    <n v="3351.49"/>
    <n v="7973.64"/>
    <x v="0"/>
  </r>
  <r>
    <x v="4"/>
    <x v="0"/>
    <x v="9"/>
    <x v="1"/>
    <x v="10"/>
    <x v="0"/>
    <x v="1"/>
    <n v="7"/>
    <n v="19786.669999999998"/>
    <n v="67761.58"/>
    <x v="0"/>
  </r>
  <r>
    <x v="4"/>
    <x v="0"/>
    <x v="9"/>
    <x v="1"/>
    <x v="10"/>
    <x v="1"/>
    <x v="0"/>
    <n v="3"/>
    <n v="6225.3"/>
    <n v="15404.46"/>
    <x v="0"/>
  </r>
  <r>
    <x v="4"/>
    <x v="0"/>
    <x v="9"/>
    <x v="1"/>
    <x v="10"/>
    <x v="1"/>
    <x v="1"/>
    <n v="41"/>
    <n v="101266"/>
    <n v="237871.02"/>
    <x v="0"/>
  </r>
  <r>
    <x v="4"/>
    <x v="0"/>
    <x v="9"/>
    <x v="1"/>
    <x v="11"/>
    <x v="0"/>
    <x v="1"/>
    <n v="10"/>
    <n v="26917.53"/>
    <n v="93217"/>
    <x v="0"/>
  </r>
  <r>
    <x v="4"/>
    <x v="0"/>
    <x v="9"/>
    <x v="1"/>
    <x v="11"/>
    <x v="1"/>
    <x v="0"/>
    <n v="2"/>
    <n v="6837.46"/>
    <n v="14914.72"/>
    <x v="0"/>
  </r>
  <r>
    <x v="4"/>
    <x v="0"/>
    <x v="9"/>
    <x v="1"/>
    <x v="11"/>
    <x v="1"/>
    <x v="1"/>
    <n v="21"/>
    <n v="53347.519999999997"/>
    <n v="120482.99"/>
    <x v="0"/>
  </r>
  <r>
    <x v="4"/>
    <x v="0"/>
    <x v="9"/>
    <x v="1"/>
    <x v="12"/>
    <x v="1"/>
    <x v="0"/>
    <n v="5"/>
    <n v="16999.400000000001"/>
    <n v="37489.339999999997"/>
    <x v="0"/>
  </r>
  <r>
    <x v="4"/>
    <x v="0"/>
    <x v="9"/>
    <x v="1"/>
    <x v="13"/>
    <x v="0"/>
    <x v="1"/>
    <n v="1"/>
    <n v="2043.18"/>
    <n v="7170.54"/>
    <x v="0"/>
  </r>
  <r>
    <x v="4"/>
    <x v="0"/>
    <x v="9"/>
    <x v="1"/>
    <x v="13"/>
    <x v="1"/>
    <x v="1"/>
    <n v="11"/>
    <n v="24299.98"/>
    <n v="58035.9"/>
    <x v="0"/>
  </r>
  <r>
    <x v="4"/>
    <x v="0"/>
    <x v="9"/>
    <x v="1"/>
    <x v="14"/>
    <x v="0"/>
    <x v="1"/>
    <n v="4"/>
    <n v="10800.69"/>
    <n v="37286.800000000003"/>
    <x v="0"/>
  </r>
  <r>
    <x v="4"/>
    <x v="0"/>
    <x v="9"/>
    <x v="1"/>
    <x v="14"/>
    <x v="1"/>
    <x v="0"/>
    <n v="12"/>
    <n v="26311.55"/>
    <n v="60981.37"/>
    <x v="0"/>
  </r>
  <r>
    <x v="4"/>
    <x v="0"/>
    <x v="9"/>
    <x v="1"/>
    <x v="14"/>
    <x v="1"/>
    <x v="1"/>
    <n v="5"/>
    <n v="11400.23"/>
    <n v="26513.14"/>
    <x v="0"/>
  </r>
  <r>
    <x v="4"/>
    <x v="0"/>
    <x v="9"/>
    <x v="1"/>
    <x v="15"/>
    <x v="1"/>
    <x v="1"/>
    <n v="1"/>
    <n v="3360.22"/>
    <n v="7927.75"/>
    <x v="0"/>
  </r>
  <r>
    <x v="4"/>
    <x v="0"/>
    <x v="9"/>
    <x v="1"/>
    <x v="16"/>
    <x v="1"/>
    <x v="0"/>
    <n v="4"/>
    <n v="11084.01"/>
    <n v="25478.35"/>
    <x v="0"/>
  </r>
  <r>
    <x v="4"/>
    <x v="0"/>
    <x v="9"/>
    <x v="1"/>
    <x v="16"/>
    <x v="1"/>
    <x v="1"/>
    <n v="12"/>
    <n v="27511.71"/>
    <n v="62267.25"/>
    <x v="0"/>
  </r>
  <r>
    <x v="4"/>
    <x v="0"/>
    <x v="9"/>
    <x v="1"/>
    <x v="17"/>
    <x v="0"/>
    <x v="1"/>
    <n v="2"/>
    <n v="4435.22"/>
    <n v="15058.12"/>
    <x v="0"/>
  </r>
  <r>
    <x v="4"/>
    <x v="0"/>
    <x v="9"/>
    <x v="1"/>
    <x v="17"/>
    <x v="1"/>
    <x v="0"/>
    <n v="6"/>
    <n v="15622.99"/>
    <n v="35378.769999999997"/>
    <x v="0"/>
  </r>
  <r>
    <x v="4"/>
    <x v="0"/>
    <x v="9"/>
    <x v="1"/>
    <x v="18"/>
    <x v="0"/>
    <x v="1"/>
    <n v="7"/>
    <n v="16245.05"/>
    <n v="56647.24"/>
    <x v="0"/>
  </r>
  <r>
    <x v="4"/>
    <x v="0"/>
    <x v="9"/>
    <x v="1"/>
    <x v="18"/>
    <x v="1"/>
    <x v="0"/>
    <n v="3"/>
    <n v="7449.24"/>
    <n v="17940.689999999999"/>
    <x v="0"/>
  </r>
  <r>
    <x v="4"/>
    <x v="0"/>
    <x v="9"/>
    <x v="1"/>
    <x v="18"/>
    <x v="1"/>
    <x v="1"/>
    <n v="41"/>
    <n v="114510.3"/>
    <n v="275090.51"/>
    <x v="0"/>
  </r>
  <r>
    <x v="4"/>
    <x v="0"/>
    <x v="9"/>
    <x v="1"/>
    <x v="19"/>
    <x v="0"/>
    <x v="1"/>
    <n v="1"/>
    <n v="2118.7399999999998"/>
    <n v="7170.54"/>
    <x v="0"/>
  </r>
  <r>
    <x v="4"/>
    <x v="0"/>
    <x v="9"/>
    <x v="1"/>
    <x v="19"/>
    <x v="1"/>
    <x v="0"/>
    <n v="9"/>
    <n v="25133.119999999999"/>
    <n v="58478.6"/>
    <x v="0"/>
  </r>
  <r>
    <x v="4"/>
    <x v="0"/>
    <x v="9"/>
    <x v="1"/>
    <x v="19"/>
    <x v="1"/>
    <x v="1"/>
    <n v="9"/>
    <n v="24381.8"/>
    <n v="55950.080000000002"/>
    <x v="0"/>
  </r>
  <r>
    <x v="4"/>
    <x v="0"/>
    <x v="9"/>
    <x v="1"/>
    <x v="20"/>
    <x v="0"/>
    <x v="0"/>
    <n v="2"/>
    <n v="5454.66"/>
    <n v="18643.400000000001"/>
    <x v="0"/>
  </r>
  <r>
    <x v="4"/>
    <x v="0"/>
    <x v="9"/>
    <x v="1"/>
    <x v="20"/>
    <x v="0"/>
    <x v="1"/>
    <n v="16"/>
    <n v="46062.68"/>
    <n v="158827.42000000001"/>
    <x v="0"/>
  </r>
  <r>
    <x v="4"/>
    <x v="0"/>
    <x v="9"/>
    <x v="1"/>
    <x v="20"/>
    <x v="1"/>
    <x v="0"/>
    <n v="16"/>
    <n v="49912.959999999999"/>
    <n v="113859.89"/>
    <x v="0"/>
  </r>
  <r>
    <x v="4"/>
    <x v="0"/>
    <x v="9"/>
    <x v="1"/>
    <x v="20"/>
    <x v="1"/>
    <x v="1"/>
    <n v="15"/>
    <n v="41877.89"/>
    <n v="94141.34"/>
    <x v="0"/>
  </r>
  <r>
    <x v="4"/>
    <x v="0"/>
    <x v="9"/>
    <x v="2"/>
    <x v="21"/>
    <x v="0"/>
    <x v="0"/>
    <n v="1"/>
    <n v="2433.59"/>
    <n v="8246.1200000000008"/>
    <x v="0"/>
  </r>
  <r>
    <x v="4"/>
    <x v="0"/>
    <x v="9"/>
    <x v="2"/>
    <x v="22"/>
    <x v="0"/>
    <x v="1"/>
    <n v="2"/>
    <n v="6639.54"/>
    <n v="22945.72"/>
    <x v="0"/>
  </r>
  <r>
    <x v="4"/>
    <x v="0"/>
    <x v="9"/>
    <x v="2"/>
    <x v="22"/>
    <x v="1"/>
    <x v="0"/>
    <n v="3"/>
    <n v="6234.4"/>
    <n v="13484.46"/>
    <x v="0"/>
  </r>
  <r>
    <x v="4"/>
    <x v="0"/>
    <x v="9"/>
    <x v="2"/>
    <x v="22"/>
    <x v="1"/>
    <x v="1"/>
    <n v="8"/>
    <n v="24788.61"/>
    <n v="51310.58"/>
    <x v="0"/>
  </r>
  <r>
    <x v="4"/>
    <x v="0"/>
    <x v="9"/>
    <x v="2"/>
    <x v="29"/>
    <x v="0"/>
    <x v="1"/>
    <n v="4"/>
    <n v="10731.55"/>
    <n v="37286.800000000003"/>
    <x v="0"/>
  </r>
  <r>
    <x v="4"/>
    <x v="0"/>
    <x v="9"/>
    <x v="2"/>
    <x v="29"/>
    <x v="1"/>
    <x v="1"/>
    <n v="5"/>
    <n v="17153.66"/>
    <n v="36444.1"/>
    <x v="0"/>
  </r>
  <r>
    <x v="4"/>
    <x v="0"/>
    <x v="9"/>
    <x v="2"/>
    <x v="23"/>
    <x v="1"/>
    <x v="1"/>
    <n v="8"/>
    <n v="24342.47"/>
    <n v="52962.3"/>
    <x v="0"/>
  </r>
  <r>
    <x v="4"/>
    <x v="0"/>
    <x v="9"/>
    <x v="2"/>
    <x v="24"/>
    <x v="0"/>
    <x v="1"/>
    <n v="2"/>
    <n v="4254.33"/>
    <n v="14699.6"/>
    <x v="0"/>
  </r>
  <r>
    <x v="4"/>
    <x v="0"/>
    <x v="9"/>
    <x v="3"/>
    <x v="25"/>
    <x v="0"/>
    <x v="1"/>
    <n v="3"/>
    <n v="7348.42"/>
    <n v="25813.94"/>
    <x v="0"/>
  </r>
  <r>
    <x v="4"/>
    <x v="0"/>
    <x v="9"/>
    <x v="3"/>
    <x v="25"/>
    <x v="1"/>
    <x v="0"/>
    <n v="2"/>
    <n v="5412.91"/>
    <n v="12876.29"/>
    <x v="0"/>
  </r>
  <r>
    <x v="4"/>
    <x v="0"/>
    <x v="9"/>
    <x v="3"/>
    <x v="25"/>
    <x v="1"/>
    <x v="1"/>
    <n v="3"/>
    <n v="6248.84"/>
    <n v="14981.05"/>
    <x v="0"/>
  </r>
  <r>
    <x v="4"/>
    <x v="0"/>
    <x v="9"/>
    <x v="3"/>
    <x v="26"/>
    <x v="0"/>
    <x v="0"/>
    <n v="1"/>
    <n v="2217.79"/>
    <n v="7529.06"/>
    <x v="0"/>
  </r>
  <r>
    <x v="4"/>
    <x v="0"/>
    <x v="9"/>
    <x v="3"/>
    <x v="26"/>
    <x v="1"/>
    <x v="0"/>
    <n v="2"/>
    <n v="4343.6000000000004"/>
    <n v="10390.1"/>
    <x v="0"/>
  </r>
  <r>
    <x v="4"/>
    <x v="0"/>
    <x v="9"/>
    <x v="3"/>
    <x v="26"/>
    <x v="1"/>
    <x v="1"/>
    <n v="18"/>
    <n v="54609.08"/>
    <n v="127649.93"/>
    <x v="0"/>
  </r>
  <r>
    <x v="4"/>
    <x v="0"/>
    <x v="9"/>
    <x v="3"/>
    <x v="27"/>
    <x v="0"/>
    <x v="0"/>
    <n v="3"/>
    <n v="9903.2000000000007"/>
    <n v="34418.58"/>
    <x v="0"/>
  </r>
  <r>
    <x v="4"/>
    <x v="0"/>
    <x v="9"/>
    <x v="3"/>
    <x v="27"/>
    <x v="0"/>
    <x v="1"/>
    <n v="6"/>
    <n v="16382.78"/>
    <n v="56288.72"/>
    <x v="0"/>
  </r>
  <r>
    <x v="4"/>
    <x v="0"/>
    <x v="9"/>
    <x v="3"/>
    <x v="27"/>
    <x v="1"/>
    <x v="0"/>
    <n v="20"/>
    <n v="47171.040000000001"/>
    <n v="111652.47"/>
    <x v="0"/>
  </r>
  <r>
    <x v="4"/>
    <x v="0"/>
    <x v="9"/>
    <x v="3"/>
    <x v="27"/>
    <x v="1"/>
    <x v="1"/>
    <n v="25"/>
    <n v="66795.67"/>
    <n v="155585.29999999999"/>
    <x v="0"/>
  </r>
  <r>
    <x v="4"/>
    <x v="1"/>
    <x v="0"/>
    <x v="0"/>
    <x v="0"/>
    <x v="0"/>
    <x v="0"/>
    <n v="4"/>
    <n v="31597.37"/>
    <n v="129514.06"/>
    <x v="1"/>
  </r>
  <r>
    <x v="4"/>
    <x v="1"/>
    <x v="0"/>
    <x v="0"/>
    <x v="0"/>
    <x v="0"/>
    <x v="1"/>
    <n v="2"/>
    <n v="13787.15"/>
    <n v="55439.42"/>
    <x v="1"/>
  </r>
  <r>
    <x v="4"/>
    <x v="1"/>
    <x v="0"/>
    <x v="0"/>
    <x v="0"/>
    <x v="1"/>
    <x v="0"/>
    <n v="21"/>
    <n v="149450.96"/>
    <n v="390977.15"/>
    <x v="1"/>
  </r>
  <r>
    <x v="4"/>
    <x v="1"/>
    <x v="0"/>
    <x v="0"/>
    <x v="0"/>
    <x v="1"/>
    <x v="1"/>
    <n v="25"/>
    <n v="154304.87"/>
    <n v="425784.1"/>
    <x v="1"/>
  </r>
  <r>
    <x v="4"/>
    <x v="1"/>
    <x v="0"/>
    <x v="0"/>
    <x v="1"/>
    <x v="0"/>
    <x v="0"/>
    <n v="8"/>
    <n v="60806.93"/>
    <n v="252255.23"/>
    <x v="1"/>
  </r>
  <r>
    <x v="4"/>
    <x v="1"/>
    <x v="0"/>
    <x v="0"/>
    <x v="1"/>
    <x v="0"/>
    <x v="1"/>
    <n v="5"/>
    <n v="30209.43"/>
    <n v="131443.6"/>
    <x v="1"/>
  </r>
  <r>
    <x v="4"/>
    <x v="1"/>
    <x v="0"/>
    <x v="0"/>
    <x v="1"/>
    <x v="1"/>
    <x v="0"/>
    <n v="10"/>
    <n v="67437.259999999995"/>
    <n v="177168.38"/>
    <x v="1"/>
  </r>
  <r>
    <x v="4"/>
    <x v="1"/>
    <x v="0"/>
    <x v="0"/>
    <x v="1"/>
    <x v="1"/>
    <x v="1"/>
    <n v="24"/>
    <n v="181022.55"/>
    <n v="482927.08"/>
    <x v="1"/>
  </r>
  <r>
    <x v="4"/>
    <x v="1"/>
    <x v="0"/>
    <x v="0"/>
    <x v="2"/>
    <x v="0"/>
    <x v="1"/>
    <n v="6"/>
    <n v="42988.65"/>
    <n v="182484.16"/>
    <x v="1"/>
  </r>
  <r>
    <x v="4"/>
    <x v="1"/>
    <x v="0"/>
    <x v="0"/>
    <x v="2"/>
    <x v="1"/>
    <x v="0"/>
    <n v="4"/>
    <n v="29940.2"/>
    <n v="79382.34"/>
    <x v="1"/>
  </r>
  <r>
    <x v="4"/>
    <x v="1"/>
    <x v="0"/>
    <x v="0"/>
    <x v="2"/>
    <x v="1"/>
    <x v="1"/>
    <n v="23"/>
    <n v="150794.20000000001"/>
    <n v="381686.78"/>
    <x v="1"/>
  </r>
  <r>
    <x v="4"/>
    <x v="1"/>
    <x v="0"/>
    <x v="0"/>
    <x v="3"/>
    <x v="0"/>
    <x v="0"/>
    <n v="1"/>
    <n v="8198.7000000000007"/>
    <n v="32434.959999999999"/>
    <x v="1"/>
  </r>
  <r>
    <x v="4"/>
    <x v="1"/>
    <x v="0"/>
    <x v="0"/>
    <x v="3"/>
    <x v="0"/>
    <x v="1"/>
    <n v="9"/>
    <n v="58971.81"/>
    <n v="254806.44"/>
    <x v="1"/>
  </r>
  <r>
    <x v="4"/>
    <x v="1"/>
    <x v="0"/>
    <x v="0"/>
    <x v="3"/>
    <x v="1"/>
    <x v="0"/>
    <n v="13"/>
    <n v="94380.22"/>
    <n v="254883.68"/>
    <x v="1"/>
  </r>
  <r>
    <x v="4"/>
    <x v="1"/>
    <x v="0"/>
    <x v="0"/>
    <x v="3"/>
    <x v="1"/>
    <x v="1"/>
    <n v="26"/>
    <n v="202315.54"/>
    <n v="526978.93000000005"/>
    <x v="1"/>
  </r>
  <r>
    <x v="4"/>
    <x v="1"/>
    <x v="0"/>
    <x v="0"/>
    <x v="28"/>
    <x v="1"/>
    <x v="1"/>
    <n v="3"/>
    <n v="17638.400000000001"/>
    <n v="48847.78"/>
    <x v="1"/>
  </r>
  <r>
    <x v="4"/>
    <x v="1"/>
    <x v="0"/>
    <x v="0"/>
    <x v="4"/>
    <x v="0"/>
    <x v="1"/>
    <n v="1"/>
    <n v="7357.71"/>
    <n v="32371.93"/>
    <x v="1"/>
  </r>
  <r>
    <x v="4"/>
    <x v="1"/>
    <x v="0"/>
    <x v="0"/>
    <x v="4"/>
    <x v="1"/>
    <x v="0"/>
    <n v="17"/>
    <n v="120592.02"/>
    <n v="322652.06"/>
    <x v="1"/>
  </r>
  <r>
    <x v="4"/>
    <x v="1"/>
    <x v="0"/>
    <x v="0"/>
    <x v="4"/>
    <x v="1"/>
    <x v="1"/>
    <n v="7"/>
    <n v="49848.51"/>
    <n v="133578.99"/>
    <x v="1"/>
  </r>
  <r>
    <x v="4"/>
    <x v="1"/>
    <x v="0"/>
    <x v="0"/>
    <x v="5"/>
    <x v="0"/>
    <x v="1"/>
    <n v="3"/>
    <n v="17604.2"/>
    <n v="76760.17"/>
    <x v="1"/>
  </r>
  <r>
    <x v="4"/>
    <x v="1"/>
    <x v="0"/>
    <x v="0"/>
    <x v="5"/>
    <x v="1"/>
    <x v="1"/>
    <n v="18"/>
    <n v="111326.82"/>
    <n v="315243.56"/>
    <x v="1"/>
  </r>
  <r>
    <x v="4"/>
    <x v="1"/>
    <x v="0"/>
    <x v="0"/>
    <x v="6"/>
    <x v="0"/>
    <x v="1"/>
    <n v="3"/>
    <n v="20600.400000000001"/>
    <n v="88095.12"/>
    <x v="1"/>
  </r>
  <r>
    <x v="4"/>
    <x v="1"/>
    <x v="0"/>
    <x v="0"/>
    <x v="6"/>
    <x v="1"/>
    <x v="1"/>
    <n v="3"/>
    <n v="23280.02"/>
    <n v="64098.33"/>
    <x v="1"/>
  </r>
  <r>
    <x v="4"/>
    <x v="1"/>
    <x v="0"/>
    <x v="0"/>
    <x v="7"/>
    <x v="1"/>
    <x v="1"/>
    <n v="4"/>
    <n v="28585.89"/>
    <n v="80224.28"/>
    <x v="1"/>
  </r>
  <r>
    <x v="4"/>
    <x v="1"/>
    <x v="0"/>
    <x v="0"/>
    <x v="8"/>
    <x v="0"/>
    <x v="1"/>
    <n v="3"/>
    <n v="23346.26"/>
    <n v="96333.16"/>
    <x v="1"/>
  </r>
  <r>
    <x v="4"/>
    <x v="1"/>
    <x v="0"/>
    <x v="0"/>
    <x v="8"/>
    <x v="1"/>
    <x v="1"/>
    <n v="24"/>
    <n v="172116.01"/>
    <n v="462362.13"/>
    <x v="1"/>
  </r>
  <r>
    <x v="4"/>
    <x v="1"/>
    <x v="0"/>
    <x v="1"/>
    <x v="31"/>
    <x v="1"/>
    <x v="0"/>
    <n v="2"/>
    <n v="15172.22"/>
    <n v="47154.86"/>
    <x v="1"/>
  </r>
  <r>
    <x v="4"/>
    <x v="1"/>
    <x v="0"/>
    <x v="1"/>
    <x v="10"/>
    <x v="0"/>
    <x v="0"/>
    <n v="5"/>
    <n v="28681.11"/>
    <n v="122363.04"/>
    <x v="1"/>
  </r>
  <r>
    <x v="4"/>
    <x v="1"/>
    <x v="0"/>
    <x v="1"/>
    <x v="10"/>
    <x v="0"/>
    <x v="1"/>
    <n v="2"/>
    <n v="15393.67"/>
    <n v="67347.009999999995"/>
    <x v="1"/>
  </r>
  <r>
    <x v="4"/>
    <x v="1"/>
    <x v="0"/>
    <x v="1"/>
    <x v="10"/>
    <x v="1"/>
    <x v="0"/>
    <n v="8"/>
    <n v="55856.56"/>
    <n v="169315.36"/>
    <x v="1"/>
  </r>
  <r>
    <x v="4"/>
    <x v="1"/>
    <x v="0"/>
    <x v="1"/>
    <x v="10"/>
    <x v="1"/>
    <x v="1"/>
    <n v="39"/>
    <n v="268149.28000000003"/>
    <n v="783336.34"/>
    <x v="1"/>
  </r>
  <r>
    <x v="4"/>
    <x v="1"/>
    <x v="0"/>
    <x v="1"/>
    <x v="11"/>
    <x v="0"/>
    <x v="1"/>
    <n v="13"/>
    <n v="90643.96"/>
    <n v="391288.26"/>
    <x v="1"/>
  </r>
  <r>
    <x v="4"/>
    <x v="1"/>
    <x v="0"/>
    <x v="1"/>
    <x v="11"/>
    <x v="1"/>
    <x v="0"/>
    <n v="4"/>
    <n v="32399.33"/>
    <n v="87165.81"/>
    <x v="1"/>
  </r>
  <r>
    <x v="4"/>
    <x v="1"/>
    <x v="0"/>
    <x v="1"/>
    <x v="11"/>
    <x v="1"/>
    <x v="1"/>
    <n v="25"/>
    <n v="178917.55"/>
    <n v="505883.04"/>
    <x v="1"/>
  </r>
  <r>
    <x v="4"/>
    <x v="1"/>
    <x v="0"/>
    <x v="1"/>
    <x v="12"/>
    <x v="1"/>
    <x v="0"/>
    <n v="1"/>
    <n v="5443.87"/>
    <n v="16683.080000000002"/>
    <x v="1"/>
  </r>
  <r>
    <x v="4"/>
    <x v="1"/>
    <x v="0"/>
    <x v="1"/>
    <x v="13"/>
    <x v="0"/>
    <x v="1"/>
    <n v="10"/>
    <n v="80132.039999999994"/>
    <n v="336677.25"/>
    <x v="1"/>
  </r>
  <r>
    <x v="4"/>
    <x v="1"/>
    <x v="0"/>
    <x v="1"/>
    <x v="13"/>
    <x v="1"/>
    <x v="1"/>
    <n v="6"/>
    <n v="43258.98"/>
    <n v="125846"/>
    <x v="1"/>
  </r>
  <r>
    <x v="4"/>
    <x v="1"/>
    <x v="0"/>
    <x v="1"/>
    <x v="14"/>
    <x v="0"/>
    <x v="1"/>
    <n v="3"/>
    <n v="19334.400000000001"/>
    <n v="82349.03"/>
    <x v="1"/>
  </r>
  <r>
    <x v="4"/>
    <x v="1"/>
    <x v="0"/>
    <x v="1"/>
    <x v="14"/>
    <x v="1"/>
    <x v="0"/>
    <n v="16"/>
    <n v="113790.84"/>
    <n v="329834.57"/>
    <x v="1"/>
  </r>
  <r>
    <x v="4"/>
    <x v="1"/>
    <x v="0"/>
    <x v="1"/>
    <x v="14"/>
    <x v="1"/>
    <x v="1"/>
    <n v="9"/>
    <n v="56932.1"/>
    <n v="168586.18"/>
    <x v="1"/>
  </r>
  <r>
    <x v="4"/>
    <x v="1"/>
    <x v="0"/>
    <x v="1"/>
    <x v="15"/>
    <x v="1"/>
    <x v="0"/>
    <n v="10"/>
    <n v="62687.8"/>
    <n v="192762.85"/>
    <x v="1"/>
  </r>
  <r>
    <x v="4"/>
    <x v="1"/>
    <x v="0"/>
    <x v="1"/>
    <x v="16"/>
    <x v="0"/>
    <x v="1"/>
    <n v="1"/>
    <n v="4778.97"/>
    <n v="21240.68"/>
    <x v="1"/>
  </r>
  <r>
    <x v="4"/>
    <x v="1"/>
    <x v="0"/>
    <x v="1"/>
    <x v="16"/>
    <x v="1"/>
    <x v="0"/>
    <n v="5"/>
    <n v="32605.7"/>
    <n v="87839.98"/>
    <x v="1"/>
  </r>
  <r>
    <x v="4"/>
    <x v="1"/>
    <x v="0"/>
    <x v="1"/>
    <x v="16"/>
    <x v="1"/>
    <x v="1"/>
    <n v="5"/>
    <n v="39429.089999999997"/>
    <n v="106160.85"/>
    <x v="1"/>
  </r>
  <r>
    <x v="4"/>
    <x v="1"/>
    <x v="0"/>
    <x v="1"/>
    <x v="17"/>
    <x v="1"/>
    <x v="0"/>
    <n v="13"/>
    <n v="89865.66"/>
    <n v="261681.32"/>
    <x v="1"/>
  </r>
  <r>
    <x v="4"/>
    <x v="1"/>
    <x v="0"/>
    <x v="1"/>
    <x v="17"/>
    <x v="1"/>
    <x v="1"/>
    <n v="10"/>
    <n v="63853.919999999998"/>
    <n v="186656.06"/>
    <x v="1"/>
  </r>
  <r>
    <x v="4"/>
    <x v="1"/>
    <x v="0"/>
    <x v="1"/>
    <x v="18"/>
    <x v="0"/>
    <x v="1"/>
    <n v="23"/>
    <n v="158278.26999999999"/>
    <n v="659538.67000000004"/>
    <x v="1"/>
  </r>
  <r>
    <x v="4"/>
    <x v="1"/>
    <x v="0"/>
    <x v="1"/>
    <x v="18"/>
    <x v="1"/>
    <x v="0"/>
    <n v="13"/>
    <n v="87538.35"/>
    <n v="255690.66"/>
    <x v="1"/>
  </r>
  <r>
    <x v="4"/>
    <x v="1"/>
    <x v="0"/>
    <x v="1"/>
    <x v="18"/>
    <x v="1"/>
    <x v="1"/>
    <n v="12"/>
    <n v="87780.23"/>
    <n v="254411.08"/>
    <x v="1"/>
  </r>
  <r>
    <x v="4"/>
    <x v="1"/>
    <x v="0"/>
    <x v="1"/>
    <x v="19"/>
    <x v="0"/>
    <x v="1"/>
    <n v="9"/>
    <n v="65242.96"/>
    <n v="272426.21000000002"/>
    <x v="1"/>
  </r>
  <r>
    <x v="4"/>
    <x v="1"/>
    <x v="0"/>
    <x v="1"/>
    <x v="19"/>
    <x v="1"/>
    <x v="0"/>
    <n v="14"/>
    <n v="106930.62"/>
    <n v="300022.78000000003"/>
    <x v="1"/>
  </r>
  <r>
    <x v="4"/>
    <x v="1"/>
    <x v="0"/>
    <x v="1"/>
    <x v="19"/>
    <x v="1"/>
    <x v="1"/>
    <n v="10"/>
    <n v="59652.78"/>
    <n v="170804.84"/>
    <x v="1"/>
  </r>
  <r>
    <x v="4"/>
    <x v="1"/>
    <x v="0"/>
    <x v="1"/>
    <x v="20"/>
    <x v="0"/>
    <x v="0"/>
    <n v="4"/>
    <n v="25004.51"/>
    <n v="107346.2"/>
    <x v="1"/>
  </r>
  <r>
    <x v="4"/>
    <x v="1"/>
    <x v="0"/>
    <x v="1"/>
    <x v="20"/>
    <x v="0"/>
    <x v="1"/>
    <n v="14"/>
    <n v="103628.88"/>
    <n v="453308.39"/>
    <x v="1"/>
  </r>
  <r>
    <x v="4"/>
    <x v="1"/>
    <x v="0"/>
    <x v="1"/>
    <x v="20"/>
    <x v="1"/>
    <x v="0"/>
    <n v="11"/>
    <n v="70971.53"/>
    <n v="204570.8"/>
    <x v="1"/>
  </r>
  <r>
    <x v="4"/>
    <x v="1"/>
    <x v="0"/>
    <x v="1"/>
    <x v="20"/>
    <x v="1"/>
    <x v="1"/>
    <n v="18"/>
    <n v="122485.2"/>
    <n v="350780.5"/>
    <x v="1"/>
  </r>
  <r>
    <x v="4"/>
    <x v="1"/>
    <x v="0"/>
    <x v="2"/>
    <x v="21"/>
    <x v="0"/>
    <x v="0"/>
    <n v="4"/>
    <n v="28516.44"/>
    <n v="120342.8"/>
    <x v="1"/>
  </r>
  <r>
    <x v="4"/>
    <x v="1"/>
    <x v="0"/>
    <x v="2"/>
    <x v="22"/>
    <x v="0"/>
    <x v="1"/>
    <n v="3"/>
    <n v="20785.97"/>
    <n v="88529.48"/>
    <x v="1"/>
  </r>
  <r>
    <x v="4"/>
    <x v="1"/>
    <x v="0"/>
    <x v="2"/>
    <x v="22"/>
    <x v="1"/>
    <x v="0"/>
    <n v="1"/>
    <n v="7636.02"/>
    <n v="19681.07"/>
    <x v="1"/>
  </r>
  <r>
    <x v="4"/>
    <x v="1"/>
    <x v="0"/>
    <x v="2"/>
    <x v="22"/>
    <x v="1"/>
    <x v="1"/>
    <n v="3"/>
    <n v="20412.46"/>
    <n v="46597.56"/>
    <x v="1"/>
  </r>
  <r>
    <x v="4"/>
    <x v="1"/>
    <x v="0"/>
    <x v="2"/>
    <x v="29"/>
    <x v="0"/>
    <x v="1"/>
    <n v="10"/>
    <n v="71270.34"/>
    <n v="296057.36"/>
    <x v="1"/>
  </r>
  <r>
    <x v="4"/>
    <x v="1"/>
    <x v="0"/>
    <x v="2"/>
    <x v="29"/>
    <x v="1"/>
    <x v="1"/>
    <n v="7"/>
    <n v="43568.72"/>
    <n v="118538.72"/>
    <x v="1"/>
  </r>
  <r>
    <x v="4"/>
    <x v="1"/>
    <x v="0"/>
    <x v="2"/>
    <x v="24"/>
    <x v="0"/>
    <x v="1"/>
    <n v="5"/>
    <n v="31653.15"/>
    <n v="131109.28"/>
    <x v="1"/>
  </r>
  <r>
    <x v="4"/>
    <x v="1"/>
    <x v="0"/>
    <x v="3"/>
    <x v="25"/>
    <x v="0"/>
    <x v="1"/>
    <n v="6"/>
    <n v="45809.56"/>
    <n v="185293.98"/>
    <x v="1"/>
  </r>
  <r>
    <x v="4"/>
    <x v="1"/>
    <x v="0"/>
    <x v="3"/>
    <x v="25"/>
    <x v="1"/>
    <x v="0"/>
    <n v="2"/>
    <n v="10910.2"/>
    <n v="32059.53"/>
    <x v="1"/>
  </r>
  <r>
    <x v="4"/>
    <x v="1"/>
    <x v="0"/>
    <x v="3"/>
    <x v="25"/>
    <x v="1"/>
    <x v="1"/>
    <n v="16"/>
    <n v="112703.48"/>
    <n v="303664.26"/>
    <x v="1"/>
  </r>
  <r>
    <x v="4"/>
    <x v="1"/>
    <x v="0"/>
    <x v="3"/>
    <x v="26"/>
    <x v="0"/>
    <x v="0"/>
    <n v="1"/>
    <n v="8449.7199999999993"/>
    <n v="32317.02"/>
    <x v="1"/>
  </r>
  <r>
    <x v="4"/>
    <x v="1"/>
    <x v="0"/>
    <x v="3"/>
    <x v="26"/>
    <x v="0"/>
    <x v="1"/>
    <n v="3"/>
    <n v="19918.14"/>
    <n v="85826.46"/>
    <x v="1"/>
  </r>
  <r>
    <x v="4"/>
    <x v="1"/>
    <x v="0"/>
    <x v="3"/>
    <x v="26"/>
    <x v="1"/>
    <x v="0"/>
    <n v="5"/>
    <n v="38748.5"/>
    <n v="107108.27"/>
    <x v="1"/>
  </r>
  <r>
    <x v="4"/>
    <x v="1"/>
    <x v="0"/>
    <x v="3"/>
    <x v="26"/>
    <x v="1"/>
    <x v="1"/>
    <n v="16"/>
    <n v="92137.03"/>
    <n v="269617.81"/>
    <x v="1"/>
  </r>
  <r>
    <x v="4"/>
    <x v="1"/>
    <x v="0"/>
    <x v="3"/>
    <x v="27"/>
    <x v="0"/>
    <x v="0"/>
    <n v="5"/>
    <n v="34272.14"/>
    <n v="143528.10999999999"/>
    <x v="1"/>
  </r>
  <r>
    <x v="4"/>
    <x v="1"/>
    <x v="0"/>
    <x v="3"/>
    <x v="27"/>
    <x v="0"/>
    <x v="1"/>
    <n v="11"/>
    <n v="78919.17"/>
    <n v="327378.75"/>
    <x v="1"/>
  </r>
  <r>
    <x v="4"/>
    <x v="1"/>
    <x v="0"/>
    <x v="3"/>
    <x v="27"/>
    <x v="1"/>
    <x v="0"/>
    <n v="6"/>
    <n v="42736.44"/>
    <n v="125602.16"/>
    <x v="1"/>
  </r>
  <r>
    <x v="4"/>
    <x v="1"/>
    <x v="0"/>
    <x v="3"/>
    <x v="27"/>
    <x v="1"/>
    <x v="1"/>
    <n v="33"/>
    <n v="241575.38"/>
    <n v="664775.18999999994"/>
    <x v="1"/>
  </r>
  <r>
    <x v="4"/>
    <x v="1"/>
    <x v="1"/>
    <x v="0"/>
    <x v="0"/>
    <x v="0"/>
    <x v="0"/>
    <n v="1"/>
    <n v="3321.66"/>
    <n v="11348.09"/>
    <x v="1"/>
  </r>
  <r>
    <x v="4"/>
    <x v="1"/>
    <x v="1"/>
    <x v="0"/>
    <x v="0"/>
    <x v="0"/>
    <x v="1"/>
    <n v="2"/>
    <n v="4643.1000000000004"/>
    <n v="14894.34"/>
    <x v="1"/>
  </r>
  <r>
    <x v="4"/>
    <x v="1"/>
    <x v="1"/>
    <x v="0"/>
    <x v="0"/>
    <x v="1"/>
    <x v="0"/>
    <n v="14"/>
    <n v="36944.32"/>
    <n v="81395.89"/>
    <x v="1"/>
  </r>
  <r>
    <x v="4"/>
    <x v="1"/>
    <x v="1"/>
    <x v="0"/>
    <x v="0"/>
    <x v="1"/>
    <x v="1"/>
    <n v="1"/>
    <n v="2088.66"/>
    <n v="4814.58"/>
    <x v="1"/>
  </r>
  <r>
    <x v="4"/>
    <x v="1"/>
    <x v="1"/>
    <x v="0"/>
    <x v="1"/>
    <x v="0"/>
    <x v="0"/>
    <n v="3"/>
    <n v="9378.17"/>
    <n v="31443.33"/>
    <x v="1"/>
  </r>
  <r>
    <x v="4"/>
    <x v="1"/>
    <x v="1"/>
    <x v="0"/>
    <x v="1"/>
    <x v="1"/>
    <x v="0"/>
    <n v="4"/>
    <n v="9177.36"/>
    <n v="20034.59"/>
    <x v="1"/>
  </r>
  <r>
    <x v="4"/>
    <x v="1"/>
    <x v="1"/>
    <x v="0"/>
    <x v="1"/>
    <x v="1"/>
    <x v="1"/>
    <n v="8"/>
    <n v="25535.07"/>
    <n v="55706.11"/>
    <x v="1"/>
  </r>
  <r>
    <x v="4"/>
    <x v="1"/>
    <x v="1"/>
    <x v="0"/>
    <x v="2"/>
    <x v="1"/>
    <x v="1"/>
    <n v="6"/>
    <n v="15173.65"/>
    <n v="30169.66"/>
    <x v="1"/>
  </r>
  <r>
    <x v="4"/>
    <x v="1"/>
    <x v="1"/>
    <x v="0"/>
    <x v="3"/>
    <x v="0"/>
    <x v="0"/>
    <n v="2"/>
    <n v="4295.26"/>
    <n v="14839.11"/>
    <x v="1"/>
  </r>
  <r>
    <x v="4"/>
    <x v="1"/>
    <x v="1"/>
    <x v="0"/>
    <x v="3"/>
    <x v="0"/>
    <x v="1"/>
    <n v="3"/>
    <n v="6219.5"/>
    <n v="21456.04"/>
    <x v="1"/>
  </r>
  <r>
    <x v="4"/>
    <x v="1"/>
    <x v="1"/>
    <x v="0"/>
    <x v="3"/>
    <x v="1"/>
    <x v="0"/>
    <n v="11"/>
    <n v="28770.51"/>
    <n v="64271.87"/>
    <x v="1"/>
  </r>
  <r>
    <x v="4"/>
    <x v="1"/>
    <x v="1"/>
    <x v="0"/>
    <x v="3"/>
    <x v="1"/>
    <x v="1"/>
    <n v="15"/>
    <n v="51684.59"/>
    <n v="106874.73"/>
    <x v="1"/>
  </r>
  <r>
    <x v="4"/>
    <x v="1"/>
    <x v="1"/>
    <x v="0"/>
    <x v="4"/>
    <x v="0"/>
    <x v="1"/>
    <n v="1"/>
    <n v="3195.49"/>
    <n v="11217.91"/>
    <x v="1"/>
  </r>
  <r>
    <x v="4"/>
    <x v="1"/>
    <x v="1"/>
    <x v="0"/>
    <x v="4"/>
    <x v="1"/>
    <x v="0"/>
    <n v="12"/>
    <n v="33649.94"/>
    <n v="71912.289999999994"/>
    <x v="1"/>
  </r>
  <r>
    <x v="4"/>
    <x v="1"/>
    <x v="1"/>
    <x v="0"/>
    <x v="4"/>
    <x v="1"/>
    <x v="1"/>
    <n v="8"/>
    <n v="24208.42"/>
    <n v="52140.97"/>
    <x v="1"/>
  </r>
  <r>
    <x v="4"/>
    <x v="1"/>
    <x v="1"/>
    <x v="0"/>
    <x v="5"/>
    <x v="1"/>
    <x v="0"/>
    <n v="3"/>
    <n v="10386.18"/>
    <n v="22435.17"/>
    <x v="1"/>
  </r>
  <r>
    <x v="4"/>
    <x v="1"/>
    <x v="1"/>
    <x v="0"/>
    <x v="5"/>
    <x v="1"/>
    <x v="1"/>
    <n v="14"/>
    <n v="36151.9"/>
    <n v="81662.070000000007"/>
    <x v="1"/>
  </r>
  <r>
    <x v="4"/>
    <x v="1"/>
    <x v="1"/>
    <x v="0"/>
    <x v="6"/>
    <x v="0"/>
    <x v="1"/>
    <n v="1"/>
    <n v="3484.61"/>
    <n v="11220.25"/>
    <x v="1"/>
  </r>
  <r>
    <x v="4"/>
    <x v="1"/>
    <x v="1"/>
    <x v="0"/>
    <x v="6"/>
    <x v="1"/>
    <x v="1"/>
    <n v="1"/>
    <n v="2348.3000000000002"/>
    <n v="4882.28"/>
    <x v="1"/>
  </r>
  <r>
    <x v="4"/>
    <x v="1"/>
    <x v="1"/>
    <x v="0"/>
    <x v="8"/>
    <x v="0"/>
    <x v="1"/>
    <n v="2"/>
    <n v="7054.44"/>
    <n v="22352.95"/>
    <x v="1"/>
  </r>
  <r>
    <x v="4"/>
    <x v="1"/>
    <x v="1"/>
    <x v="0"/>
    <x v="8"/>
    <x v="1"/>
    <x v="1"/>
    <n v="2"/>
    <n v="6729.92"/>
    <n v="14262.46"/>
    <x v="1"/>
  </r>
  <r>
    <x v="4"/>
    <x v="1"/>
    <x v="1"/>
    <x v="1"/>
    <x v="31"/>
    <x v="1"/>
    <x v="0"/>
    <n v="10"/>
    <n v="34795.22"/>
    <n v="81550.73"/>
    <x v="1"/>
  </r>
  <r>
    <x v="4"/>
    <x v="1"/>
    <x v="1"/>
    <x v="1"/>
    <x v="10"/>
    <x v="0"/>
    <x v="0"/>
    <n v="1"/>
    <n v="3510.54"/>
    <n v="11771.24"/>
    <x v="1"/>
  </r>
  <r>
    <x v="4"/>
    <x v="1"/>
    <x v="1"/>
    <x v="1"/>
    <x v="10"/>
    <x v="1"/>
    <x v="0"/>
    <n v="13"/>
    <n v="36707.870000000003"/>
    <n v="90050.74"/>
    <x v="1"/>
  </r>
  <r>
    <x v="4"/>
    <x v="1"/>
    <x v="1"/>
    <x v="1"/>
    <x v="10"/>
    <x v="1"/>
    <x v="1"/>
    <n v="13"/>
    <n v="28625.61"/>
    <n v="72279.94"/>
    <x v="1"/>
  </r>
  <r>
    <x v="4"/>
    <x v="1"/>
    <x v="1"/>
    <x v="1"/>
    <x v="11"/>
    <x v="0"/>
    <x v="1"/>
    <n v="6"/>
    <n v="16866.169999999998"/>
    <n v="58354.62"/>
    <x v="1"/>
  </r>
  <r>
    <x v="4"/>
    <x v="1"/>
    <x v="1"/>
    <x v="1"/>
    <x v="11"/>
    <x v="1"/>
    <x v="0"/>
    <n v="3"/>
    <n v="6586.63"/>
    <n v="14916.64"/>
    <x v="1"/>
  </r>
  <r>
    <x v="4"/>
    <x v="1"/>
    <x v="1"/>
    <x v="1"/>
    <x v="11"/>
    <x v="1"/>
    <x v="1"/>
    <n v="13"/>
    <n v="33083.83"/>
    <n v="77272.429999999993"/>
    <x v="1"/>
  </r>
  <r>
    <x v="4"/>
    <x v="1"/>
    <x v="1"/>
    <x v="1"/>
    <x v="12"/>
    <x v="1"/>
    <x v="0"/>
    <n v="5"/>
    <n v="17336.099999999999"/>
    <n v="40709.040000000001"/>
    <x v="1"/>
  </r>
  <r>
    <x v="4"/>
    <x v="1"/>
    <x v="1"/>
    <x v="1"/>
    <x v="13"/>
    <x v="0"/>
    <x v="1"/>
    <n v="1"/>
    <n v="3249.12"/>
    <n v="11679.13"/>
    <x v="1"/>
  </r>
  <r>
    <x v="4"/>
    <x v="1"/>
    <x v="1"/>
    <x v="1"/>
    <x v="13"/>
    <x v="1"/>
    <x v="1"/>
    <n v="11"/>
    <n v="35332.82"/>
    <n v="79719.149999999994"/>
    <x v="1"/>
  </r>
  <r>
    <x v="4"/>
    <x v="1"/>
    <x v="1"/>
    <x v="1"/>
    <x v="14"/>
    <x v="0"/>
    <x v="1"/>
    <n v="2"/>
    <n v="5315.38"/>
    <n v="19243.93"/>
    <x v="1"/>
  </r>
  <r>
    <x v="4"/>
    <x v="1"/>
    <x v="1"/>
    <x v="1"/>
    <x v="14"/>
    <x v="1"/>
    <x v="0"/>
    <n v="2"/>
    <n v="6574.46"/>
    <n v="15902.71"/>
    <x v="1"/>
  </r>
  <r>
    <x v="4"/>
    <x v="1"/>
    <x v="1"/>
    <x v="1"/>
    <x v="15"/>
    <x v="1"/>
    <x v="0"/>
    <n v="1"/>
    <n v="2163.2399999999998"/>
    <n v="5302.82"/>
    <x v="1"/>
  </r>
  <r>
    <x v="4"/>
    <x v="1"/>
    <x v="1"/>
    <x v="1"/>
    <x v="15"/>
    <x v="1"/>
    <x v="1"/>
    <n v="1"/>
    <n v="2326"/>
    <n v="5135.1400000000003"/>
    <x v="1"/>
  </r>
  <r>
    <x v="4"/>
    <x v="1"/>
    <x v="1"/>
    <x v="1"/>
    <x v="16"/>
    <x v="0"/>
    <x v="1"/>
    <n v="2"/>
    <n v="4107.1000000000004"/>
    <n v="14532.76"/>
    <x v="1"/>
  </r>
  <r>
    <x v="4"/>
    <x v="1"/>
    <x v="1"/>
    <x v="1"/>
    <x v="16"/>
    <x v="1"/>
    <x v="0"/>
    <n v="3"/>
    <n v="9739.35"/>
    <n v="22115.759999999998"/>
    <x v="1"/>
  </r>
  <r>
    <x v="4"/>
    <x v="1"/>
    <x v="1"/>
    <x v="1"/>
    <x v="16"/>
    <x v="1"/>
    <x v="1"/>
    <n v="4"/>
    <n v="10928.3"/>
    <n v="24542.99"/>
    <x v="1"/>
  </r>
  <r>
    <x v="4"/>
    <x v="1"/>
    <x v="1"/>
    <x v="1"/>
    <x v="17"/>
    <x v="0"/>
    <x v="1"/>
    <n v="1"/>
    <n v="3514.13"/>
    <n v="11738.64"/>
    <x v="1"/>
  </r>
  <r>
    <x v="4"/>
    <x v="1"/>
    <x v="1"/>
    <x v="1"/>
    <x v="17"/>
    <x v="1"/>
    <x v="0"/>
    <n v="7"/>
    <n v="15729.42"/>
    <n v="36848.93"/>
    <x v="1"/>
  </r>
  <r>
    <x v="4"/>
    <x v="1"/>
    <x v="1"/>
    <x v="1"/>
    <x v="17"/>
    <x v="1"/>
    <x v="1"/>
    <n v="1"/>
    <n v="2157.6999999999998"/>
    <n v="5111.13"/>
    <x v="1"/>
  </r>
  <r>
    <x v="4"/>
    <x v="1"/>
    <x v="1"/>
    <x v="1"/>
    <x v="18"/>
    <x v="0"/>
    <x v="1"/>
    <n v="9"/>
    <n v="26393.97"/>
    <n v="91544.86"/>
    <x v="1"/>
  </r>
  <r>
    <x v="4"/>
    <x v="1"/>
    <x v="1"/>
    <x v="1"/>
    <x v="18"/>
    <x v="1"/>
    <x v="0"/>
    <n v="4"/>
    <n v="8788.75"/>
    <n v="20646.91"/>
    <x v="1"/>
  </r>
  <r>
    <x v="4"/>
    <x v="1"/>
    <x v="1"/>
    <x v="1"/>
    <x v="18"/>
    <x v="1"/>
    <x v="1"/>
    <n v="29"/>
    <n v="75072.81"/>
    <n v="175384.66"/>
    <x v="1"/>
  </r>
  <r>
    <x v="4"/>
    <x v="1"/>
    <x v="1"/>
    <x v="1"/>
    <x v="19"/>
    <x v="0"/>
    <x v="1"/>
    <n v="8"/>
    <n v="20474.650000000001"/>
    <n v="70174.37"/>
    <x v="1"/>
  </r>
  <r>
    <x v="4"/>
    <x v="1"/>
    <x v="1"/>
    <x v="1"/>
    <x v="19"/>
    <x v="1"/>
    <x v="0"/>
    <n v="8"/>
    <n v="22258.86"/>
    <n v="50493.3"/>
    <x v="1"/>
  </r>
  <r>
    <x v="4"/>
    <x v="1"/>
    <x v="1"/>
    <x v="1"/>
    <x v="19"/>
    <x v="1"/>
    <x v="1"/>
    <n v="2"/>
    <n v="4599.2299999999996"/>
    <n v="9966.65"/>
    <x v="1"/>
  </r>
  <r>
    <x v="4"/>
    <x v="1"/>
    <x v="1"/>
    <x v="1"/>
    <x v="20"/>
    <x v="0"/>
    <x v="0"/>
    <n v="7"/>
    <n v="21265.96"/>
    <n v="74906.5"/>
    <x v="1"/>
  </r>
  <r>
    <x v="4"/>
    <x v="1"/>
    <x v="1"/>
    <x v="1"/>
    <x v="20"/>
    <x v="0"/>
    <x v="1"/>
    <n v="10"/>
    <n v="29058.75"/>
    <n v="101079.44"/>
    <x v="1"/>
  </r>
  <r>
    <x v="4"/>
    <x v="1"/>
    <x v="1"/>
    <x v="1"/>
    <x v="20"/>
    <x v="1"/>
    <x v="0"/>
    <n v="7"/>
    <n v="20804.68"/>
    <n v="46877.45"/>
    <x v="1"/>
  </r>
  <r>
    <x v="4"/>
    <x v="1"/>
    <x v="1"/>
    <x v="1"/>
    <x v="20"/>
    <x v="1"/>
    <x v="1"/>
    <n v="9"/>
    <n v="29019.95"/>
    <n v="65541.990000000005"/>
    <x v="1"/>
  </r>
  <r>
    <x v="4"/>
    <x v="1"/>
    <x v="1"/>
    <x v="2"/>
    <x v="21"/>
    <x v="0"/>
    <x v="0"/>
    <n v="1"/>
    <n v="3444.96"/>
    <n v="11329.37"/>
    <x v="1"/>
  </r>
  <r>
    <x v="4"/>
    <x v="1"/>
    <x v="1"/>
    <x v="2"/>
    <x v="22"/>
    <x v="0"/>
    <x v="1"/>
    <n v="2"/>
    <n v="4181.04"/>
    <n v="14704.62"/>
    <x v="1"/>
  </r>
  <r>
    <x v="4"/>
    <x v="1"/>
    <x v="1"/>
    <x v="2"/>
    <x v="22"/>
    <x v="1"/>
    <x v="0"/>
    <n v="1"/>
    <n v="3215.56"/>
    <n v="6910.98"/>
    <x v="1"/>
  </r>
  <r>
    <x v="4"/>
    <x v="1"/>
    <x v="1"/>
    <x v="2"/>
    <x v="22"/>
    <x v="1"/>
    <x v="1"/>
    <n v="6"/>
    <n v="12946.07"/>
    <n v="27143.23"/>
    <x v="1"/>
  </r>
  <r>
    <x v="4"/>
    <x v="1"/>
    <x v="1"/>
    <x v="2"/>
    <x v="29"/>
    <x v="0"/>
    <x v="1"/>
    <n v="1"/>
    <n v="3254.37"/>
    <n v="11199.57"/>
    <x v="1"/>
  </r>
  <r>
    <x v="4"/>
    <x v="1"/>
    <x v="1"/>
    <x v="2"/>
    <x v="29"/>
    <x v="1"/>
    <x v="1"/>
    <n v="8"/>
    <n v="17737.87"/>
    <n v="38343.269999999997"/>
    <x v="1"/>
  </r>
  <r>
    <x v="4"/>
    <x v="1"/>
    <x v="1"/>
    <x v="2"/>
    <x v="23"/>
    <x v="1"/>
    <x v="1"/>
    <n v="2"/>
    <n v="6532.92"/>
    <n v="14253.79"/>
    <x v="1"/>
  </r>
  <r>
    <x v="4"/>
    <x v="1"/>
    <x v="1"/>
    <x v="2"/>
    <x v="24"/>
    <x v="0"/>
    <x v="1"/>
    <n v="2"/>
    <n v="4323.26"/>
    <n v="14890.07"/>
    <x v="1"/>
  </r>
  <r>
    <x v="4"/>
    <x v="1"/>
    <x v="1"/>
    <x v="2"/>
    <x v="24"/>
    <x v="1"/>
    <x v="0"/>
    <n v="7"/>
    <n v="18945.89"/>
    <n v="39031.61"/>
    <x v="1"/>
  </r>
  <r>
    <x v="4"/>
    <x v="1"/>
    <x v="1"/>
    <x v="2"/>
    <x v="24"/>
    <x v="1"/>
    <x v="1"/>
    <n v="5"/>
    <n v="13590.02"/>
    <n v="27689.32"/>
    <x v="1"/>
  </r>
  <r>
    <x v="4"/>
    <x v="1"/>
    <x v="1"/>
    <x v="3"/>
    <x v="25"/>
    <x v="0"/>
    <x v="1"/>
    <n v="1"/>
    <n v="2306.16"/>
    <n v="7447.17"/>
    <x v="1"/>
  </r>
  <r>
    <x v="4"/>
    <x v="1"/>
    <x v="1"/>
    <x v="3"/>
    <x v="25"/>
    <x v="1"/>
    <x v="0"/>
    <n v="4"/>
    <n v="13417.84"/>
    <n v="31098.66"/>
    <x v="1"/>
  </r>
  <r>
    <x v="4"/>
    <x v="1"/>
    <x v="1"/>
    <x v="3"/>
    <x v="25"/>
    <x v="1"/>
    <x v="1"/>
    <n v="9"/>
    <n v="20124.05"/>
    <n v="45489"/>
    <x v="1"/>
  </r>
  <r>
    <x v="4"/>
    <x v="1"/>
    <x v="1"/>
    <x v="3"/>
    <x v="26"/>
    <x v="0"/>
    <x v="0"/>
    <n v="3"/>
    <n v="9068.48"/>
    <n v="30252.49"/>
    <x v="1"/>
  </r>
  <r>
    <x v="4"/>
    <x v="1"/>
    <x v="1"/>
    <x v="3"/>
    <x v="26"/>
    <x v="0"/>
    <x v="1"/>
    <n v="1"/>
    <n v="1990.94"/>
    <n v="7080.87"/>
    <x v="1"/>
  </r>
  <r>
    <x v="4"/>
    <x v="1"/>
    <x v="1"/>
    <x v="3"/>
    <x v="26"/>
    <x v="1"/>
    <x v="1"/>
    <n v="22"/>
    <n v="64012.54"/>
    <n v="146835.72"/>
    <x v="1"/>
  </r>
  <r>
    <x v="4"/>
    <x v="1"/>
    <x v="1"/>
    <x v="3"/>
    <x v="27"/>
    <x v="0"/>
    <x v="1"/>
    <n v="3"/>
    <n v="8942.82"/>
    <n v="30048.880000000001"/>
    <x v="1"/>
  </r>
  <r>
    <x v="4"/>
    <x v="1"/>
    <x v="1"/>
    <x v="3"/>
    <x v="27"/>
    <x v="1"/>
    <x v="0"/>
    <n v="1"/>
    <n v="1937.14"/>
    <n v="4784.45"/>
    <x v="1"/>
  </r>
  <r>
    <x v="4"/>
    <x v="1"/>
    <x v="1"/>
    <x v="3"/>
    <x v="27"/>
    <x v="1"/>
    <x v="1"/>
    <n v="14"/>
    <n v="37719.279999999999"/>
    <n v="85836.49"/>
    <x v="1"/>
  </r>
  <r>
    <x v="4"/>
    <x v="1"/>
    <x v="2"/>
    <x v="0"/>
    <x v="0"/>
    <x v="0"/>
    <x v="1"/>
    <n v="1"/>
    <n v="4710.92"/>
    <n v="19863.349999999999"/>
    <x v="1"/>
  </r>
  <r>
    <x v="4"/>
    <x v="1"/>
    <x v="2"/>
    <x v="0"/>
    <x v="0"/>
    <x v="1"/>
    <x v="0"/>
    <n v="8"/>
    <n v="45147.66"/>
    <n v="126284.79"/>
    <x v="1"/>
  </r>
  <r>
    <x v="4"/>
    <x v="1"/>
    <x v="2"/>
    <x v="0"/>
    <x v="0"/>
    <x v="1"/>
    <x v="1"/>
    <n v="13"/>
    <n v="66892.05"/>
    <n v="185086.9"/>
    <x v="1"/>
  </r>
  <r>
    <x v="4"/>
    <x v="1"/>
    <x v="2"/>
    <x v="0"/>
    <x v="1"/>
    <x v="0"/>
    <x v="0"/>
    <n v="7"/>
    <n v="44741.66"/>
    <n v="191295.95"/>
    <x v="1"/>
  </r>
  <r>
    <x v="4"/>
    <x v="1"/>
    <x v="2"/>
    <x v="0"/>
    <x v="1"/>
    <x v="0"/>
    <x v="1"/>
    <n v="6"/>
    <n v="36671.300000000003"/>
    <n v="168146.37"/>
    <x v="1"/>
  </r>
  <r>
    <x v="4"/>
    <x v="1"/>
    <x v="2"/>
    <x v="0"/>
    <x v="1"/>
    <x v="1"/>
    <x v="0"/>
    <n v="1"/>
    <n v="5877.01"/>
    <n v="14851.89"/>
    <x v="1"/>
  </r>
  <r>
    <x v="4"/>
    <x v="1"/>
    <x v="2"/>
    <x v="0"/>
    <x v="1"/>
    <x v="1"/>
    <x v="1"/>
    <n v="27"/>
    <n v="153475.35"/>
    <n v="441480.52"/>
    <x v="1"/>
  </r>
  <r>
    <x v="4"/>
    <x v="1"/>
    <x v="2"/>
    <x v="0"/>
    <x v="2"/>
    <x v="0"/>
    <x v="1"/>
    <n v="5"/>
    <n v="29557.63"/>
    <n v="124097.19"/>
    <x v="1"/>
  </r>
  <r>
    <x v="4"/>
    <x v="1"/>
    <x v="2"/>
    <x v="0"/>
    <x v="2"/>
    <x v="1"/>
    <x v="0"/>
    <n v="17"/>
    <n v="88445.16"/>
    <n v="214625.81"/>
    <x v="1"/>
  </r>
  <r>
    <x v="4"/>
    <x v="1"/>
    <x v="2"/>
    <x v="0"/>
    <x v="2"/>
    <x v="1"/>
    <x v="1"/>
    <n v="36"/>
    <n v="187992.36"/>
    <n v="479705.29"/>
    <x v="1"/>
  </r>
  <r>
    <x v="4"/>
    <x v="1"/>
    <x v="2"/>
    <x v="0"/>
    <x v="3"/>
    <x v="0"/>
    <x v="1"/>
    <n v="7"/>
    <n v="33767.07"/>
    <n v="141647.26"/>
    <x v="1"/>
  </r>
  <r>
    <x v="4"/>
    <x v="1"/>
    <x v="2"/>
    <x v="0"/>
    <x v="3"/>
    <x v="1"/>
    <x v="0"/>
    <n v="11"/>
    <n v="64062.11"/>
    <n v="177788.54"/>
    <x v="1"/>
  </r>
  <r>
    <x v="4"/>
    <x v="1"/>
    <x v="2"/>
    <x v="0"/>
    <x v="3"/>
    <x v="1"/>
    <x v="1"/>
    <n v="27"/>
    <n v="146835.12"/>
    <n v="405321.46"/>
    <x v="1"/>
  </r>
  <r>
    <x v="4"/>
    <x v="1"/>
    <x v="2"/>
    <x v="0"/>
    <x v="28"/>
    <x v="1"/>
    <x v="1"/>
    <n v="5"/>
    <n v="22072.5"/>
    <n v="62083.06"/>
    <x v="1"/>
  </r>
  <r>
    <x v="4"/>
    <x v="1"/>
    <x v="2"/>
    <x v="0"/>
    <x v="4"/>
    <x v="0"/>
    <x v="1"/>
    <n v="2"/>
    <n v="14830.59"/>
    <n v="61068.98"/>
    <x v="1"/>
  </r>
  <r>
    <x v="4"/>
    <x v="1"/>
    <x v="2"/>
    <x v="0"/>
    <x v="4"/>
    <x v="1"/>
    <x v="0"/>
    <n v="10"/>
    <n v="53369.42"/>
    <n v="133818.9"/>
    <x v="1"/>
  </r>
  <r>
    <x v="4"/>
    <x v="1"/>
    <x v="2"/>
    <x v="0"/>
    <x v="4"/>
    <x v="1"/>
    <x v="1"/>
    <n v="2"/>
    <n v="9689.44"/>
    <n v="28299.42"/>
    <x v="1"/>
  </r>
  <r>
    <x v="4"/>
    <x v="1"/>
    <x v="2"/>
    <x v="0"/>
    <x v="5"/>
    <x v="0"/>
    <x v="1"/>
    <n v="4"/>
    <n v="22315.43"/>
    <n v="91045.69"/>
    <x v="1"/>
  </r>
  <r>
    <x v="4"/>
    <x v="1"/>
    <x v="2"/>
    <x v="0"/>
    <x v="5"/>
    <x v="1"/>
    <x v="0"/>
    <n v="5"/>
    <n v="25439.3"/>
    <n v="60150.39"/>
    <x v="1"/>
  </r>
  <r>
    <x v="4"/>
    <x v="1"/>
    <x v="2"/>
    <x v="0"/>
    <x v="5"/>
    <x v="1"/>
    <x v="1"/>
    <n v="10"/>
    <n v="53592.1"/>
    <n v="141604.21"/>
    <x v="1"/>
  </r>
  <r>
    <x v="4"/>
    <x v="1"/>
    <x v="2"/>
    <x v="0"/>
    <x v="6"/>
    <x v="0"/>
    <x v="1"/>
    <n v="2"/>
    <n v="9802.65"/>
    <n v="40125.03"/>
    <x v="1"/>
  </r>
  <r>
    <x v="4"/>
    <x v="1"/>
    <x v="2"/>
    <x v="0"/>
    <x v="7"/>
    <x v="1"/>
    <x v="1"/>
    <n v="6"/>
    <n v="28747.89"/>
    <n v="80813.259999999995"/>
    <x v="1"/>
  </r>
  <r>
    <x v="4"/>
    <x v="1"/>
    <x v="2"/>
    <x v="0"/>
    <x v="8"/>
    <x v="0"/>
    <x v="1"/>
    <n v="1"/>
    <n v="4367.0600000000004"/>
    <n v="18917.48"/>
    <x v="1"/>
  </r>
  <r>
    <x v="4"/>
    <x v="1"/>
    <x v="2"/>
    <x v="0"/>
    <x v="8"/>
    <x v="1"/>
    <x v="1"/>
    <n v="3"/>
    <n v="21892.080000000002"/>
    <n v="58538.8"/>
    <x v="1"/>
  </r>
  <r>
    <x v="4"/>
    <x v="1"/>
    <x v="2"/>
    <x v="1"/>
    <x v="31"/>
    <x v="1"/>
    <x v="0"/>
    <n v="2"/>
    <n v="10421.719999999999"/>
    <n v="28905.46"/>
    <x v="1"/>
  </r>
  <r>
    <x v="4"/>
    <x v="1"/>
    <x v="2"/>
    <x v="1"/>
    <x v="10"/>
    <x v="0"/>
    <x v="1"/>
    <n v="6"/>
    <n v="31061.98"/>
    <n v="137222.32"/>
    <x v="1"/>
  </r>
  <r>
    <x v="4"/>
    <x v="1"/>
    <x v="2"/>
    <x v="1"/>
    <x v="10"/>
    <x v="1"/>
    <x v="0"/>
    <n v="2"/>
    <n v="12068.47"/>
    <n v="35738.89"/>
    <x v="1"/>
  </r>
  <r>
    <x v="4"/>
    <x v="1"/>
    <x v="2"/>
    <x v="1"/>
    <x v="10"/>
    <x v="1"/>
    <x v="1"/>
    <n v="51"/>
    <n v="272709.63"/>
    <n v="811885.65"/>
    <x v="1"/>
  </r>
  <r>
    <x v="4"/>
    <x v="1"/>
    <x v="2"/>
    <x v="1"/>
    <x v="11"/>
    <x v="0"/>
    <x v="1"/>
    <n v="11"/>
    <n v="59338.239999999998"/>
    <n v="246028.79"/>
    <x v="1"/>
  </r>
  <r>
    <x v="4"/>
    <x v="1"/>
    <x v="2"/>
    <x v="1"/>
    <x v="11"/>
    <x v="1"/>
    <x v="0"/>
    <n v="7"/>
    <n v="30677.34"/>
    <n v="91972.17"/>
    <x v="1"/>
  </r>
  <r>
    <x v="4"/>
    <x v="1"/>
    <x v="2"/>
    <x v="1"/>
    <x v="11"/>
    <x v="1"/>
    <x v="1"/>
    <n v="17"/>
    <n v="91618.91"/>
    <n v="266696.76"/>
    <x v="1"/>
  </r>
  <r>
    <x v="4"/>
    <x v="1"/>
    <x v="2"/>
    <x v="1"/>
    <x v="13"/>
    <x v="0"/>
    <x v="1"/>
    <n v="2"/>
    <n v="9508.2900000000009"/>
    <n v="41599.129999999997"/>
    <x v="1"/>
  </r>
  <r>
    <x v="4"/>
    <x v="1"/>
    <x v="2"/>
    <x v="1"/>
    <x v="13"/>
    <x v="1"/>
    <x v="1"/>
    <n v="8"/>
    <n v="43740.81"/>
    <n v="122593.17"/>
    <x v="1"/>
  </r>
  <r>
    <x v="4"/>
    <x v="1"/>
    <x v="2"/>
    <x v="1"/>
    <x v="14"/>
    <x v="0"/>
    <x v="1"/>
    <n v="2"/>
    <n v="9275.42"/>
    <n v="39803.93"/>
    <x v="1"/>
  </r>
  <r>
    <x v="4"/>
    <x v="1"/>
    <x v="2"/>
    <x v="1"/>
    <x v="14"/>
    <x v="1"/>
    <x v="0"/>
    <n v="19"/>
    <n v="99954.94"/>
    <n v="291229.83"/>
    <x v="1"/>
  </r>
  <r>
    <x v="4"/>
    <x v="1"/>
    <x v="2"/>
    <x v="1"/>
    <x v="14"/>
    <x v="1"/>
    <x v="1"/>
    <n v="3"/>
    <n v="18691.12"/>
    <n v="51053.06"/>
    <x v="1"/>
  </r>
  <r>
    <x v="4"/>
    <x v="1"/>
    <x v="2"/>
    <x v="1"/>
    <x v="15"/>
    <x v="1"/>
    <x v="0"/>
    <n v="4"/>
    <n v="18850.48"/>
    <n v="57841.14"/>
    <x v="1"/>
  </r>
  <r>
    <x v="4"/>
    <x v="1"/>
    <x v="2"/>
    <x v="1"/>
    <x v="15"/>
    <x v="1"/>
    <x v="1"/>
    <n v="1"/>
    <n v="4920.6000000000004"/>
    <n v="13655.97"/>
    <x v="1"/>
  </r>
  <r>
    <x v="4"/>
    <x v="1"/>
    <x v="2"/>
    <x v="1"/>
    <x v="16"/>
    <x v="0"/>
    <x v="1"/>
    <n v="2"/>
    <n v="9942.6"/>
    <n v="44464.34"/>
    <x v="1"/>
  </r>
  <r>
    <x v="4"/>
    <x v="1"/>
    <x v="2"/>
    <x v="1"/>
    <x v="16"/>
    <x v="1"/>
    <x v="0"/>
    <n v="3"/>
    <n v="14662.99"/>
    <n v="38995.51"/>
    <x v="1"/>
  </r>
  <r>
    <x v="4"/>
    <x v="1"/>
    <x v="2"/>
    <x v="1"/>
    <x v="16"/>
    <x v="1"/>
    <x v="1"/>
    <n v="15"/>
    <n v="86172.86"/>
    <n v="227026.16"/>
    <x v="1"/>
  </r>
  <r>
    <x v="4"/>
    <x v="1"/>
    <x v="2"/>
    <x v="1"/>
    <x v="17"/>
    <x v="1"/>
    <x v="0"/>
    <n v="8"/>
    <n v="55094.95"/>
    <n v="152404.59"/>
    <x v="1"/>
  </r>
  <r>
    <x v="4"/>
    <x v="1"/>
    <x v="2"/>
    <x v="1"/>
    <x v="17"/>
    <x v="1"/>
    <x v="1"/>
    <n v="7"/>
    <n v="41427.519999999997"/>
    <n v="114635.34"/>
    <x v="1"/>
  </r>
  <r>
    <x v="4"/>
    <x v="1"/>
    <x v="2"/>
    <x v="1"/>
    <x v="18"/>
    <x v="0"/>
    <x v="1"/>
    <n v="12"/>
    <n v="65651.19"/>
    <n v="279805.09000000003"/>
    <x v="1"/>
  </r>
  <r>
    <x v="4"/>
    <x v="1"/>
    <x v="2"/>
    <x v="1"/>
    <x v="18"/>
    <x v="1"/>
    <x v="0"/>
    <n v="2"/>
    <n v="8416.7999999999993"/>
    <n v="27030.81"/>
    <x v="1"/>
  </r>
  <r>
    <x v="4"/>
    <x v="1"/>
    <x v="2"/>
    <x v="1"/>
    <x v="18"/>
    <x v="1"/>
    <x v="1"/>
    <n v="36"/>
    <n v="197710.91"/>
    <n v="577770.07999999996"/>
    <x v="1"/>
  </r>
  <r>
    <x v="4"/>
    <x v="1"/>
    <x v="2"/>
    <x v="1"/>
    <x v="19"/>
    <x v="0"/>
    <x v="1"/>
    <n v="5"/>
    <n v="28991.67"/>
    <n v="112558.53"/>
    <x v="1"/>
  </r>
  <r>
    <x v="4"/>
    <x v="1"/>
    <x v="2"/>
    <x v="1"/>
    <x v="19"/>
    <x v="1"/>
    <x v="0"/>
    <n v="6"/>
    <n v="36229.839999999997"/>
    <n v="101355.62"/>
    <x v="1"/>
  </r>
  <r>
    <x v="4"/>
    <x v="1"/>
    <x v="2"/>
    <x v="1"/>
    <x v="19"/>
    <x v="1"/>
    <x v="1"/>
    <n v="17"/>
    <n v="79662.19"/>
    <n v="222739.58"/>
    <x v="1"/>
  </r>
  <r>
    <x v="4"/>
    <x v="1"/>
    <x v="2"/>
    <x v="1"/>
    <x v="20"/>
    <x v="0"/>
    <x v="0"/>
    <n v="1"/>
    <n v="5691.38"/>
    <n v="23248.16"/>
    <x v="1"/>
  </r>
  <r>
    <x v="4"/>
    <x v="1"/>
    <x v="2"/>
    <x v="1"/>
    <x v="20"/>
    <x v="0"/>
    <x v="1"/>
    <n v="14"/>
    <n v="69188.009999999995"/>
    <n v="297271.42"/>
    <x v="1"/>
  </r>
  <r>
    <x v="4"/>
    <x v="1"/>
    <x v="2"/>
    <x v="1"/>
    <x v="20"/>
    <x v="1"/>
    <x v="0"/>
    <n v="19"/>
    <n v="102088.76"/>
    <n v="290253.43"/>
    <x v="1"/>
  </r>
  <r>
    <x v="4"/>
    <x v="1"/>
    <x v="2"/>
    <x v="1"/>
    <x v="20"/>
    <x v="1"/>
    <x v="1"/>
    <n v="30"/>
    <n v="155312.03"/>
    <n v="451945.39"/>
    <x v="1"/>
  </r>
  <r>
    <x v="4"/>
    <x v="1"/>
    <x v="2"/>
    <x v="2"/>
    <x v="21"/>
    <x v="0"/>
    <x v="0"/>
    <n v="9"/>
    <n v="42802.83"/>
    <n v="177931.19"/>
    <x v="1"/>
  </r>
  <r>
    <x v="4"/>
    <x v="1"/>
    <x v="2"/>
    <x v="2"/>
    <x v="21"/>
    <x v="1"/>
    <x v="1"/>
    <n v="2"/>
    <n v="8643.98"/>
    <n v="23354.6"/>
    <x v="1"/>
  </r>
  <r>
    <x v="4"/>
    <x v="1"/>
    <x v="2"/>
    <x v="2"/>
    <x v="22"/>
    <x v="0"/>
    <x v="1"/>
    <n v="1"/>
    <n v="7725.4"/>
    <n v="30639.69"/>
    <x v="1"/>
  </r>
  <r>
    <x v="4"/>
    <x v="1"/>
    <x v="2"/>
    <x v="2"/>
    <x v="22"/>
    <x v="1"/>
    <x v="1"/>
    <n v="32"/>
    <n v="169049.44"/>
    <n v="427300.36"/>
    <x v="1"/>
  </r>
  <r>
    <x v="4"/>
    <x v="1"/>
    <x v="2"/>
    <x v="2"/>
    <x v="29"/>
    <x v="0"/>
    <x v="1"/>
    <n v="3"/>
    <n v="20616.650000000001"/>
    <n v="80610.09"/>
    <x v="1"/>
  </r>
  <r>
    <x v="4"/>
    <x v="1"/>
    <x v="2"/>
    <x v="2"/>
    <x v="29"/>
    <x v="1"/>
    <x v="1"/>
    <n v="3"/>
    <n v="14418.45"/>
    <n v="39107.64"/>
    <x v="1"/>
  </r>
  <r>
    <x v="4"/>
    <x v="1"/>
    <x v="2"/>
    <x v="2"/>
    <x v="24"/>
    <x v="0"/>
    <x v="1"/>
    <n v="4"/>
    <n v="18963.14"/>
    <n v="80022.070000000007"/>
    <x v="1"/>
  </r>
  <r>
    <x v="4"/>
    <x v="1"/>
    <x v="2"/>
    <x v="2"/>
    <x v="24"/>
    <x v="1"/>
    <x v="0"/>
    <n v="2"/>
    <n v="11546.5"/>
    <n v="27303.24"/>
    <x v="1"/>
  </r>
  <r>
    <x v="4"/>
    <x v="1"/>
    <x v="2"/>
    <x v="2"/>
    <x v="24"/>
    <x v="1"/>
    <x v="1"/>
    <n v="4"/>
    <n v="19748.259999999998"/>
    <n v="50361.08"/>
    <x v="1"/>
  </r>
  <r>
    <x v="4"/>
    <x v="1"/>
    <x v="2"/>
    <x v="3"/>
    <x v="25"/>
    <x v="1"/>
    <x v="0"/>
    <n v="7"/>
    <n v="39526.050000000003"/>
    <n v="107858.21"/>
    <x v="1"/>
  </r>
  <r>
    <x v="4"/>
    <x v="1"/>
    <x v="2"/>
    <x v="3"/>
    <x v="25"/>
    <x v="1"/>
    <x v="1"/>
    <n v="6"/>
    <n v="36229.72"/>
    <n v="102289.42"/>
    <x v="1"/>
  </r>
  <r>
    <x v="4"/>
    <x v="1"/>
    <x v="2"/>
    <x v="3"/>
    <x v="26"/>
    <x v="0"/>
    <x v="0"/>
    <n v="3"/>
    <n v="16391"/>
    <n v="71079.429999999993"/>
    <x v="1"/>
  </r>
  <r>
    <x v="4"/>
    <x v="1"/>
    <x v="2"/>
    <x v="3"/>
    <x v="26"/>
    <x v="0"/>
    <x v="1"/>
    <n v="1"/>
    <n v="4320.9399999999996"/>
    <n v="19117.330000000002"/>
    <x v="1"/>
  </r>
  <r>
    <x v="4"/>
    <x v="1"/>
    <x v="2"/>
    <x v="3"/>
    <x v="26"/>
    <x v="1"/>
    <x v="0"/>
    <n v="3"/>
    <n v="15180.3"/>
    <n v="39868.01"/>
    <x v="1"/>
  </r>
  <r>
    <x v="4"/>
    <x v="1"/>
    <x v="2"/>
    <x v="3"/>
    <x v="26"/>
    <x v="1"/>
    <x v="1"/>
    <n v="34"/>
    <n v="191948.4"/>
    <n v="542794.21"/>
    <x v="1"/>
  </r>
  <r>
    <x v="4"/>
    <x v="1"/>
    <x v="2"/>
    <x v="3"/>
    <x v="27"/>
    <x v="0"/>
    <x v="0"/>
    <n v="1"/>
    <n v="5621"/>
    <n v="21878.36"/>
    <x v="1"/>
  </r>
  <r>
    <x v="4"/>
    <x v="1"/>
    <x v="2"/>
    <x v="3"/>
    <x v="27"/>
    <x v="0"/>
    <x v="1"/>
    <n v="10"/>
    <n v="52826.45"/>
    <n v="221024.06"/>
    <x v="1"/>
  </r>
  <r>
    <x v="4"/>
    <x v="1"/>
    <x v="2"/>
    <x v="3"/>
    <x v="27"/>
    <x v="1"/>
    <x v="0"/>
    <n v="15"/>
    <n v="83787.98"/>
    <n v="232307.65"/>
    <x v="1"/>
  </r>
  <r>
    <x v="4"/>
    <x v="1"/>
    <x v="2"/>
    <x v="3"/>
    <x v="27"/>
    <x v="1"/>
    <x v="1"/>
    <n v="47"/>
    <n v="260135.53"/>
    <n v="740135.76"/>
    <x v="1"/>
  </r>
  <r>
    <x v="4"/>
    <x v="1"/>
    <x v="3"/>
    <x v="0"/>
    <x v="0"/>
    <x v="0"/>
    <x v="0"/>
    <n v="2"/>
    <n v="14552.61"/>
    <n v="59534.35"/>
    <x v="1"/>
  </r>
  <r>
    <x v="4"/>
    <x v="1"/>
    <x v="3"/>
    <x v="0"/>
    <x v="0"/>
    <x v="0"/>
    <x v="1"/>
    <n v="5"/>
    <n v="35891.56"/>
    <n v="154196.82"/>
    <x v="1"/>
  </r>
  <r>
    <x v="4"/>
    <x v="1"/>
    <x v="3"/>
    <x v="0"/>
    <x v="0"/>
    <x v="1"/>
    <x v="0"/>
    <n v="5"/>
    <n v="35555.230000000003"/>
    <n v="101258.71"/>
    <x v="1"/>
  </r>
  <r>
    <x v="4"/>
    <x v="1"/>
    <x v="3"/>
    <x v="0"/>
    <x v="0"/>
    <x v="1"/>
    <x v="1"/>
    <n v="7"/>
    <n v="40155.01"/>
    <n v="112808.6"/>
    <x v="1"/>
  </r>
  <r>
    <x v="4"/>
    <x v="1"/>
    <x v="3"/>
    <x v="0"/>
    <x v="1"/>
    <x v="0"/>
    <x v="0"/>
    <n v="9"/>
    <n v="59290.63"/>
    <n v="273787.56"/>
    <x v="1"/>
  </r>
  <r>
    <x v="4"/>
    <x v="1"/>
    <x v="3"/>
    <x v="0"/>
    <x v="1"/>
    <x v="0"/>
    <x v="1"/>
    <n v="6"/>
    <n v="38495.83"/>
    <n v="174168.06"/>
    <x v="1"/>
  </r>
  <r>
    <x v="4"/>
    <x v="1"/>
    <x v="3"/>
    <x v="0"/>
    <x v="1"/>
    <x v="1"/>
    <x v="0"/>
    <n v="9"/>
    <n v="61763.05"/>
    <n v="183679.12"/>
    <x v="1"/>
  </r>
  <r>
    <x v="4"/>
    <x v="1"/>
    <x v="3"/>
    <x v="0"/>
    <x v="1"/>
    <x v="1"/>
    <x v="1"/>
    <n v="14"/>
    <n v="83403.86"/>
    <n v="247437.76"/>
    <x v="1"/>
  </r>
  <r>
    <x v="4"/>
    <x v="1"/>
    <x v="3"/>
    <x v="0"/>
    <x v="2"/>
    <x v="0"/>
    <x v="1"/>
    <n v="8"/>
    <n v="49514.879999999997"/>
    <n v="216236.53"/>
    <x v="1"/>
  </r>
  <r>
    <x v="4"/>
    <x v="1"/>
    <x v="3"/>
    <x v="0"/>
    <x v="2"/>
    <x v="1"/>
    <x v="0"/>
    <n v="4"/>
    <n v="24101.02"/>
    <n v="63300.57"/>
    <x v="1"/>
  </r>
  <r>
    <x v="4"/>
    <x v="1"/>
    <x v="3"/>
    <x v="0"/>
    <x v="2"/>
    <x v="1"/>
    <x v="1"/>
    <n v="10"/>
    <n v="53933.66"/>
    <n v="150913.63"/>
    <x v="1"/>
  </r>
  <r>
    <x v="4"/>
    <x v="1"/>
    <x v="3"/>
    <x v="0"/>
    <x v="3"/>
    <x v="0"/>
    <x v="0"/>
    <n v="2"/>
    <n v="12232.14"/>
    <n v="56722.17"/>
    <x v="1"/>
  </r>
  <r>
    <x v="4"/>
    <x v="1"/>
    <x v="3"/>
    <x v="0"/>
    <x v="3"/>
    <x v="0"/>
    <x v="1"/>
    <n v="11"/>
    <n v="61850.33"/>
    <n v="278379.40000000002"/>
    <x v="1"/>
  </r>
  <r>
    <x v="4"/>
    <x v="1"/>
    <x v="3"/>
    <x v="0"/>
    <x v="3"/>
    <x v="1"/>
    <x v="0"/>
    <n v="10"/>
    <n v="56941.919999999998"/>
    <n v="160167.54"/>
    <x v="1"/>
  </r>
  <r>
    <x v="4"/>
    <x v="1"/>
    <x v="3"/>
    <x v="0"/>
    <x v="3"/>
    <x v="1"/>
    <x v="1"/>
    <n v="11"/>
    <n v="62088.78"/>
    <n v="177023.68"/>
    <x v="1"/>
  </r>
  <r>
    <x v="4"/>
    <x v="1"/>
    <x v="3"/>
    <x v="0"/>
    <x v="4"/>
    <x v="0"/>
    <x v="1"/>
    <n v="1"/>
    <n v="5812.67"/>
    <n v="25444.22"/>
    <x v="1"/>
  </r>
  <r>
    <x v="4"/>
    <x v="1"/>
    <x v="3"/>
    <x v="0"/>
    <x v="4"/>
    <x v="1"/>
    <x v="0"/>
    <n v="2"/>
    <n v="9958.14"/>
    <n v="28068.74"/>
    <x v="1"/>
  </r>
  <r>
    <x v="4"/>
    <x v="1"/>
    <x v="3"/>
    <x v="0"/>
    <x v="4"/>
    <x v="1"/>
    <x v="1"/>
    <n v="11"/>
    <n v="73499.509999999995"/>
    <n v="208413.09"/>
    <x v="1"/>
  </r>
  <r>
    <x v="4"/>
    <x v="1"/>
    <x v="3"/>
    <x v="0"/>
    <x v="5"/>
    <x v="0"/>
    <x v="1"/>
    <n v="5"/>
    <n v="27670.09"/>
    <n v="126698.42"/>
    <x v="1"/>
  </r>
  <r>
    <x v="4"/>
    <x v="1"/>
    <x v="3"/>
    <x v="0"/>
    <x v="5"/>
    <x v="1"/>
    <x v="1"/>
    <n v="17"/>
    <n v="94668.9"/>
    <n v="279730.17"/>
    <x v="1"/>
  </r>
  <r>
    <x v="4"/>
    <x v="1"/>
    <x v="3"/>
    <x v="0"/>
    <x v="6"/>
    <x v="0"/>
    <x v="1"/>
    <n v="1"/>
    <n v="5918.62"/>
    <n v="25682.69"/>
    <x v="1"/>
  </r>
  <r>
    <x v="4"/>
    <x v="1"/>
    <x v="3"/>
    <x v="0"/>
    <x v="7"/>
    <x v="1"/>
    <x v="1"/>
    <n v="4"/>
    <n v="20430.36"/>
    <n v="62542.12"/>
    <x v="1"/>
  </r>
  <r>
    <x v="4"/>
    <x v="1"/>
    <x v="3"/>
    <x v="0"/>
    <x v="8"/>
    <x v="1"/>
    <x v="1"/>
    <n v="5"/>
    <n v="33067.58"/>
    <n v="92229.759999999995"/>
    <x v="1"/>
  </r>
  <r>
    <x v="4"/>
    <x v="1"/>
    <x v="3"/>
    <x v="1"/>
    <x v="9"/>
    <x v="1"/>
    <x v="1"/>
    <n v="3"/>
    <n v="18142.18"/>
    <n v="55538.82"/>
    <x v="1"/>
  </r>
  <r>
    <x v="4"/>
    <x v="1"/>
    <x v="3"/>
    <x v="1"/>
    <x v="31"/>
    <x v="1"/>
    <x v="0"/>
    <n v="2"/>
    <n v="11557.94"/>
    <n v="37055.94"/>
    <x v="1"/>
  </r>
  <r>
    <x v="4"/>
    <x v="1"/>
    <x v="3"/>
    <x v="1"/>
    <x v="10"/>
    <x v="0"/>
    <x v="0"/>
    <n v="2"/>
    <n v="12374.62"/>
    <n v="58760.52"/>
    <x v="1"/>
  </r>
  <r>
    <x v="4"/>
    <x v="1"/>
    <x v="3"/>
    <x v="1"/>
    <x v="10"/>
    <x v="0"/>
    <x v="1"/>
    <n v="13"/>
    <n v="75843.509999999995"/>
    <n v="352026.99"/>
    <x v="1"/>
  </r>
  <r>
    <x v="4"/>
    <x v="1"/>
    <x v="3"/>
    <x v="1"/>
    <x v="10"/>
    <x v="1"/>
    <x v="0"/>
    <n v="13"/>
    <n v="75331.850000000006"/>
    <n v="229717.38"/>
    <x v="1"/>
  </r>
  <r>
    <x v="4"/>
    <x v="1"/>
    <x v="3"/>
    <x v="1"/>
    <x v="10"/>
    <x v="1"/>
    <x v="1"/>
    <n v="22"/>
    <n v="160020.56"/>
    <n v="475686.89"/>
    <x v="1"/>
  </r>
  <r>
    <x v="4"/>
    <x v="1"/>
    <x v="3"/>
    <x v="1"/>
    <x v="11"/>
    <x v="0"/>
    <x v="1"/>
    <n v="13"/>
    <n v="88745.91"/>
    <n v="401436.91"/>
    <x v="1"/>
  </r>
  <r>
    <x v="4"/>
    <x v="1"/>
    <x v="3"/>
    <x v="1"/>
    <x v="11"/>
    <x v="1"/>
    <x v="0"/>
    <n v="11"/>
    <n v="71128.86"/>
    <n v="220063.1"/>
    <x v="1"/>
  </r>
  <r>
    <x v="4"/>
    <x v="1"/>
    <x v="3"/>
    <x v="1"/>
    <x v="11"/>
    <x v="1"/>
    <x v="1"/>
    <n v="21"/>
    <n v="132278.07"/>
    <n v="391651.09"/>
    <x v="1"/>
  </r>
  <r>
    <x v="4"/>
    <x v="1"/>
    <x v="3"/>
    <x v="1"/>
    <x v="12"/>
    <x v="1"/>
    <x v="0"/>
    <n v="2"/>
    <n v="11659.5"/>
    <n v="36191.15"/>
    <x v="1"/>
  </r>
  <r>
    <x v="4"/>
    <x v="1"/>
    <x v="3"/>
    <x v="1"/>
    <x v="12"/>
    <x v="1"/>
    <x v="1"/>
    <n v="2"/>
    <n v="10159.48"/>
    <n v="33195.06"/>
    <x v="1"/>
  </r>
  <r>
    <x v="4"/>
    <x v="1"/>
    <x v="3"/>
    <x v="1"/>
    <x v="13"/>
    <x v="0"/>
    <x v="1"/>
    <n v="3"/>
    <n v="22337.13"/>
    <n v="97785.23"/>
    <x v="1"/>
  </r>
  <r>
    <x v="4"/>
    <x v="1"/>
    <x v="3"/>
    <x v="1"/>
    <x v="13"/>
    <x v="1"/>
    <x v="1"/>
    <n v="8"/>
    <n v="40030.519999999997"/>
    <n v="126780.83"/>
    <x v="1"/>
  </r>
  <r>
    <x v="4"/>
    <x v="1"/>
    <x v="3"/>
    <x v="1"/>
    <x v="14"/>
    <x v="0"/>
    <x v="1"/>
    <n v="2"/>
    <n v="13842.52"/>
    <n v="62135.23"/>
    <x v="1"/>
  </r>
  <r>
    <x v="4"/>
    <x v="1"/>
    <x v="3"/>
    <x v="1"/>
    <x v="14"/>
    <x v="1"/>
    <x v="0"/>
    <n v="2"/>
    <n v="11525.94"/>
    <n v="36224.559999999998"/>
    <x v="1"/>
  </r>
  <r>
    <x v="4"/>
    <x v="1"/>
    <x v="3"/>
    <x v="1"/>
    <x v="14"/>
    <x v="1"/>
    <x v="1"/>
    <n v="2"/>
    <n v="16338.44"/>
    <n v="47349.09"/>
    <x v="1"/>
  </r>
  <r>
    <x v="4"/>
    <x v="1"/>
    <x v="3"/>
    <x v="1"/>
    <x v="15"/>
    <x v="1"/>
    <x v="0"/>
    <n v="2"/>
    <n v="11344.84"/>
    <n v="37143.089999999997"/>
    <x v="1"/>
  </r>
  <r>
    <x v="4"/>
    <x v="1"/>
    <x v="3"/>
    <x v="1"/>
    <x v="16"/>
    <x v="1"/>
    <x v="0"/>
    <n v="5"/>
    <n v="30721.08"/>
    <n v="82488.92"/>
    <x v="1"/>
  </r>
  <r>
    <x v="4"/>
    <x v="1"/>
    <x v="3"/>
    <x v="1"/>
    <x v="16"/>
    <x v="1"/>
    <x v="1"/>
    <n v="16"/>
    <n v="96749.35"/>
    <n v="281115.53999999998"/>
    <x v="1"/>
  </r>
  <r>
    <x v="4"/>
    <x v="1"/>
    <x v="3"/>
    <x v="1"/>
    <x v="17"/>
    <x v="0"/>
    <x v="1"/>
    <n v="2"/>
    <n v="11668.88"/>
    <n v="53425.51"/>
    <x v="1"/>
  </r>
  <r>
    <x v="4"/>
    <x v="1"/>
    <x v="3"/>
    <x v="1"/>
    <x v="17"/>
    <x v="1"/>
    <x v="0"/>
    <n v="9"/>
    <n v="51778.93"/>
    <n v="155562.32999999999"/>
    <x v="1"/>
  </r>
  <r>
    <x v="4"/>
    <x v="1"/>
    <x v="3"/>
    <x v="1"/>
    <x v="17"/>
    <x v="1"/>
    <x v="1"/>
    <n v="3"/>
    <n v="18031.18"/>
    <n v="52988"/>
    <x v="1"/>
  </r>
  <r>
    <x v="4"/>
    <x v="1"/>
    <x v="3"/>
    <x v="1"/>
    <x v="18"/>
    <x v="0"/>
    <x v="1"/>
    <n v="18"/>
    <n v="103873.47"/>
    <n v="459231.51"/>
    <x v="1"/>
  </r>
  <r>
    <x v="4"/>
    <x v="1"/>
    <x v="3"/>
    <x v="1"/>
    <x v="18"/>
    <x v="1"/>
    <x v="0"/>
    <n v="6"/>
    <n v="34780.86"/>
    <n v="109372.1"/>
    <x v="1"/>
  </r>
  <r>
    <x v="4"/>
    <x v="1"/>
    <x v="3"/>
    <x v="1"/>
    <x v="18"/>
    <x v="1"/>
    <x v="1"/>
    <n v="20"/>
    <n v="120825.12"/>
    <n v="369046.29"/>
    <x v="1"/>
  </r>
  <r>
    <x v="4"/>
    <x v="1"/>
    <x v="3"/>
    <x v="1"/>
    <x v="19"/>
    <x v="0"/>
    <x v="1"/>
    <n v="2"/>
    <n v="16098.71"/>
    <n v="68763.259999999995"/>
    <x v="1"/>
  </r>
  <r>
    <x v="4"/>
    <x v="1"/>
    <x v="3"/>
    <x v="1"/>
    <x v="19"/>
    <x v="1"/>
    <x v="0"/>
    <n v="3"/>
    <n v="20603.759999999998"/>
    <n v="62837.09"/>
    <x v="1"/>
  </r>
  <r>
    <x v="4"/>
    <x v="1"/>
    <x v="3"/>
    <x v="1"/>
    <x v="19"/>
    <x v="1"/>
    <x v="1"/>
    <n v="17"/>
    <n v="95520.73"/>
    <n v="283154.92"/>
    <x v="1"/>
  </r>
  <r>
    <x v="4"/>
    <x v="1"/>
    <x v="3"/>
    <x v="1"/>
    <x v="20"/>
    <x v="0"/>
    <x v="0"/>
    <n v="2"/>
    <n v="13014.1"/>
    <n v="59425.83"/>
    <x v="1"/>
  </r>
  <r>
    <x v="4"/>
    <x v="1"/>
    <x v="3"/>
    <x v="1"/>
    <x v="20"/>
    <x v="0"/>
    <x v="1"/>
    <n v="24"/>
    <n v="139312.56"/>
    <n v="643973.36"/>
    <x v="1"/>
  </r>
  <r>
    <x v="4"/>
    <x v="1"/>
    <x v="3"/>
    <x v="1"/>
    <x v="20"/>
    <x v="1"/>
    <x v="0"/>
    <n v="12"/>
    <n v="76126.34"/>
    <n v="230175.34"/>
    <x v="1"/>
  </r>
  <r>
    <x v="4"/>
    <x v="1"/>
    <x v="3"/>
    <x v="1"/>
    <x v="20"/>
    <x v="1"/>
    <x v="1"/>
    <n v="24"/>
    <n v="165894.24"/>
    <n v="537125.31999999995"/>
    <x v="1"/>
  </r>
  <r>
    <x v="4"/>
    <x v="1"/>
    <x v="3"/>
    <x v="2"/>
    <x v="21"/>
    <x v="0"/>
    <x v="0"/>
    <n v="5"/>
    <n v="26644.79"/>
    <n v="117873.99"/>
    <x v="1"/>
  </r>
  <r>
    <x v="4"/>
    <x v="1"/>
    <x v="3"/>
    <x v="2"/>
    <x v="22"/>
    <x v="0"/>
    <x v="1"/>
    <n v="3"/>
    <n v="17241.349999999999"/>
    <n v="76699.95"/>
    <x v="1"/>
  </r>
  <r>
    <x v="4"/>
    <x v="1"/>
    <x v="3"/>
    <x v="2"/>
    <x v="22"/>
    <x v="1"/>
    <x v="0"/>
    <n v="3"/>
    <n v="17349.990000000002"/>
    <n v="46887.06"/>
    <x v="1"/>
  </r>
  <r>
    <x v="4"/>
    <x v="1"/>
    <x v="3"/>
    <x v="2"/>
    <x v="22"/>
    <x v="1"/>
    <x v="1"/>
    <n v="9"/>
    <n v="60141.91"/>
    <n v="158281.06"/>
    <x v="1"/>
  </r>
  <r>
    <x v="4"/>
    <x v="1"/>
    <x v="3"/>
    <x v="2"/>
    <x v="29"/>
    <x v="0"/>
    <x v="1"/>
    <n v="4"/>
    <n v="21850.85"/>
    <n v="95568.5"/>
    <x v="1"/>
  </r>
  <r>
    <x v="4"/>
    <x v="1"/>
    <x v="3"/>
    <x v="2"/>
    <x v="24"/>
    <x v="0"/>
    <x v="1"/>
    <n v="5"/>
    <n v="27426.91"/>
    <n v="123689.54"/>
    <x v="1"/>
  </r>
  <r>
    <x v="4"/>
    <x v="1"/>
    <x v="3"/>
    <x v="2"/>
    <x v="24"/>
    <x v="1"/>
    <x v="0"/>
    <n v="8"/>
    <n v="56108.46"/>
    <n v="142394.87"/>
    <x v="1"/>
  </r>
  <r>
    <x v="4"/>
    <x v="1"/>
    <x v="3"/>
    <x v="2"/>
    <x v="24"/>
    <x v="1"/>
    <x v="1"/>
    <n v="3"/>
    <n v="18681.34"/>
    <n v="53312.21"/>
    <x v="1"/>
  </r>
  <r>
    <x v="4"/>
    <x v="1"/>
    <x v="3"/>
    <x v="3"/>
    <x v="25"/>
    <x v="0"/>
    <x v="1"/>
    <n v="2"/>
    <n v="12556.8"/>
    <n v="50985.13"/>
    <x v="1"/>
  </r>
  <r>
    <x v="4"/>
    <x v="1"/>
    <x v="3"/>
    <x v="3"/>
    <x v="25"/>
    <x v="1"/>
    <x v="0"/>
    <n v="5"/>
    <n v="24830.2"/>
    <n v="76928.56"/>
    <x v="1"/>
  </r>
  <r>
    <x v="4"/>
    <x v="1"/>
    <x v="3"/>
    <x v="3"/>
    <x v="25"/>
    <x v="1"/>
    <x v="1"/>
    <n v="9"/>
    <n v="57682.01"/>
    <n v="181830.42"/>
    <x v="1"/>
  </r>
  <r>
    <x v="4"/>
    <x v="1"/>
    <x v="3"/>
    <x v="3"/>
    <x v="26"/>
    <x v="0"/>
    <x v="0"/>
    <n v="2"/>
    <n v="13179.12"/>
    <n v="59605.15"/>
    <x v="1"/>
  </r>
  <r>
    <x v="4"/>
    <x v="1"/>
    <x v="3"/>
    <x v="3"/>
    <x v="26"/>
    <x v="0"/>
    <x v="1"/>
    <n v="4"/>
    <n v="22382.93"/>
    <n v="99767.76"/>
    <x v="1"/>
  </r>
  <r>
    <x v="4"/>
    <x v="1"/>
    <x v="3"/>
    <x v="3"/>
    <x v="26"/>
    <x v="1"/>
    <x v="0"/>
    <n v="9"/>
    <n v="47113.8"/>
    <n v="147856.92000000001"/>
    <x v="1"/>
  </r>
  <r>
    <x v="4"/>
    <x v="1"/>
    <x v="3"/>
    <x v="3"/>
    <x v="26"/>
    <x v="1"/>
    <x v="1"/>
    <n v="13"/>
    <n v="72133.38"/>
    <n v="221829.27"/>
    <x v="1"/>
  </r>
  <r>
    <x v="4"/>
    <x v="1"/>
    <x v="3"/>
    <x v="3"/>
    <x v="27"/>
    <x v="0"/>
    <x v="0"/>
    <n v="4"/>
    <n v="26723.97"/>
    <n v="125031.51"/>
    <x v="1"/>
  </r>
  <r>
    <x v="4"/>
    <x v="1"/>
    <x v="3"/>
    <x v="3"/>
    <x v="27"/>
    <x v="0"/>
    <x v="1"/>
    <n v="10"/>
    <n v="61871.79"/>
    <n v="269398.53000000003"/>
    <x v="1"/>
  </r>
  <r>
    <x v="4"/>
    <x v="1"/>
    <x v="3"/>
    <x v="3"/>
    <x v="27"/>
    <x v="1"/>
    <x v="0"/>
    <n v="12"/>
    <n v="63003.34"/>
    <n v="191031.04000000001"/>
    <x v="1"/>
  </r>
  <r>
    <x v="4"/>
    <x v="1"/>
    <x v="3"/>
    <x v="3"/>
    <x v="27"/>
    <x v="1"/>
    <x v="1"/>
    <n v="18"/>
    <n v="117429.71"/>
    <n v="344423.21"/>
    <x v="1"/>
  </r>
  <r>
    <x v="4"/>
    <x v="1"/>
    <x v="4"/>
    <x v="0"/>
    <x v="0"/>
    <x v="0"/>
    <x v="0"/>
    <n v="1"/>
    <n v="5580.44"/>
    <n v="24955.27"/>
    <x v="1"/>
  </r>
  <r>
    <x v="4"/>
    <x v="1"/>
    <x v="4"/>
    <x v="0"/>
    <x v="0"/>
    <x v="1"/>
    <x v="0"/>
    <n v="9"/>
    <n v="48412"/>
    <n v="131452.59"/>
    <x v="1"/>
  </r>
  <r>
    <x v="4"/>
    <x v="1"/>
    <x v="4"/>
    <x v="0"/>
    <x v="0"/>
    <x v="1"/>
    <x v="1"/>
    <n v="10"/>
    <n v="51773.46"/>
    <n v="142019.95000000001"/>
    <x v="1"/>
  </r>
  <r>
    <x v="4"/>
    <x v="1"/>
    <x v="4"/>
    <x v="0"/>
    <x v="1"/>
    <x v="0"/>
    <x v="0"/>
    <n v="1"/>
    <n v="5145.84"/>
    <n v="22509.94"/>
    <x v="1"/>
  </r>
  <r>
    <x v="4"/>
    <x v="1"/>
    <x v="4"/>
    <x v="0"/>
    <x v="1"/>
    <x v="0"/>
    <x v="1"/>
    <n v="2"/>
    <n v="9420.4599999999991"/>
    <n v="46716.82"/>
    <x v="1"/>
  </r>
  <r>
    <x v="4"/>
    <x v="1"/>
    <x v="4"/>
    <x v="0"/>
    <x v="1"/>
    <x v="1"/>
    <x v="0"/>
    <n v="8"/>
    <n v="42656.08"/>
    <n v="115664.21"/>
    <x v="1"/>
  </r>
  <r>
    <x v="4"/>
    <x v="1"/>
    <x v="4"/>
    <x v="0"/>
    <x v="1"/>
    <x v="1"/>
    <x v="1"/>
    <n v="28"/>
    <n v="153344.59"/>
    <n v="484301.8"/>
    <x v="1"/>
  </r>
  <r>
    <x v="4"/>
    <x v="1"/>
    <x v="4"/>
    <x v="0"/>
    <x v="2"/>
    <x v="0"/>
    <x v="1"/>
    <n v="1"/>
    <n v="6702.27"/>
    <n v="32269.38"/>
    <x v="1"/>
  </r>
  <r>
    <x v="4"/>
    <x v="1"/>
    <x v="4"/>
    <x v="0"/>
    <x v="2"/>
    <x v="1"/>
    <x v="0"/>
    <n v="18"/>
    <n v="91856.68"/>
    <n v="257376.95"/>
    <x v="1"/>
  </r>
  <r>
    <x v="4"/>
    <x v="1"/>
    <x v="4"/>
    <x v="0"/>
    <x v="2"/>
    <x v="1"/>
    <x v="1"/>
    <n v="21"/>
    <n v="115667.25"/>
    <n v="330563.78000000003"/>
    <x v="1"/>
  </r>
  <r>
    <x v="4"/>
    <x v="1"/>
    <x v="4"/>
    <x v="0"/>
    <x v="3"/>
    <x v="0"/>
    <x v="0"/>
    <n v="1"/>
    <n v="5518.89"/>
    <n v="21686.14"/>
    <x v="1"/>
  </r>
  <r>
    <x v="4"/>
    <x v="1"/>
    <x v="4"/>
    <x v="0"/>
    <x v="3"/>
    <x v="0"/>
    <x v="1"/>
    <n v="3"/>
    <n v="18398.11"/>
    <n v="87109.759999999995"/>
    <x v="1"/>
  </r>
  <r>
    <x v="4"/>
    <x v="1"/>
    <x v="4"/>
    <x v="0"/>
    <x v="3"/>
    <x v="1"/>
    <x v="0"/>
    <n v="4"/>
    <n v="25127.01"/>
    <n v="77527.03"/>
    <x v="1"/>
  </r>
  <r>
    <x v="4"/>
    <x v="1"/>
    <x v="4"/>
    <x v="0"/>
    <x v="3"/>
    <x v="1"/>
    <x v="1"/>
    <n v="26"/>
    <n v="133153.57999999999"/>
    <n v="375623"/>
    <x v="1"/>
  </r>
  <r>
    <x v="4"/>
    <x v="1"/>
    <x v="4"/>
    <x v="0"/>
    <x v="4"/>
    <x v="1"/>
    <x v="0"/>
    <n v="12"/>
    <n v="57418.559999999998"/>
    <n v="169363.13"/>
    <x v="1"/>
  </r>
  <r>
    <x v="4"/>
    <x v="1"/>
    <x v="4"/>
    <x v="0"/>
    <x v="4"/>
    <x v="1"/>
    <x v="1"/>
    <n v="9"/>
    <n v="47088.92"/>
    <n v="131004.23"/>
    <x v="1"/>
  </r>
  <r>
    <x v="4"/>
    <x v="1"/>
    <x v="4"/>
    <x v="0"/>
    <x v="5"/>
    <x v="1"/>
    <x v="1"/>
    <n v="55"/>
    <n v="284516.89"/>
    <n v="808761.3"/>
    <x v="1"/>
  </r>
  <r>
    <x v="4"/>
    <x v="1"/>
    <x v="4"/>
    <x v="0"/>
    <x v="6"/>
    <x v="0"/>
    <x v="1"/>
    <n v="2"/>
    <n v="10297.42"/>
    <n v="43566.46"/>
    <x v="1"/>
  </r>
  <r>
    <x v="4"/>
    <x v="1"/>
    <x v="4"/>
    <x v="0"/>
    <x v="6"/>
    <x v="1"/>
    <x v="1"/>
    <n v="3"/>
    <n v="13996.95"/>
    <n v="45281.63"/>
    <x v="1"/>
  </r>
  <r>
    <x v="4"/>
    <x v="1"/>
    <x v="4"/>
    <x v="0"/>
    <x v="7"/>
    <x v="1"/>
    <x v="1"/>
    <n v="5"/>
    <n v="27066.959999999999"/>
    <n v="72180.509999999995"/>
    <x v="1"/>
  </r>
  <r>
    <x v="4"/>
    <x v="1"/>
    <x v="4"/>
    <x v="0"/>
    <x v="8"/>
    <x v="0"/>
    <x v="1"/>
    <n v="2"/>
    <n v="10508.48"/>
    <n v="49739.37"/>
    <x v="1"/>
  </r>
  <r>
    <x v="4"/>
    <x v="1"/>
    <x v="4"/>
    <x v="0"/>
    <x v="8"/>
    <x v="1"/>
    <x v="1"/>
    <n v="2"/>
    <n v="11056.4"/>
    <n v="27758.57"/>
    <x v="1"/>
  </r>
  <r>
    <x v="4"/>
    <x v="1"/>
    <x v="4"/>
    <x v="1"/>
    <x v="9"/>
    <x v="1"/>
    <x v="1"/>
    <n v="5"/>
    <n v="28806.94"/>
    <n v="94573.97"/>
    <x v="1"/>
  </r>
  <r>
    <x v="4"/>
    <x v="1"/>
    <x v="4"/>
    <x v="1"/>
    <x v="31"/>
    <x v="1"/>
    <x v="0"/>
    <n v="1"/>
    <n v="4790.1099999999997"/>
    <n v="16016.38"/>
    <x v="1"/>
  </r>
  <r>
    <x v="4"/>
    <x v="1"/>
    <x v="4"/>
    <x v="1"/>
    <x v="10"/>
    <x v="0"/>
    <x v="0"/>
    <n v="1"/>
    <n v="5461.38"/>
    <n v="22562.77"/>
    <x v="1"/>
  </r>
  <r>
    <x v="4"/>
    <x v="1"/>
    <x v="4"/>
    <x v="1"/>
    <x v="10"/>
    <x v="0"/>
    <x v="1"/>
    <n v="1"/>
    <n v="5410.42"/>
    <n v="22562.77"/>
    <x v="1"/>
  </r>
  <r>
    <x v="4"/>
    <x v="1"/>
    <x v="4"/>
    <x v="1"/>
    <x v="10"/>
    <x v="1"/>
    <x v="0"/>
    <n v="12"/>
    <n v="64233.31"/>
    <n v="202416.31"/>
    <x v="1"/>
  </r>
  <r>
    <x v="4"/>
    <x v="1"/>
    <x v="4"/>
    <x v="1"/>
    <x v="10"/>
    <x v="1"/>
    <x v="1"/>
    <n v="22"/>
    <n v="118174.52"/>
    <n v="374806.42"/>
    <x v="1"/>
  </r>
  <r>
    <x v="4"/>
    <x v="1"/>
    <x v="4"/>
    <x v="1"/>
    <x v="11"/>
    <x v="0"/>
    <x v="1"/>
    <n v="2"/>
    <n v="9590.36"/>
    <n v="45456.11"/>
    <x v="1"/>
  </r>
  <r>
    <x v="4"/>
    <x v="1"/>
    <x v="4"/>
    <x v="1"/>
    <x v="11"/>
    <x v="1"/>
    <x v="1"/>
    <n v="22"/>
    <n v="110376.88"/>
    <n v="337314.1"/>
    <x v="1"/>
  </r>
  <r>
    <x v="4"/>
    <x v="1"/>
    <x v="4"/>
    <x v="1"/>
    <x v="12"/>
    <x v="1"/>
    <x v="0"/>
    <n v="2"/>
    <n v="10971.3"/>
    <n v="31036.23"/>
    <x v="1"/>
  </r>
  <r>
    <x v="4"/>
    <x v="1"/>
    <x v="4"/>
    <x v="1"/>
    <x v="13"/>
    <x v="0"/>
    <x v="1"/>
    <n v="4"/>
    <n v="18974.88"/>
    <n v="90162.31"/>
    <x v="1"/>
  </r>
  <r>
    <x v="4"/>
    <x v="1"/>
    <x v="4"/>
    <x v="1"/>
    <x v="13"/>
    <x v="1"/>
    <x v="0"/>
    <n v="4"/>
    <n v="20679.62"/>
    <n v="61012.800000000003"/>
    <x v="1"/>
  </r>
  <r>
    <x v="4"/>
    <x v="1"/>
    <x v="4"/>
    <x v="1"/>
    <x v="13"/>
    <x v="1"/>
    <x v="1"/>
    <n v="4"/>
    <n v="20675.37"/>
    <n v="61468.37"/>
    <x v="1"/>
  </r>
  <r>
    <x v="4"/>
    <x v="1"/>
    <x v="4"/>
    <x v="1"/>
    <x v="14"/>
    <x v="1"/>
    <x v="0"/>
    <n v="17"/>
    <n v="85610.55"/>
    <n v="268158.08000000002"/>
    <x v="1"/>
  </r>
  <r>
    <x v="4"/>
    <x v="1"/>
    <x v="4"/>
    <x v="1"/>
    <x v="14"/>
    <x v="1"/>
    <x v="1"/>
    <n v="2"/>
    <n v="9527.26"/>
    <n v="29924.05"/>
    <x v="1"/>
  </r>
  <r>
    <x v="4"/>
    <x v="1"/>
    <x v="4"/>
    <x v="1"/>
    <x v="15"/>
    <x v="1"/>
    <x v="0"/>
    <n v="5"/>
    <n v="26110.240000000002"/>
    <n v="76981.88"/>
    <x v="1"/>
  </r>
  <r>
    <x v="4"/>
    <x v="1"/>
    <x v="4"/>
    <x v="1"/>
    <x v="15"/>
    <x v="1"/>
    <x v="1"/>
    <n v="3"/>
    <n v="14991.08"/>
    <n v="45675.98"/>
    <x v="1"/>
  </r>
  <r>
    <x v="4"/>
    <x v="1"/>
    <x v="4"/>
    <x v="1"/>
    <x v="16"/>
    <x v="0"/>
    <x v="1"/>
    <n v="1"/>
    <n v="4903.99"/>
    <n v="21482.25"/>
    <x v="1"/>
  </r>
  <r>
    <x v="4"/>
    <x v="1"/>
    <x v="4"/>
    <x v="1"/>
    <x v="16"/>
    <x v="1"/>
    <x v="0"/>
    <n v="2"/>
    <n v="9753.08"/>
    <n v="28339.07"/>
    <x v="1"/>
  </r>
  <r>
    <x v="4"/>
    <x v="1"/>
    <x v="4"/>
    <x v="1"/>
    <x v="16"/>
    <x v="1"/>
    <x v="1"/>
    <n v="8"/>
    <n v="44036.06"/>
    <n v="137248.97"/>
    <x v="1"/>
  </r>
  <r>
    <x v="4"/>
    <x v="1"/>
    <x v="4"/>
    <x v="1"/>
    <x v="17"/>
    <x v="0"/>
    <x v="1"/>
    <n v="2"/>
    <n v="11058.78"/>
    <n v="45125.54"/>
    <x v="1"/>
  </r>
  <r>
    <x v="4"/>
    <x v="1"/>
    <x v="4"/>
    <x v="1"/>
    <x v="17"/>
    <x v="1"/>
    <x v="0"/>
    <n v="3"/>
    <n v="14832.43"/>
    <n v="48827.8"/>
    <x v="1"/>
  </r>
  <r>
    <x v="4"/>
    <x v="1"/>
    <x v="4"/>
    <x v="1"/>
    <x v="17"/>
    <x v="1"/>
    <x v="1"/>
    <n v="5"/>
    <n v="26441.55"/>
    <n v="86838.61"/>
    <x v="1"/>
  </r>
  <r>
    <x v="4"/>
    <x v="1"/>
    <x v="4"/>
    <x v="1"/>
    <x v="18"/>
    <x v="0"/>
    <x v="1"/>
    <n v="18"/>
    <n v="97214.31"/>
    <n v="445404.34"/>
    <x v="1"/>
  </r>
  <r>
    <x v="4"/>
    <x v="1"/>
    <x v="4"/>
    <x v="1"/>
    <x v="18"/>
    <x v="1"/>
    <x v="0"/>
    <n v="4"/>
    <n v="25624.42"/>
    <n v="84935.75"/>
    <x v="1"/>
  </r>
  <r>
    <x v="4"/>
    <x v="1"/>
    <x v="4"/>
    <x v="1"/>
    <x v="18"/>
    <x v="1"/>
    <x v="1"/>
    <n v="25"/>
    <n v="137844.63"/>
    <n v="444688.35"/>
    <x v="1"/>
  </r>
  <r>
    <x v="4"/>
    <x v="1"/>
    <x v="4"/>
    <x v="1"/>
    <x v="19"/>
    <x v="0"/>
    <x v="1"/>
    <n v="3"/>
    <n v="15684.8"/>
    <n v="71969.490000000005"/>
    <x v="1"/>
  </r>
  <r>
    <x v="4"/>
    <x v="1"/>
    <x v="4"/>
    <x v="1"/>
    <x v="19"/>
    <x v="1"/>
    <x v="0"/>
    <n v="5"/>
    <n v="26895.599999999999"/>
    <n v="73649.350000000006"/>
    <x v="1"/>
  </r>
  <r>
    <x v="4"/>
    <x v="1"/>
    <x v="4"/>
    <x v="1"/>
    <x v="19"/>
    <x v="1"/>
    <x v="1"/>
    <n v="9"/>
    <n v="45722.39"/>
    <n v="141775.72"/>
    <x v="1"/>
  </r>
  <r>
    <x v="4"/>
    <x v="1"/>
    <x v="4"/>
    <x v="1"/>
    <x v="20"/>
    <x v="0"/>
    <x v="0"/>
    <n v="2"/>
    <n v="11480.58"/>
    <n v="57099.01"/>
    <x v="1"/>
  </r>
  <r>
    <x v="4"/>
    <x v="1"/>
    <x v="4"/>
    <x v="1"/>
    <x v="20"/>
    <x v="0"/>
    <x v="1"/>
    <n v="2"/>
    <n v="11490.2"/>
    <n v="57133.57"/>
    <x v="1"/>
  </r>
  <r>
    <x v="4"/>
    <x v="1"/>
    <x v="4"/>
    <x v="1"/>
    <x v="20"/>
    <x v="1"/>
    <x v="0"/>
    <n v="8"/>
    <n v="40565.39"/>
    <n v="127616.42"/>
    <x v="1"/>
  </r>
  <r>
    <x v="4"/>
    <x v="1"/>
    <x v="4"/>
    <x v="1"/>
    <x v="20"/>
    <x v="1"/>
    <x v="1"/>
    <n v="23"/>
    <n v="119826.71"/>
    <n v="365161.67"/>
    <x v="1"/>
  </r>
  <r>
    <x v="4"/>
    <x v="1"/>
    <x v="4"/>
    <x v="2"/>
    <x v="21"/>
    <x v="0"/>
    <x v="0"/>
    <n v="2"/>
    <n v="10130.719999999999"/>
    <n v="43333.78"/>
    <x v="1"/>
  </r>
  <r>
    <x v="4"/>
    <x v="1"/>
    <x v="4"/>
    <x v="2"/>
    <x v="22"/>
    <x v="1"/>
    <x v="0"/>
    <n v="2"/>
    <n v="9494.59"/>
    <n v="27162.22"/>
    <x v="1"/>
  </r>
  <r>
    <x v="4"/>
    <x v="1"/>
    <x v="4"/>
    <x v="2"/>
    <x v="22"/>
    <x v="1"/>
    <x v="1"/>
    <n v="12"/>
    <n v="74091.850000000006"/>
    <n v="212911.11"/>
    <x v="1"/>
  </r>
  <r>
    <x v="4"/>
    <x v="1"/>
    <x v="4"/>
    <x v="2"/>
    <x v="29"/>
    <x v="0"/>
    <x v="1"/>
    <n v="1"/>
    <n v="5224.13"/>
    <n v="24869.68"/>
    <x v="1"/>
  </r>
  <r>
    <x v="4"/>
    <x v="1"/>
    <x v="4"/>
    <x v="2"/>
    <x v="23"/>
    <x v="1"/>
    <x v="1"/>
    <n v="1"/>
    <n v="5258.18"/>
    <n v="15853.21"/>
    <x v="1"/>
  </r>
  <r>
    <x v="4"/>
    <x v="1"/>
    <x v="4"/>
    <x v="2"/>
    <x v="24"/>
    <x v="1"/>
    <x v="1"/>
    <n v="13"/>
    <n v="73730.899999999994"/>
    <n v="208905.84"/>
    <x v="1"/>
  </r>
  <r>
    <x v="4"/>
    <x v="1"/>
    <x v="4"/>
    <x v="3"/>
    <x v="25"/>
    <x v="0"/>
    <x v="1"/>
    <n v="1"/>
    <n v="5046.09"/>
    <n v="21953.7"/>
    <x v="1"/>
  </r>
  <r>
    <x v="4"/>
    <x v="1"/>
    <x v="4"/>
    <x v="3"/>
    <x v="25"/>
    <x v="1"/>
    <x v="0"/>
    <n v="5"/>
    <n v="26710.400000000001"/>
    <n v="81102.52"/>
    <x v="1"/>
  </r>
  <r>
    <x v="4"/>
    <x v="1"/>
    <x v="4"/>
    <x v="3"/>
    <x v="25"/>
    <x v="1"/>
    <x v="1"/>
    <n v="7"/>
    <n v="35530.32"/>
    <n v="106051.18"/>
    <x v="1"/>
  </r>
  <r>
    <x v="4"/>
    <x v="1"/>
    <x v="4"/>
    <x v="3"/>
    <x v="26"/>
    <x v="0"/>
    <x v="1"/>
    <n v="2"/>
    <n v="12294.25"/>
    <n v="57027.519999999997"/>
    <x v="1"/>
  </r>
  <r>
    <x v="4"/>
    <x v="1"/>
    <x v="4"/>
    <x v="3"/>
    <x v="26"/>
    <x v="1"/>
    <x v="0"/>
    <n v="20"/>
    <n v="110599.12"/>
    <n v="336289.1"/>
    <x v="1"/>
  </r>
  <r>
    <x v="4"/>
    <x v="1"/>
    <x v="4"/>
    <x v="3"/>
    <x v="26"/>
    <x v="1"/>
    <x v="1"/>
    <n v="29"/>
    <n v="153345.65"/>
    <n v="446459.53"/>
    <x v="1"/>
  </r>
  <r>
    <x v="4"/>
    <x v="1"/>
    <x v="4"/>
    <x v="3"/>
    <x v="27"/>
    <x v="0"/>
    <x v="1"/>
    <n v="6"/>
    <n v="31589.62"/>
    <n v="134907.19"/>
    <x v="1"/>
  </r>
  <r>
    <x v="4"/>
    <x v="1"/>
    <x v="4"/>
    <x v="3"/>
    <x v="27"/>
    <x v="1"/>
    <x v="0"/>
    <n v="15"/>
    <n v="87054.35"/>
    <n v="268919.63"/>
    <x v="1"/>
  </r>
  <r>
    <x v="4"/>
    <x v="1"/>
    <x v="4"/>
    <x v="3"/>
    <x v="27"/>
    <x v="1"/>
    <x v="1"/>
    <n v="28"/>
    <n v="150135.17000000001"/>
    <n v="465606.34"/>
    <x v="1"/>
  </r>
  <r>
    <x v="4"/>
    <x v="1"/>
    <x v="5"/>
    <x v="0"/>
    <x v="0"/>
    <x v="0"/>
    <x v="1"/>
    <n v="1"/>
    <n v="6987.7"/>
    <n v="26804.12"/>
    <x v="1"/>
  </r>
  <r>
    <x v="4"/>
    <x v="1"/>
    <x v="5"/>
    <x v="0"/>
    <x v="0"/>
    <x v="1"/>
    <x v="0"/>
    <n v="5"/>
    <n v="25781.21"/>
    <n v="63354.400000000001"/>
    <x v="1"/>
  </r>
  <r>
    <x v="4"/>
    <x v="1"/>
    <x v="5"/>
    <x v="0"/>
    <x v="0"/>
    <x v="1"/>
    <x v="1"/>
    <n v="2"/>
    <n v="9803.36"/>
    <n v="25325.08"/>
    <x v="1"/>
  </r>
  <r>
    <x v="4"/>
    <x v="1"/>
    <x v="5"/>
    <x v="0"/>
    <x v="1"/>
    <x v="0"/>
    <x v="0"/>
    <n v="4"/>
    <n v="26564.11"/>
    <n v="112633.48"/>
    <x v="1"/>
  </r>
  <r>
    <x v="4"/>
    <x v="1"/>
    <x v="5"/>
    <x v="0"/>
    <x v="1"/>
    <x v="0"/>
    <x v="1"/>
    <n v="1"/>
    <n v="6647.51"/>
    <n v="28179.26"/>
    <x v="1"/>
  </r>
  <r>
    <x v="4"/>
    <x v="1"/>
    <x v="5"/>
    <x v="0"/>
    <x v="1"/>
    <x v="1"/>
    <x v="0"/>
    <n v="8"/>
    <n v="47088.19"/>
    <n v="126675.24"/>
    <x v="1"/>
  </r>
  <r>
    <x v="4"/>
    <x v="1"/>
    <x v="5"/>
    <x v="0"/>
    <x v="1"/>
    <x v="1"/>
    <x v="1"/>
    <n v="10"/>
    <n v="65991.929999999993"/>
    <n v="170008.64"/>
    <x v="1"/>
  </r>
  <r>
    <x v="4"/>
    <x v="1"/>
    <x v="5"/>
    <x v="0"/>
    <x v="2"/>
    <x v="0"/>
    <x v="1"/>
    <n v="3"/>
    <n v="20015.25"/>
    <n v="79941.31"/>
    <x v="1"/>
  </r>
  <r>
    <x v="4"/>
    <x v="1"/>
    <x v="5"/>
    <x v="0"/>
    <x v="2"/>
    <x v="1"/>
    <x v="1"/>
    <n v="11"/>
    <n v="70460.149999999994"/>
    <n v="171905.81"/>
    <x v="1"/>
  </r>
  <r>
    <x v="4"/>
    <x v="1"/>
    <x v="5"/>
    <x v="0"/>
    <x v="3"/>
    <x v="0"/>
    <x v="0"/>
    <n v="3"/>
    <n v="16779.060000000001"/>
    <n v="63776.68"/>
    <x v="1"/>
  </r>
  <r>
    <x v="4"/>
    <x v="1"/>
    <x v="5"/>
    <x v="0"/>
    <x v="3"/>
    <x v="0"/>
    <x v="1"/>
    <n v="14"/>
    <n v="85342.6"/>
    <n v="325244.2"/>
    <x v="1"/>
  </r>
  <r>
    <x v="4"/>
    <x v="1"/>
    <x v="5"/>
    <x v="0"/>
    <x v="3"/>
    <x v="1"/>
    <x v="0"/>
    <n v="1"/>
    <n v="4455.1899999999996"/>
    <n v="11412.46"/>
    <x v="1"/>
  </r>
  <r>
    <x v="4"/>
    <x v="1"/>
    <x v="5"/>
    <x v="0"/>
    <x v="3"/>
    <x v="1"/>
    <x v="1"/>
    <n v="22"/>
    <n v="145607.71"/>
    <n v="366241.55"/>
    <x v="1"/>
  </r>
  <r>
    <x v="4"/>
    <x v="1"/>
    <x v="5"/>
    <x v="0"/>
    <x v="28"/>
    <x v="1"/>
    <x v="1"/>
    <n v="5"/>
    <n v="24123.85"/>
    <n v="57850.66"/>
    <x v="1"/>
  </r>
  <r>
    <x v="4"/>
    <x v="1"/>
    <x v="5"/>
    <x v="0"/>
    <x v="4"/>
    <x v="1"/>
    <x v="0"/>
    <n v="3"/>
    <n v="19278.48"/>
    <n v="51138.32"/>
    <x v="1"/>
  </r>
  <r>
    <x v="4"/>
    <x v="1"/>
    <x v="5"/>
    <x v="0"/>
    <x v="4"/>
    <x v="1"/>
    <x v="1"/>
    <n v="2"/>
    <n v="8865.44"/>
    <n v="22510.22"/>
    <x v="1"/>
  </r>
  <r>
    <x v="4"/>
    <x v="1"/>
    <x v="5"/>
    <x v="0"/>
    <x v="5"/>
    <x v="0"/>
    <x v="1"/>
    <n v="4"/>
    <n v="22682.85"/>
    <n v="84493.759999999995"/>
    <x v="1"/>
  </r>
  <r>
    <x v="4"/>
    <x v="1"/>
    <x v="5"/>
    <x v="0"/>
    <x v="5"/>
    <x v="1"/>
    <x v="0"/>
    <n v="3"/>
    <n v="15626.85"/>
    <n v="38224.47"/>
    <x v="1"/>
  </r>
  <r>
    <x v="4"/>
    <x v="1"/>
    <x v="5"/>
    <x v="0"/>
    <x v="5"/>
    <x v="1"/>
    <x v="1"/>
    <n v="8"/>
    <n v="47105.18"/>
    <n v="123857.72"/>
    <x v="1"/>
  </r>
  <r>
    <x v="4"/>
    <x v="1"/>
    <x v="5"/>
    <x v="0"/>
    <x v="6"/>
    <x v="0"/>
    <x v="1"/>
    <n v="4"/>
    <n v="25013.5"/>
    <n v="98518.8"/>
    <x v="1"/>
  </r>
  <r>
    <x v="4"/>
    <x v="1"/>
    <x v="5"/>
    <x v="0"/>
    <x v="7"/>
    <x v="1"/>
    <x v="1"/>
    <n v="3"/>
    <n v="18877.439999999999"/>
    <n v="53706.85"/>
    <x v="1"/>
  </r>
  <r>
    <x v="4"/>
    <x v="1"/>
    <x v="5"/>
    <x v="0"/>
    <x v="8"/>
    <x v="0"/>
    <x v="1"/>
    <n v="2"/>
    <n v="13957.12"/>
    <n v="53454.7"/>
    <x v="1"/>
  </r>
  <r>
    <x v="4"/>
    <x v="1"/>
    <x v="5"/>
    <x v="0"/>
    <x v="8"/>
    <x v="1"/>
    <x v="1"/>
    <n v="2"/>
    <n v="13199.72"/>
    <n v="33855.71"/>
    <x v="1"/>
  </r>
  <r>
    <x v="4"/>
    <x v="1"/>
    <x v="5"/>
    <x v="1"/>
    <x v="9"/>
    <x v="1"/>
    <x v="1"/>
    <n v="1"/>
    <n v="7215.77"/>
    <n v="19177.919999999998"/>
    <x v="1"/>
  </r>
  <r>
    <x v="4"/>
    <x v="1"/>
    <x v="5"/>
    <x v="1"/>
    <x v="10"/>
    <x v="0"/>
    <x v="0"/>
    <n v="6"/>
    <n v="41272.69"/>
    <n v="167757.23000000001"/>
    <x v="1"/>
  </r>
  <r>
    <x v="4"/>
    <x v="1"/>
    <x v="5"/>
    <x v="1"/>
    <x v="10"/>
    <x v="1"/>
    <x v="0"/>
    <n v="1"/>
    <n v="4327.1400000000003"/>
    <n v="12163.24"/>
    <x v="1"/>
  </r>
  <r>
    <x v="4"/>
    <x v="1"/>
    <x v="5"/>
    <x v="1"/>
    <x v="10"/>
    <x v="1"/>
    <x v="1"/>
    <n v="27"/>
    <n v="153159.92000000001"/>
    <n v="409505.84"/>
    <x v="1"/>
  </r>
  <r>
    <x v="4"/>
    <x v="1"/>
    <x v="5"/>
    <x v="1"/>
    <x v="11"/>
    <x v="0"/>
    <x v="1"/>
    <n v="10"/>
    <n v="55976.95"/>
    <n v="229239.57"/>
    <x v="1"/>
  </r>
  <r>
    <x v="4"/>
    <x v="1"/>
    <x v="5"/>
    <x v="1"/>
    <x v="11"/>
    <x v="1"/>
    <x v="0"/>
    <n v="6"/>
    <n v="38174.51"/>
    <n v="103696.09"/>
    <x v="1"/>
  </r>
  <r>
    <x v="4"/>
    <x v="1"/>
    <x v="5"/>
    <x v="1"/>
    <x v="11"/>
    <x v="1"/>
    <x v="1"/>
    <n v="10"/>
    <n v="46400.44"/>
    <n v="121353.66"/>
    <x v="1"/>
  </r>
  <r>
    <x v="4"/>
    <x v="1"/>
    <x v="5"/>
    <x v="1"/>
    <x v="13"/>
    <x v="0"/>
    <x v="1"/>
    <n v="2"/>
    <n v="11624.16"/>
    <n v="48273.03"/>
    <x v="1"/>
  </r>
  <r>
    <x v="4"/>
    <x v="1"/>
    <x v="5"/>
    <x v="1"/>
    <x v="13"/>
    <x v="1"/>
    <x v="1"/>
    <n v="3"/>
    <n v="19651.77"/>
    <n v="57248.09"/>
    <x v="1"/>
  </r>
  <r>
    <x v="4"/>
    <x v="1"/>
    <x v="5"/>
    <x v="1"/>
    <x v="14"/>
    <x v="1"/>
    <x v="0"/>
    <n v="12"/>
    <n v="69747.67"/>
    <n v="192794.66"/>
    <x v="1"/>
  </r>
  <r>
    <x v="4"/>
    <x v="1"/>
    <x v="5"/>
    <x v="1"/>
    <x v="14"/>
    <x v="1"/>
    <x v="1"/>
    <n v="5"/>
    <n v="35388.19"/>
    <n v="90145.96"/>
    <x v="1"/>
  </r>
  <r>
    <x v="4"/>
    <x v="1"/>
    <x v="5"/>
    <x v="1"/>
    <x v="15"/>
    <x v="1"/>
    <x v="0"/>
    <n v="2"/>
    <n v="10343.16"/>
    <n v="26648.18"/>
    <x v="1"/>
  </r>
  <r>
    <x v="4"/>
    <x v="1"/>
    <x v="5"/>
    <x v="1"/>
    <x v="16"/>
    <x v="0"/>
    <x v="1"/>
    <n v="4"/>
    <n v="21615.18"/>
    <n v="89145.32"/>
    <x v="1"/>
  </r>
  <r>
    <x v="4"/>
    <x v="1"/>
    <x v="5"/>
    <x v="1"/>
    <x v="16"/>
    <x v="1"/>
    <x v="0"/>
    <n v="3"/>
    <n v="18512.14"/>
    <n v="46469.03"/>
    <x v="1"/>
  </r>
  <r>
    <x v="4"/>
    <x v="1"/>
    <x v="5"/>
    <x v="1"/>
    <x v="16"/>
    <x v="1"/>
    <x v="1"/>
    <n v="24"/>
    <n v="132361.82"/>
    <n v="327246.40000000002"/>
    <x v="1"/>
  </r>
  <r>
    <x v="4"/>
    <x v="1"/>
    <x v="5"/>
    <x v="1"/>
    <x v="17"/>
    <x v="0"/>
    <x v="1"/>
    <n v="2"/>
    <n v="12792.84"/>
    <n v="55517.87"/>
    <x v="1"/>
  </r>
  <r>
    <x v="4"/>
    <x v="1"/>
    <x v="5"/>
    <x v="1"/>
    <x v="17"/>
    <x v="1"/>
    <x v="0"/>
    <n v="7"/>
    <n v="48330.400000000001"/>
    <n v="124216.06"/>
    <x v="1"/>
  </r>
  <r>
    <x v="4"/>
    <x v="1"/>
    <x v="5"/>
    <x v="1"/>
    <x v="17"/>
    <x v="1"/>
    <x v="1"/>
    <n v="2"/>
    <n v="14176.26"/>
    <n v="37209.06"/>
    <x v="1"/>
  </r>
  <r>
    <x v="4"/>
    <x v="1"/>
    <x v="5"/>
    <x v="1"/>
    <x v="18"/>
    <x v="0"/>
    <x v="1"/>
    <n v="12"/>
    <n v="71117.259999999995"/>
    <n v="276059.37"/>
    <x v="1"/>
  </r>
  <r>
    <x v="4"/>
    <x v="1"/>
    <x v="5"/>
    <x v="1"/>
    <x v="18"/>
    <x v="1"/>
    <x v="0"/>
    <n v="5"/>
    <n v="27414.26"/>
    <n v="75079.259999999995"/>
    <x v="1"/>
  </r>
  <r>
    <x v="4"/>
    <x v="1"/>
    <x v="5"/>
    <x v="1"/>
    <x v="18"/>
    <x v="1"/>
    <x v="1"/>
    <n v="21"/>
    <n v="129351.37"/>
    <n v="358321.4"/>
    <x v="1"/>
  </r>
  <r>
    <x v="4"/>
    <x v="1"/>
    <x v="5"/>
    <x v="1"/>
    <x v="19"/>
    <x v="0"/>
    <x v="1"/>
    <n v="8"/>
    <n v="51918.9"/>
    <n v="199411.56"/>
    <x v="1"/>
  </r>
  <r>
    <x v="4"/>
    <x v="1"/>
    <x v="5"/>
    <x v="1"/>
    <x v="19"/>
    <x v="1"/>
    <x v="0"/>
    <n v="2"/>
    <n v="9673.5400000000009"/>
    <n v="23729.95"/>
    <x v="1"/>
  </r>
  <r>
    <x v="4"/>
    <x v="1"/>
    <x v="5"/>
    <x v="1"/>
    <x v="19"/>
    <x v="1"/>
    <x v="1"/>
    <n v="12"/>
    <n v="67023.56"/>
    <n v="178200.11"/>
    <x v="1"/>
  </r>
  <r>
    <x v="4"/>
    <x v="1"/>
    <x v="5"/>
    <x v="1"/>
    <x v="20"/>
    <x v="0"/>
    <x v="0"/>
    <n v="1"/>
    <n v="5186.34"/>
    <n v="19889.91"/>
    <x v="1"/>
  </r>
  <r>
    <x v="4"/>
    <x v="1"/>
    <x v="5"/>
    <x v="1"/>
    <x v="20"/>
    <x v="0"/>
    <x v="1"/>
    <n v="10"/>
    <n v="55731.4"/>
    <n v="221939.45"/>
    <x v="1"/>
  </r>
  <r>
    <x v="4"/>
    <x v="1"/>
    <x v="5"/>
    <x v="1"/>
    <x v="20"/>
    <x v="1"/>
    <x v="0"/>
    <n v="9"/>
    <n v="55441.15"/>
    <n v="147689.16"/>
    <x v="1"/>
  </r>
  <r>
    <x v="4"/>
    <x v="1"/>
    <x v="5"/>
    <x v="1"/>
    <x v="20"/>
    <x v="1"/>
    <x v="1"/>
    <n v="17"/>
    <n v="101681.98"/>
    <n v="269358.46000000002"/>
    <x v="1"/>
  </r>
  <r>
    <x v="4"/>
    <x v="1"/>
    <x v="5"/>
    <x v="2"/>
    <x v="21"/>
    <x v="0"/>
    <x v="0"/>
    <n v="1"/>
    <n v="4829.07"/>
    <n v="17478.919999999998"/>
    <x v="1"/>
  </r>
  <r>
    <x v="4"/>
    <x v="1"/>
    <x v="5"/>
    <x v="2"/>
    <x v="21"/>
    <x v="1"/>
    <x v="1"/>
    <n v="3"/>
    <n v="16991.34"/>
    <n v="38326.94"/>
    <x v="1"/>
  </r>
  <r>
    <x v="4"/>
    <x v="1"/>
    <x v="5"/>
    <x v="2"/>
    <x v="22"/>
    <x v="0"/>
    <x v="1"/>
    <n v="2"/>
    <n v="9832.17"/>
    <n v="35031.47"/>
    <x v="1"/>
  </r>
  <r>
    <x v="4"/>
    <x v="1"/>
    <x v="5"/>
    <x v="2"/>
    <x v="22"/>
    <x v="1"/>
    <x v="0"/>
    <n v="2"/>
    <n v="12717.38"/>
    <n v="32639.82"/>
    <x v="1"/>
  </r>
  <r>
    <x v="4"/>
    <x v="1"/>
    <x v="5"/>
    <x v="2"/>
    <x v="22"/>
    <x v="1"/>
    <x v="1"/>
    <n v="1"/>
    <n v="5160.04"/>
    <n v="11636.95"/>
    <x v="1"/>
  </r>
  <r>
    <x v="4"/>
    <x v="1"/>
    <x v="5"/>
    <x v="2"/>
    <x v="29"/>
    <x v="0"/>
    <x v="1"/>
    <n v="3"/>
    <n v="15764.85"/>
    <n v="58006.48"/>
    <x v="1"/>
  </r>
  <r>
    <x v="4"/>
    <x v="1"/>
    <x v="5"/>
    <x v="2"/>
    <x v="29"/>
    <x v="1"/>
    <x v="1"/>
    <n v="2"/>
    <n v="14207.1"/>
    <n v="34560.04"/>
    <x v="1"/>
  </r>
  <r>
    <x v="4"/>
    <x v="1"/>
    <x v="5"/>
    <x v="2"/>
    <x v="23"/>
    <x v="1"/>
    <x v="1"/>
    <n v="10"/>
    <n v="53217.77"/>
    <n v="126858.63"/>
    <x v="1"/>
  </r>
  <r>
    <x v="4"/>
    <x v="1"/>
    <x v="5"/>
    <x v="2"/>
    <x v="24"/>
    <x v="0"/>
    <x v="1"/>
    <n v="3"/>
    <n v="20885.97"/>
    <n v="81082.47"/>
    <x v="1"/>
  </r>
  <r>
    <x v="4"/>
    <x v="1"/>
    <x v="5"/>
    <x v="2"/>
    <x v="24"/>
    <x v="1"/>
    <x v="0"/>
    <n v="5"/>
    <n v="32207.1"/>
    <n v="82414.899999999994"/>
    <x v="1"/>
  </r>
  <r>
    <x v="4"/>
    <x v="1"/>
    <x v="5"/>
    <x v="3"/>
    <x v="25"/>
    <x v="0"/>
    <x v="1"/>
    <n v="3"/>
    <n v="17418.25"/>
    <n v="65495.72"/>
    <x v="1"/>
  </r>
  <r>
    <x v="4"/>
    <x v="1"/>
    <x v="5"/>
    <x v="3"/>
    <x v="25"/>
    <x v="1"/>
    <x v="0"/>
    <n v="8"/>
    <n v="44091.53"/>
    <n v="121101.22"/>
    <x v="1"/>
  </r>
  <r>
    <x v="4"/>
    <x v="1"/>
    <x v="5"/>
    <x v="3"/>
    <x v="25"/>
    <x v="1"/>
    <x v="1"/>
    <n v="8"/>
    <n v="44231.16"/>
    <n v="120609.71"/>
    <x v="1"/>
  </r>
  <r>
    <x v="4"/>
    <x v="1"/>
    <x v="5"/>
    <x v="3"/>
    <x v="26"/>
    <x v="0"/>
    <x v="0"/>
    <n v="2"/>
    <n v="10999.19"/>
    <n v="44390.85"/>
    <x v="1"/>
  </r>
  <r>
    <x v="4"/>
    <x v="1"/>
    <x v="5"/>
    <x v="3"/>
    <x v="26"/>
    <x v="0"/>
    <x v="1"/>
    <n v="2"/>
    <n v="13012.04"/>
    <n v="53061.27"/>
    <x v="1"/>
  </r>
  <r>
    <x v="4"/>
    <x v="1"/>
    <x v="5"/>
    <x v="3"/>
    <x v="26"/>
    <x v="1"/>
    <x v="0"/>
    <n v="14"/>
    <n v="81309.649999999994"/>
    <n v="212744.4"/>
    <x v="1"/>
  </r>
  <r>
    <x v="4"/>
    <x v="1"/>
    <x v="5"/>
    <x v="3"/>
    <x v="26"/>
    <x v="1"/>
    <x v="1"/>
    <n v="18"/>
    <n v="105796.8"/>
    <n v="281709.46000000002"/>
    <x v="1"/>
  </r>
  <r>
    <x v="4"/>
    <x v="1"/>
    <x v="5"/>
    <x v="3"/>
    <x v="27"/>
    <x v="0"/>
    <x v="0"/>
    <n v="3"/>
    <n v="15859.59"/>
    <n v="57787.13"/>
    <x v="1"/>
  </r>
  <r>
    <x v="4"/>
    <x v="1"/>
    <x v="5"/>
    <x v="3"/>
    <x v="27"/>
    <x v="0"/>
    <x v="1"/>
    <n v="6"/>
    <n v="32486.77"/>
    <n v="127451.79"/>
    <x v="1"/>
  </r>
  <r>
    <x v="4"/>
    <x v="1"/>
    <x v="5"/>
    <x v="3"/>
    <x v="27"/>
    <x v="1"/>
    <x v="0"/>
    <n v="4"/>
    <n v="21720.83"/>
    <n v="53937.63"/>
    <x v="1"/>
  </r>
  <r>
    <x v="4"/>
    <x v="1"/>
    <x v="5"/>
    <x v="3"/>
    <x v="27"/>
    <x v="1"/>
    <x v="1"/>
    <n v="37"/>
    <n v="211125.1"/>
    <n v="560004.56999999995"/>
    <x v="1"/>
  </r>
  <r>
    <x v="4"/>
    <x v="1"/>
    <x v="6"/>
    <x v="0"/>
    <x v="0"/>
    <x v="0"/>
    <x v="0"/>
    <n v="1"/>
    <n v="2057.81"/>
    <n v="7454.82"/>
    <x v="1"/>
  </r>
  <r>
    <x v="4"/>
    <x v="1"/>
    <x v="6"/>
    <x v="0"/>
    <x v="0"/>
    <x v="0"/>
    <x v="1"/>
    <n v="3"/>
    <n v="8167.86"/>
    <n v="28164.41"/>
    <x v="1"/>
  </r>
  <r>
    <x v="4"/>
    <x v="1"/>
    <x v="6"/>
    <x v="0"/>
    <x v="0"/>
    <x v="1"/>
    <x v="0"/>
    <n v="9"/>
    <n v="22069.53"/>
    <n v="49514.91"/>
    <x v="1"/>
  </r>
  <r>
    <x v="4"/>
    <x v="1"/>
    <x v="6"/>
    <x v="0"/>
    <x v="0"/>
    <x v="1"/>
    <x v="1"/>
    <n v="1"/>
    <n v="3075.95"/>
    <n v="6796.96"/>
    <x v="1"/>
  </r>
  <r>
    <x v="4"/>
    <x v="1"/>
    <x v="6"/>
    <x v="0"/>
    <x v="1"/>
    <x v="0"/>
    <x v="1"/>
    <n v="5"/>
    <n v="15206.1"/>
    <n v="51620.959999999999"/>
    <x v="1"/>
  </r>
  <r>
    <x v="4"/>
    <x v="1"/>
    <x v="6"/>
    <x v="0"/>
    <x v="1"/>
    <x v="1"/>
    <x v="1"/>
    <n v="17"/>
    <n v="44848.36"/>
    <n v="103149"/>
    <x v="1"/>
  </r>
  <r>
    <x v="4"/>
    <x v="1"/>
    <x v="6"/>
    <x v="0"/>
    <x v="2"/>
    <x v="0"/>
    <x v="1"/>
    <n v="3"/>
    <n v="7512.79"/>
    <n v="25289.29"/>
    <x v="1"/>
  </r>
  <r>
    <x v="4"/>
    <x v="1"/>
    <x v="6"/>
    <x v="0"/>
    <x v="2"/>
    <x v="1"/>
    <x v="1"/>
    <n v="6"/>
    <n v="15878.77"/>
    <n v="33124.730000000003"/>
    <x v="1"/>
  </r>
  <r>
    <x v="4"/>
    <x v="1"/>
    <x v="6"/>
    <x v="0"/>
    <x v="3"/>
    <x v="0"/>
    <x v="0"/>
    <n v="2"/>
    <n v="6358.97"/>
    <n v="20809.71"/>
    <x v="1"/>
  </r>
  <r>
    <x v="4"/>
    <x v="1"/>
    <x v="6"/>
    <x v="0"/>
    <x v="3"/>
    <x v="0"/>
    <x v="1"/>
    <n v="4"/>
    <n v="9217.2199999999993"/>
    <n v="32033.43"/>
    <x v="1"/>
  </r>
  <r>
    <x v="4"/>
    <x v="1"/>
    <x v="6"/>
    <x v="0"/>
    <x v="3"/>
    <x v="1"/>
    <x v="0"/>
    <n v="14"/>
    <n v="34240.06"/>
    <n v="73891.19"/>
    <x v="1"/>
  </r>
  <r>
    <x v="4"/>
    <x v="1"/>
    <x v="6"/>
    <x v="0"/>
    <x v="3"/>
    <x v="1"/>
    <x v="1"/>
    <n v="39"/>
    <n v="110948.58"/>
    <n v="236837.93"/>
    <x v="1"/>
  </r>
  <r>
    <x v="4"/>
    <x v="1"/>
    <x v="6"/>
    <x v="0"/>
    <x v="28"/>
    <x v="1"/>
    <x v="1"/>
    <n v="3"/>
    <n v="7427.72"/>
    <n v="16594.400000000001"/>
    <x v="1"/>
  </r>
  <r>
    <x v="4"/>
    <x v="1"/>
    <x v="6"/>
    <x v="0"/>
    <x v="4"/>
    <x v="1"/>
    <x v="0"/>
    <n v="5"/>
    <n v="10424.92"/>
    <n v="24068.46"/>
    <x v="1"/>
  </r>
  <r>
    <x v="4"/>
    <x v="1"/>
    <x v="6"/>
    <x v="0"/>
    <x v="4"/>
    <x v="1"/>
    <x v="1"/>
    <n v="11"/>
    <n v="33910.54"/>
    <n v="72073.22"/>
    <x v="1"/>
  </r>
  <r>
    <x v="4"/>
    <x v="1"/>
    <x v="6"/>
    <x v="0"/>
    <x v="5"/>
    <x v="0"/>
    <x v="1"/>
    <n v="1"/>
    <n v="3072.47"/>
    <n v="10392.92"/>
    <x v="1"/>
  </r>
  <r>
    <x v="4"/>
    <x v="1"/>
    <x v="6"/>
    <x v="0"/>
    <x v="5"/>
    <x v="1"/>
    <x v="0"/>
    <n v="7"/>
    <n v="21862"/>
    <n v="47775.26"/>
    <x v="1"/>
  </r>
  <r>
    <x v="4"/>
    <x v="1"/>
    <x v="6"/>
    <x v="0"/>
    <x v="5"/>
    <x v="1"/>
    <x v="1"/>
    <n v="12"/>
    <n v="35198.18"/>
    <n v="78272.100000000006"/>
    <x v="1"/>
  </r>
  <r>
    <x v="4"/>
    <x v="1"/>
    <x v="6"/>
    <x v="0"/>
    <x v="6"/>
    <x v="0"/>
    <x v="1"/>
    <n v="2"/>
    <n v="6426"/>
    <n v="20606.09"/>
    <x v="1"/>
  </r>
  <r>
    <x v="4"/>
    <x v="1"/>
    <x v="6"/>
    <x v="0"/>
    <x v="6"/>
    <x v="1"/>
    <x v="1"/>
    <n v="1"/>
    <n v="3307.1"/>
    <n v="6858.26"/>
    <x v="1"/>
  </r>
  <r>
    <x v="4"/>
    <x v="1"/>
    <x v="6"/>
    <x v="0"/>
    <x v="7"/>
    <x v="1"/>
    <x v="1"/>
    <n v="5"/>
    <n v="10558.05"/>
    <n v="25191.68"/>
    <x v="1"/>
  </r>
  <r>
    <x v="4"/>
    <x v="1"/>
    <x v="6"/>
    <x v="0"/>
    <x v="8"/>
    <x v="0"/>
    <x v="1"/>
    <n v="2"/>
    <n v="6193.12"/>
    <n v="20606.09"/>
    <x v="1"/>
  </r>
  <r>
    <x v="4"/>
    <x v="1"/>
    <x v="6"/>
    <x v="0"/>
    <x v="8"/>
    <x v="1"/>
    <x v="1"/>
    <n v="6"/>
    <n v="19676.580000000002"/>
    <n v="38965.56"/>
    <x v="1"/>
  </r>
  <r>
    <x v="4"/>
    <x v="1"/>
    <x v="6"/>
    <x v="1"/>
    <x v="10"/>
    <x v="0"/>
    <x v="0"/>
    <n v="2"/>
    <n v="6469.16"/>
    <n v="21530.84"/>
    <x v="1"/>
  </r>
  <r>
    <x v="4"/>
    <x v="1"/>
    <x v="6"/>
    <x v="1"/>
    <x v="10"/>
    <x v="0"/>
    <x v="1"/>
    <n v="5"/>
    <n v="9708.84"/>
    <n v="35009.61"/>
    <x v="1"/>
  </r>
  <r>
    <x v="4"/>
    <x v="1"/>
    <x v="6"/>
    <x v="1"/>
    <x v="10"/>
    <x v="1"/>
    <x v="0"/>
    <n v="1"/>
    <n v="2144.0100000000002"/>
    <n v="5370.34"/>
    <x v="1"/>
  </r>
  <r>
    <x v="4"/>
    <x v="1"/>
    <x v="6"/>
    <x v="1"/>
    <x v="10"/>
    <x v="1"/>
    <x v="1"/>
    <n v="27"/>
    <n v="64458.25"/>
    <n v="154431.82"/>
    <x v="1"/>
  </r>
  <r>
    <x v="4"/>
    <x v="1"/>
    <x v="6"/>
    <x v="1"/>
    <x v="11"/>
    <x v="0"/>
    <x v="1"/>
    <n v="13"/>
    <n v="34430.89"/>
    <n v="121059.15"/>
    <x v="1"/>
  </r>
  <r>
    <x v="4"/>
    <x v="1"/>
    <x v="6"/>
    <x v="1"/>
    <x v="11"/>
    <x v="1"/>
    <x v="0"/>
    <n v="8"/>
    <n v="18565"/>
    <n v="43736.39"/>
    <x v="1"/>
  </r>
  <r>
    <x v="4"/>
    <x v="1"/>
    <x v="6"/>
    <x v="1"/>
    <x v="11"/>
    <x v="1"/>
    <x v="1"/>
    <n v="22"/>
    <n v="55893.87"/>
    <n v="126666.54"/>
    <x v="1"/>
  </r>
  <r>
    <x v="4"/>
    <x v="1"/>
    <x v="6"/>
    <x v="1"/>
    <x v="13"/>
    <x v="0"/>
    <x v="1"/>
    <n v="5"/>
    <n v="13873.52"/>
    <n v="48102.04"/>
    <x v="1"/>
  </r>
  <r>
    <x v="4"/>
    <x v="1"/>
    <x v="6"/>
    <x v="1"/>
    <x v="13"/>
    <x v="1"/>
    <x v="0"/>
    <n v="5"/>
    <n v="15099.35"/>
    <n v="37634.18"/>
    <x v="1"/>
  </r>
  <r>
    <x v="4"/>
    <x v="1"/>
    <x v="6"/>
    <x v="1"/>
    <x v="13"/>
    <x v="1"/>
    <x v="1"/>
    <n v="1"/>
    <n v="3020.9"/>
    <n v="7464.9"/>
    <x v="1"/>
  </r>
  <r>
    <x v="4"/>
    <x v="1"/>
    <x v="6"/>
    <x v="1"/>
    <x v="14"/>
    <x v="1"/>
    <x v="0"/>
    <n v="18"/>
    <n v="48372.639999999999"/>
    <n v="115107.91"/>
    <x v="1"/>
  </r>
  <r>
    <x v="4"/>
    <x v="1"/>
    <x v="6"/>
    <x v="1"/>
    <x v="14"/>
    <x v="1"/>
    <x v="1"/>
    <n v="17"/>
    <n v="41891.480000000003"/>
    <n v="97965.43"/>
    <x v="1"/>
  </r>
  <r>
    <x v="4"/>
    <x v="1"/>
    <x v="6"/>
    <x v="1"/>
    <x v="16"/>
    <x v="0"/>
    <x v="1"/>
    <n v="4"/>
    <n v="7884.98"/>
    <n v="27156.3"/>
    <x v="1"/>
  </r>
  <r>
    <x v="4"/>
    <x v="1"/>
    <x v="6"/>
    <x v="1"/>
    <x v="16"/>
    <x v="1"/>
    <x v="1"/>
    <n v="5"/>
    <n v="13570.75"/>
    <n v="28252.18"/>
    <x v="1"/>
  </r>
  <r>
    <x v="4"/>
    <x v="1"/>
    <x v="6"/>
    <x v="1"/>
    <x v="17"/>
    <x v="1"/>
    <x v="1"/>
    <n v="10"/>
    <n v="29332.28"/>
    <n v="68395.12"/>
    <x v="1"/>
  </r>
  <r>
    <x v="4"/>
    <x v="1"/>
    <x v="6"/>
    <x v="1"/>
    <x v="18"/>
    <x v="0"/>
    <x v="1"/>
    <n v="6"/>
    <n v="17350.47"/>
    <n v="57401.43"/>
    <x v="1"/>
  </r>
  <r>
    <x v="4"/>
    <x v="1"/>
    <x v="6"/>
    <x v="1"/>
    <x v="18"/>
    <x v="1"/>
    <x v="0"/>
    <n v="2"/>
    <n v="4140.2"/>
    <n v="10710.45"/>
    <x v="1"/>
  </r>
  <r>
    <x v="4"/>
    <x v="1"/>
    <x v="6"/>
    <x v="1"/>
    <x v="18"/>
    <x v="1"/>
    <x v="1"/>
    <n v="25"/>
    <n v="75195.289999999994"/>
    <n v="176445.11"/>
    <x v="1"/>
  </r>
  <r>
    <x v="4"/>
    <x v="1"/>
    <x v="6"/>
    <x v="1"/>
    <x v="19"/>
    <x v="0"/>
    <x v="1"/>
    <n v="2"/>
    <n v="6061.82"/>
    <n v="20911.28"/>
    <x v="1"/>
  </r>
  <r>
    <x v="4"/>
    <x v="1"/>
    <x v="6"/>
    <x v="1"/>
    <x v="19"/>
    <x v="1"/>
    <x v="0"/>
    <n v="4"/>
    <n v="10928.9"/>
    <n v="24133.21"/>
    <x v="1"/>
  </r>
  <r>
    <x v="4"/>
    <x v="1"/>
    <x v="6"/>
    <x v="1"/>
    <x v="19"/>
    <x v="1"/>
    <x v="1"/>
    <n v="10"/>
    <n v="27394.68"/>
    <n v="64611.22"/>
    <x v="1"/>
  </r>
  <r>
    <x v="4"/>
    <x v="1"/>
    <x v="6"/>
    <x v="1"/>
    <x v="20"/>
    <x v="0"/>
    <x v="0"/>
    <n v="1"/>
    <n v="3072.07"/>
    <n v="10827.57"/>
    <x v="1"/>
  </r>
  <r>
    <x v="4"/>
    <x v="1"/>
    <x v="6"/>
    <x v="1"/>
    <x v="20"/>
    <x v="0"/>
    <x v="1"/>
    <n v="11"/>
    <n v="31806.97"/>
    <n v="113588.51"/>
    <x v="1"/>
  </r>
  <r>
    <x v="4"/>
    <x v="1"/>
    <x v="6"/>
    <x v="1"/>
    <x v="20"/>
    <x v="1"/>
    <x v="0"/>
    <n v="8"/>
    <n v="25215.05"/>
    <n v="55881.66"/>
    <x v="1"/>
  </r>
  <r>
    <x v="4"/>
    <x v="1"/>
    <x v="6"/>
    <x v="1"/>
    <x v="20"/>
    <x v="1"/>
    <x v="1"/>
    <n v="16"/>
    <n v="45532.959999999999"/>
    <n v="105312.8"/>
    <x v="1"/>
  </r>
  <r>
    <x v="4"/>
    <x v="1"/>
    <x v="6"/>
    <x v="2"/>
    <x v="21"/>
    <x v="0"/>
    <x v="0"/>
    <n v="1"/>
    <n v="2103.89"/>
    <n v="7567.85"/>
    <x v="1"/>
  </r>
  <r>
    <x v="4"/>
    <x v="1"/>
    <x v="6"/>
    <x v="2"/>
    <x v="22"/>
    <x v="0"/>
    <x v="1"/>
    <n v="3"/>
    <n v="8197.44"/>
    <n v="28318.29"/>
    <x v="1"/>
  </r>
  <r>
    <x v="4"/>
    <x v="1"/>
    <x v="6"/>
    <x v="2"/>
    <x v="22"/>
    <x v="1"/>
    <x v="0"/>
    <n v="1"/>
    <n v="1912.32"/>
    <n v="3955.3"/>
    <x v="1"/>
  </r>
  <r>
    <x v="4"/>
    <x v="1"/>
    <x v="6"/>
    <x v="2"/>
    <x v="22"/>
    <x v="1"/>
    <x v="1"/>
    <n v="10"/>
    <n v="25605.95"/>
    <n v="52380.55"/>
    <x v="1"/>
  </r>
  <r>
    <x v="4"/>
    <x v="1"/>
    <x v="6"/>
    <x v="2"/>
    <x v="29"/>
    <x v="1"/>
    <x v="1"/>
    <n v="6"/>
    <n v="18383.02"/>
    <n v="38016.58"/>
    <x v="1"/>
  </r>
  <r>
    <x v="4"/>
    <x v="1"/>
    <x v="6"/>
    <x v="3"/>
    <x v="25"/>
    <x v="0"/>
    <x v="1"/>
    <n v="6"/>
    <n v="17399.87"/>
    <n v="58168.639999999999"/>
    <x v="1"/>
  </r>
  <r>
    <x v="4"/>
    <x v="1"/>
    <x v="6"/>
    <x v="3"/>
    <x v="25"/>
    <x v="1"/>
    <x v="0"/>
    <n v="3"/>
    <n v="6397.46"/>
    <n v="15010.18"/>
    <x v="1"/>
  </r>
  <r>
    <x v="4"/>
    <x v="1"/>
    <x v="6"/>
    <x v="3"/>
    <x v="26"/>
    <x v="0"/>
    <x v="0"/>
    <n v="2"/>
    <n v="5186.5200000000004"/>
    <n v="17910.63"/>
    <x v="1"/>
  </r>
  <r>
    <x v="4"/>
    <x v="1"/>
    <x v="6"/>
    <x v="3"/>
    <x v="26"/>
    <x v="1"/>
    <x v="0"/>
    <n v="2"/>
    <n v="6033.79"/>
    <n v="14447.34"/>
    <x v="1"/>
  </r>
  <r>
    <x v="4"/>
    <x v="1"/>
    <x v="6"/>
    <x v="3"/>
    <x v="26"/>
    <x v="1"/>
    <x v="1"/>
    <n v="6"/>
    <n v="17012.8"/>
    <n v="38973.42"/>
    <x v="1"/>
  </r>
  <r>
    <x v="4"/>
    <x v="1"/>
    <x v="6"/>
    <x v="3"/>
    <x v="27"/>
    <x v="0"/>
    <x v="0"/>
    <n v="1"/>
    <n v="2118.29"/>
    <n v="7454.82"/>
    <x v="1"/>
  </r>
  <r>
    <x v="4"/>
    <x v="1"/>
    <x v="6"/>
    <x v="3"/>
    <x v="27"/>
    <x v="0"/>
    <x v="1"/>
    <n v="7"/>
    <n v="18015.060000000001"/>
    <n v="59248.02"/>
    <x v="1"/>
  </r>
  <r>
    <x v="4"/>
    <x v="1"/>
    <x v="6"/>
    <x v="3"/>
    <x v="27"/>
    <x v="1"/>
    <x v="0"/>
    <n v="12"/>
    <n v="30588.880000000001"/>
    <n v="68920.789999999994"/>
    <x v="1"/>
  </r>
  <r>
    <x v="4"/>
    <x v="1"/>
    <x v="6"/>
    <x v="3"/>
    <x v="27"/>
    <x v="1"/>
    <x v="1"/>
    <n v="19"/>
    <n v="48522.69"/>
    <n v="111192.83"/>
    <x v="1"/>
  </r>
  <r>
    <x v="4"/>
    <x v="1"/>
    <x v="7"/>
    <x v="0"/>
    <x v="0"/>
    <x v="0"/>
    <x v="0"/>
    <n v="6"/>
    <n v="33488.86"/>
    <n v="122821.35"/>
    <x v="1"/>
  </r>
  <r>
    <x v="4"/>
    <x v="1"/>
    <x v="7"/>
    <x v="0"/>
    <x v="0"/>
    <x v="1"/>
    <x v="0"/>
    <n v="6"/>
    <n v="30807.08"/>
    <n v="74825.600000000006"/>
    <x v="1"/>
  </r>
  <r>
    <x v="4"/>
    <x v="1"/>
    <x v="7"/>
    <x v="0"/>
    <x v="0"/>
    <x v="1"/>
    <x v="1"/>
    <n v="4"/>
    <n v="16063.88"/>
    <n v="37435.56"/>
    <x v="1"/>
  </r>
  <r>
    <x v="4"/>
    <x v="1"/>
    <x v="7"/>
    <x v="0"/>
    <x v="1"/>
    <x v="0"/>
    <x v="0"/>
    <n v="7"/>
    <n v="33820.49"/>
    <n v="128314.23"/>
    <x v="1"/>
  </r>
  <r>
    <x v="4"/>
    <x v="1"/>
    <x v="7"/>
    <x v="0"/>
    <x v="1"/>
    <x v="0"/>
    <x v="1"/>
    <n v="1"/>
    <n v="5408.67"/>
    <n v="22556.22"/>
    <x v="1"/>
  </r>
  <r>
    <x v="4"/>
    <x v="1"/>
    <x v="7"/>
    <x v="0"/>
    <x v="1"/>
    <x v="1"/>
    <x v="0"/>
    <n v="11"/>
    <n v="47202.48"/>
    <n v="119177.35"/>
    <x v="1"/>
  </r>
  <r>
    <x v="4"/>
    <x v="1"/>
    <x v="7"/>
    <x v="0"/>
    <x v="1"/>
    <x v="1"/>
    <x v="1"/>
    <n v="8"/>
    <n v="45396.39"/>
    <n v="107623.89"/>
    <x v="1"/>
  </r>
  <r>
    <x v="4"/>
    <x v="1"/>
    <x v="7"/>
    <x v="0"/>
    <x v="2"/>
    <x v="0"/>
    <x v="1"/>
    <n v="2"/>
    <n v="9138.25"/>
    <n v="36099.339999999997"/>
    <x v="1"/>
  </r>
  <r>
    <x v="4"/>
    <x v="1"/>
    <x v="7"/>
    <x v="0"/>
    <x v="2"/>
    <x v="1"/>
    <x v="0"/>
    <n v="1"/>
    <n v="3638.41"/>
    <n v="8905.7999999999993"/>
    <x v="1"/>
  </r>
  <r>
    <x v="4"/>
    <x v="1"/>
    <x v="7"/>
    <x v="0"/>
    <x v="2"/>
    <x v="1"/>
    <x v="1"/>
    <n v="6"/>
    <n v="33718.300000000003"/>
    <n v="73641.72"/>
    <x v="1"/>
  </r>
  <r>
    <x v="4"/>
    <x v="1"/>
    <x v="7"/>
    <x v="0"/>
    <x v="3"/>
    <x v="0"/>
    <x v="0"/>
    <n v="4"/>
    <n v="16865.12"/>
    <n v="61265.66"/>
    <x v="1"/>
  </r>
  <r>
    <x v="4"/>
    <x v="1"/>
    <x v="7"/>
    <x v="0"/>
    <x v="3"/>
    <x v="0"/>
    <x v="1"/>
    <n v="7"/>
    <n v="38767.79"/>
    <n v="144870"/>
    <x v="1"/>
  </r>
  <r>
    <x v="4"/>
    <x v="1"/>
    <x v="7"/>
    <x v="0"/>
    <x v="3"/>
    <x v="1"/>
    <x v="0"/>
    <n v="7"/>
    <n v="34447.68"/>
    <n v="88766.65"/>
    <x v="1"/>
  </r>
  <r>
    <x v="4"/>
    <x v="1"/>
    <x v="7"/>
    <x v="0"/>
    <x v="3"/>
    <x v="1"/>
    <x v="1"/>
    <n v="37"/>
    <n v="188572.19"/>
    <n v="449422.9"/>
    <x v="1"/>
  </r>
  <r>
    <x v="4"/>
    <x v="1"/>
    <x v="7"/>
    <x v="0"/>
    <x v="4"/>
    <x v="0"/>
    <x v="1"/>
    <n v="9"/>
    <n v="39224.26"/>
    <n v="146227.76"/>
    <x v="1"/>
  </r>
  <r>
    <x v="4"/>
    <x v="1"/>
    <x v="7"/>
    <x v="0"/>
    <x v="4"/>
    <x v="1"/>
    <x v="0"/>
    <n v="2"/>
    <n v="10681.86"/>
    <n v="23813.599999999999"/>
    <x v="1"/>
  </r>
  <r>
    <x v="4"/>
    <x v="1"/>
    <x v="7"/>
    <x v="0"/>
    <x v="4"/>
    <x v="1"/>
    <x v="1"/>
    <n v="5"/>
    <n v="20629.05"/>
    <n v="49604.32"/>
    <x v="1"/>
  </r>
  <r>
    <x v="4"/>
    <x v="1"/>
    <x v="7"/>
    <x v="0"/>
    <x v="5"/>
    <x v="0"/>
    <x v="1"/>
    <n v="1"/>
    <n v="4060.58"/>
    <n v="14124.2"/>
    <x v="1"/>
  </r>
  <r>
    <x v="4"/>
    <x v="1"/>
    <x v="7"/>
    <x v="0"/>
    <x v="5"/>
    <x v="1"/>
    <x v="0"/>
    <n v="3"/>
    <n v="18838.95"/>
    <n v="42776.13"/>
    <x v="1"/>
  </r>
  <r>
    <x v="4"/>
    <x v="1"/>
    <x v="7"/>
    <x v="0"/>
    <x v="5"/>
    <x v="1"/>
    <x v="1"/>
    <n v="17"/>
    <n v="78243.55"/>
    <n v="184894.34"/>
    <x v="1"/>
  </r>
  <r>
    <x v="4"/>
    <x v="1"/>
    <x v="7"/>
    <x v="0"/>
    <x v="6"/>
    <x v="0"/>
    <x v="1"/>
    <n v="3"/>
    <n v="14167.36"/>
    <n v="57491.34"/>
    <x v="1"/>
  </r>
  <r>
    <x v="4"/>
    <x v="1"/>
    <x v="7"/>
    <x v="0"/>
    <x v="7"/>
    <x v="1"/>
    <x v="1"/>
    <n v="5"/>
    <n v="26981.51"/>
    <n v="62135.88"/>
    <x v="1"/>
  </r>
  <r>
    <x v="4"/>
    <x v="1"/>
    <x v="7"/>
    <x v="0"/>
    <x v="8"/>
    <x v="0"/>
    <x v="1"/>
    <n v="3"/>
    <n v="17409.580000000002"/>
    <n v="65042.25"/>
    <x v="1"/>
  </r>
  <r>
    <x v="4"/>
    <x v="1"/>
    <x v="7"/>
    <x v="0"/>
    <x v="8"/>
    <x v="1"/>
    <x v="1"/>
    <n v="4"/>
    <n v="18364.650000000001"/>
    <n v="40463.85"/>
    <x v="1"/>
  </r>
  <r>
    <x v="4"/>
    <x v="1"/>
    <x v="7"/>
    <x v="1"/>
    <x v="9"/>
    <x v="1"/>
    <x v="1"/>
    <n v="3"/>
    <n v="13123.94"/>
    <n v="36468.620000000003"/>
    <x v="1"/>
  </r>
  <r>
    <x v="4"/>
    <x v="1"/>
    <x v="7"/>
    <x v="1"/>
    <x v="10"/>
    <x v="0"/>
    <x v="0"/>
    <n v="1"/>
    <n v="6207.36"/>
    <n v="22519.040000000001"/>
    <x v="1"/>
  </r>
  <r>
    <x v="4"/>
    <x v="1"/>
    <x v="7"/>
    <x v="1"/>
    <x v="10"/>
    <x v="0"/>
    <x v="1"/>
    <n v="4"/>
    <n v="18737.310000000001"/>
    <n v="75398.460000000006"/>
    <x v="1"/>
  </r>
  <r>
    <x v="4"/>
    <x v="1"/>
    <x v="7"/>
    <x v="1"/>
    <x v="10"/>
    <x v="1"/>
    <x v="0"/>
    <n v="1"/>
    <n v="3805.72"/>
    <n v="10094.280000000001"/>
    <x v="1"/>
  </r>
  <r>
    <x v="4"/>
    <x v="1"/>
    <x v="7"/>
    <x v="1"/>
    <x v="10"/>
    <x v="1"/>
    <x v="1"/>
    <n v="43"/>
    <n v="197057.77"/>
    <n v="524880.68000000005"/>
    <x v="1"/>
  </r>
  <r>
    <x v="4"/>
    <x v="1"/>
    <x v="7"/>
    <x v="1"/>
    <x v="11"/>
    <x v="0"/>
    <x v="1"/>
    <n v="5"/>
    <n v="22719.34"/>
    <n v="88809.48"/>
    <x v="1"/>
  </r>
  <r>
    <x v="4"/>
    <x v="1"/>
    <x v="7"/>
    <x v="1"/>
    <x v="11"/>
    <x v="1"/>
    <x v="0"/>
    <n v="15"/>
    <n v="83293.64"/>
    <n v="205833.36"/>
    <x v="1"/>
  </r>
  <r>
    <x v="4"/>
    <x v="1"/>
    <x v="7"/>
    <x v="1"/>
    <x v="11"/>
    <x v="1"/>
    <x v="1"/>
    <n v="29"/>
    <n v="131763.6"/>
    <n v="330169.83"/>
    <x v="1"/>
  </r>
  <r>
    <x v="4"/>
    <x v="1"/>
    <x v="7"/>
    <x v="1"/>
    <x v="12"/>
    <x v="1"/>
    <x v="0"/>
    <n v="4"/>
    <n v="22914.06"/>
    <n v="62224.35"/>
    <x v="1"/>
  </r>
  <r>
    <x v="4"/>
    <x v="1"/>
    <x v="7"/>
    <x v="1"/>
    <x v="13"/>
    <x v="0"/>
    <x v="1"/>
    <n v="4"/>
    <n v="21927.5"/>
    <n v="82625.02"/>
    <x v="1"/>
  </r>
  <r>
    <x v="4"/>
    <x v="1"/>
    <x v="7"/>
    <x v="1"/>
    <x v="13"/>
    <x v="1"/>
    <x v="1"/>
    <n v="5"/>
    <n v="22787.26"/>
    <n v="60569.760000000002"/>
    <x v="1"/>
  </r>
  <r>
    <x v="4"/>
    <x v="1"/>
    <x v="7"/>
    <x v="1"/>
    <x v="14"/>
    <x v="0"/>
    <x v="1"/>
    <n v="2"/>
    <n v="10218.379999999999"/>
    <n v="39205.15"/>
    <x v="1"/>
  </r>
  <r>
    <x v="4"/>
    <x v="1"/>
    <x v="7"/>
    <x v="1"/>
    <x v="14"/>
    <x v="1"/>
    <x v="0"/>
    <n v="25"/>
    <n v="106722.75"/>
    <n v="271970.90999999997"/>
    <x v="1"/>
  </r>
  <r>
    <x v="4"/>
    <x v="1"/>
    <x v="7"/>
    <x v="1"/>
    <x v="14"/>
    <x v="1"/>
    <x v="1"/>
    <n v="8"/>
    <n v="49474.66"/>
    <n v="122204.18"/>
    <x v="1"/>
  </r>
  <r>
    <x v="4"/>
    <x v="1"/>
    <x v="7"/>
    <x v="1"/>
    <x v="15"/>
    <x v="1"/>
    <x v="0"/>
    <n v="3"/>
    <n v="18287.47"/>
    <n v="46896.07"/>
    <x v="1"/>
  </r>
  <r>
    <x v="4"/>
    <x v="1"/>
    <x v="7"/>
    <x v="1"/>
    <x v="16"/>
    <x v="1"/>
    <x v="1"/>
    <n v="7"/>
    <n v="41003.279999999999"/>
    <n v="92654.27"/>
    <x v="1"/>
  </r>
  <r>
    <x v="4"/>
    <x v="1"/>
    <x v="7"/>
    <x v="1"/>
    <x v="17"/>
    <x v="1"/>
    <x v="0"/>
    <n v="4"/>
    <n v="22136.400000000001"/>
    <n v="60784.89"/>
    <x v="1"/>
  </r>
  <r>
    <x v="4"/>
    <x v="1"/>
    <x v="7"/>
    <x v="1"/>
    <x v="17"/>
    <x v="1"/>
    <x v="1"/>
    <n v="15"/>
    <n v="86847.44"/>
    <n v="212148.5"/>
    <x v="1"/>
  </r>
  <r>
    <x v="4"/>
    <x v="1"/>
    <x v="7"/>
    <x v="1"/>
    <x v="18"/>
    <x v="0"/>
    <x v="1"/>
    <n v="8"/>
    <n v="42371.31"/>
    <n v="156927.59"/>
    <x v="1"/>
  </r>
  <r>
    <x v="4"/>
    <x v="1"/>
    <x v="7"/>
    <x v="1"/>
    <x v="18"/>
    <x v="1"/>
    <x v="0"/>
    <n v="9"/>
    <n v="41733.800000000003"/>
    <n v="111627.47"/>
    <x v="1"/>
  </r>
  <r>
    <x v="4"/>
    <x v="1"/>
    <x v="7"/>
    <x v="1"/>
    <x v="18"/>
    <x v="1"/>
    <x v="1"/>
    <n v="21"/>
    <n v="103986.58"/>
    <n v="279132.33"/>
    <x v="1"/>
  </r>
  <r>
    <x v="4"/>
    <x v="1"/>
    <x v="7"/>
    <x v="1"/>
    <x v="19"/>
    <x v="0"/>
    <x v="1"/>
    <n v="1"/>
    <n v="5440.21"/>
    <n v="21739.4"/>
    <x v="1"/>
  </r>
  <r>
    <x v="4"/>
    <x v="1"/>
    <x v="7"/>
    <x v="1"/>
    <x v="19"/>
    <x v="1"/>
    <x v="0"/>
    <n v="2"/>
    <n v="9379.64"/>
    <n v="24292.41"/>
    <x v="1"/>
  </r>
  <r>
    <x v="4"/>
    <x v="1"/>
    <x v="7"/>
    <x v="1"/>
    <x v="19"/>
    <x v="1"/>
    <x v="1"/>
    <n v="7"/>
    <n v="36796.75"/>
    <n v="88944.95"/>
    <x v="1"/>
  </r>
  <r>
    <x v="4"/>
    <x v="1"/>
    <x v="7"/>
    <x v="1"/>
    <x v="20"/>
    <x v="0"/>
    <x v="0"/>
    <n v="1"/>
    <n v="5488.83"/>
    <n v="22449.26"/>
    <x v="1"/>
  </r>
  <r>
    <x v="4"/>
    <x v="1"/>
    <x v="7"/>
    <x v="1"/>
    <x v="20"/>
    <x v="0"/>
    <x v="1"/>
    <n v="10"/>
    <n v="51282.04"/>
    <n v="194354.48"/>
    <x v="1"/>
  </r>
  <r>
    <x v="4"/>
    <x v="1"/>
    <x v="7"/>
    <x v="1"/>
    <x v="20"/>
    <x v="1"/>
    <x v="0"/>
    <n v="10"/>
    <n v="49907.86"/>
    <n v="129484.03"/>
    <x v="1"/>
  </r>
  <r>
    <x v="4"/>
    <x v="1"/>
    <x v="7"/>
    <x v="1"/>
    <x v="20"/>
    <x v="1"/>
    <x v="1"/>
    <n v="21"/>
    <n v="103846.85"/>
    <n v="262690.90000000002"/>
    <x v="1"/>
  </r>
  <r>
    <x v="4"/>
    <x v="1"/>
    <x v="7"/>
    <x v="2"/>
    <x v="22"/>
    <x v="0"/>
    <x v="1"/>
    <n v="1"/>
    <n v="4226.8900000000003"/>
    <n v="15706.88"/>
    <x v="1"/>
  </r>
  <r>
    <x v="4"/>
    <x v="1"/>
    <x v="7"/>
    <x v="2"/>
    <x v="22"/>
    <x v="1"/>
    <x v="1"/>
    <n v="5"/>
    <n v="20639.5"/>
    <n v="43176.63"/>
    <x v="1"/>
  </r>
  <r>
    <x v="4"/>
    <x v="1"/>
    <x v="7"/>
    <x v="2"/>
    <x v="29"/>
    <x v="0"/>
    <x v="1"/>
    <n v="1"/>
    <n v="5984.47"/>
    <n v="21853.06"/>
    <x v="1"/>
  </r>
  <r>
    <x v="4"/>
    <x v="1"/>
    <x v="7"/>
    <x v="2"/>
    <x v="29"/>
    <x v="1"/>
    <x v="1"/>
    <n v="6"/>
    <n v="22912.16"/>
    <n v="55523.19"/>
    <x v="1"/>
  </r>
  <r>
    <x v="4"/>
    <x v="1"/>
    <x v="7"/>
    <x v="2"/>
    <x v="23"/>
    <x v="1"/>
    <x v="1"/>
    <n v="5"/>
    <n v="20567.150000000001"/>
    <n v="45363.44"/>
    <x v="1"/>
  </r>
  <r>
    <x v="4"/>
    <x v="1"/>
    <x v="7"/>
    <x v="2"/>
    <x v="24"/>
    <x v="0"/>
    <x v="1"/>
    <n v="1"/>
    <n v="4047.86"/>
    <n v="14388.72"/>
    <x v="1"/>
  </r>
  <r>
    <x v="4"/>
    <x v="1"/>
    <x v="7"/>
    <x v="2"/>
    <x v="24"/>
    <x v="1"/>
    <x v="0"/>
    <n v="1"/>
    <n v="5565.84"/>
    <n v="13506.29"/>
    <x v="1"/>
  </r>
  <r>
    <x v="4"/>
    <x v="1"/>
    <x v="7"/>
    <x v="2"/>
    <x v="24"/>
    <x v="1"/>
    <x v="1"/>
    <n v="6"/>
    <n v="23237.040000000001"/>
    <n v="53152.22"/>
    <x v="1"/>
  </r>
  <r>
    <x v="4"/>
    <x v="1"/>
    <x v="7"/>
    <x v="3"/>
    <x v="25"/>
    <x v="1"/>
    <x v="0"/>
    <n v="1"/>
    <n v="3807.6"/>
    <n v="9759.4699999999993"/>
    <x v="1"/>
  </r>
  <r>
    <x v="4"/>
    <x v="1"/>
    <x v="7"/>
    <x v="3"/>
    <x v="25"/>
    <x v="1"/>
    <x v="1"/>
    <n v="7"/>
    <n v="40362.629999999997"/>
    <n v="103612.49"/>
    <x v="1"/>
  </r>
  <r>
    <x v="4"/>
    <x v="1"/>
    <x v="7"/>
    <x v="3"/>
    <x v="26"/>
    <x v="1"/>
    <x v="0"/>
    <n v="2"/>
    <n v="7562.88"/>
    <n v="19792.810000000001"/>
    <x v="1"/>
  </r>
  <r>
    <x v="4"/>
    <x v="1"/>
    <x v="7"/>
    <x v="3"/>
    <x v="26"/>
    <x v="1"/>
    <x v="1"/>
    <n v="16"/>
    <n v="78315.75"/>
    <n v="203352.69"/>
    <x v="1"/>
  </r>
  <r>
    <x v="4"/>
    <x v="1"/>
    <x v="7"/>
    <x v="3"/>
    <x v="27"/>
    <x v="0"/>
    <x v="0"/>
    <n v="1"/>
    <n v="4040.49"/>
    <n v="14267.51"/>
    <x v="1"/>
  </r>
  <r>
    <x v="4"/>
    <x v="1"/>
    <x v="7"/>
    <x v="3"/>
    <x v="27"/>
    <x v="0"/>
    <x v="1"/>
    <n v="7"/>
    <n v="31088.78"/>
    <n v="115128.61"/>
    <x v="1"/>
  </r>
  <r>
    <x v="4"/>
    <x v="1"/>
    <x v="7"/>
    <x v="3"/>
    <x v="27"/>
    <x v="1"/>
    <x v="0"/>
    <n v="9"/>
    <n v="44619.72"/>
    <n v="112433.74"/>
    <x v="1"/>
  </r>
  <r>
    <x v="4"/>
    <x v="1"/>
    <x v="7"/>
    <x v="3"/>
    <x v="27"/>
    <x v="1"/>
    <x v="1"/>
    <n v="20"/>
    <n v="98444.03"/>
    <n v="244915.07"/>
    <x v="1"/>
  </r>
  <r>
    <x v="4"/>
    <x v="1"/>
    <x v="8"/>
    <x v="0"/>
    <x v="0"/>
    <x v="0"/>
    <x v="0"/>
    <n v="2"/>
    <n v="6792.07"/>
    <n v="23837.62"/>
    <x v="1"/>
  </r>
  <r>
    <x v="4"/>
    <x v="1"/>
    <x v="8"/>
    <x v="0"/>
    <x v="0"/>
    <x v="1"/>
    <x v="0"/>
    <n v="12"/>
    <n v="40760.07"/>
    <n v="92792.37"/>
    <x v="1"/>
  </r>
  <r>
    <x v="4"/>
    <x v="1"/>
    <x v="8"/>
    <x v="0"/>
    <x v="0"/>
    <x v="1"/>
    <x v="1"/>
    <n v="7"/>
    <n v="26801.74"/>
    <n v="57438.7"/>
    <x v="1"/>
  </r>
  <r>
    <x v="4"/>
    <x v="1"/>
    <x v="8"/>
    <x v="0"/>
    <x v="1"/>
    <x v="0"/>
    <x v="0"/>
    <n v="10"/>
    <n v="35052.800000000003"/>
    <n v="127720.83"/>
    <x v="1"/>
  </r>
  <r>
    <x v="4"/>
    <x v="1"/>
    <x v="8"/>
    <x v="0"/>
    <x v="1"/>
    <x v="0"/>
    <x v="1"/>
    <n v="5"/>
    <n v="17695.98"/>
    <n v="64099.39"/>
    <x v="1"/>
  </r>
  <r>
    <x v="4"/>
    <x v="1"/>
    <x v="8"/>
    <x v="0"/>
    <x v="1"/>
    <x v="1"/>
    <x v="0"/>
    <n v="15"/>
    <n v="48424.34"/>
    <n v="110321.02"/>
    <x v="1"/>
  </r>
  <r>
    <x v="4"/>
    <x v="1"/>
    <x v="8"/>
    <x v="0"/>
    <x v="1"/>
    <x v="1"/>
    <x v="1"/>
    <n v="26"/>
    <n v="71106.789999999994"/>
    <n v="163326.41"/>
    <x v="1"/>
  </r>
  <r>
    <x v="4"/>
    <x v="1"/>
    <x v="8"/>
    <x v="0"/>
    <x v="2"/>
    <x v="0"/>
    <x v="1"/>
    <n v="2"/>
    <n v="7953.33"/>
    <n v="27663.88"/>
    <x v="1"/>
  </r>
  <r>
    <x v="4"/>
    <x v="1"/>
    <x v="8"/>
    <x v="0"/>
    <x v="2"/>
    <x v="1"/>
    <x v="0"/>
    <n v="11"/>
    <n v="42622.21"/>
    <n v="87200.23"/>
    <x v="1"/>
  </r>
  <r>
    <x v="4"/>
    <x v="1"/>
    <x v="8"/>
    <x v="0"/>
    <x v="2"/>
    <x v="1"/>
    <x v="1"/>
    <n v="19"/>
    <n v="67116.33"/>
    <n v="137519.42000000001"/>
    <x v="1"/>
  </r>
  <r>
    <x v="4"/>
    <x v="1"/>
    <x v="8"/>
    <x v="0"/>
    <x v="3"/>
    <x v="0"/>
    <x v="0"/>
    <n v="1"/>
    <n v="4225.6000000000004"/>
    <n v="13801.89"/>
    <x v="1"/>
  </r>
  <r>
    <x v="4"/>
    <x v="1"/>
    <x v="8"/>
    <x v="0"/>
    <x v="3"/>
    <x v="0"/>
    <x v="1"/>
    <n v="10"/>
    <n v="33883.910000000003"/>
    <n v="115550.53"/>
    <x v="1"/>
  </r>
  <r>
    <x v="4"/>
    <x v="1"/>
    <x v="8"/>
    <x v="0"/>
    <x v="3"/>
    <x v="1"/>
    <x v="0"/>
    <n v="12"/>
    <n v="45197.4"/>
    <n v="96539.79"/>
    <x v="1"/>
  </r>
  <r>
    <x v="4"/>
    <x v="1"/>
    <x v="8"/>
    <x v="0"/>
    <x v="3"/>
    <x v="1"/>
    <x v="1"/>
    <n v="43"/>
    <n v="150186.31"/>
    <n v="319046.48"/>
    <x v="1"/>
  </r>
  <r>
    <x v="4"/>
    <x v="1"/>
    <x v="8"/>
    <x v="0"/>
    <x v="28"/>
    <x v="1"/>
    <x v="1"/>
    <n v="3"/>
    <n v="12166.83"/>
    <n v="26779.599999999999"/>
    <x v="1"/>
  </r>
  <r>
    <x v="4"/>
    <x v="1"/>
    <x v="8"/>
    <x v="0"/>
    <x v="4"/>
    <x v="1"/>
    <x v="1"/>
    <n v="7"/>
    <n v="19148.740000000002"/>
    <n v="44212.88"/>
    <x v="1"/>
  </r>
  <r>
    <x v="4"/>
    <x v="1"/>
    <x v="8"/>
    <x v="0"/>
    <x v="5"/>
    <x v="0"/>
    <x v="1"/>
    <n v="2"/>
    <n v="7548.74"/>
    <n v="27200.26"/>
    <x v="1"/>
  </r>
  <r>
    <x v="4"/>
    <x v="1"/>
    <x v="8"/>
    <x v="0"/>
    <x v="5"/>
    <x v="1"/>
    <x v="1"/>
    <n v="36"/>
    <n v="123432.95"/>
    <n v="276459.82"/>
    <x v="1"/>
  </r>
  <r>
    <x v="4"/>
    <x v="1"/>
    <x v="8"/>
    <x v="0"/>
    <x v="6"/>
    <x v="0"/>
    <x v="1"/>
    <n v="1"/>
    <n v="4152.57"/>
    <n v="13764.95"/>
    <x v="1"/>
  </r>
  <r>
    <x v="4"/>
    <x v="1"/>
    <x v="8"/>
    <x v="0"/>
    <x v="6"/>
    <x v="1"/>
    <x v="1"/>
    <n v="8"/>
    <n v="33243.800000000003"/>
    <n v="72683.39"/>
    <x v="1"/>
  </r>
  <r>
    <x v="4"/>
    <x v="1"/>
    <x v="8"/>
    <x v="0"/>
    <x v="7"/>
    <x v="1"/>
    <x v="1"/>
    <n v="1"/>
    <n v="4430.21"/>
    <n v="9232.64"/>
    <x v="1"/>
  </r>
  <r>
    <x v="4"/>
    <x v="1"/>
    <x v="8"/>
    <x v="0"/>
    <x v="8"/>
    <x v="0"/>
    <x v="1"/>
    <n v="4"/>
    <n v="16291.31"/>
    <n v="54674.9"/>
    <x v="1"/>
  </r>
  <r>
    <x v="4"/>
    <x v="1"/>
    <x v="8"/>
    <x v="0"/>
    <x v="8"/>
    <x v="1"/>
    <x v="1"/>
    <n v="11"/>
    <n v="30392.27"/>
    <n v="69766.429999999993"/>
    <x v="1"/>
  </r>
  <r>
    <x v="4"/>
    <x v="1"/>
    <x v="8"/>
    <x v="1"/>
    <x v="9"/>
    <x v="1"/>
    <x v="1"/>
    <n v="14"/>
    <n v="42050.93"/>
    <n v="101433.88"/>
    <x v="1"/>
  </r>
  <r>
    <x v="4"/>
    <x v="1"/>
    <x v="8"/>
    <x v="1"/>
    <x v="31"/>
    <x v="1"/>
    <x v="0"/>
    <n v="2"/>
    <n v="6909.53"/>
    <n v="17202.22"/>
    <x v="1"/>
  </r>
  <r>
    <x v="4"/>
    <x v="1"/>
    <x v="8"/>
    <x v="1"/>
    <x v="10"/>
    <x v="0"/>
    <x v="0"/>
    <n v="1"/>
    <n v="4045.26"/>
    <n v="14432.2"/>
    <x v="1"/>
  </r>
  <r>
    <x v="4"/>
    <x v="1"/>
    <x v="8"/>
    <x v="1"/>
    <x v="10"/>
    <x v="0"/>
    <x v="1"/>
    <n v="7"/>
    <n v="23044.68"/>
    <n v="82452.72"/>
    <x v="1"/>
  </r>
  <r>
    <x v="4"/>
    <x v="1"/>
    <x v="8"/>
    <x v="1"/>
    <x v="10"/>
    <x v="1"/>
    <x v="0"/>
    <n v="11"/>
    <n v="39120.53"/>
    <n v="89312.95"/>
    <x v="1"/>
  </r>
  <r>
    <x v="4"/>
    <x v="1"/>
    <x v="8"/>
    <x v="1"/>
    <x v="10"/>
    <x v="1"/>
    <x v="1"/>
    <n v="27"/>
    <n v="91293.53"/>
    <n v="220170.55"/>
    <x v="1"/>
  </r>
  <r>
    <x v="4"/>
    <x v="1"/>
    <x v="8"/>
    <x v="1"/>
    <x v="11"/>
    <x v="0"/>
    <x v="1"/>
    <n v="18"/>
    <n v="60213.45"/>
    <n v="214160.33"/>
    <x v="1"/>
  </r>
  <r>
    <x v="4"/>
    <x v="1"/>
    <x v="8"/>
    <x v="1"/>
    <x v="11"/>
    <x v="1"/>
    <x v="0"/>
    <n v="14"/>
    <n v="55141.69"/>
    <n v="121430.82"/>
    <x v="1"/>
  </r>
  <r>
    <x v="4"/>
    <x v="1"/>
    <x v="8"/>
    <x v="1"/>
    <x v="11"/>
    <x v="1"/>
    <x v="1"/>
    <n v="34"/>
    <n v="130675.55"/>
    <n v="289920.42"/>
    <x v="1"/>
  </r>
  <r>
    <x v="4"/>
    <x v="1"/>
    <x v="8"/>
    <x v="1"/>
    <x v="12"/>
    <x v="1"/>
    <x v="0"/>
    <n v="8"/>
    <n v="33680.959999999999"/>
    <n v="78696.72"/>
    <x v="1"/>
  </r>
  <r>
    <x v="4"/>
    <x v="1"/>
    <x v="8"/>
    <x v="1"/>
    <x v="13"/>
    <x v="0"/>
    <x v="1"/>
    <n v="6"/>
    <n v="16439.009999999998"/>
    <n v="59067.06"/>
    <x v="1"/>
  </r>
  <r>
    <x v="4"/>
    <x v="1"/>
    <x v="8"/>
    <x v="1"/>
    <x v="13"/>
    <x v="1"/>
    <x v="1"/>
    <n v="13"/>
    <n v="52283.15"/>
    <n v="122511.46"/>
    <x v="1"/>
  </r>
  <r>
    <x v="4"/>
    <x v="1"/>
    <x v="8"/>
    <x v="1"/>
    <x v="14"/>
    <x v="1"/>
    <x v="0"/>
    <n v="12"/>
    <n v="44222.58"/>
    <n v="102738.64"/>
    <x v="1"/>
  </r>
  <r>
    <x v="4"/>
    <x v="1"/>
    <x v="8"/>
    <x v="1"/>
    <x v="14"/>
    <x v="1"/>
    <x v="1"/>
    <n v="3"/>
    <n v="12321.1"/>
    <n v="28545.43"/>
    <x v="1"/>
  </r>
  <r>
    <x v="4"/>
    <x v="1"/>
    <x v="8"/>
    <x v="1"/>
    <x v="15"/>
    <x v="1"/>
    <x v="0"/>
    <n v="7"/>
    <n v="26362.54"/>
    <n v="62250.62"/>
    <x v="1"/>
  </r>
  <r>
    <x v="4"/>
    <x v="1"/>
    <x v="8"/>
    <x v="1"/>
    <x v="15"/>
    <x v="1"/>
    <x v="1"/>
    <n v="17"/>
    <n v="54949.13"/>
    <n v="137342.5"/>
    <x v="1"/>
  </r>
  <r>
    <x v="4"/>
    <x v="1"/>
    <x v="8"/>
    <x v="1"/>
    <x v="16"/>
    <x v="0"/>
    <x v="1"/>
    <n v="4"/>
    <n v="13918.71"/>
    <n v="46151.11"/>
    <x v="1"/>
  </r>
  <r>
    <x v="4"/>
    <x v="1"/>
    <x v="8"/>
    <x v="1"/>
    <x v="16"/>
    <x v="1"/>
    <x v="0"/>
    <n v="8"/>
    <n v="29441.47"/>
    <n v="66335.19"/>
    <x v="1"/>
  </r>
  <r>
    <x v="4"/>
    <x v="1"/>
    <x v="8"/>
    <x v="1"/>
    <x v="16"/>
    <x v="1"/>
    <x v="1"/>
    <n v="14"/>
    <n v="39671.410000000003"/>
    <n v="92235.53"/>
    <x v="1"/>
  </r>
  <r>
    <x v="4"/>
    <x v="1"/>
    <x v="8"/>
    <x v="1"/>
    <x v="17"/>
    <x v="0"/>
    <x v="1"/>
    <n v="3"/>
    <n v="10235.89"/>
    <n v="35062.99"/>
    <x v="1"/>
  </r>
  <r>
    <x v="4"/>
    <x v="1"/>
    <x v="8"/>
    <x v="1"/>
    <x v="17"/>
    <x v="1"/>
    <x v="0"/>
    <n v="7"/>
    <n v="21368.19"/>
    <n v="49297.98"/>
    <x v="1"/>
  </r>
  <r>
    <x v="4"/>
    <x v="1"/>
    <x v="8"/>
    <x v="1"/>
    <x v="17"/>
    <x v="1"/>
    <x v="1"/>
    <n v="10"/>
    <n v="31974.66"/>
    <n v="75785.710000000006"/>
    <x v="1"/>
  </r>
  <r>
    <x v="4"/>
    <x v="1"/>
    <x v="8"/>
    <x v="1"/>
    <x v="18"/>
    <x v="0"/>
    <x v="1"/>
    <n v="11"/>
    <n v="38639.83"/>
    <n v="132424.97"/>
    <x v="1"/>
  </r>
  <r>
    <x v="4"/>
    <x v="1"/>
    <x v="8"/>
    <x v="1"/>
    <x v="18"/>
    <x v="1"/>
    <x v="0"/>
    <n v="2"/>
    <n v="8530.98"/>
    <n v="19372.82"/>
    <x v="1"/>
  </r>
  <r>
    <x v="4"/>
    <x v="1"/>
    <x v="8"/>
    <x v="1"/>
    <x v="18"/>
    <x v="1"/>
    <x v="1"/>
    <n v="42"/>
    <n v="157993.5"/>
    <n v="378464.34"/>
    <x v="1"/>
  </r>
  <r>
    <x v="4"/>
    <x v="1"/>
    <x v="8"/>
    <x v="1"/>
    <x v="19"/>
    <x v="0"/>
    <x v="1"/>
    <n v="1"/>
    <n v="2709.4"/>
    <n v="8573.59"/>
    <x v="1"/>
  </r>
  <r>
    <x v="4"/>
    <x v="1"/>
    <x v="8"/>
    <x v="1"/>
    <x v="19"/>
    <x v="1"/>
    <x v="0"/>
    <n v="9"/>
    <n v="36605.19"/>
    <n v="83336.259999999995"/>
    <x v="1"/>
  </r>
  <r>
    <x v="4"/>
    <x v="1"/>
    <x v="8"/>
    <x v="1"/>
    <x v="19"/>
    <x v="1"/>
    <x v="1"/>
    <n v="12"/>
    <n v="45005.85"/>
    <n v="102145.06"/>
    <x v="1"/>
  </r>
  <r>
    <x v="4"/>
    <x v="1"/>
    <x v="8"/>
    <x v="1"/>
    <x v="20"/>
    <x v="0"/>
    <x v="0"/>
    <n v="4"/>
    <n v="16253.43"/>
    <n v="57860.15"/>
    <x v="1"/>
  </r>
  <r>
    <x v="4"/>
    <x v="1"/>
    <x v="8"/>
    <x v="1"/>
    <x v="20"/>
    <x v="0"/>
    <x v="1"/>
    <n v="17"/>
    <n v="58321.53"/>
    <n v="206346.09"/>
    <x v="1"/>
  </r>
  <r>
    <x v="4"/>
    <x v="1"/>
    <x v="8"/>
    <x v="1"/>
    <x v="20"/>
    <x v="1"/>
    <x v="0"/>
    <n v="22"/>
    <n v="86021.08"/>
    <n v="197916.42"/>
    <x v="1"/>
  </r>
  <r>
    <x v="4"/>
    <x v="1"/>
    <x v="8"/>
    <x v="1"/>
    <x v="20"/>
    <x v="1"/>
    <x v="1"/>
    <n v="28"/>
    <n v="98939.5"/>
    <n v="237360.94"/>
    <x v="1"/>
  </r>
  <r>
    <x v="4"/>
    <x v="1"/>
    <x v="8"/>
    <x v="2"/>
    <x v="21"/>
    <x v="0"/>
    <x v="0"/>
    <n v="4"/>
    <n v="16845.3"/>
    <n v="55106.06"/>
    <x v="1"/>
  </r>
  <r>
    <x v="4"/>
    <x v="1"/>
    <x v="8"/>
    <x v="2"/>
    <x v="21"/>
    <x v="1"/>
    <x v="1"/>
    <n v="6"/>
    <n v="18216.75"/>
    <n v="40475.93"/>
    <x v="1"/>
  </r>
  <r>
    <x v="4"/>
    <x v="1"/>
    <x v="8"/>
    <x v="2"/>
    <x v="22"/>
    <x v="0"/>
    <x v="1"/>
    <n v="4"/>
    <n v="15269.33"/>
    <n v="50058.23"/>
    <x v="1"/>
  </r>
  <r>
    <x v="4"/>
    <x v="1"/>
    <x v="8"/>
    <x v="2"/>
    <x v="22"/>
    <x v="1"/>
    <x v="0"/>
    <n v="8"/>
    <n v="28362.47"/>
    <n v="58360.99"/>
    <x v="1"/>
  </r>
  <r>
    <x v="4"/>
    <x v="1"/>
    <x v="8"/>
    <x v="2"/>
    <x v="22"/>
    <x v="1"/>
    <x v="1"/>
    <n v="15"/>
    <n v="47790.63"/>
    <n v="95862.93"/>
    <x v="1"/>
  </r>
  <r>
    <x v="4"/>
    <x v="1"/>
    <x v="8"/>
    <x v="2"/>
    <x v="29"/>
    <x v="0"/>
    <x v="1"/>
    <n v="3"/>
    <n v="7847.74"/>
    <n v="26276.42"/>
    <x v="1"/>
  </r>
  <r>
    <x v="4"/>
    <x v="1"/>
    <x v="8"/>
    <x v="2"/>
    <x v="29"/>
    <x v="1"/>
    <x v="1"/>
    <n v="3"/>
    <n v="8193.2099999999991"/>
    <n v="19270.580000000002"/>
    <x v="1"/>
  </r>
  <r>
    <x v="4"/>
    <x v="1"/>
    <x v="8"/>
    <x v="2"/>
    <x v="23"/>
    <x v="1"/>
    <x v="1"/>
    <n v="1"/>
    <n v="2530.08"/>
    <n v="5744.22"/>
    <x v="1"/>
  </r>
  <r>
    <x v="4"/>
    <x v="1"/>
    <x v="8"/>
    <x v="2"/>
    <x v="24"/>
    <x v="0"/>
    <x v="1"/>
    <n v="3"/>
    <n v="7883.23"/>
    <n v="28736.45"/>
    <x v="1"/>
  </r>
  <r>
    <x v="4"/>
    <x v="1"/>
    <x v="8"/>
    <x v="2"/>
    <x v="24"/>
    <x v="1"/>
    <x v="0"/>
    <n v="8"/>
    <n v="33341.019999999997"/>
    <n v="68655.58"/>
    <x v="1"/>
  </r>
  <r>
    <x v="4"/>
    <x v="1"/>
    <x v="8"/>
    <x v="3"/>
    <x v="25"/>
    <x v="0"/>
    <x v="1"/>
    <n v="2"/>
    <n v="6557.16"/>
    <n v="22660.43"/>
    <x v="1"/>
  </r>
  <r>
    <x v="4"/>
    <x v="1"/>
    <x v="8"/>
    <x v="3"/>
    <x v="25"/>
    <x v="1"/>
    <x v="0"/>
    <n v="16"/>
    <n v="59636.29"/>
    <n v="139029.46"/>
    <x v="1"/>
  </r>
  <r>
    <x v="4"/>
    <x v="1"/>
    <x v="8"/>
    <x v="3"/>
    <x v="25"/>
    <x v="1"/>
    <x v="1"/>
    <n v="13"/>
    <n v="46654.080000000002"/>
    <n v="106702.63"/>
    <x v="1"/>
  </r>
  <r>
    <x v="4"/>
    <x v="1"/>
    <x v="8"/>
    <x v="3"/>
    <x v="26"/>
    <x v="0"/>
    <x v="0"/>
    <n v="2"/>
    <n v="7408.72"/>
    <n v="23555.97"/>
    <x v="1"/>
  </r>
  <r>
    <x v="4"/>
    <x v="1"/>
    <x v="8"/>
    <x v="3"/>
    <x v="26"/>
    <x v="0"/>
    <x v="1"/>
    <n v="1"/>
    <n v="2681.07"/>
    <n v="9810.33"/>
    <x v="1"/>
  </r>
  <r>
    <x v="4"/>
    <x v="1"/>
    <x v="8"/>
    <x v="3"/>
    <x v="26"/>
    <x v="1"/>
    <x v="1"/>
    <n v="22"/>
    <n v="75787.97"/>
    <n v="171358.06"/>
    <x v="1"/>
  </r>
  <r>
    <x v="4"/>
    <x v="1"/>
    <x v="8"/>
    <x v="3"/>
    <x v="27"/>
    <x v="0"/>
    <x v="0"/>
    <n v="5"/>
    <n v="17673.95"/>
    <n v="60965.01"/>
    <x v="1"/>
  </r>
  <r>
    <x v="4"/>
    <x v="1"/>
    <x v="8"/>
    <x v="3"/>
    <x v="27"/>
    <x v="0"/>
    <x v="1"/>
    <n v="14"/>
    <n v="53847.68"/>
    <n v="176834.13"/>
    <x v="1"/>
  </r>
  <r>
    <x v="4"/>
    <x v="1"/>
    <x v="8"/>
    <x v="3"/>
    <x v="27"/>
    <x v="1"/>
    <x v="0"/>
    <n v="13"/>
    <n v="33794.730000000003"/>
    <n v="78923.98"/>
    <x v="1"/>
  </r>
  <r>
    <x v="4"/>
    <x v="1"/>
    <x v="8"/>
    <x v="3"/>
    <x v="27"/>
    <x v="1"/>
    <x v="1"/>
    <n v="66"/>
    <n v="244359.79"/>
    <n v="557840.32999999996"/>
    <x v="1"/>
  </r>
  <r>
    <x v="4"/>
    <x v="1"/>
    <x v="9"/>
    <x v="0"/>
    <x v="0"/>
    <x v="0"/>
    <x v="0"/>
    <n v="1"/>
    <n v="2333.73"/>
    <n v="7553.21"/>
    <x v="1"/>
  </r>
  <r>
    <x v="4"/>
    <x v="1"/>
    <x v="9"/>
    <x v="0"/>
    <x v="0"/>
    <x v="0"/>
    <x v="1"/>
    <n v="6"/>
    <n v="19379.240000000002"/>
    <n v="61806.37"/>
    <x v="1"/>
  </r>
  <r>
    <x v="4"/>
    <x v="1"/>
    <x v="9"/>
    <x v="0"/>
    <x v="0"/>
    <x v="1"/>
    <x v="0"/>
    <n v="4"/>
    <n v="8183.96"/>
    <n v="18797.46"/>
    <x v="1"/>
  </r>
  <r>
    <x v="4"/>
    <x v="1"/>
    <x v="9"/>
    <x v="0"/>
    <x v="0"/>
    <x v="1"/>
    <x v="1"/>
    <n v="6"/>
    <n v="20498.66"/>
    <n v="43130.080000000002"/>
    <x v="1"/>
  </r>
  <r>
    <x v="4"/>
    <x v="1"/>
    <x v="9"/>
    <x v="0"/>
    <x v="1"/>
    <x v="0"/>
    <x v="0"/>
    <n v="4"/>
    <n v="11640.27"/>
    <n v="39293.620000000003"/>
    <x v="1"/>
  </r>
  <r>
    <x v="4"/>
    <x v="1"/>
    <x v="9"/>
    <x v="0"/>
    <x v="1"/>
    <x v="0"/>
    <x v="1"/>
    <n v="5"/>
    <n v="14082.96"/>
    <n v="47734.85"/>
    <x v="1"/>
  </r>
  <r>
    <x v="4"/>
    <x v="1"/>
    <x v="9"/>
    <x v="0"/>
    <x v="1"/>
    <x v="1"/>
    <x v="0"/>
    <n v="9"/>
    <n v="21301.19"/>
    <n v="46477.46"/>
    <x v="1"/>
  </r>
  <r>
    <x v="4"/>
    <x v="1"/>
    <x v="9"/>
    <x v="0"/>
    <x v="1"/>
    <x v="1"/>
    <x v="1"/>
    <n v="27"/>
    <n v="81940.67"/>
    <n v="177747.93"/>
    <x v="1"/>
  </r>
  <r>
    <x v="4"/>
    <x v="1"/>
    <x v="9"/>
    <x v="0"/>
    <x v="2"/>
    <x v="0"/>
    <x v="1"/>
    <n v="3"/>
    <n v="7740.68"/>
    <n v="26359.040000000001"/>
    <x v="1"/>
  </r>
  <r>
    <x v="4"/>
    <x v="1"/>
    <x v="9"/>
    <x v="0"/>
    <x v="2"/>
    <x v="1"/>
    <x v="0"/>
    <n v="15"/>
    <n v="44010.73"/>
    <n v="88577.09"/>
    <x v="1"/>
  </r>
  <r>
    <x v="4"/>
    <x v="1"/>
    <x v="9"/>
    <x v="0"/>
    <x v="2"/>
    <x v="1"/>
    <x v="1"/>
    <n v="21"/>
    <n v="49275.35"/>
    <n v="103211.12"/>
    <x v="1"/>
  </r>
  <r>
    <x v="4"/>
    <x v="1"/>
    <x v="9"/>
    <x v="0"/>
    <x v="3"/>
    <x v="0"/>
    <x v="0"/>
    <n v="4"/>
    <n v="9664.2800000000007"/>
    <n v="31090.61"/>
    <x v="1"/>
  </r>
  <r>
    <x v="4"/>
    <x v="1"/>
    <x v="9"/>
    <x v="0"/>
    <x v="3"/>
    <x v="0"/>
    <x v="1"/>
    <n v="11"/>
    <n v="32490.1"/>
    <n v="104192.78"/>
    <x v="1"/>
  </r>
  <r>
    <x v="4"/>
    <x v="1"/>
    <x v="9"/>
    <x v="0"/>
    <x v="3"/>
    <x v="1"/>
    <x v="0"/>
    <n v="10"/>
    <n v="26029.119999999999"/>
    <n v="53388.93"/>
    <x v="1"/>
  </r>
  <r>
    <x v="4"/>
    <x v="1"/>
    <x v="9"/>
    <x v="0"/>
    <x v="3"/>
    <x v="1"/>
    <x v="1"/>
    <n v="39"/>
    <n v="106265.48"/>
    <n v="219716.92"/>
    <x v="1"/>
  </r>
  <r>
    <x v="4"/>
    <x v="1"/>
    <x v="9"/>
    <x v="0"/>
    <x v="28"/>
    <x v="1"/>
    <x v="1"/>
    <n v="1"/>
    <n v="2099.17"/>
    <n v="4727.97"/>
    <x v="1"/>
  </r>
  <r>
    <x v="4"/>
    <x v="1"/>
    <x v="9"/>
    <x v="0"/>
    <x v="4"/>
    <x v="1"/>
    <x v="0"/>
    <n v="20"/>
    <n v="57077.07"/>
    <n v="117357.99"/>
    <x v="1"/>
  </r>
  <r>
    <x v="4"/>
    <x v="1"/>
    <x v="9"/>
    <x v="0"/>
    <x v="5"/>
    <x v="0"/>
    <x v="1"/>
    <n v="2"/>
    <n v="5943.87"/>
    <n v="18612.150000000001"/>
    <x v="1"/>
  </r>
  <r>
    <x v="4"/>
    <x v="1"/>
    <x v="9"/>
    <x v="0"/>
    <x v="5"/>
    <x v="1"/>
    <x v="0"/>
    <n v="1"/>
    <n v="2213.14"/>
    <n v="4760.54"/>
    <x v="1"/>
  </r>
  <r>
    <x v="4"/>
    <x v="1"/>
    <x v="9"/>
    <x v="0"/>
    <x v="5"/>
    <x v="1"/>
    <x v="1"/>
    <n v="23"/>
    <n v="58110.33"/>
    <n v="125750.66"/>
    <x v="1"/>
  </r>
  <r>
    <x v="4"/>
    <x v="1"/>
    <x v="9"/>
    <x v="0"/>
    <x v="6"/>
    <x v="0"/>
    <x v="1"/>
    <n v="2"/>
    <n v="4324.95"/>
    <n v="15059.61"/>
    <x v="1"/>
  </r>
  <r>
    <x v="4"/>
    <x v="1"/>
    <x v="9"/>
    <x v="0"/>
    <x v="6"/>
    <x v="1"/>
    <x v="1"/>
    <n v="2"/>
    <n v="7475.02"/>
    <n v="15187.49"/>
    <x v="1"/>
  </r>
  <r>
    <x v="4"/>
    <x v="1"/>
    <x v="9"/>
    <x v="0"/>
    <x v="7"/>
    <x v="1"/>
    <x v="1"/>
    <n v="6"/>
    <n v="16452.12"/>
    <n v="34724.82"/>
    <x v="1"/>
  </r>
  <r>
    <x v="4"/>
    <x v="1"/>
    <x v="9"/>
    <x v="0"/>
    <x v="8"/>
    <x v="0"/>
    <x v="1"/>
    <n v="5"/>
    <n v="14327.73"/>
    <n v="45435.31"/>
    <x v="1"/>
  </r>
  <r>
    <x v="4"/>
    <x v="1"/>
    <x v="9"/>
    <x v="0"/>
    <x v="8"/>
    <x v="1"/>
    <x v="1"/>
    <n v="2"/>
    <n v="7412.7"/>
    <n v="14679.1"/>
    <x v="1"/>
  </r>
  <r>
    <x v="4"/>
    <x v="1"/>
    <x v="9"/>
    <x v="1"/>
    <x v="9"/>
    <x v="1"/>
    <x v="1"/>
    <n v="1"/>
    <n v="2658.49"/>
    <n v="5609.21"/>
    <x v="1"/>
  </r>
  <r>
    <x v="4"/>
    <x v="1"/>
    <x v="9"/>
    <x v="1"/>
    <x v="31"/>
    <x v="1"/>
    <x v="0"/>
    <n v="1"/>
    <n v="3561.1"/>
    <n v="8339.2900000000009"/>
    <x v="1"/>
  </r>
  <r>
    <x v="4"/>
    <x v="1"/>
    <x v="9"/>
    <x v="1"/>
    <x v="10"/>
    <x v="0"/>
    <x v="1"/>
    <n v="9"/>
    <n v="26983.85"/>
    <n v="90048.11"/>
    <x v="1"/>
  </r>
  <r>
    <x v="4"/>
    <x v="1"/>
    <x v="9"/>
    <x v="1"/>
    <x v="10"/>
    <x v="1"/>
    <x v="0"/>
    <n v="3"/>
    <n v="6436.35"/>
    <n v="16018.61"/>
    <x v="1"/>
  </r>
  <r>
    <x v="4"/>
    <x v="1"/>
    <x v="9"/>
    <x v="1"/>
    <x v="10"/>
    <x v="1"/>
    <x v="1"/>
    <n v="41"/>
    <n v="108957.63"/>
    <n v="251230.56"/>
    <x v="1"/>
  </r>
  <r>
    <x v="4"/>
    <x v="1"/>
    <x v="9"/>
    <x v="1"/>
    <x v="11"/>
    <x v="0"/>
    <x v="1"/>
    <n v="12"/>
    <n v="34099.79"/>
    <n v="116683.7"/>
    <x v="1"/>
  </r>
  <r>
    <x v="4"/>
    <x v="1"/>
    <x v="9"/>
    <x v="1"/>
    <x v="11"/>
    <x v="1"/>
    <x v="0"/>
    <n v="2"/>
    <n v="7434.18"/>
    <n v="15483.58"/>
    <x v="1"/>
  </r>
  <r>
    <x v="4"/>
    <x v="1"/>
    <x v="9"/>
    <x v="1"/>
    <x v="11"/>
    <x v="1"/>
    <x v="1"/>
    <n v="23"/>
    <n v="62504.11"/>
    <n v="139014.60999999999"/>
    <x v="1"/>
  </r>
  <r>
    <x v="4"/>
    <x v="1"/>
    <x v="9"/>
    <x v="1"/>
    <x v="12"/>
    <x v="1"/>
    <x v="0"/>
    <n v="5"/>
    <n v="18483.099999999999"/>
    <n v="39283.67"/>
    <x v="1"/>
  </r>
  <r>
    <x v="4"/>
    <x v="1"/>
    <x v="9"/>
    <x v="1"/>
    <x v="13"/>
    <x v="0"/>
    <x v="1"/>
    <n v="1"/>
    <n v="2104.09"/>
    <n v="7481.49"/>
    <x v="1"/>
  </r>
  <r>
    <x v="4"/>
    <x v="1"/>
    <x v="9"/>
    <x v="1"/>
    <x v="13"/>
    <x v="1"/>
    <x v="1"/>
    <n v="10"/>
    <n v="23208.84"/>
    <n v="55182.3"/>
    <x v="1"/>
  </r>
  <r>
    <x v="4"/>
    <x v="1"/>
    <x v="9"/>
    <x v="1"/>
    <x v="14"/>
    <x v="0"/>
    <x v="1"/>
    <n v="5"/>
    <n v="13505.17"/>
    <n v="46265.71"/>
    <x v="1"/>
  </r>
  <r>
    <x v="4"/>
    <x v="1"/>
    <x v="9"/>
    <x v="1"/>
    <x v="14"/>
    <x v="1"/>
    <x v="0"/>
    <n v="12"/>
    <n v="27373.31"/>
    <n v="64019.51"/>
    <x v="1"/>
  </r>
  <r>
    <x v="4"/>
    <x v="1"/>
    <x v="9"/>
    <x v="1"/>
    <x v="14"/>
    <x v="1"/>
    <x v="1"/>
    <n v="6"/>
    <n v="14115.69"/>
    <n v="32556.34"/>
    <x v="1"/>
  </r>
  <r>
    <x v="4"/>
    <x v="1"/>
    <x v="9"/>
    <x v="1"/>
    <x v="15"/>
    <x v="1"/>
    <x v="1"/>
    <n v="1"/>
    <n v="3570.37"/>
    <n v="8275.56"/>
    <x v="1"/>
  </r>
  <r>
    <x v="4"/>
    <x v="1"/>
    <x v="9"/>
    <x v="1"/>
    <x v="16"/>
    <x v="1"/>
    <x v="0"/>
    <n v="4"/>
    <n v="11744.91"/>
    <n v="25557.46"/>
    <x v="1"/>
  </r>
  <r>
    <x v="4"/>
    <x v="1"/>
    <x v="9"/>
    <x v="1"/>
    <x v="16"/>
    <x v="1"/>
    <x v="1"/>
    <n v="14"/>
    <n v="32882.82"/>
    <n v="72522.179999999993"/>
    <x v="1"/>
  </r>
  <r>
    <x v="4"/>
    <x v="1"/>
    <x v="9"/>
    <x v="1"/>
    <x v="17"/>
    <x v="0"/>
    <x v="1"/>
    <n v="3"/>
    <n v="7106.25"/>
    <n v="23603.68"/>
    <x v="1"/>
  </r>
  <r>
    <x v="4"/>
    <x v="1"/>
    <x v="9"/>
    <x v="1"/>
    <x v="17"/>
    <x v="1"/>
    <x v="0"/>
    <n v="6"/>
    <n v="16694.89"/>
    <n v="37392.080000000002"/>
    <x v="1"/>
  </r>
  <r>
    <x v="4"/>
    <x v="1"/>
    <x v="9"/>
    <x v="1"/>
    <x v="18"/>
    <x v="0"/>
    <x v="1"/>
    <n v="8"/>
    <n v="19226.62"/>
    <n v="65103.64"/>
    <x v="1"/>
  </r>
  <r>
    <x v="4"/>
    <x v="1"/>
    <x v="9"/>
    <x v="1"/>
    <x v="18"/>
    <x v="1"/>
    <x v="0"/>
    <n v="4"/>
    <n v="9939.2199999999993"/>
    <n v="23265.08"/>
    <x v="1"/>
  </r>
  <r>
    <x v="4"/>
    <x v="1"/>
    <x v="9"/>
    <x v="1"/>
    <x v="18"/>
    <x v="1"/>
    <x v="1"/>
    <n v="42"/>
    <n v="124704.93"/>
    <n v="286362.32"/>
    <x v="1"/>
  </r>
  <r>
    <x v="4"/>
    <x v="1"/>
    <x v="9"/>
    <x v="1"/>
    <x v="19"/>
    <x v="0"/>
    <x v="1"/>
    <n v="1"/>
    <n v="2246.2399999999998"/>
    <n v="7220.01"/>
    <x v="1"/>
  </r>
  <r>
    <x v="4"/>
    <x v="1"/>
    <x v="9"/>
    <x v="1"/>
    <x v="19"/>
    <x v="1"/>
    <x v="0"/>
    <n v="9"/>
    <n v="26596.28"/>
    <n v="58480.71"/>
    <x v="1"/>
  </r>
  <r>
    <x v="4"/>
    <x v="1"/>
    <x v="9"/>
    <x v="1"/>
    <x v="19"/>
    <x v="1"/>
    <x v="1"/>
    <n v="7"/>
    <n v="21286.560000000001"/>
    <n v="45679.99"/>
    <x v="1"/>
  </r>
  <r>
    <x v="4"/>
    <x v="1"/>
    <x v="9"/>
    <x v="1"/>
    <x v="20"/>
    <x v="0"/>
    <x v="0"/>
    <n v="2"/>
    <n v="5815.02"/>
    <n v="19397.740000000002"/>
    <x v="1"/>
  </r>
  <r>
    <x v="4"/>
    <x v="1"/>
    <x v="9"/>
    <x v="1"/>
    <x v="20"/>
    <x v="0"/>
    <x v="1"/>
    <n v="18"/>
    <n v="56316.91"/>
    <n v="190991.3"/>
    <x v="1"/>
  </r>
  <r>
    <x v="4"/>
    <x v="1"/>
    <x v="9"/>
    <x v="1"/>
    <x v="20"/>
    <x v="1"/>
    <x v="0"/>
    <n v="15"/>
    <n v="49643.91"/>
    <n v="111302.11"/>
    <x v="1"/>
  </r>
  <r>
    <x v="4"/>
    <x v="1"/>
    <x v="9"/>
    <x v="1"/>
    <x v="20"/>
    <x v="1"/>
    <x v="1"/>
    <n v="15"/>
    <n v="45324.5"/>
    <n v="99134.84"/>
    <x v="1"/>
  </r>
  <r>
    <x v="4"/>
    <x v="1"/>
    <x v="9"/>
    <x v="2"/>
    <x v="21"/>
    <x v="0"/>
    <x v="0"/>
    <n v="1"/>
    <n v="2613.33"/>
    <n v="8195.32"/>
    <x v="1"/>
  </r>
  <r>
    <x v="4"/>
    <x v="1"/>
    <x v="9"/>
    <x v="2"/>
    <x v="22"/>
    <x v="0"/>
    <x v="1"/>
    <n v="2"/>
    <n v="7054.78"/>
    <n v="23019.35"/>
    <x v="1"/>
  </r>
  <r>
    <x v="4"/>
    <x v="1"/>
    <x v="9"/>
    <x v="2"/>
    <x v="22"/>
    <x v="1"/>
    <x v="0"/>
    <n v="3"/>
    <n v="6445.76"/>
    <n v="13455.55"/>
    <x v="1"/>
  </r>
  <r>
    <x v="4"/>
    <x v="1"/>
    <x v="9"/>
    <x v="2"/>
    <x v="22"/>
    <x v="1"/>
    <x v="1"/>
    <n v="8"/>
    <n v="27097.15"/>
    <n v="51581.3"/>
    <x v="1"/>
  </r>
  <r>
    <x v="4"/>
    <x v="1"/>
    <x v="9"/>
    <x v="2"/>
    <x v="29"/>
    <x v="0"/>
    <x v="1"/>
    <n v="4"/>
    <n v="11448.74"/>
    <n v="37533.89"/>
    <x v="1"/>
  </r>
  <r>
    <x v="4"/>
    <x v="1"/>
    <x v="9"/>
    <x v="2"/>
    <x v="29"/>
    <x v="1"/>
    <x v="1"/>
    <n v="4"/>
    <n v="15004.74"/>
    <n v="29109.31"/>
    <x v="1"/>
  </r>
  <r>
    <x v="4"/>
    <x v="1"/>
    <x v="9"/>
    <x v="2"/>
    <x v="23"/>
    <x v="1"/>
    <x v="1"/>
    <n v="8"/>
    <n v="26308.43"/>
    <n v="53113.71"/>
    <x v="1"/>
  </r>
  <r>
    <x v="4"/>
    <x v="1"/>
    <x v="9"/>
    <x v="2"/>
    <x v="24"/>
    <x v="0"/>
    <x v="1"/>
    <n v="2"/>
    <n v="4454.7299999999996"/>
    <n v="14733.8"/>
    <x v="1"/>
  </r>
  <r>
    <x v="4"/>
    <x v="1"/>
    <x v="9"/>
    <x v="3"/>
    <x v="25"/>
    <x v="0"/>
    <x v="1"/>
    <n v="3"/>
    <n v="7759.13"/>
    <n v="25786.25"/>
    <x v="1"/>
  </r>
  <r>
    <x v="4"/>
    <x v="1"/>
    <x v="9"/>
    <x v="3"/>
    <x v="25"/>
    <x v="1"/>
    <x v="0"/>
    <n v="2"/>
    <n v="5820.96"/>
    <n v="13040.64"/>
    <x v="1"/>
  </r>
  <r>
    <x v="4"/>
    <x v="1"/>
    <x v="9"/>
    <x v="3"/>
    <x v="25"/>
    <x v="1"/>
    <x v="1"/>
    <n v="3"/>
    <n v="6508.41"/>
    <n v="15034.2"/>
    <x v="1"/>
  </r>
  <r>
    <x v="4"/>
    <x v="1"/>
    <x v="9"/>
    <x v="3"/>
    <x v="26"/>
    <x v="0"/>
    <x v="0"/>
    <n v="1"/>
    <n v="2368.9499999999998"/>
    <n v="7634.31"/>
    <x v="1"/>
  </r>
  <r>
    <x v="4"/>
    <x v="1"/>
    <x v="9"/>
    <x v="3"/>
    <x v="26"/>
    <x v="1"/>
    <x v="0"/>
    <n v="2"/>
    <n v="4639.6400000000003"/>
    <n v="10475.24"/>
    <x v="1"/>
  </r>
  <r>
    <x v="4"/>
    <x v="1"/>
    <x v="9"/>
    <x v="3"/>
    <x v="26"/>
    <x v="1"/>
    <x v="1"/>
    <n v="18"/>
    <n v="59191.25"/>
    <n v="127822.5"/>
    <x v="1"/>
  </r>
  <r>
    <x v="4"/>
    <x v="1"/>
    <x v="9"/>
    <x v="3"/>
    <x v="27"/>
    <x v="0"/>
    <x v="0"/>
    <n v="3"/>
    <n v="10522.56"/>
    <n v="34461.89"/>
    <x v="1"/>
  </r>
  <r>
    <x v="4"/>
    <x v="1"/>
    <x v="9"/>
    <x v="3"/>
    <x v="27"/>
    <x v="0"/>
    <x v="1"/>
    <n v="7"/>
    <n v="21169.87"/>
    <n v="68076.990000000005"/>
    <x v="1"/>
  </r>
  <r>
    <x v="4"/>
    <x v="1"/>
    <x v="9"/>
    <x v="3"/>
    <x v="27"/>
    <x v="1"/>
    <x v="0"/>
    <n v="20"/>
    <n v="49779.32"/>
    <n v="112109.09"/>
    <x v="1"/>
  </r>
  <r>
    <x v="4"/>
    <x v="1"/>
    <x v="9"/>
    <x v="3"/>
    <x v="27"/>
    <x v="1"/>
    <x v="1"/>
    <n v="24"/>
    <n v="69056.070000000007"/>
    <n v="151080.39000000001"/>
    <x v="1"/>
  </r>
  <r>
    <x v="5"/>
    <x v="0"/>
    <x v="0"/>
    <x v="0"/>
    <x v="0"/>
    <x v="0"/>
    <x v="0"/>
    <n v="1"/>
    <n v="5413.6"/>
    <n v="23075.77"/>
    <x v="0"/>
  </r>
  <r>
    <x v="5"/>
    <x v="0"/>
    <x v="0"/>
    <x v="0"/>
    <x v="0"/>
    <x v="0"/>
    <x v="1"/>
    <n v="3"/>
    <n v="22617.62"/>
    <n v="96316.23"/>
    <x v="0"/>
  </r>
  <r>
    <x v="5"/>
    <x v="0"/>
    <x v="0"/>
    <x v="0"/>
    <x v="0"/>
    <x v="1"/>
    <x v="0"/>
    <n v="7"/>
    <n v="37523.300000000003"/>
    <n v="105640.88"/>
    <x v="0"/>
  </r>
  <r>
    <x v="5"/>
    <x v="0"/>
    <x v="0"/>
    <x v="0"/>
    <x v="0"/>
    <x v="1"/>
    <x v="1"/>
    <n v="9"/>
    <n v="64771.519999999997"/>
    <n v="183067.05"/>
    <x v="0"/>
  </r>
  <r>
    <x v="5"/>
    <x v="0"/>
    <x v="0"/>
    <x v="0"/>
    <x v="1"/>
    <x v="0"/>
    <x v="0"/>
    <n v="9"/>
    <n v="64817.34"/>
    <n v="279919.05"/>
    <x v="0"/>
  </r>
  <r>
    <x v="5"/>
    <x v="0"/>
    <x v="0"/>
    <x v="0"/>
    <x v="1"/>
    <x v="0"/>
    <x v="1"/>
    <n v="2"/>
    <n v="14966.87"/>
    <n v="64210.82"/>
    <x v="0"/>
  </r>
  <r>
    <x v="5"/>
    <x v="0"/>
    <x v="0"/>
    <x v="0"/>
    <x v="1"/>
    <x v="1"/>
    <x v="0"/>
    <n v="16"/>
    <n v="105908.55"/>
    <n v="288502.71999999997"/>
    <x v="0"/>
  </r>
  <r>
    <x v="5"/>
    <x v="0"/>
    <x v="0"/>
    <x v="0"/>
    <x v="1"/>
    <x v="1"/>
    <x v="1"/>
    <n v="14"/>
    <n v="98814.5"/>
    <n v="273014.27"/>
    <x v="0"/>
  </r>
  <r>
    <x v="5"/>
    <x v="0"/>
    <x v="0"/>
    <x v="0"/>
    <x v="2"/>
    <x v="0"/>
    <x v="1"/>
    <n v="8"/>
    <n v="48401.58"/>
    <n v="211695.08"/>
    <x v="0"/>
  </r>
  <r>
    <x v="5"/>
    <x v="0"/>
    <x v="0"/>
    <x v="0"/>
    <x v="2"/>
    <x v="1"/>
    <x v="0"/>
    <n v="5"/>
    <n v="37008.53"/>
    <n v="99687.3"/>
    <x v="0"/>
  </r>
  <r>
    <x v="5"/>
    <x v="0"/>
    <x v="0"/>
    <x v="0"/>
    <x v="2"/>
    <x v="1"/>
    <x v="1"/>
    <n v="6"/>
    <n v="34805.21"/>
    <n v="93822.54"/>
    <x v="0"/>
  </r>
  <r>
    <x v="5"/>
    <x v="0"/>
    <x v="0"/>
    <x v="0"/>
    <x v="3"/>
    <x v="0"/>
    <x v="1"/>
    <n v="3"/>
    <n v="19264.73"/>
    <n v="85280"/>
    <x v="0"/>
  </r>
  <r>
    <x v="5"/>
    <x v="0"/>
    <x v="0"/>
    <x v="0"/>
    <x v="3"/>
    <x v="1"/>
    <x v="0"/>
    <n v="8"/>
    <n v="49446.879999999997"/>
    <n v="133819.89000000001"/>
    <x v="0"/>
  </r>
  <r>
    <x v="5"/>
    <x v="0"/>
    <x v="0"/>
    <x v="0"/>
    <x v="3"/>
    <x v="1"/>
    <x v="1"/>
    <n v="37"/>
    <n v="244912.93"/>
    <n v="683126.89"/>
    <x v="0"/>
  </r>
  <r>
    <x v="5"/>
    <x v="0"/>
    <x v="0"/>
    <x v="0"/>
    <x v="28"/>
    <x v="1"/>
    <x v="1"/>
    <n v="2"/>
    <n v="9446.6"/>
    <n v="27558.49"/>
    <x v="0"/>
  </r>
  <r>
    <x v="5"/>
    <x v="0"/>
    <x v="0"/>
    <x v="0"/>
    <x v="4"/>
    <x v="0"/>
    <x v="1"/>
    <n v="3"/>
    <n v="19406.48"/>
    <n v="85280"/>
    <x v="0"/>
  </r>
  <r>
    <x v="5"/>
    <x v="0"/>
    <x v="0"/>
    <x v="0"/>
    <x v="4"/>
    <x v="1"/>
    <x v="0"/>
    <n v="6"/>
    <n v="39372.76"/>
    <n v="109158.39999999999"/>
    <x v="0"/>
  </r>
  <r>
    <x v="5"/>
    <x v="0"/>
    <x v="0"/>
    <x v="0"/>
    <x v="4"/>
    <x v="1"/>
    <x v="1"/>
    <n v="11"/>
    <n v="71286.27"/>
    <n v="196775.52"/>
    <x v="0"/>
  </r>
  <r>
    <x v="5"/>
    <x v="0"/>
    <x v="0"/>
    <x v="0"/>
    <x v="5"/>
    <x v="0"/>
    <x v="1"/>
    <n v="4"/>
    <n v="23898.13"/>
    <n v="101332.72"/>
    <x v="0"/>
  </r>
  <r>
    <x v="5"/>
    <x v="0"/>
    <x v="0"/>
    <x v="0"/>
    <x v="5"/>
    <x v="1"/>
    <x v="0"/>
    <n v="1"/>
    <n v="7311.1"/>
    <n v="21157.47"/>
    <x v="0"/>
  </r>
  <r>
    <x v="5"/>
    <x v="0"/>
    <x v="0"/>
    <x v="0"/>
    <x v="5"/>
    <x v="1"/>
    <x v="1"/>
    <n v="28"/>
    <n v="168941.58"/>
    <n v="487167.35"/>
    <x v="0"/>
  </r>
  <r>
    <x v="5"/>
    <x v="0"/>
    <x v="0"/>
    <x v="0"/>
    <x v="6"/>
    <x v="0"/>
    <x v="1"/>
    <n v="3"/>
    <n v="20154.849999999999"/>
    <n v="87286.59"/>
    <x v="0"/>
  </r>
  <r>
    <x v="5"/>
    <x v="0"/>
    <x v="0"/>
    <x v="0"/>
    <x v="6"/>
    <x v="1"/>
    <x v="1"/>
    <n v="6"/>
    <n v="35917.42"/>
    <n v="104617.82"/>
    <x v="0"/>
  </r>
  <r>
    <x v="5"/>
    <x v="0"/>
    <x v="0"/>
    <x v="0"/>
    <x v="7"/>
    <x v="1"/>
    <x v="1"/>
    <n v="1"/>
    <n v="5389.46"/>
    <n v="15414.61"/>
    <x v="0"/>
  </r>
  <r>
    <x v="5"/>
    <x v="0"/>
    <x v="0"/>
    <x v="0"/>
    <x v="8"/>
    <x v="0"/>
    <x v="1"/>
    <n v="2"/>
    <n v="12521.99"/>
    <n v="55181.18"/>
    <x v="0"/>
  </r>
  <r>
    <x v="5"/>
    <x v="0"/>
    <x v="0"/>
    <x v="0"/>
    <x v="8"/>
    <x v="1"/>
    <x v="1"/>
    <n v="2"/>
    <n v="9140.84"/>
    <n v="25886.240000000002"/>
    <x v="0"/>
  </r>
  <r>
    <x v="5"/>
    <x v="0"/>
    <x v="0"/>
    <x v="1"/>
    <x v="30"/>
    <x v="1"/>
    <x v="0"/>
    <n v="2"/>
    <n v="15493.28"/>
    <n v="44241.25"/>
    <x v="0"/>
  </r>
  <r>
    <x v="5"/>
    <x v="0"/>
    <x v="0"/>
    <x v="1"/>
    <x v="9"/>
    <x v="1"/>
    <x v="1"/>
    <n v="4"/>
    <n v="19508.21"/>
    <n v="57827.58"/>
    <x v="0"/>
  </r>
  <r>
    <x v="5"/>
    <x v="0"/>
    <x v="0"/>
    <x v="1"/>
    <x v="31"/>
    <x v="1"/>
    <x v="0"/>
    <n v="11"/>
    <n v="62327.83"/>
    <n v="188965.46"/>
    <x v="0"/>
  </r>
  <r>
    <x v="5"/>
    <x v="0"/>
    <x v="0"/>
    <x v="1"/>
    <x v="10"/>
    <x v="0"/>
    <x v="1"/>
    <n v="1"/>
    <n v="5219.01"/>
    <n v="23075.77"/>
    <x v="0"/>
  </r>
  <r>
    <x v="5"/>
    <x v="0"/>
    <x v="0"/>
    <x v="1"/>
    <x v="10"/>
    <x v="1"/>
    <x v="0"/>
    <n v="8"/>
    <n v="54467.81"/>
    <n v="155890.17000000001"/>
    <x v="0"/>
  </r>
  <r>
    <x v="5"/>
    <x v="0"/>
    <x v="0"/>
    <x v="1"/>
    <x v="10"/>
    <x v="1"/>
    <x v="1"/>
    <n v="30"/>
    <n v="194867.57"/>
    <n v="575961.17000000004"/>
    <x v="0"/>
  </r>
  <r>
    <x v="5"/>
    <x v="0"/>
    <x v="0"/>
    <x v="1"/>
    <x v="11"/>
    <x v="0"/>
    <x v="1"/>
    <n v="6"/>
    <n v="39914.370000000003"/>
    <n v="174573.18"/>
    <x v="0"/>
  </r>
  <r>
    <x v="5"/>
    <x v="0"/>
    <x v="0"/>
    <x v="1"/>
    <x v="11"/>
    <x v="1"/>
    <x v="0"/>
    <n v="4"/>
    <n v="27779.439999999999"/>
    <n v="77604.800000000003"/>
    <x v="0"/>
  </r>
  <r>
    <x v="5"/>
    <x v="0"/>
    <x v="0"/>
    <x v="1"/>
    <x v="11"/>
    <x v="1"/>
    <x v="1"/>
    <n v="20"/>
    <n v="129550.61"/>
    <n v="364546.93"/>
    <x v="0"/>
  </r>
  <r>
    <x v="5"/>
    <x v="0"/>
    <x v="0"/>
    <x v="1"/>
    <x v="13"/>
    <x v="0"/>
    <x v="1"/>
    <n v="3"/>
    <n v="22727.48"/>
    <n v="96316.23"/>
    <x v="0"/>
  </r>
  <r>
    <x v="5"/>
    <x v="0"/>
    <x v="0"/>
    <x v="1"/>
    <x v="13"/>
    <x v="1"/>
    <x v="1"/>
    <n v="10"/>
    <n v="65964.19"/>
    <n v="192515.47"/>
    <x v="0"/>
  </r>
  <r>
    <x v="5"/>
    <x v="0"/>
    <x v="0"/>
    <x v="1"/>
    <x v="14"/>
    <x v="0"/>
    <x v="1"/>
    <n v="2"/>
    <n v="12549.37"/>
    <n v="55181.18"/>
    <x v="0"/>
  </r>
  <r>
    <x v="5"/>
    <x v="0"/>
    <x v="0"/>
    <x v="1"/>
    <x v="14"/>
    <x v="1"/>
    <x v="0"/>
    <n v="11"/>
    <n v="73876.95"/>
    <n v="217815.15"/>
    <x v="0"/>
  </r>
  <r>
    <x v="5"/>
    <x v="0"/>
    <x v="0"/>
    <x v="1"/>
    <x v="14"/>
    <x v="1"/>
    <x v="1"/>
    <n v="7"/>
    <n v="47759.48"/>
    <n v="138061.29999999999"/>
    <x v="0"/>
  </r>
  <r>
    <x v="5"/>
    <x v="0"/>
    <x v="0"/>
    <x v="1"/>
    <x v="15"/>
    <x v="1"/>
    <x v="0"/>
    <n v="2"/>
    <n v="12355.93"/>
    <n v="38130.199999999997"/>
    <x v="0"/>
  </r>
  <r>
    <x v="5"/>
    <x v="0"/>
    <x v="0"/>
    <x v="1"/>
    <x v="15"/>
    <x v="1"/>
    <x v="1"/>
    <n v="7"/>
    <n v="42682.91"/>
    <n v="124096.47"/>
    <x v="0"/>
  </r>
  <r>
    <x v="5"/>
    <x v="0"/>
    <x v="0"/>
    <x v="1"/>
    <x v="16"/>
    <x v="0"/>
    <x v="1"/>
    <n v="3"/>
    <n v="21694.42"/>
    <n v="96316.23"/>
    <x v="0"/>
  </r>
  <r>
    <x v="5"/>
    <x v="0"/>
    <x v="0"/>
    <x v="1"/>
    <x v="16"/>
    <x v="1"/>
    <x v="0"/>
    <n v="2"/>
    <n v="15026.28"/>
    <n v="42250.720000000001"/>
    <x v="0"/>
  </r>
  <r>
    <x v="5"/>
    <x v="0"/>
    <x v="0"/>
    <x v="1"/>
    <x v="16"/>
    <x v="1"/>
    <x v="1"/>
    <n v="3"/>
    <n v="21993.31"/>
    <n v="63376.08"/>
    <x v="0"/>
  </r>
  <r>
    <x v="5"/>
    <x v="0"/>
    <x v="0"/>
    <x v="1"/>
    <x v="17"/>
    <x v="0"/>
    <x v="1"/>
    <n v="4"/>
    <n v="26811.48"/>
    <n v="117385.41"/>
    <x v="0"/>
  </r>
  <r>
    <x v="5"/>
    <x v="0"/>
    <x v="0"/>
    <x v="1"/>
    <x v="17"/>
    <x v="1"/>
    <x v="0"/>
    <n v="8"/>
    <n v="39744"/>
    <n v="119247.54"/>
    <x v="0"/>
  </r>
  <r>
    <x v="5"/>
    <x v="0"/>
    <x v="0"/>
    <x v="1"/>
    <x v="17"/>
    <x v="1"/>
    <x v="1"/>
    <n v="2"/>
    <n v="15030.98"/>
    <n v="42635.98"/>
    <x v="0"/>
  </r>
  <r>
    <x v="5"/>
    <x v="0"/>
    <x v="0"/>
    <x v="1"/>
    <x v="18"/>
    <x v="0"/>
    <x v="1"/>
    <n v="21"/>
    <n v="135921.85"/>
    <n v="586927.07999999996"/>
    <x v="0"/>
  </r>
  <r>
    <x v="5"/>
    <x v="0"/>
    <x v="0"/>
    <x v="1"/>
    <x v="18"/>
    <x v="1"/>
    <x v="0"/>
    <n v="8"/>
    <n v="53722.58"/>
    <n v="163165.72"/>
    <x v="0"/>
  </r>
  <r>
    <x v="5"/>
    <x v="0"/>
    <x v="0"/>
    <x v="1"/>
    <x v="18"/>
    <x v="1"/>
    <x v="1"/>
    <n v="21"/>
    <n v="130930.76"/>
    <n v="388744.45"/>
    <x v="0"/>
  </r>
  <r>
    <x v="5"/>
    <x v="0"/>
    <x v="0"/>
    <x v="1"/>
    <x v="19"/>
    <x v="0"/>
    <x v="1"/>
    <n v="2"/>
    <n v="10118.24"/>
    <n v="44144.95"/>
    <x v="0"/>
  </r>
  <r>
    <x v="5"/>
    <x v="0"/>
    <x v="0"/>
    <x v="1"/>
    <x v="19"/>
    <x v="1"/>
    <x v="0"/>
    <n v="1"/>
    <n v="5380.98"/>
    <n v="15553.07"/>
    <x v="0"/>
  </r>
  <r>
    <x v="5"/>
    <x v="0"/>
    <x v="0"/>
    <x v="1"/>
    <x v="19"/>
    <x v="1"/>
    <x v="1"/>
    <n v="24"/>
    <n v="160806.85999999999"/>
    <n v="467836.5"/>
    <x v="0"/>
  </r>
  <r>
    <x v="5"/>
    <x v="0"/>
    <x v="0"/>
    <x v="1"/>
    <x v="20"/>
    <x v="0"/>
    <x v="1"/>
    <n v="4"/>
    <n v="24505.5"/>
    <n v="108355.77"/>
    <x v="0"/>
  </r>
  <r>
    <x v="5"/>
    <x v="0"/>
    <x v="0"/>
    <x v="1"/>
    <x v="20"/>
    <x v="1"/>
    <x v="0"/>
    <n v="5"/>
    <n v="27387.15"/>
    <n v="79822.09"/>
    <x v="0"/>
  </r>
  <r>
    <x v="5"/>
    <x v="0"/>
    <x v="0"/>
    <x v="1"/>
    <x v="20"/>
    <x v="1"/>
    <x v="1"/>
    <n v="17"/>
    <n v="115012.65"/>
    <n v="323473.3"/>
    <x v="0"/>
  </r>
  <r>
    <x v="5"/>
    <x v="0"/>
    <x v="0"/>
    <x v="2"/>
    <x v="21"/>
    <x v="0"/>
    <x v="0"/>
    <n v="1"/>
    <n v="5384.51"/>
    <n v="23075.77"/>
    <x v="0"/>
  </r>
  <r>
    <x v="5"/>
    <x v="0"/>
    <x v="0"/>
    <x v="2"/>
    <x v="21"/>
    <x v="1"/>
    <x v="1"/>
    <n v="1"/>
    <n v="4592.45"/>
    <n v="12831.13"/>
    <x v="0"/>
  </r>
  <r>
    <x v="5"/>
    <x v="0"/>
    <x v="0"/>
    <x v="2"/>
    <x v="22"/>
    <x v="0"/>
    <x v="1"/>
    <n v="1"/>
    <n v="7372.43"/>
    <n v="32105.41"/>
    <x v="0"/>
  </r>
  <r>
    <x v="5"/>
    <x v="0"/>
    <x v="0"/>
    <x v="2"/>
    <x v="22"/>
    <x v="1"/>
    <x v="0"/>
    <n v="6"/>
    <n v="37037.910000000003"/>
    <n v="98371.98"/>
    <x v="0"/>
  </r>
  <r>
    <x v="5"/>
    <x v="0"/>
    <x v="0"/>
    <x v="2"/>
    <x v="22"/>
    <x v="1"/>
    <x v="1"/>
    <n v="15"/>
    <n v="104301.87"/>
    <n v="273880.23"/>
    <x v="0"/>
  </r>
  <r>
    <x v="5"/>
    <x v="0"/>
    <x v="0"/>
    <x v="2"/>
    <x v="29"/>
    <x v="0"/>
    <x v="1"/>
    <n v="4"/>
    <n v="25075.99"/>
    <n v="110362.36"/>
    <x v="0"/>
  </r>
  <r>
    <x v="5"/>
    <x v="0"/>
    <x v="0"/>
    <x v="2"/>
    <x v="29"/>
    <x v="1"/>
    <x v="1"/>
    <n v="5"/>
    <n v="38220.550000000003"/>
    <n v="103861"/>
    <x v="0"/>
  </r>
  <r>
    <x v="5"/>
    <x v="0"/>
    <x v="0"/>
    <x v="2"/>
    <x v="23"/>
    <x v="1"/>
    <x v="1"/>
    <n v="5"/>
    <n v="23569.35"/>
    <n v="66789.3"/>
    <x v="0"/>
  </r>
  <r>
    <x v="5"/>
    <x v="0"/>
    <x v="0"/>
    <x v="2"/>
    <x v="24"/>
    <x v="0"/>
    <x v="1"/>
    <n v="4"/>
    <n v="23233.71"/>
    <n v="101332.72"/>
    <x v="0"/>
  </r>
  <r>
    <x v="5"/>
    <x v="0"/>
    <x v="0"/>
    <x v="2"/>
    <x v="24"/>
    <x v="1"/>
    <x v="0"/>
    <n v="1"/>
    <n v="7239.6"/>
    <n v="19905.349999999999"/>
    <x v="0"/>
  </r>
  <r>
    <x v="5"/>
    <x v="0"/>
    <x v="0"/>
    <x v="2"/>
    <x v="24"/>
    <x v="1"/>
    <x v="1"/>
    <n v="3"/>
    <n v="15858.87"/>
    <n v="42920.93"/>
    <x v="0"/>
  </r>
  <r>
    <x v="5"/>
    <x v="0"/>
    <x v="0"/>
    <x v="3"/>
    <x v="25"/>
    <x v="0"/>
    <x v="1"/>
    <n v="2"/>
    <n v="10660.89"/>
    <n v="46151.54"/>
    <x v="0"/>
  </r>
  <r>
    <x v="5"/>
    <x v="0"/>
    <x v="0"/>
    <x v="3"/>
    <x v="25"/>
    <x v="1"/>
    <x v="0"/>
    <n v="10"/>
    <n v="72941.78"/>
    <n v="219318.28"/>
    <x v="0"/>
  </r>
  <r>
    <x v="5"/>
    <x v="0"/>
    <x v="0"/>
    <x v="3"/>
    <x v="25"/>
    <x v="1"/>
    <x v="1"/>
    <n v="2"/>
    <n v="12916.36"/>
    <n v="37799.11"/>
    <x v="0"/>
  </r>
  <r>
    <x v="5"/>
    <x v="0"/>
    <x v="0"/>
    <x v="3"/>
    <x v="26"/>
    <x v="0"/>
    <x v="1"/>
    <n v="1"/>
    <n v="7235.92"/>
    <n v="32105.41"/>
    <x v="0"/>
  </r>
  <r>
    <x v="5"/>
    <x v="0"/>
    <x v="0"/>
    <x v="3"/>
    <x v="26"/>
    <x v="1"/>
    <x v="0"/>
    <n v="3"/>
    <n v="18035.64"/>
    <n v="53997.29"/>
    <x v="0"/>
  </r>
  <r>
    <x v="5"/>
    <x v="0"/>
    <x v="0"/>
    <x v="3"/>
    <x v="26"/>
    <x v="1"/>
    <x v="1"/>
    <n v="21"/>
    <n v="152920.32999999999"/>
    <n v="452746.49"/>
    <x v="0"/>
  </r>
  <r>
    <x v="5"/>
    <x v="0"/>
    <x v="0"/>
    <x v="3"/>
    <x v="27"/>
    <x v="0"/>
    <x v="0"/>
    <n v="1"/>
    <n v="4710.4799999999996"/>
    <n v="21069.18"/>
    <x v="0"/>
  </r>
  <r>
    <x v="5"/>
    <x v="0"/>
    <x v="0"/>
    <x v="3"/>
    <x v="27"/>
    <x v="0"/>
    <x v="1"/>
    <n v="8"/>
    <n v="52604.34"/>
    <n v="229754.36"/>
    <x v="0"/>
  </r>
  <r>
    <x v="5"/>
    <x v="0"/>
    <x v="0"/>
    <x v="3"/>
    <x v="27"/>
    <x v="1"/>
    <x v="0"/>
    <n v="6"/>
    <n v="38427.519999999997"/>
    <n v="112072.98"/>
    <x v="0"/>
  </r>
  <r>
    <x v="5"/>
    <x v="0"/>
    <x v="0"/>
    <x v="3"/>
    <x v="27"/>
    <x v="1"/>
    <x v="1"/>
    <n v="34"/>
    <n v="216943.37"/>
    <n v="638606.17000000004"/>
    <x v="0"/>
  </r>
  <r>
    <x v="5"/>
    <x v="0"/>
    <x v="1"/>
    <x v="0"/>
    <x v="0"/>
    <x v="0"/>
    <x v="0"/>
    <n v="1"/>
    <n v="2141.65"/>
    <n v="7333.76"/>
    <x v="0"/>
  </r>
  <r>
    <x v="5"/>
    <x v="0"/>
    <x v="1"/>
    <x v="0"/>
    <x v="0"/>
    <x v="0"/>
    <x v="1"/>
    <n v="1"/>
    <n v="2055.4499999999998"/>
    <n v="7333.76"/>
    <x v="0"/>
  </r>
  <r>
    <x v="5"/>
    <x v="0"/>
    <x v="1"/>
    <x v="0"/>
    <x v="0"/>
    <x v="1"/>
    <x v="0"/>
    <n v="1"/>
    <n v="3171.87"/>
    <n v="7308.62"/>
    <x v="0"/>
  </r>
  <r>
    <x v="5"/>
    <x v="0"/>
    <x v="1"/>
    <x v="0"/>
    <x v="0"/>
    <x v="1"/>
    <x v="1"/>
    <n v="8"/>
    <n v="22590.7"/>
    <n v="50931.94"/>
    <x v="0"/>
  </r>
  <r>
    <x v="5"/>
    <x v="0"/>
    <x v="1"/>
    <x v="0"/>
    <x v="1"/>
    <x v="0"/>
    <x v="0"/>
    <n v="1"/>
    <n v="2206.2600000000002"/>
    <n v="7333.76"/>
    <x v="0"/>
  </r>
  <r>
    <x v="5"/>
    <x v="0"/>
    <x v="1"/>
    <x v="0"/>
    <x v="1"/>
    <x v="0"/>
    <x v="1"/>
    <n v="2"/>
    <n v="4078.17"/>
    <n v="14318.3"/>
    <x v="0"/>
  </r>
  <r>
    <x v="5"/>
    <x v="0"/>
    <x v="1"/>
    <x v="0"/>
    <x v="1"/>
    <x v="1"/>
    <x v="0"/>
    <n v="5"/>
    <n v="11354.25"/>
    <n v="25195.39"/>
    <x v="0"/>
  </r>
  <r>
    <x v="5"/>
    <x v="0"/>
    <x v="1"/>
    <x v="0"/>
    <x v="1"/>
    <x v="1"/>
    <x v="1"/>
    <n v="9"/>
    <n v="24391.1"/>
    <n v="54790.89"/>
    <x v="0"/>
  </r>
  <r>
    <x v="5"/>
    <x v="0"/>
    <x v="1"/>
    <x v="0"/>
    <x v="2"/>
    <x v="0"/>
    <x v="1"/>
    <n v="1"/>
    <n v="2206.88"/>
    <n v="7333.76"/>
    <x v="0"/>
  </r>
  <r>
    <x v="5"/>
    <x v="0"/>
    <x v="1"/>
    <x v="0"/>
    <x v="2"/>
    <x v="1"/>
    <x v="0"/>
    <n v="10"/>
    <n v="29627.55"/>
    <n v="64627.22"/>
    <x v="0"/>
  </r>
  <r>
    <x v="5"/>
    <x v="0"/>
    <x v="1"/>
    <x v="0"/>
    <x v="3"/>
    <x v="0"/>
    <x v="1"/>
    <n v="1"/>
    <n v="3133.04"/>
    <n v="11175.26"/>
    <x v="0"/>
  </r>
  <r>
    <x v="5"/>
    <x v="0"/>
    <x v="1"/>
    <x v="0"/>
    <x v="3"/>
    <x v="1"/>
    <x v="0"/>
    <n v="5"/>
    <n v="13998.81"/>
    <n v="30681.69"/>
    <x v="0"/>
  </r>
  <r>
    <x v="5"/>
    <x v="0"/>
    <x v="1"/>
    <x v="0"/>
    <x v="3"/>
    <x v="1"/>
    <x v="1"/>
    <n v="19"/>
    <n v="54705.66"/>
    <n v="121824.31"/>
    <x v="0"/>
  </r>
  <r>
    <x v="5"/>
    <x v="0"/>
    <x v="1"/>
    <x v="0"/>
    <x v="28"/>
    <x v="1"/>
    <x v="1"/>
    <n v="3"/>
    <n v="9689.4599999999991"/>
    <n v="21925.86"/>
    <x v="0"/>
  </r>
  <r>
    <x v="5"/>
    <x v="0"/>
    <x v="1"/>
    <x v="0"/>
    <x v="4"/>
    <x v="0"/>
    <x v="1"/>
    <n v="2"/>
    <n v="6368.24"/>
    <n v="22350.52"/>
    <x v="0"/>
  </r>
  <r>
    <x v="5"/>
    <x v="0"/>
    <x v="1"/>
    <x v="0"/>
    <x v="4"/>
    <x v="1"/>
    <x v="0"/>
    <n v="8"/>
    <n v="22137.98"/>
    <n v="49394.65"/>
    <x v="0"/>
  </r>
  <r>
    <x v="5"/>
    <x v="0"/>
    <x v="1"/>
    <x v="0"/>
    <x v="4"/>
    <x v="1"/>
    <x v="1"/>
    <n v="9"/>
    <n v="23331.83"/>
    <n v="51319.03"/>
    <x v="0"/>
  </r>
  <r>
    <x v="5"/>
    <x v="0"/>
    <x v="1"/>
    <x v="0"/>
    <x v="5"/>
    <x v="0"/>
    <x v="1"/>
    <n v="2"/>
    <n v="5159.1899999999996"/>
    <n v="18509.02"/>
    <x v="0"/>
  </r>
  <r>
    <x v="5"/>
    <x v="0"/>
    <x v="1"/>
    <x v="0"/>
    <x v="5"/>
    <x v="1"/>
    <x v="1"/>
    <n v="20"/>
    <n v="53070.55"/>
    <n v="121184.45"/>
    <x v="0"/>
  </r>
  <r>
    <x v="5"/>
    <x v="0"/>
    <x v="1"/>
    <x v="0"/>
    <x v="6"/>
    <x v="1"/>
    <x v="1"/>
    <n v="5"/>
    <n v="15315.85"/>
    <n v="36710.730000000003"/>
    <x v="0"/>
  </r>
  <r>
    <x v="5"/>
    <x v="0"/>
    <x v="1"/>
    <x v="0"/>
    <x v="8"/>
    <x v="0"/>
    <x v="1"/>
    <n v="1"/>
    <n v="3316.23"/>
    <n v="11175.26"/>
    <x v="0"/>
  </r>
  <r>
    <x v="5"/>
    <x v="0"/>
    <x v="1"/>
    <x v="1"/>
    <x v="30"/>
    <x v="1"/>
    <x v="0"/>
    <n v="5"/>
    <n v="14755.35"/>
    <n v="35851.97"/>
    <x v="0"/>
  </r>
  <r>
    <x v="5"/>
    <x v="0"/>
    <x v="1"/>
    <x v="1"/>
    <x v="10"/>
    <x v="0"/>
    <x v="0"/>
    <n v="2"/>
    <n v="4105.93"/>
    <n v="14318.3"/>
    <x v="0"/>
  </r>
  <r>
    <x v="5"/>
    <x v="0"/>
    <x v="1"/>
    <x v="1"/>
    <x v="10"/>
    <x v="0"/>
    <x v="1"/>
    <n v="4"/>
    <n v="10480.950000000001"/>
    <n v="37018.04"/>
    <x v="0"/>
  </r>
  <r>
    <x v="5"/>
    <x v="0"/>
    <x v="1"/>
    <x v="1"/>
    <x v="10"/>
    <x v="1"/>
    <x v="0"/>
    <n v="3"/>
    <n v="9430.02"/>
    <n v="22864.58"/>
    <x v="0"/>
  </r>
  <r>
    <x v="5"/>
    <x v="0"/>
    <x v="1"/>
    <x v="1"/>
    <x v="10"/>
    <x v="1"/>
    <x v="1"/>
    <n v="14"/>
    <n v="35919.11"/>
    <n v="84302.16"/>
    <x v="0"/>
  </r>
  <r>
    <x v="5"/>
    <x v="0"/>
    <x v="1"/>
    <x v="1"/>
    <x v="11"/>
    <x v="0"/>
    <x v="1"/>
    <n v="6"/>
    <n v="13741.4"/>
    <n v="47494.84"/>
    <x v="0"/>
  </r>
  <r>
    <x v="5"/>
    <x v="0"/>
    <x v="1"/>
    <x v="1"/>
    <x v="11"/>
    <x v="1"/>
    <x v="0"/>
    <n v="2"/>
    <n v="6574.5"/>
    <n v="14527.84"/>
    <x v="0"/>
  </r>
  <r>
    <x v="5"/>
    <x v="0"/>
    <x v="1"/>
    <x v="1"/>
    <x v="11"/>
    <x v="1"/>
    <x v="1"/>
    <n v="15"/>
    <n v="45598"/>
    <n v="101467.87"/>
    <x v="0"/>
  </r>
  <r>
    <x v="5"/>
    <x v="0"/>
    <x v="1"/>
    <x v="1"/>
    <x v="12"/>
    <x v="1"/>
    <x v="1"/>
    <n v="2"/>
    <n v="6557.36"/>
    <n v="15287.76"/>
    <x v="0"/>
  </r>
  <r>
    <x v="5"/>
    <x v="0"/>
    <x v="1"/>
    <x v="1"/>
    <x v="13"/>
    <x v="1"/>
    <x v="1"/>
    <n v="7"/>
    <n v="15682.53"/>
    <n v="37154.160000000003"/>
    <x v="0"/>
  </r>
  <r>
    <x v="5"/>
    <x v="0"/>
    <x v="1"/>
    <x v="1"/>
    <x v="14"/>
    <x v="1"/>
    <x v="0"/>
    <n v="8"/>
    <n v="22840.94"/>
    <n v="52022.22"/>
    <x v="0"/>
  </r>
  <r>
    <x v="5"/>
    <x v="0"/>
    <x v="1"/>
    <x v="1"/>
    <x v="14"/>
    <x v="1"/>
    <x v="1"/>
    <n v="3"/>
    <n v="6380.76"/>
    <n v="14696.85"/>
    <x v="0"/>
  </r>
  <r>
    <x v="5"/>
    <x v="0"/>
    <x v="1"/>
    <x v="1"/>
    <x v="15"/>
    <x v="1"/>
    <x v="1"/>
    <n v="5"/>
    <n v="14813.77"/>
    <n v="35714.730000000003"/>
    <x v="0"/>
  </r>
  <r>
    <x v="5"/>
    <x v="0"/>
    <x v="1"/>
    <x v="1"/>
    <x v="16"/>
    <x v="1"/>
    <x v="0"/>
    <n v="7"/>
    <n v="19423.25"/>
    <n v="45958.25"/>
    <x v="0"/>
  </r>
  <r>
    <x v="5"/>
    <x v="0"/>
    <x v="1"/>
    <x v="1"/>
    <x v="16"/>
    <x v="1"/>
    <x v="1"/>
    <n v="4"/>
    <n v="11485.43"/>
    <n v="26655.79"/>
    <x v="0"/>
  </r>
  <r>
    <x v="5"/>
    <x v="0"/>
    <x v="1"/>
    <x v="1"/>
    <x v="17"/>
    <x v="1"/>
    <x v="0"/>
    <n v="3"/>
    <n v="8687.2199999999993"/>
    <n v="19710.37"/>
    <x v="0"/>
  </r>
  <r>
    <x v="5"/>
    <x v="0"/>
    <x v="1"/>
    <x v="1"/>
    <x v="17"/>
    <x v="1"/>
    <x v="1"/>
    <n v="3"/>
    <n v="5852.07"/>
    <n v="13913.2"/>
    <x v="0"/>
  </r>
  <r>
    <x v="5"/>
    <x v="0"/>
    <x v="1"/>
    <x v="1"/>
    <x v="18"/>
    <x v="0"/>
    <x v="1"/>
    <n v="8"/>
    <n v="19850.419999999998"/>
    <n v="69496.14"/>
    <x v="0"/>
  </r>
  <r>
    <x v="5"/>
    <x v="0"/>
    <x v="1"/>
    <x v="1"/>
    <x v="18"/>
    <x v="1"/>
    <x v="1"/>
    <n v="8"/>
    <n v="25857.599999999999"/>
    <n v="62134.45"/>
    <x v="0"/>
  </r>
  <r>
    <x v="5"/>
    <x v="0"/>
    <x v="1"/>
    <x v="1"/>
    <x v="19"/>
    <x v="1"/>
    <x v="0"/>
    <n v="3"/>
    <n v="8534.0400000000009"/>
    <n v="20007.2"/>
    <x v="0"/>
  </r>
  <r>
    <x v="5"/>
    <x v="0"/>
    <x v="1"/>
    <x v="1"/>
    <x v="19"/>
    <x v="1"/>
    <x v="1"/>
    <n v="9"/>
    <n v="20792.080000000002"/>
    <n v="48958.81"/>
    <x v="0"/>
  </r>
  <r>
    <x v="5"/>
    <x v="0"/>
    <x v="1"/>
    <x v="1"/>
    <x v="20"/>
    <x v="0"/>
    <x v="0"/>
    <n v="1"/>
    <n v="3068.55"/>
    <n v="11175.26"/>
    <x v="0"/>
  </r>
  <r>
    <x v="5"/>
    <x v="0"/>
    <x v="1"/>
    <x v="1"/>
    <x v="20"/>
    <x v="0"/>
    <x v="1"/>
    <n v="7"/>
    <n v="15904.77"/>
    <n v="54828.6"/>
    <x v="0"/>
  </r>
  <r>
    <x v="5"/>
    <x v="0"/>
    <x v="1"/>
    <x v="1"/>
    <x v="20"/>
    <x v="1"/>
    <x v="0"/>
    <n v="6"/>
    <n v="14552.28"/>
    <n v="34267.53"/>
    <x v="0"/>
  </r>
  <r>
    <x v="5"/>
    <x v="0"/>
    <x v="1"/>
    <x v="1"/>
    <x v="20"/>
    <x v="1"/>
    <x v="1"/>
    <n v="12"/>
    <n v="29713.68"/>
    <n v="69039.94"/>
    <x v="0"/>
  </r>
  <r>
    <x v="5"/>
    <x v="0"/>
    <x v="1"/>
    <x v="2"/>
    <x v="21"/>
    <x v="0"/>
    <x v="0"/>
    <n v="1"/>
    <n v="2186.46"/>
    <n v="7333.76"/>
    <x v="0"/>
  </r>
  <r>
    <x v="5"/>
    <x v="0"/>
    <x v="1"/>
    <x v="2"/>
    <x v="22"/>
    <x v="1"/>
    <x v="1"/>
    <n v="10"/>
    <n v="27138.99"/>
    <n v="58699.44"/>
    <x v="0"/>
  </r>
  <r>
    <x v="5"/>
    <x v="0"/>
    <x v="1"/>
    <x v="2"/>
    <x v="29"/>
    <x v="0"/>
    <x v="1"/>
    <n v="1"/>
    <n v="2004.45"/>
    <n v="6984.54"/>
    <x v="0"/>
  </r>
  <r>
    <x v="5"/>
    <x v="0"/>
    <x v="1"/>
    <x v="2"/>
    <x v="29"/>
    <x v="1"/>
    <x v="1"/>
    <n v="5"/>
    <n v="13200.43"/>
    <n v="31181.07"/>
    <x v="0"/>
  </r>
  <r>
    <x v="5"/>
    <x v="0"/>
    <x v="1"/>
    <x v="2"/>
    <x v="23"/>
    <x v="1"/>
    <x v="1"/>
    <n v="2"/>
    <n v="6170.06"/>
    <n v="14170.23"/>
    <x v="0"/>
  </r>
  <r>
    <x v="5"/>
    <x v="0"/>
    <x v="1"/>
    <x v="2"/>
    <x v="24"/>
    <x v="0"/>
    <x v="1"/>
    <n v="1"/>
    <n v="2050.23"/>
    <n v="7333.76"/>
    <x v="0"/>
  </r>
  <r>
    <x v="5"/>
    <x v="0"/>
    <x v="1"/>
    <x v="2"/>
    <x v="24"/>
    <x v="1"/>
    <x v="0"/>
    <n v="1"/>
    <n v="3231"/>
    <n v="6928.66"/>
    <x v="0"/>
  </r>
  <r>
    <x v="5"/>
    <x v="0"/>
    <x v="1"/>
    <x v="2"/>
    <x v="24"/>
    <x v="1"/>
    <x v="1"/>
    <n v="2"/>
    <n v="3970.88"/>
    <n v="8660.83"/>
    <x v="0"/>
  </r>
  <r>
    <x v="5"/>
    <x v="0"/>
    <x v="1"/>
    <x v="3"/>
    <x v="25"/>
    <x v="0"/>
    <x v="1"/>
    <n v="2"/>
    <n v="6487.66"/>
    <n v="22350.52"/>
    <x v="0"/>
  </r>
  <r>
    <x v="5"/>
    <x v="0"/>
    <x v="1"/>
    <x v="3"/>
    <x v="25"/>
    <x v="1"/>
    <x v="0"/>
    <n v="4"/>
    <n v="12765.2"/>
    <n v="30620.21"/>
    <x v="0"/>
  </r>
  <r>
    <x v="5"/>
    <x v="0"/>
    <x v="1"/>
    <x v="3"/>
    <x v="26"/>
    <x v="0"/>
    <x v="0"/>
    <n v="1"/>
    <n v="2068.06"/>
    <n v="7333.76"/>
    <x v="0"/>
  </r>
  <r>
    <x v="5"/>
    <x v="0"/>
    <x v="1"/>
    <x v="3"/>
    <x v="26"/>
    <x v="1"/>
    <x v="0"/>
    <n v="2"/>
    <n v="6410.32"/>
    <n v="15421.86"/>
    <x v="0"/>
  </r>
  <r>
    <x v="5"/>
    <x v="0"/>
    <x v="1"/>
    <x v="3"/>
    <x v="26"/>
    <x v="1"/>
    <x v="1"/>
    <n v="15"/>
    <n v="34146.160000000003"/>
    <n v="82698.820000000007"/>
    <x v="0"/>
  </r>
  <r>
    <x v="5"/>
    <x v="0"/>
    <x v="1"/>
    <x v="3"/>
    <x v="27"/>
    <x v="0"/>
    <x v="1"/>
    <n v="7"/>
    <n v="18854.55"/>
    <n v="66353.100000000006"/>
    <x v="0"/>
  </r>
  <r>
    <x v="5"/>
    <x v="0"/>
    <x v="1"/>
    <x v="3"/>
    <x v="27"/>
    <x v="1"/>
    <x v="0"/>
    <n v="2"/>
    <n v="6388.88"/>
    <n v="15131.3"/>
    <x v="0"/>
  </r>
  <r>
    <x v="5"/>
    <x v="0"/>
    <x v="1"/>
    <x v="3"/>
    <x v="27"/>
    <x v="1"/>
    <x v="1"/>
    <n v="24"/>
    <n v="59990.080000000002"/>
    <n v="142187.85999999999"/>
    <x v="0"/>
  </r>
  <r>
    <x v="5"/>
    <x v="0"/>
    <x v="2"/>
    <x v="0"/>
    <x v="0"/>
    <x v="0"/>
    <x v="0"/>
    <n v="1"/>
    <n v="5224.21"/>
    <n v="21853.47"/>
    <x v="0"/>
  </r>
  <r>
    <x v="5"/>
    <x v="0"/>
    <x v="2"/>
    <x v="0"/>
    <x v="0"/>
    <x v="0"/>
    <x v="1"/>
    <n v="6"/>
    <n v="28743.9"/>
    <n v="121619.32"/>
    <x v="0"/>
  </r>
  <r>
    <x v="5"/>
    <x v="0"/>
    <x v="2"/>
    <x v="0"/>
    <x v="0"/>
    <x v="1"/>
    <x v="0"/>
    <n v="8"/>
    <n v="38575.800000000003"/>
    <n v="106861.33"/>
    <x v="0"/>
  </r>
  <r>
    <x v="5"/>
    <x v="0"/>
    <x v="2"/>
    <x v="0"/>
    <x v="0"/>
    <x v="1"/>
    <x v="1"/>
    <n v="7"/>
    <n v="34810.58"/>
    <n v="99423.8"/>
    <x v="0"/>
  </r>
  <r>
    <x v="5"/>
    <x v="0"/>
    <x v="2"/>
    <x v="0"/>
    <x v="1"/>
    <x v="0"/>
    <x v="0"/>
    <n v="4"/>
    <n v="25682.33"/>
    <n v="110217.51"/>
    <x v="0"/>
  </r>
  <r>
    <x v="5"/>
    <x v="0"/>
    <x v="2"/>
    <x v="0"/>
    <x v="1"/>
    <x v="0"/>
    <x v="1"/>
    <n v="3"/>
    <n v="14282.8"/>
    <n v="62709.96"/>
    <x v="0"/>
  </r>
  <r>
    <x v="5"/>
    <x v="0"/>
    <x v="2"/>
    <x v="0"/>
    <x v="1"/>
    <x v="1"/>
    <x v="0"/>
    <n v="21"/>
    <n v="109818.77"/>
    <n v="306064.59999999998"/>
    <x v="0"/>
  </r>
  <r>
    <x v="5"/>
    <x v="0"/>
    <x v="2"/>
    <x v="0"/>
    <x v="1"/>
    <x v="1"/>
    <x v="1"/>
    <n v="23"/>
    <n v="130527.81"/>
    <n v="354349.29"/>
    <x v="0"/>
  </r>
  <r>
    <x v="5"/>
    <x v="0"/>
    <x v="2"/>
    <x v="0"/>
    <x v="2"/>
    <x v="0"/>
    <x v="1"/>
    <n v="3"/>
    <n v="16145.97"/>
    <n v="68410.87"/>
    <x v="0"/>
  </r>
  <r>
    <x v="5"/>
    <x v="0"/>
    <x v="2"/>
    <x v="0"/>
    <x v="2"/>
    <x v="1"/>
    <x v="0"/>
    <n v="2"/>
    <n v="10458.459999999999"/>
    <n v="27142"/>
    <x v="0"/>
  </r>
  <r>
    <x v="5"/>
    <x v="0"/>
    <x v="2"/>
    <x v="0"/>
    <x v="2"/>
    <x v="1"/>
    <x v="1"/>
    <n v="18"/>
    <n v="86121.54"/>
    <n v="226165.93"/>
    <x v="0"/>
  </r>
  <r>
    <x v="5"/>
    <x v="0"/>
    <x v="2"/>
    <x v="0"/>
    <x v="3"/>
    <x v="0"/>
    <x v="1"/>
    <n v="4"/>
    <n v="20035.75"/>
    <n v="84563.43"/>
    <x v="0"/>
  </r>
  <r>
    <x v="5"/>
    <x v="0"/>
    <x v="2"/>
    <x v="0"/>
    <x v="3"/>
    <x v="1"/>
    <x v="0"/>
    <n v="13"/>
    <n v="63985.09"/>
    <n v="177937.51"/>
    <x v="0"/>
  </r>
  <r>
    <x v="5"/>
    <x v="0"/>
    <x v="2"/>
    <x v="0"/>
    <x v="3"/>
    <x v="1"/>
    <x v="1"/>
    <n v="15"/>
    <n v="74451.87"/>
    <n v="198796.83"/>
    <x v="0"/>
  </r>
  <r>
    <x v="5"/>
    <x v="0"/>
    <x v="2"/>
    <x v="0"/>
    <x v="28"/>
    <x v="1"/>
    <x v="1"/>
    <n v="2"/>
    <n v="9182.73"/>
    <n v="26098.74"/>
    <x v="0"/>
  </r>
  <r>
    <x v="5"/>
    <x v="0"/>
    <x v="2"/>
    <x v="0"/>
    <x v="4"/>
    <x v="0"/>
    <x v="1"/>
    <n v="3"/>
    <n v="15154.18"/>
    <n v="63660.11"/>
    <x v="0"/>
  </r>
  <r>
    <x v="5"/>
    <x v="0"/>
    <x v="2"/>
    <x v="0"/>
    <x v="4"/>
    <x v="1"/>
    <x v="0"/>
    <n v="8"/>
    <n v="46909.43"/>
    <n v="128164.43"/>
    <x v="0"/>
  </r>
  <r>
    <x v="5"/>
    <x v="0"/>
    <x v="2"/>
    <x v="0"/>
    <x v="4"/>
    <x v="1"/>
    <x v="1"/>
    <n v="12"/>
    <n v="72384.33"/>
    <n v="197631.6"/>
    <x v="0"/>
  </r>
  <r>
    <x v="5"/>
    <x v="0"/>
    <x v="2"/>
    <x v="0"/>
    <x v="5"/>
    <x v="0"/>
    <x v="1"/>
    <n v="3"/>
    <n v="15767.88"/>
    <n v="69361.02"/>
    <x v="0"/>
  </r>
  <r>
    <x v="5"/>
    <x v="0"/>
    <x v="2"/>
    <x v="0"/>
    <x v="5"/>
    <x v="1"/>
    <x v="0"/>
    <n v="6"/>
    <n v="27700.75"/>
    <n v="80147.14"/>
    <x v="0"/>
  </r>
  <r>
    <x v="5"/>
    <x v="0"/>
    <x v="2"/>
    <x v="0"/>
    <x v="5"/>
    <x v="1"/>
    <x v="1"/>
    <n v="20"/>
    <n v="108769.01"/>
    <n v="301628.53000000003"/>
    <x v="0"/>
  </r>
  <r>
    <x v="5"/>
    <x v="0"/>
    <x v="2"/>
    <x v="0"/>
    <x v="6"/>
    <x v="0"/>
    <x v="1"/>
    <n v="1"/>
    <n v="5327.09"/>
    <n v="21853.47"/>
    <x v="0"/>
  </r>
  <r>
    <x v="5"/>
    <x v="0"/>
    <x v="2"/>
    <x v="0"/>
    <x v="6"/>
    <x v="1"/>
    <x v="1"/>
    <n v="5"/>
    <n v="36287.85"/>
    <n v="99879.87"/>
    <x v="0"/>
  </r>
  <r>
    <x v="5"/>
    <x v="0"/>
    <x v="2"/>
    <x v="0"/>
    <x v="8"/>
    <x v="0"/>
    <x v="1"/>
    <n v="3"/>
    <n v="14769.15"/>
    <n v="63660.11"/>
    <x v="0"/>
  </r>
  <r>
    <x v="5"/>
    <x v="0"/>
    <x v="2"/>
    <x v="1"/>
    <x v="30"/>
    <x v="1"/>
    <x v="0"/>
    <n v="13"/>
    <n v="71421.75"/>
    <n v="209901.77"/>
    <x v="0"/>
  </r>
  <r>
    <x v="5"/>
    <x v="0"/>
    <x v="2"/>
    <x v="1"/>
    <x v="9"/>
    <x v="1"/>
    <x v="1"/>
    <n v="3"/>
    <n v="16157.06"/>
    <n v="48374.080000000002"/>
    <x v="0"/>
  </r>
  <r>
    <x v="5"/>
    <x v="0"/>
    <x v="2"/>
    <x v="1"/>
    <x v="31"/>
    <x v="1"/>
    <x v="0"/>
    <n v="5"/>
    <n v="21970.240000000002"/>
    <n v="66035.5"/>
    <x v="0"/>
  </r>
  <r>
    <x v="5"/>
    <x v="0"/>
    <x v="2"/>
    <x v="1"/>
    <x v="10"/>
    <x v="0"/>
    <x v="1"/>
    <n v="3"/>
    <n v="20886.61"/>
    <n v="91214.49"/>
    <x v="0"/>
  </r>
  <r>
    <x v="5"/>
    <x v="0"/>
    <x v="2"/>
    <x v="1"/>
    <x v="10"/>
    <x v="1"/>
    <x v="0"/>
    <n v="8"/>
    <n v="43977.45"/>
    <n v="130896.59"/>
    <x v="0"/>
  </r>
  <r>
    <x v="5"/>
    <x v="0"/>
    <x v="2"/>
    <x v="1"/>
    <x v="10"/>
    <x v="1"/>
    <x v="1"/>
    <n v="34"/>
    <n v="187386.6"/>
    <n v="545547.87"/>
    <x v="0"/>
  </r>
  <r>
    <x v="5"/>
    <x v="0"/>
    <x v="2"/>
    <x v="1"/>
    <x v="11"/>
    <x v="0"/>
    <x v="1"/>
    <n v="7"/>
    <n v="34375.629999999997"/>
    <n v="144422.94"/>
    <x v="0"/>
  </r>
  <r>
    <x v="5"/>
    <x v="0"/>
    <x v="2"/>
    <x v="1"/>
    <x v="11"/>
    <x v="1"/>
    <x v="0"/>
    <n v="15"/>
    <n v="69660.95"/>
    <n v="190220.23"/>
    <x v="0"/>
  </r>
  <r>
    <x v="5"/>
    <x v="0"/>
    <x v="2"/>
    <x v="1"/>
    <x v="11"/>
    <x v="1"/>
    <x v="1"/>
    <n v="32"/>
    <n v="172065.34"/>
    <n v="471820.13"/>
    <x v="0"/>
  </r>
  <r>
    <x v="5"/>
    <x v="0"/>
    <x v="2"/>
    <x v="1"/>
    <x v="12"/>
    <x v="1"/>
    <x v="1"/>
    <n v="3"/>
    <n v="13286.96"/>
    <n v="40294.01"/>
    <x v="0"/>
  </r>
  <r>
    <x v="5"/>
    <x v="0"/>
    <x v="2"/>
    <x v="1"/>
    <x v="13"/>
    <x v="0"/>
    <x v="1"/>
    <n v="1"/>
    <n v="5322.53"/>
    <n v="21853.47"/>
    <x v="0"/>
  </r>
  <r>
    <x v="5"/>
    <x v="0"/>
    <x v="2"/>
    <x v="1"/>
    <x v="13"/>
    <x v="1"/>
    <x v="1"/>
    <n v="14"/>
    <n v="82392.490000000005"/>
    <n v="243912.97"/>
    <x v="0"/>
  </r>
  <r>
    <x v="5"/>
    <x v="0"/>
    <x v="2"/>
    <x v="1"/>
    <x v="14"/>
    <x v="1"/>
    <x v="0"/>
    <n v="13"/>
    <n v="68866.06"/>
    <n v="198203.37"/>
    <x v="0"/>
  </r>
  <r>
    <x v="5"/>
    <x v="0"/>
    <x v="2"/>
    <x v="1"/>
    <x v="14"/>
    <x v="1"/>
    <x v="1"/>
    <n v="4"/>
    <n v="25057.13"/>
    <n v="73625.3"/>
    <x v="0"/>
  </r>
  <r>
    <x v="5"/>
    <x v="0"/>
    <x v="2"/>
    <x v="1"/>
    <x v="15"/>
    <x v="1"/>
    <x v="1"/>
    <n v="9"/>
    <n v="53933.26"/>
    <n v="158229.59"/>
    <x v="0"/>
  </r>
  <r>
    <x v="5"/>
    <x v="0"/>
    <x v="2"/>
    <x v="1"/>
    <x v="16"/>
    <x v="1"/>
    <x v="0"/>
    <n v="2"/>
    <n v="11843.16"/>
    <n v="32510.37"/>
    <x v="0"/>
  </r>
  <r>
    <x v="5"/>
    <x v="0"/>
    <x v="2"/>
    <x v="1"/>
    <x v="16"/>
    <x v="1"/>
    <x v="1"/>
    <n v="3"/>
    <n v="16240.82"/>
    <n v="45365.98"/>
    <x v="0"/>
  </r>
  <r>
    <x v="5"/>
    <x v="0"/>
    <x v="2"/>
    <x v="1"/>
    <x v="17"/>
    <x v="1"/>
    <x v="0"/>
    <n v="10"/>
    <n v="47164.78"/>
    <n v="133837.38"/>
    <x v="0"/>
  </r>
  <r>
    <x v="5"/>
    <x v="0"/>
    <x v="2"/>
    <x v="1"/>
    <x v="17"/>
    <x v="1"/>
    <x v="1"/>
    <n v="7"/>
    <n v="49918.2"/>
    <n v="141321.65"/>
    <x v="0"/>
  </r>
  <r>
    <x v="5"/>
    <x v="0"/>
    <x v="2"/>
    <x v="1"/>
    <x v="18"/>
    <x v="0"/>
    <x v="1"/>
    <n v="5"/>
    <n v="28509.54"/>
    <n v="124469.77"/>
    <x v="0"/>
  </r>
  <r>
    <x v="5"/>
    <x v="0"/>
    <x v="2"/>
    <x v="1"/>
    <x v="18"/>
    <x v="1"/>
    <x v="0"/>
    <n v="3"/>
    <n v="13823.64"/>
    <n v="39621.300000000003"/>
    <x v="0"/>
  </r>
  <r>
    <x v="5"/>
    <x v="0"/>
    <x v="2"/>
    <x v="1"/>
    <x v="18"/>
    <x v="1"/>
    <x v="1"/>
    <n v="32"/>
    <n v="175107.8"/>
    <n v="522481.4"/>
    <x v="0"/>
  </r>
  <r>
    <x v="5"/>
    <x v="0"/>
    <x v="2"/>
    <x v="1"/>
    <x v="19"/>
    <x v="0"/>
    <x v="1"/>
    <n v="4"/>
    <n v="18487.330000000002"/>
    <n v="78862.53"/>
    <x v="0"/>
  </r>
  <r>
    <x v="5"/>
    <x v="0"/>
    <x v="2"/>
    <x v="1"/>
    <x v="19"/>
    <x v="1"/>
    <x v="0"/>
    <n v="8"/>
    <n v="43056.81"/>
    <n v="123580.22"/>
    <x v="0"/>
  </r>
  <r>
    <x v="5"/>
    <x v="0"/>
    <x v="2"/>
    <x v="1"/>
    <x v="19"/>
    <x v="1"/>
    <x v="1"/>
    <n v="4"/>
    <n v="28341.5"/>
    <n v="80571.710000000006"/>
    <x v="0"/>
  </r>
  <r>
    <x v="5"/>
    <x v="0"/>
    <x v="2"/>
    <x v="1"/>
    <x v="20"/>
    <x v="0"/>
    <x v="0"/>
    <n v="1"/>
    <n v="4490.47"/>
    <n v="19003.02"/>
    <x v="0"/>
  </r>
  <r>
    <x v="5"/>
    <x v="0"/>
    <x v="2"/>
    <x v="1"/>
    <x v="20"/>
    <x v="0"/>
    <x v="1"/>
    <n v="13"/>
    <n v="73066.91"/>
    <n v="313549.81"/>
    <x v="0"/>
  </r>
  <r>
    <x v="5"/>
    <x v="0"/>
    <x v="2"/>
    <x v="1"/>
    <x v="20"/>
    <x v="1"/>
    <x v="0"/>
    <n v="14"/>
    <n v="68841.179999999993"/>
    <n v="194771.4"/>
    <x v="0"/>
  </r>
  <r>
    <x v="5"/>
    <x v="0"/>
    <x v="2"/>
    <x v="1"/>
    <x v="20"/>
    <x v="1"/>
    <x v="1"/>
    <n v="17"/>
    <n v="87010.11"/>
    <n v="250720.13"/>
    <x v="0"/>
  </r>
  <r>
    <x v="5"/>
    <x v="0"/>
    <x v="2"/>
    <x v="2"/>
    <x v="21"/>
    <x v="0"/>
    <x v="0"/>
    <n v="1"/>
    <n v="5145.16"/>
    <n v="21853.47"/>
    <x v="0"/>
  </r>
  <r>
    <x v="5"/>
    <x v="0"/>
    <x v="2"/>
    <x v="2"/>
    <x v="21"/>
    <x v="1"/>
    <x v="1"/>
    <n v="1"/>
    <n v="4361.09"/>
    <n v="11572.84"/>
    <x v="0"/>
  </r>
  <r>
    <x v="5"/>
    <x v="0"/>
    <x v="2"/>
    <x v="2"/>
    <x v="22"/>
    <x v="0"/>
    <x v="1"/>
    <n v="1"/>
    <n v="4514.8"/>
    <n v="19003.02"/>
    <x v="0"/>
  </r>
  <r>
    <x v="5"/>
    <x v="0"/>
    <x v="2"/>
    <x v="2"/>
    <x v="22"/>
    <x v="1"/>
    <x v="0"/>
    <n v="13"/>
    <n v="59967.45"/>
    <n v="157475.06"/>
    <x v="0"/>
  </r>
  <r>
    <x v="5"/>
    <x v="0"/>
    <x v="2"/>
    <x v="2"/>
    <x v="22"/>
    <x v="1"/>
    <x v="1"/>
    <n v="27"/>
    <n v="142525.69"/>
    <n v="369752.21"/>
    <x v="0"/>
  </r>
  <r>
    <x v="5"/>
    <x v="0"/>
    <x v="2"/>
    <x v="2"/>
    <x v="29"/>
    <x v="0"/>
    <x v="1"/>
    <n v="4"/>
    <n v="24165.58"/>
    <n v="104516.6"/>
    <x v="0"/>
  </r>
  <r>
    <x v="5"/>
    <x v="0"/>
    <x v="2"/>
    <x v="2"/>
    <x v="29"/>
    <x v="1"/>
    <x v="1"/>
    <n v="2"/>
    <n v="9212.68"/>
    <n v="24360.39"/>
    <x v="0"/>
  </r>
  <r>
    <x v="5"/>
    <x v="0"/>
    <x v="2"/>
    <x v="2"/>
    <x v="24"/>
    <x v="0"/>
    <x v="1"/>
    <n v="2"/>
    <n v="9178.8799999999992"/>
    <n v="38956.19"/>
    <x v="0"/>
  </r>
  <r>
    <x v="5"/>
    <x v="0"/>
    <x v="2"/>
    <x v="2"/>
    <x v="24"/>
    <x v="1"/>
    <x v="0"/>
    <n v="8"/>
    <n v="37093.61"/>
    <n v="98028.3"/>
    <x v="0"/>
  </r>
  <r>
    <x v="5"/>
    <x v="0"/>
    <x v="2"/>
    <x v="2"/>
    <x v="24"/>
    <x v="1"/>
    <x v="1"/>
    <n v="3"/>
    <n v="20540.64"/>
    <n v="56552.98"/>
    <x v="0"/>
  </r>
  <r>
    <x v="5"/>
    <x v="0"/>
    <x v="2"/>
    <x v="3"/>
    <x v="25"/>
    <x v="0"/>
    <x v="1"/>
    <n v="2"/>
    <n v="9534.4"/>
    <n v="39906.339999999997"/>
    <x v="0"/>
  </r>
  <r>
    <x v="5"/>
    <x v="0"/>
    <x v="2"/>
    <x v="3"/>
    <x v="25"/>
    <x v="1"/>
    <x v="0"/>
    <n v="3"/>
    <n v="14778.54"/>
    <n v="44908.88"/>
    <x v="0"/>
  </r>
  <r>
    <x v="5"/>
    <x v="0"/>
    <x v="2"/>
    <x v="3"/>
    <x v="25"/>
    <x v="1"/>
    <x v="1"/>
    <n v="10"/>
    <n v="48897.1"/>
    <n v="145202.75"/>
    <x v="0"/>
  </r>
  <r>
    <x v="5"/>
    <x v="0"/>
    <x v="2"/>
    <x v="3"/>
    <x v="26"/>
    <x v="0"/>
    <x v="0"/>
    <n v="2"/>
    <n v="12363.14"/>
    <n v="52258.3"/>
    <x v="0"/>
  </r>
  <r>
    <x v="5"/>
    <x v="0"/>
    <x v="2"/>
    <x v="3"/>
    <x v="26"/>
    <x v="0"/>
    <x v="1"/>
    <n v="2"/>
    <n v="9143.64"/>
    <n v="38006.04"/>
    <x v="0"/>
  </r>
  <r>
    <x v="5"/>
    <x v="0"/>
    <x v="2"/>
    <x v="3"/>
    <x v="26"/>
    <x v="1"/>
    <x v="1"/>
    <n v="10"/>
    <n v="56275.31"/>
    <n v="166523.46"/>
    <x v="0"/>
  </r>
  <r>
    <x v="5"/>
    <x v="0"/>
    <x v="2"/>
    <x v="3"/>
    <x v="27"/>
    <x v="0"/>
    <x v="0"/>
    <n v="1"/>
    <n v="7250.12"/>
    <n v="30404.83"/>
    <x v="0"/>
  </r>
  <r>
    <x v="5"/>
    <x v="0"/>
    <x v="2"/>
    <x v="3"/>
    <x v="27"/>
    <x v="0"/>
    <x v="1"/>
    <n v="8"/>
    <n v="47088.959999999999"/>
    <n v="200481.85"/>
    <x v="0"/>
  </r>
  <r>
    <x v="5"/>
    <x v="0"/>
    <x v="2"/>
    <x v="3"/>
    <x v="27"/>
    <x v="1"/>
    <x v="0"/>
    <n v="13"/>
    <n v="65240.92"/>
    <n v="188893.89"/>
    <x v="0"/>
  </r>
  <r>
    <x v="5"/>
    <x v="0"/>
    <x v="2"/>
    <x v="3"/>
    <x v="27"/>
    <x v="1"/>
    <x v="1"/>
    <n v="23"/>
    <n v="125390.1"/>
    <n v="364417.01"/>
    <x v="0"/>
  </r>
  <r>
    <x v="5"/>
    <x v="0"/>
    <x v="3"/>
    <x v="0"/>
    <x v="0"/>
    <x v="0"/>
    <x v="0"/>
    <n v="2"/>
    <n v="10686.67"/>
    <n v="47941.21"/>
    <x v="0"/>
  </r>
  <r>
    <x v="5"/>
    <x v="0"/>
    <x v="3"/>
    <x v="0"/>
    <x v="0"/>
    <x v="0"/>
    <x v="1"/>
    <n v="1"/>
    <n v="5589.89"/>
    <n v="25060.18"/>
    <x v="0"/>
  </r>
  <r>
    <x v="5"/>
    <x v="0"/>
    <x v="3"/>
    <x v="0"/>
    <x v="0"/>
    <x v="1"/>
    <x v="0"/>
    <n v="14"/>
    <n v="75134.539999999994"/>
    <n v="218233.64"/>
    <x v="0"/>
  </r>
  <r>
    <x v="5"/>
    <x v="0"/>
    <x v="3"/>
    <x v="0"/>
    <x v="0"/>
    <x v="1"/>
    <x v="1"/>
    <n v="20"/>
    <n v="113032.34"/>
    <n v="334480.21000000002"/>
    <x v="0"/>
  </r>
  <r>
    <x v="5"/>
    <x v="0"/>
    <x v="3"/>
    <x v="0"/>
    <x v="1"/>
    <x v="0"/>
    <x v="0"/>
    <n v="2"/>
    <n v="9953.94"/>
    <n v="44672.49"/>
    <x v="0"/>
  </r>
  <r>
    <x v="5"/>
    <x v="0"/>
    <x v="3"/>
    <x v="0"/>
    <x v="1"/>
    <x v="0"/>
    <x v="1"/>
    <n v="3"/>
    <n v="15093.12"/>
    <n v="68643.100000000006"/>
    <x v="0"/>
  </r>
  <r>
    <x v="5"/>
    <x v="0"/>
    <x v="3"/>
    <x v="0"/>
    <x v="1"/>
    <x v="1"/>
    <x v="0"/>
    <n v="32"/>
    <n v="190535.79"/>
    <n v="545904.48"/>
    <x v="0"/>
  </r>
  <r>
    <x v="5"/>
    <x v="0"/>
    <x v="3"/>
    <x v="0"/>
    <x v="1"/>
    <x v="1"/>
    <x v="1"/>
    <n v="21"/>
    <n v="120197.48"/>
    <n v="343820.44"/>
    <x v="0"/>
  </r>
  <r>
    <x v="5"/>
    <x v="0"/>
    <x v="3"/>
    <x v="0"/>
    <x v="2"/>
    <x v="0"/>
    <x v="1"/>
    <n v="6"/>
    <n v="42896.59"/>
    <n v="193282.33"/>
    <x v="0"/>
  </r>
  <r>
    <x v="5"/>
    <x v="0"/>
    <x v="3"/>
    <x v="0"/>
    <x v="2"/>
    <x v="1"/>
    <x v="0"/>
    <n v="6"/>
    <n v="31639.55"/>
    <n v="84680.15"/>
    <x v="0"/>
  </r>
  <r>
    <x v="5"/>
    <x v="0"/>
    <x v="3"/>
    <x v="0"/>
    <x v="2"/>
    <x v="1"/>
    <x v="1"/>
    <n v="33"/>
    <n v="192945.89"/>
    <n v="539365.63"/>
    <x v="0"/>
  </r>
  <r>
    <x v="5"/>
    <x v="0"/>
    <x v="3"/>
    <x v="0"/>
    <x v="3"/>
    <x v="0"/>
    <x v="1"/>
    <n v="7"/>
    <n v="38593.29"/>
    <n v="175288.92"/>
    <x v="0"/>
  </r>
  <r>
    <x v="5"/>
    <x v="0"/>
    <x v="3"/>
    <x v="0"/>
    <x v="3"/>
    <x v="1"/>
    <x v="0"/>
    <n v="13"/>
    <n v="76271.44"/>
    <n v="220053.02"/>
    <x v="0"/>
  </r>
  <r>
    <x v="5"/>
    <x v="0"/>
    <x v="3"/>
    <x v="0"/>
    <x v="3"/>
    <x v="1"/>
    <x v="1"/>
    <n v="27"/>
    <n v="161656.04999999999"/>
    <n v="480441.07"/>
    <x v="0"/>
  </r>
  <r>
    <x v="5"/>
    <x v="0"/>
    <x v="3"/>
    <x v="0"/>
    <x v="28"/>
    <x v="1"/>
    <x v="1"/>
    <n v="13"/>
    <n v="78458.05"/>
    <n v="229730.85"/>
    <x v="0"/>
  </r>
  <r>
    <x v="5"/>
    <x v="0"/>
    <x v="3"/>
    <x v="0"/>
    <x v="4"/>
    <x v="1"/>
    <x v="0"/>
    <n v="4"/>
    <n v="23664.55"/>
    <n v="69647.990000000005"/>
    <x v="0"/>
  </r>
  <r>
    <x v="5"/>
    <x v="0"/>
    <x v="3"/>
    <x v="0"/>
    <x v="4"/>
    <x v="1"/>
    <x v="1"/>
    <n v="19"/>
    <n v="115017.95"/>
    <n v="324898.52"/>
    <x v="0"/>
  </r>
  <r>
    <x v="5"/>
    <x v="0"/>
    <x v="3"/>
    <x v="0"/>
    <x v="5"/>
    <x v="0"/>
    <x v="1"/>
    <n v="3"/>
    <n v="18072.240000000002"/>
    <n v="81585.64"/>
    <x v="0"/>
  </r>
  <r>
    <x v="5"/>
    <x v="0"/>
    <x v="3"/>
    <x v="0"/>
    <x v="5"/>
    <x v="1"/>
    <x v="0"/>
    <n v="1"/>
    <n v="5838.75"/>
    <n v="15583.24"/>
    <x v="0"/>
  </r>
  <r>
    <x v="5"/>
    <x v="0"/>
    <x v="3"/>
    <x v="0"/>
    <x v="5"/>
    <x v="1"/>
    <x v="1"/>
    <n v="28"/>
    <n v="176313.32"/>
    <n v="523051"/>
    <x v="0"/>
  </r>
  <r>
    <x v="5"/>
    <x v="0"/>
    <x v="3"/>
    <x v="0"/>
    <x v="6"/>
    <x v="0"/>
    <x v="1"/>
    <n v="5"/>
    <n v="31667.88"/>
    <n v="142469.4"/>
    <x v="0"/>
  </r>
  <r>
    <x v="5"/>
    <x v="0"/>
    <x v="3"/>
    <x v="0"/>
    <x v="6"/>
    <x v="1"/>
    <x v="1"/>
    <n v="3"/>
    <n v="22777.65"/>
    <n v="66313.17"/>
    <x v="0"/>
  </r>
  <r>
    <x v="5"/>
    <x v="0"/>
    <x v="3"/>
    <x v="0"/>
    <x v="7"/>
    <x v="1"/>
    <x v="1"/>
    <n v="6"/>
    <n v="34094.69"/>
    <n v="100441.2"/>
    <x v="0"/>
  </r>
  <r>
    <x v="5"/>
    <x v="0"/>
    <x v="3"/>
    <x v="0"/>
    <x v="8"/>
    <x v="1"/>
    <x v="1"/>
    <n v="5"/>
    <n v="29363.95"/>
    <n v="84725.36"/>
    <x v="0"/>
  </r>
  <r>
    <x v="5"/>
    <x v="0"/>
    <x v="3"/>
    <x v="1"/>
    <x v="30"/>
    <x v="1"/>
    <x v="0"/>
    <n v="3"/>
    <n v="22748.13"/>
    <n v="69543.039999999994"/>
    <x v="0"/>
  </r>
  <r>
    <x v="5"/>
    <x v="0"/>
    <x v="3"/>
    <x v="1"/>
    <x v="9"/>
    <x v="1"/>
    <x v="1"/>
    <n v="3"/>
    <n v="16045.1"/>
    <n v="50224.95"/>
    <x v="0"/>
  </r>
  <r>
    <x v="5"/>
    <x v="0"/>
    <x v="3"/>
    <x v="1"/>
    <x v="31"/>
    <x v="1"/>
    <x v="0"/>
    <n v="2"/>
    <n v="10475.27"/>
    <n v="32152.19"/>
    <x v="0"/>
  </r>
  <r>
    <x v="5"/>
    <x v="0"/>
    <x v="3"/>
    <x v="1"/>
    <x v="10"/>
    <x v="0"/>
    <x v="0"/>
    <n v="5"/>
    <n v="25922.400000000001"/>
    <n v="117673.88"/>
    <x v="0"/>
  </r>
  <r>
    <x v="5"/>
    <x v="0"/>
    <x v="3"/>
    <x v="1"/>
    <x v="10"/>
    <x v="0"/>
    <x v="1"/>
    <n v="5"/>
    <n v="30335.85"/>
    <n v="139200.68"/>
    <x v="0"/>
  </r>
  <r>
    <x v="5"/>
    <x v="0"/>
    <x v="3"/>
    <x v="1"/>
    <x v="10"/>
    <x v="1"/>
    <x v="0"/>
    <n v="20"/>
    <n v="106069.64"/>
    <n v="329007.84999999998"/>
    <x v="0"/>
  </r>
  <r>
    <x v="5"/>
    <x v="0"/>
    <x v="3"/>
    <x v="1"/>
    <x v="10"/>
    <x v="1"/>
    <x v="1"/>
    <n v="26"/>
    <n v="156628.82"/>
    <n v="479186.83"/>
    <x v="0"/>
  </r>
  <r>
    <x v="5"/>
    <x v="0"/>
    <x v="3"/>
    <x v="1"/>
    <x v="11"/>
    <x v="0"/>
    <x v="1"/>
    <n v="16"/>
    <n v="98911.53"/>
    <n v="449067.32"/>
    <x v="0"/>
  </r>
  <r>
    <x v="5"/>
    <x v="0"/>
    <x v="3"/>
    <x v="1"/>
    <x v="11"/>
    <x v="1"/>
    <x v="0"/>
    <n v="1"/>
    <n v="7706.03"/>
    <n v="21868.880000000001"/>
    <x v="0"/>
  </r>
  <r>
    <x v="5"/>
    <x v="0"/>
    <x v="3"/>
    <x v="1"/>
    <x v="11"/>
    <x v="1"/>
    <x v="1"/>
    <n v="22"/>
    <n v="136061.41"/>
    <n v="402679.26"/>
    <x v="0"/>
  </r>
  <r>
    <x v="5"/>
    <x v="0"/>
    <x v="3"/>
    <x v="1"/>
    <x v="12"/>
    <x v="1"/>
    <x v="0"/>
    <n v="1"/>
    <n v="5399.82"/>
    <n v="17141.16"/>
    <x v="0"/>
  </r>
  <r>
    <x v="5"/>
    <x v="0"/>
    <x v="3"/>
    <x v="1"/>
    <x v="12"/>
    <x v="1"/>
    <x v="1"/>
    <n v="7"/>
    <n v="46865.78"/>
    <n v="149346.28"/>
    <x v="0"/>
  </r>
  <r>
    <x v="5"/>
    <x v="0"/>
    <x v="3"/>
    <x v="1"/>
    <x v="13"/>
    <x v="0"/>
    <x v="1"/>
    <n v="6"/>
    <n v="33835.96"/>
    <n v="152407.89000000001"/>
    <x v="0"/>
  </r>
  <r>
    <x v="5"/>
    <x v="0"/>
    <x v="3"/>
    <x v="1"/>
    <x v="13"/>
    <x v="1"/>
    <x v="0"/>
    <n v="1"/>
    <n v="7471.49"/>
    <n v="22911.86"/>
    <x v="0"/>
  </r>
  <r>
    <x v="5"/>
    <x v="0"/>
    <x v="3"/>
    <x v="1"/>
    <x v="13"/>
    <x v="1"/>
    <x v="1"/>
    <n v="4"/>
    <n v="27851.279999999999"/>
    <n v="85801.56"/>
    <x v="0"/>
  </r>
  <r>
    <x v="5"/>
    <x v="0"/>
    <x v="3"/>
    <x v="1"/>
    <x v="14"/>
    <x v="0"/>
    <x v="1"/>
    <n v="1"/>
    <n v="7294.83"/>
    <n v="33644.43"/>
    <x v="0"/>
  </r>
  <r>
    <x v="5"/>
    <x v="0"/>
    <x v="3"/>
    <x v="1"/>
    <x v="14"/>
    <x v="1"/>
    <x v="0"/>
    <n v="10"/>
    <n v="53328.24"/>
    <n v="158667.99"/>
    <x v="0"/>
  </r>
  <r>
    <x v="5"/>
    <x v="0"/>
    <x v="3"/>
    <x v="1"/>
    <x v="14"/>
    <x v="1"/>
    <x v="1"/>
    <n v="6"/>
    <n v="33354.559999999998"/>
    <n v="100441.2"/>
    <x v="0"/>
  </r>
  <r>
    <x v="5"/>
    <x v="0"/>
    <x v="3"/>
    <x v="1"/>
    <x v="16"/>
    <x v="0"/>
    <x v="1"/>
    <n v="3"/>
    <n v="22072.03"/>
    <n v="100933.29"/>
    <x v="0"/>
  </r>
  <r>
    <x v="5"/>
    <x v="0"/>
    <x v="3"/>
    <x v="1"/>
    <x v="16"/>
    <x v="1"/>
    <x v="0"/>
    <n v="3"/>
    <n v="14512.69"/>
    <n v="42433.26"/>
    <x v="0"/>
  </r>
  <r>
    <x v="5"/>
    <x v="0"/>
    <x v="3"/>
    <x v="1"/>
    <x v="16"/>
    <x v="1"/>
    <x v="1"/>
    <n v="5"/>
    <n v="32706.38"/>
    <n v="97242.48"/>
    <x v="0"/>
  </r>
  <r>
    <x v="5"/>
    <x v="0"/>
    <x v="3"/>
    <x v="1"/>
    <x v="17"/>
    <x v="0"/>
    <x v="1"/>
    <n v="2"/>
    <n v="13188.15"/>
    <n v="58704.61"/>
    <x v="0"/>
  </r>
  <r>
    <x v="5"/>
    <x v="0"/>
    <x v="3"/>
    <x v="1"/>
    <x v="17"/>
    <x v="1"/>
    <x v="0"/>
    <n v="4"/>
    <n v="19280.72"/>
    <n v="57878.12"/>
    <x v="0"/>
  </r>
  <r>
    <x v="5"/>
    <x v="0"/>
    <x v="3"/>
    <x v="1"/>
    <x v="17"/>
    <x v="1"/>
    <x v="1"/>
    <n v="6"/>
    <n v="32292.28"/>
    <n v="98392.8"/>
    <x v="0"/>
  </r>
  <r>
    <x v="5"/>
    <x v="0"/>
    <x v="3"/>
    <x v="1"/>
    <x v="18"/>
    <x v="0"/>
    <x v="1"/>
    <n v="22"/>
    <n v="134477.46"/>
    <n v="606790.74"/>
    <x v="0"/>
  </r>
  <r>
    <x v="5"/>
    <x v="0"/>
    <x v="3"/>
    <x v="1"/>
    <x v="18"/>
    <x v="1"/>
    <x v="0"/>
    <n v="8"/>
    <n v="58134.83"/>
    <n v="178825.21"/>
    <x v="0"/>
  </r>
  <r>
    <x v="5"/>
    <x v="0"/>
    <x v="3"/>
    <x v="1"/>
    <x v="18"/>
    <x v="1"/>
    <x v="1"/>
    <n v="26"/>
    <n v="166294.95000000001"/>
    <n v="519245.61"/>
    <x v="0"/>
  </r>
  <r>
    <x v="5"/>
    <x v="0"/>
    <x v="3"/>
    <x v="1"/>
    <x v="19"/>
    <x v="0"/>
    <x v="1"/>
    <n v="3"/>
    <n v="20344.439999999999"/>
    <n v="92349.04"/>
    <x v="0"/>
  </r>
  <r>
    <x v="5"/>
    <x v="0"/>
    <x v="3"/>
    <x v="1"/>
    <x v="19"/>
    <x v="1"/>
    <x v="0"/>
    <n v="18"/>
    <n v="96004.1"/>
    <n v="290811.39"/>
    <x v="0"/>
  </r>
  <r>
    <x v="5"/>
    <x v="0"/>
    <x v="3"/>
    <x v="1"/>
    <x v="19"/>
    <x v="1"/>
    <x v="1"/>
    <n v="25"/>
    <n v="134398"/>
    <n v="405471.94"/>
    <x v="0"/>
  </r>
  <r>
    <x v="5"/>
    <x v="0"/>
    <x v="3"/>
    <x v="1"/>
    <x v="20"/>
    <x v="0"/>
    <x v="0"/>
    <n v="1"/>
    <n v="7139.11"/>
    <n v="33644.43"/>
    <x v="0"/>
  </r>
  <r>
    <x v="5"/>
    <x v="0"/>
    <x v="3"/>
    <x v="1"/>
    <x v="20"/>
    <x v="0"/>
    <x v="1"/>
    <n v="10"/>
    <n v="56447.28"/>
    <n v="254695.41"/>
    <x v="0"/>
  </r>
  <r>
    <x v="5"/>
    <x v="0"/>
    <x v="3"/>
    <x v="1"/>
    <x v="20"/>
    <x v="1"/>
    <x v="0"/>
    <n v="36"/>
    <n v="188792.57"/>
    <n v="571408.05000000005"/>
    <x v="0"/>
  </r>
  <r>
    <x v="5"/>
    <x v="0"/>
    <x v="3"/>
    <x v="1"/>
    <x v="20"/>
    <x v="1"/>
    <x v="1"/>
    <n v="20"/>
    <n v="119820.66"/>
    <n v="350418.74"/>
    <x v="0"/>
  </r>
  <r>
    <x v="5"/>
    <x v="0"/>
    <x v="3"/>
    <x v="2"/>
    <x v="21"/>
    <x v="0"/>
    <x v="0"/>
    <n v="3"/>
    <n v="18698.43"/>
    <n v="83764.789999999994"/>
    <x v="0"/>
  </r>
  <r>
    <x v="5"/>
    <x v="0"/>
    <x v="3"/>
    <x v="2"/>
    <x v="21"/>
    <x v="1"/>
    <x v="1"/>
    <n v="10"/>
    <n v="70001.02"/>
    <n v="189211.16"/>
    <x v="0"/>
  </r>
  <r>
    <x v="5"/>
    <x v="0"/>
    <x v="3"/>
    <x v="2"/>
    <x v="22"/>
    <x v="0"/>
    <x v="1"/>
    <n v="3"/>
    <n v="19180.03"/>
    <n v="90169.89"/>
    <x v="0"/>
  </r>
  <r>
    <x v="5"/>
    <x v="0"/>
    <x v="3"/>
    <x v="2"/>
    <x v="22"/>
    <x v="1"/>
    <x v="0"/>
    <n v="12"/>
    <n v="64468.37"/>
    <n v="176327.46"/>
    <x v="0"/>
  </r>
  <r>
    <x v="5"/>
    <x v="0"/>
    <x v="3"/>
    <x v="2"/>
    <x v="22"/>
    <x v="1"/>
    <x v="1"/>
    <n v="15"/>
    <n v="93738.85"/>
    <n v="256812.67"/>
    <x v="0"/>
  </r>
  <r>
    <x v="5"/>
    <x v="0"/>
    <x v="3"/>
    <x v="2"/>
    <x v="29"/>
    <x v="0"/>
    <x v="1"/>
    <n v="2"/>
    <n v="15055.13"/>
    <n v="67288.86"/>
    <x v="0"/>
  </r>
  <r>
    <x v="5"/>
    <x v="0"/>
    <x v="3"/>
    <x v="2"/>
    <x v="29"/>
    <x v="1"/>
    <x v="1"/>
    <n v="9"/>
    <n v="55554.7"/>
    <n v="162587.45000000001"/>
    <x v="0"/>
  </r>
  <r>
    <x v="5"/>
    <x v="0"/>
    <x v="3"/>
    <x v="2"/>
    <x v="24"/>
    <x v="1"/>
    <x v="1"/>
    <n v="5"/>
    <n v="29589.96"/>
    <n v="83008.789999999994"/>
    <x v="0"/>
  </r>
  <r>
    <x v="5"/>
    <x v="0"/>
    <x v="3"/>
    <x v="3"/>
    <x v="25"/>
    <x v="0"/>
    <x v="1"/>
    <n v="2"/>
    <n v="10449.01"/>
    <n v="47941.21"/>
    <x v="0"/>
  </r>
  <r>
    <x v="5"/>
    <x v="0"/>
    <x v="3"/>
    <x v="3"/>
    <x v="25"/>
    <x v="1"/>
    <x v="0"/>
    <n v="12"/>
    <n v="69939.75"/>
    <n v="217755.09"/>
    <x v="0"/>
  </r>
  <r>
    <x v="5"/>
    <x v="0"/>
    <x v="3"/>
    <x v="3"/>
    <x v="25"/>
    <x v="1"/>
    <x v="1"/>
    <n v="6"/>
    <n v="31021.56"/>
    <n v="97869.119999999995"/>
    <x v="0"/>
  </r>
  <r>
    <x v="5"/>
    <x v="0"/>
    <x v="3"/>
    <x v="3"/>
    <x v="26"/>
    <x v="0"/>
    <x v="0"/>
    <n v="3"/>
    <n v="18348.29"/>
    <n v="83764.789999999994"/>
    <x v="0"/>
  </r>
  <r>
    <x v="5"/>
    <x v="0"/>
    <x v="3"/>
    <x v="3"/>
    <x v="26"/>
    <x v="0"/>
    <x v="1"/>
    <n v="1"/>
    <n v="5543.2"/>
    <n v="25060.18"/>
    <x v="0"/>
  </r>
  <r>
    <x v="5"/>
    <x v="0"/>
    <x v="3"/>
    <x v="3"/>
    <x v="26"/>
    <x v="1"/>
    <x v="0"/>
    <n v="7"/>
    <n v="42380.88"/>
    <n v="131361.39000000001"/>
    <x v="0"/>
  </r>
  <r>
    <x v="5"/>
    <x v="0"/>
    <x v="3"/>
    <x v="3"/>
    <x v="26"/>
    <x v="1"/>
    <x v="1"/>
    <n v="9"/>
    <n v="48108.84"/>
    <n v="148857.45000000001"/>
    <x v="0"/>
  </r>
  <r>
    <x v="5"/>
    <x v="0"/>
    <x v="3"/>
    <x v="3"/>
    <x v="27"/>
    <x v="0"/>
    <x v="0"/>
    <n v="1"/>
    <n v="5572.88"/>
    <n v="25060.18"/>
    <x v="0"/>
  </r>
  <r>
    <x v="5"/>
    <x v="0"/>
    <x v="3"/>
    <x v="3"/>
    <x v="27"/>
    <x v="0"/>
    <x v="1"/>
    <n v="9"/>
    <n v="54365.95"/>
    <n v="245846.5"/>
    <x v="0"/>
  </r>
  <r>
    <x v="5"/>
    <x v="0"/>
    <x v="3"/>
    <x v="3"/>
    <x v="27"/>
    <x v="1"/>
    <x v="0"/>
    <n v="21"/>
    <n v="121353.43"/>
    <n v="369020.57"/>
    <x v="0"/>
  </r>
  <r>
    <x v="5"/>
    <x v="0"/>
    <x v="3"/>
    <x v="3"/>
    <x v="27"/>
    <x v="1"/>
    <x v="1"/>
    <n v="20"/>
    <n v="114837.29"/>
    <n v="351585.97"/>
    <x v="0"/>
  </r>
  <r>
    <x v="5"/>
    <x v="0"/>
    <x v="4"/>
    <x v="0"/>
    <x v="0"/>
    <x v="0"/>
    <x v="0"/>
    <n v="2"/>
    <n v="9417.16"/>
    <n v="43318.720000000001"/>
    <x v="0"/>
  </r>
  <r>
    <x v="5"/>
    <x v="0"/>
    <x v="4"/>
    <x v="0"/>
    <x v="0"/>
    <x v="1"/>
    <x v="0"/>
    <n v="5"/>
    <n v="27960"/>
    <n v="81450.039999999994"/>
    <x v="0"/>
  </r>
  <r>
    <x v="5"/>
    <x v="0"/>
    <x v="4"/>
    <x v="0"/>
    <x v="0"/>
    <x v="1"/>
    <x v="1"/>
    <n v="9"/>
    <n v="48037.37"/>
    <n v="146610.07999999999"/>
    <x v="0"/>
  </r>
  <r>
    <x v="5"/>
    <x v="0"/>
    <x v="4"/>
    <x v="0"/>
    <x v="1"/>
    <x v="0"/>
    <x v="0"/>
    <n v="4"/>
    <n v="20469.48"/>
    <n v="93135.26"/>
    <x v="0"/>
  </r>
  <r>
    <x v="5"/>
    <x v="0"/>
    <x v="4"/>
    <x v="0"/>
    <x v="1"/>
    <x v="0"/>
    <x v="1"/>
    <n v="1"/>
    <n v="7006.2"/>
    <n v="32535.42"/>
    <x v="0"/>
  </r>
  <r>
    <x v="5"/>
    <x v="0"/>
    <x v="4"/>
    <x v="0"/>
    <x v="1"/>
    <x v="1"/>
    <x v="0"/>
    <n v="7"/>
    <n v="35003.21"/>
    <n v="103755.94"/>
    <x v="0"/>
  </r>
  <r>
    <x v="5"/>
    <x v="0"/>
    <x v="4"/>
    <x v="0"/>
    <x v="1"/>
    <x v="1"/>
    <x v="1"/>
    <n v="19"/>
    <n v="106430.16"/>
    <n v="314202.3"/>
    <x v="0"/>
  </r>
  <r>
    <x v="5"/>
    <x v="0"/>
    <x v="4"/>
    <x v="0"/>
    <x v="2"/>
    <x v="0"/>
    <x v="1"/>
    <n v="3"/>
    <n v="17231.939999999999"/>
    <n v="79103.05"/>
    <x v="0"/>
  </r>
  <r>
    <x v="5"/>
    <x v="0"/>
    <x v="4"/>
    <x v="0"/>
    <x v="2"/>
    <x v="1"/>
    <x v="0"/>
    <n v="4"/>
    <n v="19276.12"/>
    <n v="53801.85"/>
    <x v="0"/>
  </r>
  <r>
    <x v="5"/>
    <x v="0"/>
    <x v="4"/>
    <x v="0"/>
    <x v="2"/>
    <x v="1"/>
    <x v="1"/>
    <n v="10"/>
    <n v="56231.09"/>
    <n v="162808.23000000001"/>
    <x v="0"/>
  </r>
  <r>
    <x v="5"/>
    <x v="0"/>
    <x v="4"/>
    <x v="0"/>
    <x v="3"/>
    <x v="0"/>
    <x v="0"/>
    <n v="2"/>
    <n v="11430.56"/>
    <n v="54194.78"/>
    <x v="0"/>
  </r>
  <r>
    <x v="5"/>
    <x v="0"/>
    <x v="4"/>
    <x v="0"/>
    <x v="3"/>
    <x v="0"/>
    <x v="1"/>
    <n v="5"/>
    <n v="25892.38"/>
    <n v="118043.53"/>
    <x v="0"/>
  </r>
  <r>
    <x v="5"/>
    <x v="0"/>
    <x v="4"/>
    <x v="0"/>
    <x v="3"/>
    <x v="1"/>
    <x v="0"/>
    <n v="2"/>
    <n v="9594.2999999999993"/>
    <n v="27983.89"/>
    <x v="0"/>
  </r>
  <r>
    <x v="5"/>
    <x v="0"/>
    <x v="4"/>
    <x v="0"/>
    <x v="3"/>
    <x v="1"/>
    <x v="1"/>
    <n v="34"/>
    <n v="182552.59"/>
    <n v="543264.97"/>
    <x v="0"/>
  </r>
  <r>
    <x v="5"/>
    <x v="0"/>
    <x v="4"/>
    <x v="0"/>
    <x v="28"/>
    <x v="1"/>
    <x v="1"/>
    <n v="5"/>
    <n v="24885.65"/>
    <n v="77200.47"/>
    <x v="0"/>
  </r>
  <r>
    <x v="5"/>
    <x v="0"/>
    <x v="4"/>
    <x v="0"/>
    <x v="4"/>
    <x v="1"/>
    <x v="1"/>
    <n v="5"/>
    <n v="28281.07"/>
    <n v="83924.41"/>
    <x v="0"/>
  </r>
  <r>
    <x v="5"/>
    <x v="0"/>
    <x v="4"/>
    <x v="0"/>
    <x v="5"/>
    <x v="0"/>
    <x v="1"/>
    <n v="1"/>
    <n v="5008.08"/>
    <n v="21659.360000000001"/>
    <x v="0"/>
  </r>
  <r>
    <x v="5"/>
    <x v="0"/>
    <x v="4"/>
    <x v="0"/>
    <x v="5"/>
    <x v="1"/>
    <x v="0"/>
    <n v="1"/>
    <n v="4860.6899999999996"/>
    <n v="14273.52"/>
    <x v="0"/>
  </r>
  <r>
    <x v="5"/>
    <x v="0"/>
    <x v="4"/>
    <x v="0"/>
    <x v="5"/>
    <x v="1"/>
    <x v="1"/>
    <n v="21"/>
    <n v="110336.92"/>
    <n v="334092.06"/>
    <x v="0"/>
  </r>
  <r>
    <x v="5"/>
    <x v="0"/>
    <x v="4"/>
    <x v="0"/>
    <x v="6"/>
    <x v="0"/>
    <x v="1"/>
    <n v="3"/>
    <n v="15138.35"/>
    <n v="68226.990000000005"/>
    <x v="0"/>
  </r>
  <r>
    <x v="5"/>
    <x v="0"/>
    <x v="4"/>
    <x v="0"/>
    <x v="6"/>
    <x v="1"/>
    <x v="1"/>
    <n v="2"/>
    <n v="9446.2800000000007"/>
    <n v="28460.400000000001"/>
    <x v="0"/>
  </r>
  <r>
    <x v="5"/>
    <x v="0"/>
    <x v="4"/>
    <x v="0"/>
    <x v="8"/>
    <x v="0"/>
    <x v="1"/>
    <n v="1"/>
    <n v="4631.8900000000003"/>
    <n v="21659.360000000001"/>
    <x v="0"/>
  </r>
  <r>
    <x v="5"/>
    <x v="0"/>
    <x v="4"/>
    <x v="0"/>
    <x v="8"/>
    <x v="1"/>
    <x v="1"/>
    <n v="5"/>
    <n v="24537.55"/>
    <n v="67344.570000000007"/>
    <x v="0"/>
  </r>
  <r>
    <x v="5"/>
    <x v="0"/>
    <x v="4"/>
    <x v="1"/>
    <x v="30"/>
    <x v="1"/>
    <x v="0"/>
    <n v="3"/>
    <n v="14507.03"/>
    <n v="46262.23"/>
    <x v="0"/>
  </r>
  <r>
    <x v="5"/>
    <x v="0"/>
    <x v="4"/>
    <x v="1"/>
    <x v="9"/>
    <x v="1"/>
    <x v="1"/>
    <n v="18"/>
    <n v="91040.77"/>
    <n v="287601.69"/>
    <x v="0"/>
  </r>
  <r>
    <x v="5"/>
    <x v="0"/>
    <x v="4"/>
    <x v="1"/>
    <x v="31"/>
    <x v="1"/>
    <x v="0"/>
    <n v="2"/>
    <n v="9475.76"/>
    <n v="31611.84"/>
    <x v="0"/>
  </r>
  <r>
    <x v="5"/>
    <x v="0"/>
    <x v="4"/>
    <x v="1"/>
    <x v="10"/>
    <x v="0"/>
    <x v="1"/>
    <n v="1"/>
    <n v="4852.09"/>
    <n v="21659.360000000001"/>
    <x v="0"/>
  </r>
  <r>
    <x v="5"/>
    <x v="0"/>
    <x v="4"/>
    <x v="1"/>
    <x v="10"/>
    <x v="1"/>
    <x v="0"/>
    <n v="1"/>
    <n v="4726.41"/>
    <n v="14306.69"/>
    <x v="0"/>
  </r>
  <r>
    <x v="5"/>
    <x v="0"/>
    <x v="4"/>
    <x v="1"/>
    <x v="10"/>
    <x v="1"/>
    <x v="1"/>
    <n v="30"/>
    <n v="149919.29999999999"/>
    <n v="460536.65"/>
    <x v="0"/>
  </r>
  <r>
    <x v="5"/>
    <x v="0"/>
    <x v="4"/>
    <x v="1"/>
    <x v="11"/>
    <x v="0"/>
    <x v="1"/>
    <n v="5"/>
    <n v="23982.560000000001"/>
    <n v="110462.74"/>
    <x v="0"/>
  </r>
  <r>
    <x v="5"/>
    <x v="0"/>
    <x v="4"/>
    <x v="1"/>
    <x v="11"/>
    <x v="1"/>
    <x v="0"/>
    <n v="8"/>
    <n v="41483.58"/>
    <n v="123187.63"/>
    <x v="0"/>
  </r>
  <r>
    <x v="5"/>
    <x v="0"/>
    <x v="4"/>
    <x v="1"/>
    <x v="11"/>
    <x v="1"/>
    <x v="1"/>
    <n v="25"/>
    <n v="135284.09"/>
    <n v="400926.07"/>
    <x v="0"/>
  </r>
  <r>
    <x v="5"/>
    <x v="0"/>
    <x v="4"/>
    <x v="1"/>
    <x v="13"/>
    <x v="0"/>
    <x v="1"/>
    <n v="4"/>
    <n v="20671.53"/>
    <n v="95301.2"/>
    <x v="0"/>
  </r>
  <r>
    <x v="5"/>
    <x v="0"/>
    <x v="4"/>
    <x v="1"/>
    <x v="13"/>
    <x v="1"/>
    <x v="0"/>
    <n v="8"/>
    <n v="38897.01"/>
    <n v="116093.43"/>
    <x v="0"/>
  </r>
  <r>
    <x v="5"/>
    <x v="0"/>
    <x v="4"/>
    <x v="1"/>
    <x v="13"/>
    <x v="1"/>
    <x v="1"/>
    <n v="13"/>
    <n v="62137.25"/>
    <n v="192914"/>
    <x v="0"/>
  </r>
  <r>
    <x v="5"/>
    <x v="0"/>
    <x v="4"/>
    <x v="1"/>
    <x v="14"/>
    <x v="0"/>
    <x v="1"/>
    <n v="3"/>
    <n v="14669.16"/>
    <n v="64978.080000000002"/>
    <x v="0"/>
  </r>
  <r>
    <x v="5"/>
    <x v="0"/>
    <x v="4"/>
    <x v="1"/>
    <x v="14"/>
    <x v="1"/>
    <x v="0"/>
    <n v="15"/>
    <n v="75362.149999999994"/>
    <n v="228419.62"/>
    <x v="0"/>
  </r>
  <r>
    <x v="5"/>
    <x v="0"/>
    <x v="4"/>
    <x v="1"/>
    <x v="14"/>
    <x v="1"/>
    <x v="1"/>
    <n v="8"/>
    <n v="44657.05"/>
    <n v="137543.24"/>
    <x v="0"/>
  </r>
  <r>
    <x v="5"/>
    <x v="0"/>
    <x v="4"/>
    <x v="1"/>
    <x v="15"/>
    <x v="1"/>
    <x v="0"/>
    <n v="5"/>
    <n v="23866.65"/>
    <n v="71810.59"/>
    <x v="0"/>
  </r>
  <r>
    <x v="5"/>
    <x v="0"/>
    <x v="4"/>
    <x v="1"/>
    <x v="15"/>
    <x v="1"/>
    <x v="1"/>
    <n v="2"/>
    <n v="11082"/>
    <n v="34423.230000000003"/>
    <x v="0"/>
  </r>
  <r>
    <x v="5"/>
    <x v="0"/>
    <x v="4"/>
    <x v="1"/>
    <x v="16"/>
    <x v="1"/>
    <x v="0"/>
    <n v="9"/>
    <n v="50188.1"/>
    <n v="153981.13"/>
    <x v="0"/>
  </r>
  <r>
    <x v="5"/>
    <x v="0"/>
    <x v="4"/>
    <x v="1"/>
    <x v="16"/>
    <x v="1"/>
    <x v="1"/>
    <n v="8"/>
    <n v="41650.1"/>
    <n v="125416.37"/>
    <x v="0"/>
  </r>
  <r>
    <x v="5"/>
    <x v="0"/>
    <x v="4"/>
    <x v="1"/>
    <x v="17"/>
    <x v="0"/>
    <x v="1"/>
    <n v="2"/>
    <n v="9583.7800000000007"/>
    <n v="44401.69"/>
    <x v="0"/>
  </r>
  <r>
    <x v="5"/>
    <x v="0"/>
    <x v="4"/>
    <x v="1"/>
    <x v="17"/>
    <x v="1"/>
    <x v="0"/>
    <n v="4"/>
    <n v="20981.45"/>
    <n v="64748.97"/>
    <x v="0"/>
  </r>
  <r>
    <x v="5"/>
    <x v="0"/>
    <x v="4"/>
    <x v="1"/>
    <x v="17"/>
    <x v="1"/>
    <x v="1"/>
    <n v="6"/>
    <n v="28626.240000000002"/>
    <n v="87009.99"/>
    <x v="0"/>
  </r>
  <r>
    <x v="5"/>
    <x v="0"/>
    <x v="4"/>
    <x v="1"/>
    <x v="18"/>
    <x v="0"/>
    <x v="1"/>
    <n v="5"/>
    <n v="26842.39"/>
    <n v="122421.77"/>
    <x v="0"/>
  </r>
  <r>
    <x v="5"/>
    <x v="0"/>
    <x v="4"/>
    <x v="1"/>
    <x v="18"/>
    <x v="1"/>
    <x v="0"/>
    <n v="1"/>
    <n v="5413.1"/>
    <n v="17311.25"/>
    <x v="0"/>
  </r>
  <r>
    <x v="5"/>
    <x v="0"/>
    <x v="4"/>
    <x v="1"/>
    <x v="18"/>
    <x v="1"/>
    <x v="1"/>
    <n v="23"/>
    <n v="117113.73"/>
    <n v="365073.73"/>
    <x v="0"/>
  </r>
  <r>
    <x v="5"/>
    <x v="0"/>
    <x v="4"/>
    <x v="1"/>
    <x v="19"/>
    <x v="0"/>
    <x v="1"/>
    <n v="4"/>
    <n v="19876.77"/>
    <n v="90969.32"/>
    <x v="0"/>
  </r>
  <r>
    <x v="5"/>
    <x v="0"/>
    <x v="4"/>
    <x v="1"/>
    <x v="19"/>
    <x v="1"/>
    <x v="0"/>
    <n v="17"/>
    <n v="83106.559999999998"/>
    <n v="255477.89"/>
    <x v="0"/>
  </r>
  <r>
    <x v="5"/>
    <x v="0"/>
    <x v="4"/>
    <x v="1"/>
    <x v="19"/>
    <x v="1"/>
    <x v="1"/>
    <n v="23"/>
    <n v="117385.58"/>
    <n v="362540.79999999999"/>
    <x v="0"/>
  </r>
  <r>
    <x v="5"/>
    <x v="0"/>
    <x v="4"/>
    <x v="1"/>
    <x v="20"/>
    <x v="0"/>
    <x v="0"/>
    <n v="1"/>
    <n v="4907.58"/>
    <n v="21659.360000000001"/>
    <x v="0"/>
  </r>
  <r>
    <x v="5"/>
    <x v="0"/>
    <x v="4"/>
    <x v="1"/>
    <x v="20"/>
    <x v="0"/>
    <x v="1"/>
    <n v="6"/>
    <n v="31093.86"/>
    <n v="146247.07"/>
    <x v="0"/>
  </r>
  <r>
    <x v="5"/>
    <x v="0"/>
    <x v="4"/>
    <x v="1"/>
    <x v="20"/>
    <x v="1"/>
    <x v="0"/>
    <n v="9"/>
    <n v="50575.199999999997"/>
    <n v="155899.94"/>
    <x v="0"/>
  </r>
  <r>
    <x v="5"/>
    <x v="0"/>
    <x v="4"/>
    <x v="1"/>
    <x v="20"/>
    <x v="1"/>
    <x v="1"/>
    <n v="6"/>
    <n v="30039.5"/>
    <n v="90468.99"/>
    <x v="0"/>
  </r>
  <r>
    <x v="5"/>
    <x v="0"/>
    <x v="4"/>
    <x v="2"/>
    <x v="21"/>
    <x v="1"/>
    <x v="1"/>
    <n v="3"/>
    <n v="15785.76"/>
    <n v="45507.41"/>
    <x v="0"/>
  </r>
  <r>
    <x v="5"/>
    <x v="0"/>
    <x v="4"/>
    <x v="2"/>
    <x v="22"/>
    <x v="1"/>
    <x v="0"/>
    <n v="15"/>
    <n v="74803.95"/>
    <n v="211105.29"/>
    <x v="0"/>
  </r>
  <r>
    <x v="5"/>
    <x v="0"/>
    <x v="4"/>
    <x v="2"/>
    <x v="22"/>
    <x v="1"/>
    <x v="1"/>
    <n v="20"/>
    <n v="103932.54"/>
    <n v="290241.71999999997"/>
    <x v="0"/>
  </r>
  <r>
    <x v="5"/>
    <x v="0"/>
    <x v="4"/>
    <x v="2"/>
    <x v="29"/>
    <x v="0"/>
    <x v="1"/>
    <n v="1"/>
    <n v="5454.53"/>
    <n v="24908.27"/>
    <x v="0"/>
  </r>
  <r>
    <x v="5"/>
    <x v="0"/>
    <x v="4"/>
    <x v="2"/>
    <x v="29"/>
    <x v="1"/>
    <x v="1"/>
    <n v="1"/>
    <n v="7020.42"/>
    <n v="21050.42"/>
    <x v="0"/>
  </r>
  <r>
    <x v="5"/>
    <x v="0"/>
    <x v="4"/>
    <x v="2"/>
    <x v="23"/>
    <x v="1"/>
    <x v="1"/>
    <n v="6"/>
    <n v="30237.75"/>
    <n v="88571.63"/>
    <x v="0"/>
  </r>
  <r>
    <x v="5"/>
    <x v="0"/>
    <x v="4"/>
    <x v="2"/>
    <x v="24"/>
    <x v="0"/>
    <x v="1"/>
    <n v="1"/>
    <n v="4961.6099999999997"/>
    <n v="21659.360000000001"/>
    <x v="0"/>
  </r>
  <r>
    <x v="5"/>
    <x v="0"/>
    <x v="4"/>
    <x v="2"/>
    <x v="24"/>
    <x v="1"/>
    <x v="0"/>
    <n v="5"/>
    <n v="34568.35"/>
    <n v="100859.8"/>
    <x v="0"/>
  </r>
  <r>
    <x v="5"/>
    <x v="0"/>
    <x v="4"/>
    <x v="2"/>
    <x v="24"/>
    <x v="1"/>
    <x v="1"/>
    <n v="2"/>
    <n v="13906.4"/>
    <n v="40343.919999999998"/>
    <x v="0"/>
  </r>
  <r>
    <x v="5"/>
    <x v="0"/>
    <x v="4"/>
    <x v="3"/>
    <x v="25"/>
    <x v="0"/>
    <x v="1"/>
    <n v="2"/>
    <n v="9932.9599999999991"/>
    <n v="46567.63"/>
    <x v="0"/>
  </r>
  <r>
    <x v="5"/>
    <x v="0"/>
    <x v="4"/>
    <x v="3"/>
    <x v="25"/>
    <x v="1"/>
    <x v="0"/>
    <n v="11"/>
    <n v="58303.75"/>
    <n v="187779.08"/>
    <x v="0"/>
  </r>
  <r>
    <x v="5"/>
    <x v="0"/>
    <x v="4"/>
    <x v="3"/>
    <x v="25"/>
    <x v="1"/>
    <x v="1"/>
    <n v="2"/>
    <n v="9627.65"/>
    <n v="30415.16"/>
    <x v="0"/>
  </r>
  <r>
    <x v="5"/>
    <x v="0"/>
    <x v="4"/>
    <x v="3"/>
    <x v="26"/>
    <x v="1"/>
    <x v="0"/>
    <n v="8"/>
    <n v="39329.21"/>
    <n v="123064.87"/>
    <x v="0"/>
  </r>
  <r>
    <x v="5"/>
    <x v="0"/>
    <x v="4"/>
    <x v="3"/>
    <x v="26"/>
    <x v="1"/>
    <x v="1"/>
    <n v="36"/>
    <n v="195605.58"/>
    <n v="619534.37"/>
    <x v="0"/>
  </r>
  <r>
    <x v="5"/>
    <x v="0"/>
    <x v="4"/>
    <x v="3"/>
    <x v="27"/>
    <x v="0"/>
    <x v="0"/>
    <n v="2"/>
    <n v="10316.61"/>
    <n v="46567.63"/>
    <x v="0"/>
  </r>
  <r>
    <x v="5"/>
    <x v="0"/>
    <x v="4"/>
    <x v="3"/>
    <x v="27"/>
    <x v="0"/>
    <x v="1"/>
    <n v="7"/>
    <n v="33747.370000000003"/>
    <n v="152698.49"/>
    <x v="0"/>
  </r>
  <r>
    <x v="5"/>
    <x v="0"/>
    <x v="4"/>
    <x v="3"/>
    <x v="27"/>
    <x v="1"/>
    <x v="0"/>
    <n v="11"/>
    <n v="59803.25"/>
    <n v="185586.05"/>
    <x v="0"/>
  </r>
  <r>
    <x v="5"/>
    <x v="0"/>
    <x v="4"/>
    <x v="3"/>
    <x v="27"/>
    <x v="1"/>
    <x v="1"/>
    <n v="23"/>
    <n v="114876.92"/>
    <n v="351939.11"/>
    <x v="0"/>
  </r>
  <r>
    <x v="5"/>
    <x v="0"/>
    <x v="5"/>
    <x v="0"/>
    <x v="0"/>
    <x v="0"/>
    <x v="1"/>
    <n v="3"/>
    <n v="13577.09"/>
    <n v="55205.99"/>
    <x v="0"/>
  </r>
  <r>
    <x v="5"/>
    <x v="0"/>
    <x v="5"/>
    <x v="0"/>
    <x v="0"/>
    <x v="1"/>
    <x v="0"/>
    <n v="2"/>
    <n v="13042.76"/>
    <n v="34488.089999999997"/>
    <x v="0"/>
  </r>
  <r>
    <x v="5"/>
    <x v="0"/>
    <x v="5"/>
    <x v="0"/>
    <x v="0"/>
    <x v="1"/>
    <x v="1"/>
    <n v="1"/>
    <n v="4428.83"/>
    <n v="11316.4"/>
    <x v="0"/>
  </r>
  <r>
    <x v="5"/>
    <x v="0"/>
    <x v="5"/>
    <x v="0"/>
    <x v="1"/>
    <x v="0"/>
    <x v="0"/>
    <n v="4"/>
    <n v="25792.49"/>
    <n v="105468.16"/>
    <x v="0"/>
  </r>
  <r>
    <x v="5"/>
    <x v="0"/>
    <x v="5"/>
    <x v="0"/>
    <x v="1"/>
    <x v="1"/>
    <x v="0"/>
    <n v="22"/>
    <n v="109878.75"/>
    <n v="285039.23"/>
    <x v="0"/>
  </r>
  <r>
    <x v="5"/>
    <x v="0"/>
    <x v="5"/>
    <x v="0"/>
    <x v="1"/>
    <x v="1"/>
    <x v="1"/>
    <n v="3"/>
    <n v="13437.97"/>
    <n v="34437.82"/>
    <x v="0"/>
  </r>
  <r>
    <x v="5"/>
    <x v="0"/>
    <x v="5"/>
    <x v="0"/>
    <x v="2"/>
    <x v="0"/>
    <x v="1"/>
    <n v="1"/>
    <n v="4258.6099999999997"/>
    <n v="17303.37"/>
    <x v="0"/>
  </r>
  <r>
    <x v="5"/>
    <x v="0"/>
    <x v="5"/>
    <x v="0"/>
    <x v="2"/>
    <x v="1"/>
    <x v="0"/>
    <n v="8"/>
    <n v="51717.8"/>
    <n v="130991.46"/>
    <x v="0"/>
  </r>
  <r>
    <x v="5"/>
    <x v="0"/>
    <x v="5"/>
    <x v="0"/>
    <x v="2"/>
    <x v="1"/>
    <x v="1"/>
    <n v="3"/>
    <n v="19847.04"/>
    <n v="49121.8"/>
    <x v="0"/>
  </r>
  <r>
    <x v="5"/>
    <x v="0"/>
    <x v="5"/>
    <x v="0"/>
    <x v="3"/>
    <x v="0"/>
    <x v="0"/>
    <n v="1"/>
    <n v="6458.99"/>
    <n v="26367.040000000001"/>
    <x v="0"/>
  </r>
  <r>
    <x v="5"/>
    <x v="0"/>
    <x v="5"/>
    <x v="0"/>
    <x v="3"/>
    <x v="0"/>
    <x v="1"/>
    <n v="5"/>
    <n v="30231.58"/>
    <n v="122771.53"/>
    <x v="0"/>
  </r>
  <r>
    <x v="5"/>
    <x v="0"/>
    <x v="5"/>
    <x v="0"/>
    <x v="3"/>
    <x v="1"/>
    <x v="0"/>
    <n v="4"/>
    <n v="21473.02"/>
    <n v="56422.17"/>
    <x v="0"/>
  </r>
  <r>
    <x v="5"/>
    <x v="0"/>
    <x v="5"/>
    <x v="0"/>
    <x v="3"/>
    <x v="1"/>
    <x v="1"/>
    <n v="11"/>
    <n v="55677.67"/>
    <n v="145845.98000000001"/>
    <x v="0"/>
  </r>
  <r>
    <x v="5"/>
    <x v="0"/>
    <x v="5"/>
    <x v="0"/>
    <x v="28"/>
    <x v="1"/>
    <x v="1"/>
    <n v="1"/>
    <n v="6790.75"/>
    <n v="17244.04"/>
    <x v="0"/>
  </r>
  <r>
    <x v="5"/>
    <x v="0"/>
    <x v="5"/>
    <x v="0"/>
    <x v="4"/>
    <x v="0"/>
    <x v="1"/>
    <n v="1"/>
    <n v="6325.27"/>
    <n v="26367.040000000001"/>
    <x v="0"/>
  </r>
  <r>
    <x v="5"/>
    <x v="0"/>
    <x v="5"/>
    <x v="0"/>
    <x v="4"/>
    <x v="1"/>
    <x v="0"/>
    <n v="2"/>
    <n v="13433.38"/>
    <n v="33749.81"/>
    <x v="0"/>
  </r>
  <r>
    <x v="5"/>
    <x v="0"/>
    <x v="5"/>
    <x v="0"/>
    <x v="4"/>
    <x v="1"/>
    <x v="1"/>
    <n v="10"/>
    <n v="58495.08"/>
    <n v="149764.79999999999"/>
    <x v="0"/>
  </r>
  <r>
    <x v="5"/>
    <x v="0"/>
    <x v="5"/>
    <x v="0"/>
    <x v="5"/>
    <x v="0"/>
    <x v="1"/>
    <n v="4"/>
    <n v="21757.38"/>
    <n v="88988.76"/>
    <x v="0"/>
  </r>
  <r>
    <x v="5"/>
    <x v="0"/>
    <x v="5"/>
    <x v="0"/>
    <x v="5"/>
    <x v="1"/>
    <x v="0"/>
    <n v="4"/>
    <n v="22845.16"/>
    <n v="59729.59"/>
    <x v="0"/>
  </r>
  <r>
    <x v="5"/>
    <x v="0"/>
    <x v="5"/>
    <x v="0"/>
    <x v="5"/>
    <x v="1"/>
    <x v="1"/>
    <n v="25"/>
    <n v="138499.5"/>
    <n v="373038.42"/>
    <x v="0"/>
  </r>
  <r>
    <x v="5"/>
    <x v="0"/>
    <x v="5"/>
    <x v="0"/>
    <x v="6"/>
    <x v="1"/>
    <x v="1"/>
    <n v="3"/>
    <n v="13097.4"/>
    <n v="34104.94"/>
    <x v="0"/>
  </r>
  <r>
    <x v="5"/>
    <x v="0"/>
    <x v="5"/>
    <x v="1"/>
    <x v="31"/>
    <x v="1"/>
    <x v="0"/>
    <n v="1"/>
    <n v="6589.63"/>
    <n v="18325.09"/>
    <x v="0"/>
  </r>
  <r>
    <x v="5"/>
    <x v="0"/>
    <x v="5"/>
    <x v="1"/>
    <x v="10"/>
    <x v="0"/>
    <x v="0"/>
    <n v="2"/>
    <n v="10527.52"/>
    <n v="43670.41"/>
    <x v="0"/>
  </r>
  <r>
    <x v="5"/>
    <x v="0"/>
    <x v="5"/>
    <x v="1"/>
    <x v="10"/>
    <x v="0"/>
    <x v="1"/>
    <n v="3"/>
    <n v="16955.509999999998"/>
    <n v="70037.45"/>
    <x v="0"/>
  </r>
  <r>
    <x v="5"/>
    <x v="0"/>
    <x v="5"/>
    <x v="1"/>
    <x v="10"/>
    <x v="1"/>
    <x v="0"/>
    <n v="2"/>
    <n v="13288.54"/>
    <n v="35964.639999999999"/>
    <x v="0"/>
  </r>
  <r>
    <x v="5"/>
    <x v="0"/>
    <x v="5"/>
    <x v="1"/>
    <x v="10"/>
    <x v="1"/>
    <x v="1"/>
    <n v="16"/>
    <n v="84822.02"/>
    <n v="235456.02"/>
    <x v="0"/>
  </r>
  <r>
    <x v="5"/>
    <x v="0"/>
    <x v="5"/>
    <x v="1"/>
    <x v="11"/>
    <x v="0"/>
    <x v="1"/>
    <n v="5"/>
    <n v="24735.73"/>
    <n v="98876.4"/>
    <x v="0"/>
  </r>
  <r>
    <x v="5"/>
    <x v="0"/>
    <x v="5"/>
    <x v="1"/>
    <x v="11"/>
    <x v="1"/>
    <x v="0"/>
    <n v="3"/>
    <n v="19357.98"/>
    <n v="51415.73"/>
    <x v="0"/>
  </r>
  <r>
    <x v="5"/>
    <x v="0"/>
    <x v="5"/>
    <x v="1"/>
    <x v="11"/>
    <x v="1"/>
    <x v="1"/>
    <n v="25"/>
    <n v="126155.75"/>
    <n v="329917.59000000003"/>
    <x v="0"/>
  </r>
  <r>
    <x v="5"/>
    <x v="0"/>
    <x v="5"/>
    <x v="1"/>
    <x v="13"/>
    <x v="0"/>
    <x v="1"/>
    <n v="5"/>
    <n v="26935.1"/>
    <n v="109588.01"/>
    <x v="0"/>
  </r>
  <r>
    <x v="5"/>
    <x v="0"/>
    <x v="5"/>
    <x v="1"/>
    <x v="13"/>
    <x v="1"/>
    <x v="0"/>
    <n v="7"/>
    <n v="37928.19"/>
    <n v="103246.73"/>
    <x v="0"/>
  </r>
  <r>
    <x v="5"/>
    <x v="0"/>
    <x v="5"/>
    <x v="1"/>
    <x v="13"/>
    <x v="1"/>
    <x v="1"/>
    <n v="12"/>
    <n v="67294.16"/>
    <n v="190220.88"/>
    <x v="0"/>
  </r>
  <r>
    <x v="5"/>
    <x v="0"/>
    <x v="5"/>
    <x v="1"/>
    <x v="14"/>
    <x v="0"/>
    <x v="1"/>
    <n v="2"/>
    <n v="10573.55"/>
    <n v="43670.41"/>
    <x v="0"/>
  </r>
  <r>
    <x v="5"/>
    <x v="0"/>
    <x v="5"/>
    <x v="1"/>
    <x v="14"/>
    <x v="1"/>
    <x v="0"/>
    <n v="8"/>
    <n v="42793.18"/>
    <n v="116136.93"/>
    <x v="0"/>
  </r>
  <r>
    <x v="5"/>
    <x v="0"/>
    <x v="5"/>
    <x v="1"/>
    <x v="15"/>
    <x v="1"/>
    <x v="0"/>
    <n v="1"/>
    <n v="4632.2"/>
    <n v="13095.36"/>
    <x v="0"/>
  </r>
  <r>
    <x v="5"/>
    <x v="0"/>
    <x v="5"/>
    <x v="1"/>
    <x v="15"/>
    <x v="1"/>
    <x v="1"/>
    <n v="9"/>
    <n v="57346.92"/>
    <n v="163976.62"/>
    <x v="0"/>
  </r>
  <r>
    <x v="5"/>
    <x v="0"/>
    <x v="5"/>
    <x v="1"/>
    <x v="16"/>
    <x v="1"/>
    <x v="0"/>
    <n v="10"/>
    <n v="55337.75"/>
    <n v="149097.37"/>
    <x v="0"/>
  </r>
  <r>
    <x v="5"/>
    <x v="0"/>
    <x v="5"/>
    <x v="1"/>
    <x v="16"/>
    <x v="1"/>
    <x v="1"/>
    <n v="8"/>
    <n v="43217.16"/>
    <n v="114398.35"/>
    <x v="0"/>
  </r>
  <r>
    <x v="5"/>
    <x v="0"/>
    <x v="5"/>
    <x v="1"/>
    <x v="17"/>
    <x v="0"/>
    <x v="1"/>
    <n v="2"/>
    <n v="12919.83"/>
    <n v="52734.080000000002"/>
    <x v="0"/>
  </r>
  <r>
    <x v="5"/>
    <x v="0"/>
    <x v="5"/>
    <x v="1"/>
    <x v="18"/>
    <x v="0"/>
    <x v="1"/>
    <n v="7"/>
    <n v="40981.01"/>
    <n v="169737.82"/>
    <x v="0"/>
  </r>
  <r>
    <x v="5"/>
    <x v="0"/>
    <x v="5"/>
    <x v="1"/>
    <x v="18"/>
    <x v="1"/>
    <x v="0"/>
    <n v="2"/>
    <n v="13624.56"/>
    <n v="36650.19"/>
    <x v="0"/>
  </r>
  <r>
    <x v="5"/>
    <x v="0"/>
    <x v="5"/>
    <x v="1"/>
    <x v="18"/>
    <x v="1"/>
    <x v="1"/>
    <n v="21"/>
    <n v="113756.58"/>
    <n v="318117.68"/>
    <x v="0"/>
  </r>
  <r>
    <x v="5"/>
    <x v="0"/>
    <x v="5"/>
    <x v="1"/>
    <x v="19"/>
    <x v="0"/>
    <x v="1"/>
    <n v="6"/>
    <n v="32969.29"/>
    <n v="132659.17000000001"/>
    <x v="0"/>
  </r>
  <r>
    <x v="5"/>
    <x v="0"/>
    <x v="5"/>
    <x v="1"/>
    <x v="19"/>
    <x v="1"/>
    <x v="0"/>
    <n v="9"/>
    <n v="54957.86"/>
    <n v="153833.54"/>
    <x v="0"/>
  </r>
  <r>
    <x v="5"/>
    <x v="0"/>
    <x v="5"/>
    <x v="1"/>
    <x v="19"/>
    <x v="1"/>
    <x v="1"/>
    <n v="6"/>
    <n v="27048.99"/>
    <n v="72196.240000000005"/>
    <x v="0"/>
  </r>
  <r>
    <x v="5"/>
    <x v="0"/>
    <x v="5"/>
    <x v="1"/>
    <x v="20"/>
    <x v="0"/>
    <x v="1"/>
    <n v="7"/>
    <n v="37283.25"/>
    <n v="151610.48000000001"/>
    <x v="0"/>
  </r>
  <r>
    <x v="5"/>
    <x v="0"/>
    <x v="5"/>
    <x v="1"/>
    <x v="20"/>
    <x v="1"/>
    <x v="0"/>
    <n v="5"/>
    <n v="31469.9"/>
    <n v="87406.74"/>
    <x v="0"/>
  </r>
  <r>
    <x v="5"/>
    <x v="0"/>
    <x v="5"/>
    <x v="1"/>
    <x v="20"/>
    <x v="1"/>
    <x v="1"/>
    <n v="7"/>
    <n v="37441.089999999997"/>
    <n v="100517.75999999999"/>
    <x v="0"/>
  </r>
  <r>
    <x v="5"/>
    <x v="0"/>
    <x v="5"/>
    <x v="2"/>
    <x v="21"/>
    <x v="1"/>
    <x v="1"/>
    <n v="3"/>
    <n v="12581.49"/>
    <n v="31613.26"/>
    <x v="0"/>
  </r>
  <r>
    <x v="5"/>
    <x v="0"/>
    <x v="5"/>
    <x v="2"/>
    <x v="22"/>
    <x v="0"/>
    <x v="1"/>
    <n v="1"/>
    <n v="4587.7"/>
    <n v="18951.310000000001"/>
    <x v="0"/>
  </r>
  <r>
    <x v="5"/>
    <x v="0"/>
    <x v="5"/>
    <x v="2"/>
    <x v="22"/>
    <x v="1"/>
    <x v="0"/>
    <n v="5"/>
    <n v="31444.3"/>
    <n v="80287.64"/>
    <x v="0"/>
  </r>
  <r>
    <x v="5"/>
    <x v="0"/>
    <x v="5"/>
    <x v="2"/>
    <x v="22"/>
    <x v="1"/>
    <x v="1"/>
    <n v="15"/>
    <n v="87968.65"/>
    <n v="213205.42"/>
    <x v="0"/>
  </r>
  <r>
    <x v="5"/>
    <x v="0"/>
    <x v="5"/>
    <x v="2"/>
    <x v="29"/>
    <x v="0"/>
    <x v="1"/>
    <n v="3"/>
    <n v="15631.08"/>
    <n v="62621.72"/>
    <x v="0"/>
  </r>
  <r>
    <x v="5"/>
    <x v="0"/>
    <x v="5"/>
    <x v="2"/>
    <x v="24"/>
    <x v="1"/>
    <x v="1"/>
    <n v="7"/>
    <n v="40182.230000000003"/>
    <n v="103194"/>
    <x v="0"/>
  </r>
  <r>
    <x v="5"/>
    <x v="0"/>
    <x v="5"/>
    <x v="3"/>
    <x v="25"/>
    <x v="0"/>
    <x v="1"/>
    <n v="2"/>
    <n v="13063.73"/>
    <n v="52734.080000000002"/>
    <x v="0"/>
  </r>
  <r>
    <x v="5"/>
    <x v="0"/>
    <x v="5"/>
    <x v="3"/>
    <x v="25"/>
    <x v="1"/>
    <x v="0"/>
    <n v="2"/>
    <n v="10732.75"/>
    <n v="29914.23"/>
    <x v="0"/>
  </r>
  <r>
    <x v="5"/>
    <x v="0"/>
    <x v="5"/>
    <x v="3"/>
    <x v="25"/>
    <x v="1"/>
    <x v="1"/>
    <n v="8"/>
    <n v="44547.95"/>
    <n v="129252.05"/>
    <x v="0"/>
  </r>
  <r>
    <x v="5"/>
    <x v="0"/>
    <x v="5"/>
    <x v="3"/>
    <x v="26"/>
    <x v="0"/>
    <x v="0"/>
    <n v="2"/>
    <n v="8712.51"/>
    <n v="36254.68"/>
    <x v="0"/>
  </r>
  <r>
    <x v="5"/>
    <x v="0"/>
    <x v="5"/>
    <x v="3"/>
    <x v="26"/>
    <x v="1"/>
    <x v="0"/>
    <n v="2"/>
    <n v="9658.2000000000007"/>
    <n v="26152.81"/>
    <x v="0"/>
  </r>
  <r>
    <x v="5"/>
    <x v="0"/>
    <x v="5"/>
    <x v="3"/>
    <x v="26"/>
    <x v="1"/>
    <x v="1"/>
    <n v="7"/>
    <n v="29297.78"/>
    <n v="83575.28"/>
    <x v="0"/>
  </r>
  <r>
    <x v="5"/>
    <x v="0"/>
    <x v="5"/>
    <x v="3"/>
    <x v="27"/>
    <x v="0"/>
    <x v="1"/>
    <n v="10"/>
    <n v="58336.29"/>
    <n v="236479.39"/>
    <x v="0"/>
  </r>
  <r>
    <x v="5"/>
    <x v="0"/>
    <x v="5"/>
    <x v="3"/>
    <x v="27"/>
    <x v="1"/>
    <x v="0"/>
    <n v="1"/>
    <n v="4815"/>
    <n v="12830.04"/>
    <x v="0"/>
  </r>
  <r>
    <x v="5"/>
    <x v="0"/>
    <x v="5"/>
    <x v="3"/>
    <x v="27"/>
    <x v="1"/>
    <x v="1"/>
    <n v="26"/>
    <n v="149359.4"/>
    <n v="416697.27"/>
    <x v="0"/>
  </r>
  <r>
    <x v="5"/>
    <x v="0"/>
    <x v="6"/>
    <x v="0"/>
    <x v="0"/>
    <x v="1"/>
    <x v="0"/>
    <n v="10"/>
    <n v="29604.65"/>
    <n v="67464.539999999994"/>
    <x v="0"/>
  </r>
  <r>
    <x v="5"/>
    <x v="0"/>
    <x v="6"/>
    <x v="0"/>
    <x v="0"/>
    <x v="1"/>
    <x v="1"/>
    <n v="18"/>
    <n v="48267.75"/>
    <n v="107077.52"/>
    <x v="0"/>
  </r>
  <r>
    <x v="5"/>
    <x v="0"/>
    <x v="6"/>
    <x v="0"/>
    <x v="1"/>
    <x v="0"/>
    <x v="0"/>
    <n v="2"/>
    <n v="5862.21"/>
    <n v="20631.36"/>
    <x v="0"/>
  </r>
  <r>
    <x v="5"/>
    <x v="0"/>
    <x v="6"/>
    <x v="0"/>
    <x v="1"/>
    <x v="0"/>
    <x v="1"/>
    <n v="4"/>
    <n v="11900.94"/>
    <n v="41262.720000000001"/>
    <x v="0"/>
  </r>
  <r>
    <x v="5"/>
    <x v="0"/>
    <x v="6"/>
    <x v="0"/>
    <x v="1"/>
    <x v="1"/>
    <x v="0"/>
    <n v="19"/>
    <n v="54178.74"/>
    <n v="120145.51"/>
    <x v="0"/>
  </r>
  <r>
    <x v="5"/>
    <x v="0"/>
    <x v="6"/>
    <x v="0"/>
    <x v="1"/>
    <x v="1"/>
    <x v="1"/>
    <n v="14"/>
    <n v="36547.410000000003"/>
    <n v="81260.52"/>
    <x v="0"/>
  </r>
  <r>
    <x v="5"/>
    <x v="0"/>
    <x v="6"/>
    <x v="0"/>
    <x v="2"/>
    <x v="0"/>
    <x v="1"/>
    <n v="1"/>
    <n v="2913.05"/>
    <n v="10315.68"/>
    <x v="0"/>
  </r>
  <r>
    <x v="5"/>
    <x v="0"/>
    <x v="6"/>
    <x v="0"/>
    <x v="2"/>
    <x v="1"/>
    <x v="0"/>
    <n v="3"/>
    <n v="5392.71"/>
    <n v="12011.32"/>
    <x v="0"/>
  </r>
  <r>
    <x v="5"/>
    <x v="0"/>
    <x v="6"/>
    <x v="0"/>
    <x v="2"/>
    <x v="1"/>
    <x v="1"/>
    <n v="17"/>
    <n v="46353.84"/>
    <n v="99894.16"/>
    <x v="0"/>
  </r>
  <r>
    <x v="5"/>
    <x v="0"/>
    <x v="6"/>
    <x v="0"/>
    <x v="3"/>
    <x v="0"/>
    <x v="1"/>
    <n v="6"/>
    <n v="16031.57"/>
    <n v="55124.42"/>
    <x v="0"/>
  </r>
  <r>
    <x v="5"/>
    <x v="0"/>
    <x v="6"/>
    <x v="0"/>
    <x v="3"/>
    <x v="1"/>
    <x v="0"/>
    <n v="14"/>
    <n v="38971.360000000001"/>
    <n v="87301.17"/>
    <x v="0"/>
  </r>
  <r>
    <x v="5"/>
    <x v="0"/>
    <x v="6"/>
    <x v="0"/>
    <x v="3"/>
    <x v="1"/>
    <x v="1"/>
    <n v="14"/>
    <n v="39004.910000000003"/>
    <n v="86956.38"/>
    <x v="0"/>
  </r>
  <r>
    <x v="5"/>
    <x v="0"/>
    <x v="6"/>
    <x v="0"/>
    <x v="4"/>
    <x v="0"/>
    <x v="1"/>
    <n v="5"/>
    <n v="13925.17"/>
    <n v="47710.02"/>
    <x v="0"/>
  </r>
  <r>
    <x v="5"/>
    <x v="0"/>
    <x v="6"/>
    <x v="0"/>
    <x v="4"/>
    <x v="1"/>
    <x v="0"/>
    <n v="2"/>
    <n v="4126.5"/>
    <n v="9289.93"/>
    <x v="0"/>
  </r>
  <r>
    <x v="5"/>
    <x v="0"/>
    <x v="6"/>
    <x v="0"/>
    <x v="4"/>
    <x v="1"/>
    <x v="1"/>
    <n v="11"/>
    <n v="33346.370000000003"/>
    <n v="72622.399999999994"/>
    <x v="0"/>
  </r>
  <r>
    <x v="5"/>
    <x v="0"/>
    <x v="6"/>
    <x v="0"/>
    <x v="5"/>
    <x v="0"/>
    <x v="1"/>
    <n v="2"/>
    <n v="6036.5"/>
    <n v="20631.36"/>
    <x v="0"/>
  </r>
  <r>
    <x v="5"/>
    <x v="0"/>
    <x v="6"/>
    <x v="0"/>
    <x v="5"/>
    <x v="1"/>
    <x v="1"/>
    <n v="27"/>
    <n v="73973.86"/>
    <n v="170163.3"/>
    <x v="0"/>
  </r>
  <r>
    <x v="5"/>
    <x v="0"/>
    <x v="6"/>
    <x v="0"/>
    <x v="6"/>
    <x v="0"/>
    <x v="1"/>
    <n v="2"/>
    <n v="6112.07"/>
    <n v="20631.36"/>
    <x v="0"/>
  </r>
  <r>
    <x v="5"/>
    <x v="0"/>
    <x v="6"/>
    <x v="0"/>
    <x v="6"/>
    <x v="1"/>
    <x v="1"/>
    <n v="2"/>
    <n v="5935.12"/>
    <n v="13554.8"/>
    <x v="0"/>
  </r>
  <r>
    <x v="5"/>
    <x v="0"/>
    <x v="6"/>
    <x v="0"/>
    <x v="8"/>
    <x v="0"/>
    <x v="1"/>
    <n v="3"/>
    <n v="8997.5"/>
    <n v="30947.040000000001"/>
    <x v="0"/>
  </r>
  <r>
    <x v="5"/>
    <x v="0"/>
    <x v="6"/>
    <x v="0"/>
    <x v="8"/>
    <x v="1"/>
    <x v="1"/>
    <n v="3"/>
    <n v="8799.36"/>
    <n v="18874.86"/>
    <x v="0"/>
  </r>
  <r>
    <x v="5"/>
    <x v="0"/>
    <x v="6"/>
    <x v="1"/>
    <x v="9"/>
    <x v="1"/>
    <x v="1"/>
    <n v="2"/>
    <n v="5872.48"/>
    <n v="14194.38"/>
    <x v="0"/>
  </r>
  <r>
    <x v="5"/>
    <x v="0"/>
    <x v="6"/>
    <x v="1"/>
    <x v="10"/>
    <x v="0"/>
    <x v="0"/>
    <n v="4"/>
    <n v="11345.15"/>
    <n v="38361.440000000002"/>
    <x v="0"/>
  </r>
  <r>
    <x v="5"/>
    <x v="0"/>
    <x v="6"/>
    <x v="1"/>
    <x v="10"/>
    <x v="0"/>
    <x v="1"/>
    <n v="4"/>
    <n v="11965.84"/>
    <n v="41262.720000000001"/>
    <x v="0"/>
  </r>
  <r>
    <x v="5"/>
    <x v="0"/>
    <x v="6"/>
    <x v="1"/>
    <x v="10"/>
    <x v="1"/>
    <x v="0"/>
    <n v="14"/>
    <n v="35604.18"/>
    <n v="84421.16"/>
    <x v="0"/>
  </r>
  <r>
    <x v="5"/>
    <x v="0"/>
    <x v="6"/>
    <x v="1"/>
    <x v="10"/>
    <x v="1"/>
    <x v="1"/>
    <n v="22"/>
    <n v="53742.94"/>
    <n v="128270.32"/>
    <x v="0"/>
  </r>
  <r>
    <x v="5"/>
    <x v="0"/>
    <x v="6"/>
    <x v="1"/>
    <x v="11"/>
    <x v="0"/>
    <x v="1"/>
    <n v="11"/>
    <n v="24968.7"/>
    <n v="87360.92"/>
    <x v="0"/>
  </r>
  <r>
    <x v="5"/>
    <x v="0"/>
    <x v="6"/>
    <x v="1"/>
    <x v="11"/>
    <x v="1"/>
    <x v="0"/>
    <n v="3"/>
    <n v="7042.72"/>
    <n v="16343.91"/>
    <x v="0"/>
  </r>
  <r>
    <x v="5"/>
    <x v="0"/>
    <x v="6"/>
    <x v="1"/>
    <x v="11"/>
    <x v="1"/>
    <x v="1"/>
    <n v="15"/>
    <n v="36784.379999999997"/>
    <n v="83003.649999999994"/>
    <x v="0"/>
  </r>
  <r>
    <x v="5"/>
    <x v="0"/>
    <x v="6"/>
    <x v="1"/>
    <x v="12"/>
    <x v="1"/>
    <x v="1"/>
    <n v="4"/>
    <n v="10643.23"/>
    <n v="25577.73"/>
    <x v="0"/>
  </r>
  <r>
    <x v="5"/>
    <x v="0"/>
    <x v="6"/>
    <x v="1"/>
    <x v="13"/>
    <x v="0"/>
    <x v="1"/>
    <n v="1"/>
    <n v="3027.3"/>
    <n v="10315.68"/>
    <x v="0"/>
  </r>
  <r>
    <x v="5"/>
    <x v="0"/>
    <x v="6"/>
    <x v="1"/>
    <x v="13"/>
    <x v="1"/>
    <x v="1"/>
    <n v="10"/>
    <n v="27268.6"/>
    <n v="64322.47"/>
    <x v="0"/>
  </r>
  <r>
    <x v="5"/>
    <x v="0"/>
    <x v="6"/>
    <x v="1"/>
    <x v="14"/>
    <x v="1"/>
    <x v="0"/>
    <n v="12"/>
    <n v="27046.93"/>
    <n v="63955.94"/>
    <x v="0"/>
  </r>
  <r>
    <x v="5"/>
    <x v="0"/>
    <x v="6"/>
    <x v="1"/>
    <x v="14"/>
    <x v="1"/>
    <x v="1"/>
    <n v="2"/>
    <n v="3614.62"/>
    <n v="8613.59"/>
    <x v="0"/>
  </r>
  <r>
    <x v="5"/>
    <x v="0"/>
    <x v="6"/>
    <x v="1"/>
    <x v="15"/>
    <x v="1"/>
    <x v="0"/>
    <n v="1"/>
    <n v="2976.33"/>
    <n v="7128.13"/>
    <x v="0"/>
  </r>
  <r>
    <x v="5"/>
    <x v="0"/>
    <x v="6"/>
    <x v="1"/>
    <x v="15"/>
    <x v="1"/>
    <x v="1"/>
    <n v="2"/>
    <n v="3687.94"/>
    <n v="8910.17"/>
    <x v="0"/>
  </r>
  <r>
    <x v="5"/>
    <x v="0"/>
    <x v="6"/>
    <x v="1"/>
    <x v="16"/>
    <x v="0"/>
    <x v="1"/>
    <n v="3"/>
    <n v="8039.82"/>
    <n v="28045.759999999998"/>
    <x v="0"/>
  </r>
  <r>
    <x v="5"/>
    <x v="0"/>
    <x v="6"/>
    <x v="1"/>
    <x v="16"/>
    <x v="1"/>
    <x v="0"/>
    <n v="1"/>
    <n v="2899.74"/>
    <n v="6787.72"/>
    <x v="0"/>
  </r>
  <r>
    <x v="5"/>
    <x v="0"/>
    <x v="6"/>
    <x v="1"/>
    <x v="16"/>
    <x v="1"/>
    <x v="1"/>
    <n v="6"/>
    <n v="18081.98"/>
    <n v="39987.17"/>
    <x v="0"/>
  </r>
  <r>
    <x v="5"/>
    <x v="0"/>
    <x v="6"/>
    <x v="1"/>
    <x v="17"/>
    <x v="0"/>
    <x v="1"/>
    <n v="2"/>
    <n v="5114.6400000000003"/>
    <n v="17730.080000000002"/>
    <x v="0"/>
  </r>
  <r>
    <x v="5"/>
    <x v="0"/>
    <x v="6"/>
    <x v="1"/>
    <x v="17"/>
    <x v="1"/>
    <x v="0"/>
    <n v="3"/>
    <n v="6262.98"/>
    <n v="14769.48"/>
    <x v="0"/>
  </r>
  <r>
    <x v="5"/>
    <x v="0"/>
    <x v="6"/>
    <x v="1"/>
    <x v="17"/>
    <x v="1"/>
    <x v="1"/>
    <n v="3"/>
    <n v="7152.13"/>
    <n v="16450.47"/>
    <x v="0"/>
  </r>
  <r>
    <x v="5"/>
    <x v="0"/>
    <x v="6"/>
    <x v="1"/>
    <x v="18"/>
    <x v="0"/>
    <x v="1"/>
    <n v="4"/>
    <n v="11987.01"/>
    <n v="41262.720000000001"/>
    <x v="0"/>
  </r>
  <r>
    <x v="5"/>
    <x v="0"/>
    <x v="6"/>
    <x v="1"/>
    <x v="18"/>
    <x v="1"/>
    <x v="0"/>
    <n v="4"/>
    <n v="11767.2"/>
    <n v="28677.59"/>
    <x v="0"/>
  </r>
  <r>
    <x v="5"/>
    <x v="0"/>
    <x v="6"/>
    <x v="1"/>
    <x v="18"/>
    <x v="1"/>
    <x v="1"/>
    <n v="14"/>
    <n v="37572.69"/>
    <n v="91081.39"/>
    <x v="0"/>
  </r>
  <r>
    <x v="5"/>
    <x v="0"/>
    <x v="6"/>
    <x v="1"/>
    <x v="19"/>
    <x v="0"/>
    <x v="1"/>
    <n v="2"/>
    <n v="5077.83"/>
    <n v="17730.080000000002"/>
    <x v="0"/>
  </r>
  <r>
    <x v="5"/>
    <x v="0"/>
    <x v="6"/>
    <x v="1"/>
    <x v="19"/>
    <x v="1"/>
    <x v="0"/>
    <n v="20"/>
    <n v="49220.38"/>
    <n v="117545.29"/>
    <x v="0"/>
  </r>
  <r>
    <x v="5"/>
    <x v="0"/>
    <x v="6"/>
    <x v="1"/>
    <x v="19"/>
    <x v="1"/>
    <x v="1"/>
    <n v="10"/>
    <n v="27784.2"/>
    <n v="64783.65"/>
    <x v="0"/>
  </r>
  <r>
    <x v="5"/>
    <x v="0"/>
    <x v="6"/>
    <x v="1"/>
    <x v="20"/>
    <x v="0"/>
    <x v="0"/>
    <n v="1"/>
    <n v="2069.9299999999998"/>
    <n v="7414.4"/>
    <x v="0"/>
  </r>
  <r>
    <x v="5"/>
    <x v="0"/>
    <x v="6"/>
    <x v="1"/>
    <x v="20"/>
    <x v="0"/>
    <x v="1"/>
    <n v="4"/>
    <n v="7756.75"/>
    <n v="27723.4"/>
    <x v="0"/>
  </r>
  <r>
    <x v="5"/>
    <x v="0"/>
    <x v="6"/>
    <x v="1"/>
    <x v="20"/>
    <x v="1"/>
    <x v="0"/>
    <n v="18"/>
    <n v="51100.19"/>
    <n v="116961.99"/>
    <x v="0"/>
  </r>
  <r>
    <x v="5"/>
    <x v="0"/>
    <x v="6"/>
    <x v="1"/>
    <x v="20"/>
    <x v="1"/>
    <x v="1"/>
    <n v="16"/>
    <n v="45895.41"/>
    <n v="104940.47"/>
    <x v="0"/>
  </r>
  <r>
    <x v="5"/>
    <x v="0"/>
    <x v="6"/>
    <x v="2"/>
    <x v="21"/>
    <x v="0"/>
    <x v="0"/>
    <n v="1"/>
    <n v="1786.09"/>
    <n v="6447.3"/>
    <x v="0"/>
  </r>
  <r>
    <x v="5"/>
    <x v="0"/>
    <x v="6"/>
    <x v="2"/>
    <x v="21"/>
    <x v="1"/>
    <x v="1"/>
    <n v="3"/>
    <n v="9036.66"/>
    <n v="18846.75"/>
    <x v="0"/>
  </r>
  <r>
    <x v="5"/>
    <x v="0"/>
    <x v="6"/>
    <x v="2"/>
    <x v="22"/>
    <x v="0"/>
    <x v="1"/>
    <n v="3"/>
    <n v="8144.82"/>
    <n v="28045.759999999998"/>
    <x v="0"/>
  </r>
  <r>
    <x v="5"/>
    <x v="0"/>
    <x v="6"/>
    <x v="2"/>
    <x v="22"/>
    <x v="1"/>
    <x v="0"/>
    <n v="1"/>
    <n v="3016.8"/>
    <n v="6282.25"/>
    <x v="0"/>
  </r>
  <r>
    <x v="5"/>
    <x v="0"/>
    <x v="6"/>
    <x v="2"/>
    <x v="22"/>
    <x v="1"/>
    <x v="1"/>
    <n v="8"/>
    <n v="19446.02"/>
    <n v="41423.599999999999"/>
    <x v="0"/>
  </r>
  <r>
    <x v="5"/>
    <x v="0"/>
    <x v="6"/>
    <x v="2"/>
    <x v="29"/>
    <x v="0"/>
    <x v="1"/>
    <n v="1"/>
    <n v="2846.79"/>
    <n v="10315.68"/>
    <x v="0"/>
  </r>
  <r>
    <x v="5"/>
    <x v="0"/>
    <x v="6"/>
    <x v="2"/>
    <x v="29"/>
    <x v="1"/>
    <x v="1"/>
    <n v="2"/>
    <n v="4242.9399999999996"/>
    <n v="9594.23"/>
    <x v="0"/>
  </r>
  <r>
    <x v="5"/>
    <x v="0"/>
    <x v="6"/>
    <x v="2"/>
    <x v="24"/>
    <x v="1"/>
    <x v="1"/>
    <n v="5"/>
    <n v="14448.05"/>
    <n v="31978.61"/>
    <x v="0"/>
  </r>
  <r>
    <x v="5"/>
    <x v="0"/>
    <x v="6"/>
    <x v="3"/>
    <x v="25"/>
    <x v="0"/>
    <x v="1"/>
    <n v="4"/>
    <n v="11696.66"/>
    <n v="41262.720000000001"/>
    <x v="0"/>
  </r>
  <r>
    <x v="5"/>
    <x v="0"/>
    <x v="6"/>
    <x v="3"/>
    <x v="25"/>
    <x v="1"/>
    <x v="0"/>
    <n v="13"/>
    <n v="38877.300000000003"/>
    <n v="91036.61"/>
    <x v="0"/>
  </r>
  <r>
    <x v="5"/>
    <x v="0"/>
    <x v="6"/>
    <x v="3"/>
    <x v="25"/>
    <x v="1"/>
    <x v="1"/>
    <n v="4"/>
    <n v="10045.299999999999"/>
    <n v="24290.21"/>
    <x v="0"/>
  </r>
  <r>
    <x v="5"/>
    <x v="0"/>
    <x v="6"/>
    <x v="3"/>
    <x v="26"/>
    <x v="0"/>
    <x v="0"/>
    <n v="5"/>
    <n v="13870.22"/>
    <n v="48677.120000000003"/>
    <x v="0"/>
  </r>
  <r>
    <x v="5"/>
    <x v="0"/>
    <x v="6"/>
    <x v="3"/>
    <x v="26"/>
    <x v="0"/>
    <x v="1"/>
    <n v="2"/>
    <n v="5106.13"/>
    <n v="17730.080000000002"/>
    <x v="0"/>
  </r>
  <r>
    <x v="5"/>
    <x v="0"/>
    <x v="6"/>
    <x v="3"/>
    <x v="26"/>
    <x v="1"/>
    <x v="0"/>
    <n v="6"/>
    <n v="12186.67"/>
    <n v="29361"/>
    <x v="0"/>
  </r>
  <r>
    <x v="5"/>
    <x v="0"/>
    <x v="6"/>
    <x v="3"/>
    <x v="26"/>
    <x v="1"/>
    <x v="1"/>
    <n v="11"/>
    <n v="30931.51"/>
    <n v="75483.570000000007"/>
    <x v="0"/>
  </r>
  <r>
    <x v="5"/>
    <x v="0"/>
    <x v="6"/>
    <x v="3"/>
    <x v="27"/>
    <x v="0"/>
    <x v="1"/>
    <n v="10"/>
    <n v="26286.21"/>
    <n v="91551.679999999993"/>
    <x v="0"/>
  </r>
  <r>
    <x v="5"/>
    <x v="0"/>
    <x v="6"/>
    <x v="3"/>
    <x v="27"/>
    <x v="1"/>
    <x v="0"/>
    <n v="15"/>
    <n v="34962.29"/>
    <n v="83149.89"/>
    <x v="0"/>
  </r>
  <r>
    <x v="5"/>
    <x v="0"/>
    <x v="6"/>
    <x v="3"/>
    <x v="27"/>
    <x v="1"/>
    <x v="1"/>
    <n v="34"/>
    <n v="92026.02"/>
    <n v="216112.86"/>
    <x v="0"/>
  </r>
  <r>
    <x v="5"/>
    <x v="0"/>
    <x v="7"/>
    <x v="0"/>
    <x v="0"/>
    <x v="0"/>
    <x v="0"/>
    <n v="1"/>
    <n v="5856.95"/>
    <n v="21666.74"/>
    <x v="0"/>
  </r>
  <r>
    <x v="5"/>
    <x v="0"/>
    <x v="7"/>
    <x v="0"/>
    <x v="0"/>
    <x v="0"/>
    <x v="1"/>
    <n v="3"/>
    <n v="12668.37"/>
    <n v="49427.25"/>
    <x v="0"/>
  </r>
  <r>
    <x v="5"/>
    <x v="0"/>
    <x v="7"/>
    <x v="0"/>
    <x v="0"/>
    <x v="1"/>
    <x v="0"/>
    <n v="8"/>
    <n v="39419.99"/>
    <n v="102732.84"/>
    <x v="0"/>
  </r>
  <r>
    <x v="5"/>
    <x v="0"/>
    <x v="7"/>
    <x v="0"/>
    <x v="1"/>
    <x v="0"/>
    <x v="0"/>
    <n v="1"/>
    <n v="5371.21"/>
    <n v="21666.74"/>
    <x v="0"/>
  </r>
  <r>
    <x v="5"/>
    <x v="0"/>
    <x v="7"/>
    <x v="0"/>
    <x v="1"/>
    <x v="0"/>
    <x v="1"/>
    <n v="1"/>
    <n v="5775.48"/>
    <n v="21666.74"/>
    <x v="0"/>
  </r>
  <r>
    <x v="5"/>
    <x v="0"/>
    <x v="7"/>
    <x v="0"/>
    <x v="1"/>
    <x v="1"/>
    <x v="0"/>
    <n v="20"/>
    <n v="91028.19"/>
    <n v="225084.26"/>
    <x v="0"/>
  </r>
  <r>
    <x v="5"/>
    <x v="0"/>
    <x v="7"/>
    <x v="0"/>
    <x v="1"/>
    <x v="1"/>
    <x v="1"/>
    <n v="13"/>
    <n v="56100.06"/>
    <n v="137575.67999999999"/>
    <x v="0"/>
  </r>
  <r>
    <x v="5"/>
    <x v="0"/>
    <x v="7"/>
    <x v="0"/>
    <x v="2"/>
    <x v="0"/>
    <x v="1"/>
    <n v="3"/>
    <n v="15357.68"/>
    <n v="57552.28"/>
    <x v="0"/>
  </r>
  <r>
    <x v="5"/>
    <x v="0"/>
    <x v="7"/>
    <x v="0"/>
    <x v="2"/>
    <x v="1"/>
    <x v="0"/>
    <n v="6"/>
    <n v="23218.25"/>
    <n v="55502.06"/>
    <x v="0"/>
  </r>
  <r>
    <x v="5"/>
    <x v="0"/>
    <x v="7"/>
    <x v="0"/>
    <x v="2"/>
    <x v="1"/>
    <x v="1"/>
    <n v="4"/>
    <n v="23015.35"/>
    <n v="53820.19"/>
    <x v="0"/>
  </r>
  <r>
    <x v="5"/>
    <x v="0"/>
    <x v="7"/>
    <x v="0"/>
    <x v="3"/>
    <x v="0"/>
    <x v="0"/>
    <n v="2"/>
    <n v="9473.11"/>
    <n v="35885.54"/>
    <x v="0"/>
  </r>
  <r>
    <x v="5"/>
    <x v="0"/>
    <x v="7"/>
    <x v="0"/>
    <x v="3"/>
    <x v="0"/>
    <x v="1"/>
    <n v="4"/>
    <n v="16890.09"/>
    <n v="64323.14"/>
    <x v="0"/>
  </r>
  <r>
    <x v="5"/>
    <x v="0"/>
    <x v="7"/>
    <x v="0"/>
    <x v="3"/>
    <x v="1"/>
    <x v="0"/>
    <n v="6"/>
    <n v="29827.87"/>
    <n v="74341.64"/>
    <x v="0"/>
  </r>
  <r>
    <x v="5"/>
    <x v="0"/>
    <x v="7"/>
    <x v="0"/>
    <x v="3"/>
    <x v="1"/>
    <x v="1"/>
    <n v="21"/>
    <n v="88089.85"/>
    <n v="221760.43"/>
    <x v="0"/>
  </r>
  <r>
    <x v="5"/>
    <x v="0"/>
    <x v="7"/>
    <x v="0"/>
    <x v="28"/>
    <x v="1"/>
    <x v="1"/>
    <n v="1"/>
    <n v="5419.29"/>
    <n v="13480.98"/>
    <x v="0"/>
  </r>
  <r>
    <x v="5"/>
    <x v="0"/>
    <x v="7"/>
    <x v="0"/>
    <x v="4"/>
    <x v="0"/>
    <x v="1"/>
    <n v="3"/>
    <n v="12964.59"/>
    <n v="50104.34"/>
    <x v="0"/>
  </r>
  <r>
    <x v="5"/>
    <x v="0"/>
    <x v="7"/>
    <x v="0"/>
    <x v="4"/>
    <x v="1"/>
    <x v="0"/>
    <n v="8"/>
    <n v="46206.19"/>
    <n v="110933.71"/>
    <x v="0"/>
  </r>
  <r>
    <x v="5"/>
    <x v="0"/>
    <x v="7"/>
    <x v="0"/>
    <x v="4"/>
    <x v="1"/>
    <x v="1"/>
    <n v="8"/>
    <n v="45631.58"/>
    <n v="110933.71"/>
    <x v="0"/>
  </r>
  <r>
    <x v="5"/>
    <x v="0"/>
    <x v="7"/>
    <x v="0"/>
    <x v="5"/>
    <x v="1"/>
    <x v="0"/>
    <n v="1"/>
    <n v="3445.72"/>
    <n v="8923.99"/>
    <x v="0"/>
  </r>
  <r>
    <x v="5"/>
    <x v="0"/>
    <x v="7"/>
    <x v="0"/>
    <x v="5"/>
    <x v="1"/>
    <x v="1"/>
    <n v="5"/>
    <n v="27194.84"/>
    <n v="66525.600000000006"/>
    <x v="0"/>
  </r>
  <r>
    <x v="5"/>
    <x v="0"/>
    <x v="7"/>
    <x v="0"/>
    <x v="6"/>
    <x v="0"/>
    <x v="1"/>
    <n v="2"/>
    <n v="11069.11"/>
    <n v="43333.48"/>
    <x v="0"/>
  </r>
  <r>
    <x v="5"/>
    <x v="0"/>
    <x v="7"/>
    <x v="0"/>
    <x v="8"/>
    <x v="0"/>
    <x v="1"/>
    <n v="2"/>
    <n v="11170.59"/>
    <n v="43333.48"/>
    <x v="0"/>
  </r>
  <r>
    <x v="5"/>
    <x v="0"/>
    <x v="7"/>
    <x v="0"/>
    <x v="8"/>
    <x v="1"/>
    <x v="1"/>
    <n v="1"/>
    <n v="5641.78"/>
    <n v="13801.71"/>
    <x v="0"/>
  </r>
  <r>
    <x v="5"/>
    <x v="0"/>
    <x v="7"/>
    <x v="1"/>
    <x v="9"/>
    <x v="1"/>
    <x v="1"/>
    <n v="1"/>
    <n v="3627.09"/>
    <n v="9782.5300000000007"/>
    <x v="0"/>
  </r>
  <r>
    <x v="5"/>
    <x v="0"/>
    <x v="7"/>
    <x v="1"/>
    <x v="10"/>
    <x v="0"/>
    <x v="0"/>
    <n v="1"/>
    <n v="4052.67"/>
    <n v="15572.97"/>
    <x v="0"/>
  </r>
  <r>
    <x v="5"/>
    <x v="0"/>
    <x v="7"/>
    <x v="1"/>
    <x v="10"/>
    <x v="0"/>
    <x v="1"/>
    <n v="8"/>
    <n v="35584.959999999999"/>
    <n v="137448.39000000001"/>
    <x v="0"/>
  </r>
  <r>
    <x v="5"/>
    <x v="0"/>
    <x v="7"/>
    <x v="1"/>
    <x v="10"/>
    <x v="1"/>
    <x v="0"/>
    <n v="2"/>
    <n v="9605.15"/>
    <n v="25397.49"/>
    <x v="0"/>
  </r>
  <r>
    <x v="5"/>
    <x v="0"/>
    <x v="7"/>
    <x v="1"/>
    <x v="10"/>
    <x v="1"/>
    <x v="1"/>
    <n v="18"/>
    <n v="79397.399999999994"/>
    <n v="211252.8"/>
    <x v="0"/>
  </r>
  <r>
    <x v="5"/>
    <x v="0"/>
    <x v="7"/>
    <x v="1"/>
    <x v="11"/>
    <x v="0"/>
    <x v="1"/>
    <n v="5"/>
    <n v="22780.76"/>
    <n v="87344.05"/>
    <x v="0"/>
  </r>
  <r>
    <x v="5"/>
    <x v="0"/>
    <x v="7"/>
    <x v="1"/>
    <x v="11"/>
    <x v="1"/>
    <x v="0"/>
    <n v="7"/>
    <n v="35413.24"/>
    <n v="87285.63"/>
    <x v="0"/>
  </r>
  <r>
    <x v="5"/>
    <x v="0"/>
    <x v="7"/>
    <x v="1"/>
    <x v="11"/>
    <x v="1"/>
    <x v="1"/>
    <n v="8"/>
    <n v="38960.639999999999"/>
    <n v="98143.56"/>
    <x v="0"/>
  </r>
  <r>
    <x v="5"/>
    <x v="0"/>
    <x v="7"/>
    <x v="1"/>
    <x v="12"/>
    <x v="1"/>
    <x v="0"/>
    <n v="10"/>
    <n v="44350.7"/>
    <n v="120412.9"/>
    <x v="0"/>
  </r>
  <r>
    <x v="5"/>
    <x v="0"/>
    <x v="7"/>
    <x v="1"/>
    <x v="12"/>
    <x v="1"/>
    <x v="1"/>
    <n v="10"/>
    <n v="42182.65"/>
    <n v="111613.51"/>
    <x v="0"/>
  </r>
  <r>
    <x v="5"/>
    <x v="0"/>
    <x v="7"/>
    <x v="1"/>
    <x v="13"/>
    <x v="0"/>
    <x v="1"/>
    <n v="3"/>
    <n v="10436.02"/>
    <n v="41302.22"/>
    <x v="0"/>
  </r>
  <r>
    <x v="5"/>
    <x v="0"/>
    <x v="7"/>
    <x v="1"/>
    <x v="13"/>
    <x v="1"/>
    <x v="0"/>
    <n v="2"/>
    <n v="7389.22"/>
    <n v="19366.009999999998"/>
    <x v="0"/>
  </r>
  <r>
    <x v="5"/>
    <x v="0"/>
    <x v="7"/>
    <x v="1"/>
    <x v="13"/>
    <x v="1"/>
    <x v="1"/>
    <n v="17"/>
    <n v="90364.14"/>
    <n v="235619.71"/>
    <x v="0"/>
  </r>
  <r>
    <x v="5"/>
    <x v="0"/>
    <x v="7"/>
    <x v="1"/>
    <x v="14"/>
    <x v="1"/>
    <x v="0"/>
    <n v="10"/>
    <n v="46379.75"/>
    <n v="119857.71"/>
    <x v="0"/>
  </r>
  <r>
    <x v="5"/>
    <x v="0"/>
    <x v="7"/>
    <x v="1"/>
    <x v="16"/>
    <x v="1"/>
    <x v="0"/>
    <n v="1"/>
    <n v="3441.57"/>
    <n v="8565.42"/>
    <x v="0"/>
  </r>
  <r>
    <x v="5"/>
    <x v="0"/>
    <x v="7"/>
    <x v="1"/>
    <x v="16"/>
    <x v="1"/>
    <x v="1"/>
    <n v="3"/>
    <n v="16169.37"/>
    <n v="42770.14"/>
    <x v="0"/>
  </r>
  <r>
    <x v="5"/>
    <x v="0"/>
    <x v="7"/>
    <x v="1"/>
    <x v="17"/>
    <x v="1"/>
    <x v="0"/>
    <n v="3"/>
    <n v="12863.48"/>
    <n v="33269.29"/>
    <x v="0"/>
  </r>
  <r>
    <x v="5"/>
    <x v="0"/>
    <x v="7"/>
    <x v="1"/>
    <x v="17"/>
    <x v="1"/>
    <x v="1"/>
    <n v="6"/>
    <n v="21420.93"/>
    <n v="55298.94"/>
    <x v="0"/>
  </r>
  <r>
    <x v="5"/>
    <x v="0"/>
    <x v="7"/>
    <x v="1"/>
    <x v="18"/>
    <x v="0"/>
    <x v="1"/>
    <n v="4"/>
    <n v="20552.87"/>
    <n v="79219.02"/>
    <x v="0"/>
  </r>
  <r>
    <x v="5"/>
    <x v="0"/>
    <x v="7"/>
    <x v="1"/>
    <x v="18"/>
    <x v="1"/>
    <x v="0"/>
    <n v="4"/>
    <n v="17657.05"/>
    <n v="47528.02"/>
    <x v="0"/>
  </r>
  <r>
    <x v="5"/>
    <x v="0"/>
    <x v="7"/>
    <x v="1"/>
    <x v="18"/>
    <x v="1"/>
    <x v="1"/>
    <n v="19"/>
    <n v="88121.95"/>
    <n v="236237.61"/>
    <x v="0"/>
  </r>
  <r>
    <x v="5"/>
    <x v="0"/>
    <x v="7"/>
    <x v="1"/>
    <x v="19"/>
    <x v="0"/>
    <x v="1"/>
    <n v="1"/>
    <n v="4088.3"/>
    <n v="15572.97"/>
    <x v="0"/>
  </r>
  <r>
    <x v="5"/>
    <x v="0"/>
    <x v="7"/>
    <x v="1"/>
    <x v="19"/>
    <x v="1"/>
    <x v="0"/>
    <n v="12"/>
    <n v="53464.24"/>
    <n v="141926.62"/>
    <x v="0"/>
  </r>
  <r>
    <x v="5"/>
    <x v="0"/>
    <x v="7"/>
    <x v="1"/>
    <x v="19"/>
    <x v="1"/>
    <x v="1"/>
    <n v="8"/>
    <n v="35089.550000000003"/>
    <n v="91930.07"/>
    <x v="0"/>
  </r>
  <r>
    <x v="5"/>
    <x v="0"/>
    <x v="7"/>
    <x v="1"/>
    <x v="20"/>
    <x v="0"/>
    <x v="0"/>
    <n v="3"/>
    <n v="17088.41"/>
    <n v="65000.22"/>
    <x v="0"/>
  </r>
  <r>
    <x v="5"/>
    <x v="0"/>
    <x v="7"/>
    <x v="1"/>
    <x v="20"/>
    <x v="0"/>
    <x v="1"/>
    <n v="9"/>
    <n v="42776.46"/>
    <n v="164531.81"/>
    <x v="0"/>
  </r>
  <r>
    <x v="5"/>
    <x v="0"/>
    <x v="7"/>
    <x v="1"/>
    <x v="20"/>
    <x v="1"/>
    <x v="0"/>
    <n v="4"/>
    <n v="22460.799999999999"/>
    <n v="56845.54"/>
    <x v="0"/>
  </r>
  <r>
    <x v="5"/>
    <x v="0"/>
    <x v="7"/>
    <x v="1"/>
    <x v="20"/>
    <x v="1"/>
    <x v="1"/>
    <n v="2"/>
    <n v="7723.86"/>
    <n v="19751.939999999999"/>
    <x v="0"/>
  </r>
  <r>
    <x v="5"/>
    <x v="0"/>
    <x v="7"/>
    <x v="2"/>
    <x v="21"/>
    <x v="0"/>
    <x v="0"/>
    <n v="4"/>
    <n v="20705.21"/>
    <n v="78541.929999999993"/>
    <x v="0"/>
  </r>
  <r>
    <x v="5"/>
    <x v="0"/>
    <x v="7"/>
    <x v="2"/>
    <x v="21"/>
    <x v="1"/>
    <x v="1"/>
    <n v="2"/>
    <n v="11291.9"/>
    <n v="25586.05"/>
    <x v="0"/>
  </r>
  <r>
    <x v="5"/>
    <x v="0"/>
    <x v="7"/>
    <x v="2"/>
    <x v="22"/>
    <x v="0"/>
    <x v="1"/>
    <n v="1"/>
    <n v="3730.88"/>
    <n v="14218.8"/>
    <x v="0"/>
  </r>
  <r>
    <x v="5"/>
    <x v="0"/>
    <x v="7"/>
    <x v="2"/>
    <x v="22"/>
    <x v="1"/>
    <x v="0"/>
    <n v="11"/>
    <n v="62611.09"/>
    <n v="145145.48000000001"/>
    <x v="0"/>
  </r>
  <r>
    <x v="5"/>
    <x v="0"/>
    <x v="7"/>
    <x v="2"/>
    <x v="22"/>
    <x v="1"/>
    <x v="1"/>
    <n v="12"/>
    <n v="61799.72"/>
    <n v="144320.79"/>
    <x v="0"/>
  </r>
  <r>
    <x v="5"/>
    <x v="0"/>
    <x v="7"/>
    <x v="2"/>
    <x v="29"/>
    <x v="0"/>
    <x v="1"/>
    <n v="2"/>
    <n v="11535.35"/>
    <n v="43333.48"/>
    <x v="0"/>
  </r>
  <r>
    <x v="5"/>
    <x v="0"/>
    <x v="7"/>
    <x v="2"/>
    <x v="23"/>
    <x v="1"/>
    <x v="1"/>
    <n v="3"/>
    <n v="11358.54"/>
    <n v="27044.16"/>
    <x v="0"/>
  </r>
  <r>
    <x v="5"/>
    <x v="0"/>
    <x v="7"/>
    <x v="2"/>
    <x v="24"/>
    <x v="0"/>
    <x v="1"/>
    <n v="2"/>
    <n v="9493.11"/>
    <n v="35885.54"/>
    <x v="0"/>
  </r>
  <r>
    <x v="5"/>
    <x v="0"/>
    <x v="7"/>
    <x v="2"/>
    <x v="24"/>
    <x v="1"/>
    <x v="0"/>
    <n v="5"/>
    <n v="28288.81"/>
    <n v="67166.899999999994"/>
    <x v="0"/>
  </r>
  <r>
    <x v="5"/>
    <x v="0"/>
    <x v="7"/>
    <x v="3"/>
    <x v="25"/>
    <x v="1"/>
    <x v="0"/>
    <n v="10"/>
    <n v="43569.9"/>
    <n v="114559.51"/>
    <x v="0"/>
  </r>
  <r>
    <x v="5"/>
    <x v="0"/>
    <x v="7"/>
    <x v="3"/>
    <x v="25"/>
    <x v="1"/>
    <x v="1"/>
    <n v="6"/>
    <n v="29123.88"/>
    <n v="77919.009999999995"/>
    <x v="0"/>
  </r>
  <r>
    <x v="5"/>
    <x v="0"/>
    <x v="7"/>
    <x v="3"/>
    <x v="26"/>
    <x v="0"/>
    <x v="0"/>
    <n v="2"/>
    <n v="7631.93"/>
    <n v="29791.77"/>
    <x v="0"/>
  </r>
  <r>
    <x v="5"/>
    <x v="0"/>
    <x v="7"/>
    <x v="3"/>
    <x v="26"/>
    <x v="0"/>
    <x v="1"/>
    <n v="1"/>
    <n v="3716.16"/>
    <n v="14218.8"/>
    <x v="0"/>
  </r>
  <r>
    <x v="5"/>
    <x v="0"/>
    <x v="7"/>
    <x v="3"/>
    <x v="26"/>
    <x v="1"/>
    <x v="0"/>
    <n v="1"/>
    <n v="3709.98"/>
    <n v="9810.9699999999993"/>
    <x v="0"/>
  </r>
  <r>
    <x v="5"/>
    <x v="0"/>
    <x v="7"/>
    <x v="3"/>
    <x v="26"/>
    <x v="1"/>
    <x v="1"/>
    <n v="16"/>
    <n v="85260.14"/>
    <n v="222048.11"/>
    <x v="0"/>
  </r>
  <r>
    <x v="5"/>
    <x v="0"/>
    <x v="7"/>
    <x v="3"/>
    <x v="27"/>
    <x v="0"/>
    <x v="0"/>
    <n v="3"/>
    <n v="11551.64"/>
    <n v="45364.74"/>
    <x v="0"/>
  </r>
  <r>
    <x v="5"/>
    <x v="0"/>
    <x v="7"/>
    <x v="3"/>
    <x v="27"/>
    <x v="0"/>
    <x v="1"/>
    <n v="6"/>
    <n v="28033.5"/>
    <n v="107656.62"/>
    <x v="0"/>
  </r>
  <r>
    <x v="5"/>
    <x v="0"/>
    <x v="7"/>
    <x v="3"/>
    <x v="27"/>
    <x v="1"/>
    <x v="0"/>
    <n v="15"/>
    <n v="68360.570000000007"/>
    <n v="179155.12"/>
    <x v="0"/>
  </r>
  <r>
    <x v="5"/>
    <x v="0"/>
    <x v="7"/>
    <x v="3"/>
    <x v="27"/>
    <x v="1"/>
    <x v="1"/>
    <n v="24"/>
    <n v="108217.63"/>
    <n v="283283.15999999997"/>
    <x v="0"/>
  </r>
  <r>
    <x v="5"/>
    <x v="0"/>
    <x v="8"/>
    <x v="0"/>
    <x v="0"/>
    <x v="0"/>
    <x v="0"/>
    <n v="3"/>
    <n v="9724.16"/>
    <n v="33389.49"/>
    <x v="0"/>
  </r>
  <r>
    <x v="5"/>
    <x v="0"/>
    <x v="8"/>
    <x v="0"/>
    <x v="0"/>
    <x v="0"/>
    <x v="1"/>
    <n v="2"/>
    <n v="7783.76"/>
    <n v="27396.5"/>
    <x v="0"/>
  </r>
  <r>
    <x v="5"/>
    <x v="0"/>
    <x v="8"/>
    <x v="0"/>
    <x v="0"/>
    <x v="1"/>
    <x v="0"/>
    <n v="2"/>
    <n v="5799.04"/>
    <n v="12878.07"/>
    <x v="0"/>
  </r>
  <r>
    <x v="5"/>
    <x v="0"/>
    <x v="8"/>
    <x v="0"/>
    <x v="0"/>
    <x v="1"/>
    <x v="1"/>
    <n v="7"/>
    <n v="24364.58"/>
    <n v="55991.6"/>
    <x v="0"/>
  </r>
  <r>
    <x v="5"/>
    <x v="0"/>
    <x v="8"/>
    <x v="0"/>
    <x v="1"/>
    <x v="0"/>
    <x v="0"/>
    <n v="4"/>
    <n v="15651.34"/>
    <n v="54793"/>
    <x v="0"/>
  </r>
  <r>
    <x v="5"/>
    <x v="0"/>
    <x v="8"/>
    <x v="0"/>
    <x v="1"/>
    <x v="0"/>
    <x v="1"/>
    <n v="7"/>
    <n v="25966.45"/>
    <n v="92035.12"/>
    <x v="0"/>
  </r>
  <r>
    <x v="5"/>
    <x v="0"/>
    <x v="8"/>
    <x v="0"/>
    <x v="1"/>
    <x v="1"/>
    <x v="0"/>
    <n v="29"/>
    <n v="95477.29"/>
    <n v="219571.57"/>
    <x v="0"/>
  </r>
  <r>
    <x v="5"/>
    <x v="0"/>
    <x v="8"/>
    <x v="0"/>
    <x v="1"/>
    <x v="1"/>
    <x v="1"/>
    <n v="23"/>
    <n v="77789.27"/>
    <n v="178911.99"/>
    <x v="0"/>
  </r>
  <r>
    <x v="5"/>
    <x v="0"/>
    <x v="8"/>
    <x v="0"/>
    <x v="2"/>
    <x v="0"/>
    <x v="1"/>
    <n v="2"/>
    <n v="5479.35"/>
    <n v="19691.240000000002"/>
    <x v="0"/>
  </r>
  <r>
    <x v="5"/>
    <x v="0"/>
    <x v="8"/>
    <x v="0"/>
    <x v="2"/>
    <x v="1"/>
    <x v="0"/>
    <n v="10"/>
    <n v="32370.880000000001"/>
    <n v="70179.58"/>
    <x v="0"/>
  </r>
  <r>
    <x v="5"/>
    <x v="0"/>
    <x v="8"/>
    <x v="0"/>
    <x v="2"/>
    <x v="1"/>
    <x v="1"/>
    <n v="7"/>
    <n v="22471.4"/>
    <n v="48566.7"/>
    <x v="0"/>
  </r>
  <r>
    <x v="5"/>
    <x v="0"/>
    <x v="8"/>
    <x v="0"/>
    <x v="3"/>
    <x v="0"/>
    <x v="0"/>
    <n v="5"/>
    <n v="17173.04"/>
    <n v="59501.78"/>
    <x v="0"/>
  </r>
  <r>
    <x v="5"/>
    <x v="0"/>
    <x v="8"/>
    <x v="0"/>
    <x v="3"/>
    <x v="0"/>
    <x v="1"/>
    <n v="6"/>
    <n v="18987.05"/>
    <n v="68491.259999999995"/>
    <x v="0"/>
  </r>
  <r>
    <x v="5"/>
    <x v="0"/>
    <x v="8"/>
    <x v="0"/>
    <x v="3"/>
    <x v="1"/>
    <x v="0"/>
    <n v="13"/>
    <n v="43037.23"/>
    <n v="97926.52"/>
    <x v="0"/>
  </r>
  <r>
    <x v="5"/>
    <x v="0"/>
    <x v="8"/>
    <x v="0"/>
    <x v="3"/>
    <x v="1"/>
    <x v="1"/>
    <n v="39"/>
    <n v="128664.82"/>
    <n v="296477.02"/>
    <x v="0"/>
  </r>
  <r>
    <x v="5"/>
    <x v="0"/>
    <x v="8"/>
    <x v="0"/>
    <x v="28"/>
    <x v="1"/>
    <x v="1"/>
    <n v="1"/>
    <n v="3912.25"/>
    <n v="8958.66"/>
    <x v="0"/>
  </r>
  <r>
    <x v="5"/>
    <x v="0"/>
    <x v="8"/>
    <x v="0"/>
    <x v="4"/>
    <x v="0"/>
    <x v="1"/>
    <n v="2"/>
    <n v="6329.79"/>
    <n v="22687.73"/>
    <x v="0"/>
  </r>
  <r>
    <x v="5"/>
    <x v="0"/>
    <x v="8"/>
    <x v="0"/>
    <x v="4"/>
    <x v="1"/>
    <x v="0"/>
    <n v="12"/>
    <n v="41349.29"/>
    <n v="92874.15"/>
    <x v="0"/>
  </r>
  <r>
    <x v="5"/>
    <x v="0"/>
    <x v="8"/>
    <x v="0"/>
    <x v="4"/>
    <x v="1"/>
    <x v="1"/>
    <n v="5"/>
    <n v="17143.62"/>
    <n v="40820.79"/>
    <x v="0"/>
  </r>
  <r>
    <x v="5"/>
    <x v="0"/>
    <x v="8"/>
    <x v="0"/>
    <x v="5"/>
    <x v="0"/>
    <x v="1"/>
    <n v="4"/>
    <n v="15345.76"/>
    <n v="54793"/>
    <x v="0"/>
  </r>
  <r>
    <x v="5"/>
    <x v="0"/>
    <x v="8"/>
    <x v="0"/>
    <x v="5"/>
    <x v="1"/>
    <x v="0"/>
    <n v="2"/>
    <n v="5431.9"/>
    <n v="12672.57"/>
    <x v="0"/>
  </r>
  <r>
    <x v="5"/>
    <x v="0"/>
    <x v="8"/>
    <x v="0"/>
    <x v="5"/>
    <x v="1"/>
    <x v="1"/>
    <n v="12"/>
    <n v="40941.79"/>
    <n v="96120.39"/>
    <x v="0"/>
  </r>
  <r>
    <x v="5"/>
    <x v="0"/>
    <x v="8"/>
    <x v="0"/>
    <x v="6"/>
    <x v="0"/>
    <x v="1"/>
    <n v="3"/>
    <n v="8823.65"/>
    <n v="31677.21"/>
    <x v="0"/>
  </r>
  <r>
    <x v="5"/>
    <x v="0"/>
    <x v="8"/>
    <x v="0"/>
    <x v="7"/>
    <x v="1"/>
    <x v="1"/>
    <n v="3"/>
    <n v="8992.4500000000007"/>
    <n v="21732.27"/>
    <x v="0"/>
  </r>
  <r>
    <x v="5"/>
    <x v="0"/>
    <x v="8"/>
    <x v="0"/>
    <x v="8"/>
    <x v="0"/>
    <x v="1"/>
    <n v="2"/>
    <n v="5347.58"/>
    <n v="19691.240000000002"/>
    <x v="0"/>
  </r>
  <r>
    <x v="5"/>
    <x v="0"/>
    <x v="8"/>
    <x v="0"/>
    <x v="8"/>
    <x v="1"/>
    <x v="1"/>
    <n v="8"/>
    <n v="20332.22"/>
    <n v="47446.47"/>
    <x v="0"/>
  </r>
  <r>
    <x v="5"/>
    <x v="0"/>
    <x v="8"/>
    <x v="1"/>
    <x v="9"/>
    <x v="1"/>
    <x v="1"/>
    <n v="8"/>
    <n v="28773.89"/>
    <n v="72155.53"/>
    <x v="0"/>
  </r>
  <r>
    <x v="5"/>
    <x v="0"/>
    <x v="8"/>
    <x v="1"/>
    <x v="10"/>
    <x v="0"/>
    <x v="0"/>
    <n v="3"/>
    <n v="8175.53"/>
    <n v="29536.86"/>
    <x v="0"/>
  </r>
  <r>
    <x v="5"/>
    <x v="0"/>
    <x v="8"/>
    <x v="1"/>
    <x v="10"/>
    <x v="0"/>
    <x v="1"/>
    <n v="4"/>
    <n v="15615.99"/>
    <n v="54793"/>
    <x v="0"/>
  </r>
  <r>
    <x v="5"/>
    <x v="0"/>
    <x v="8"/>
    <x v="1"/>
    <x v="10"/>
    <x v="1"/>
    <x v="0"/>
    <n v="14"/>
    <n v="45380.58"/>
    <n v="112398.43"/>
    <x v="0"/>
  </r>
  <r>
    <x v="5"/>
    <x v="0"/>
    <x v="8"/>
    <x v="1"/>
    <x v="10"/>
    <x v="1"/>
    <x v="1"/>
    <n v="27"/>
    <n v="78100.69"/>
    <n v="188887.8"/>
    <x v="0"/>
  </r>
  <r>
    <x v="5"/>
    <x v="0"/>
    <x v="8"/>
    <x v="1"/>
    <x v="11"/>
    <x v="0"/>
    <x v="1"/>
    <n v="14"/>
    <n v="42540.15"/>
    <n v="150252.71"/>
    <x v="0"/>
  </r>
  <r>
    <x v="5"/>
    <x v="0"/>
    <x v="8"/>
    <x v="1"/>
    <x v="11"/>
    <x v="1"/>
    <x v="0"/>
    <n v="2"/>
    <n v="7708.78"/>
    <n v="17807.73"/>
    <x v="0"/>
  </r>
  <r>
    <x v="5"/>
    <x v="0"/>
    <x v="8"/>
    <x v="1"/>
    <x v="11"/>
    <x v="1"/>
    <x v="1"/>
    <n v="31"/>
    <n v="107034.76"/>
    <n v="246839.29"/>
    <x v="0"/>
  </r>
  <r>
    <x v="5"/>
    <x v="0"/>
    <x v="8"/>
    <x v="1"/>
    <x v="12"/>
    <x v="1"/>
    <x v="1"/>
    <n v="4"/>
    <n v="15451.36"/>
    <n v="37478.42"/>
    <x v="0"/>
  </r>
  <r>
    <x v="5"/>
    <x v="0"/>
    <x v="8"/>
    <x v="1"/>
    <x v="13"/>
    <x v="0"/>
    <x v="1"/>
    <n v="4"/>
    <n v="14311.83"/>
    <n v="50940.37"/>
    <x v="0"/>
  </r>
  <r>
    <x v="5"/>
    <x v="0"/>
    <x v="8"/>
    <x v="1"/>
    <x v="13"/>
    <x v="1"/>
    <x v="0"/>
    <n v="1"/>
    <n v="3681.08"/>
    <n v="9328.51"/>
    <x v="0"/>
  </r>
  <r>
    <x v="5"/>
    <x v="0"/>
    <x v="8"/>
    <x v="1"/>
    <x v="13"/>
    <x v="1"/>
    <x v="1"/>
    <n v="12"/>
    <n v="38596.54"/>
    <n v="94451.15"/>
    <x v="0"/>
  </r>
  <r>
    <x v="5"/>
    <x v="0"/>
    <x v="8"/>
    <x v="1"/>
    <x v="14"/>
    <x v="0"/>
    <x v="1"/>
    <n v="4"/>
    <n v="11351.49"/>
    <n v="39810.550000000003"/>
    <x v="0"/>
  </r>
  <r>
    <x v="5"/>
    <x v="0"/>
    <x v="8"/>
    <x v="1"/>
    <x v="14"/>
    <x v="1"/>
    <x v="0"/>
    <n v="13"/>
    <n v="44469.58"/>
    <n v="104372.11"/>
    <x v="0"/>
  </r>
  <r>
    <x v="5"/>
    <x v="0"/>
    <x v="8"/>
    <x v="1"/>
    <x v="14"/>
    <x v="1"/>
    <x v="1"/>
    <n v="3"/>
    <n v="7836.85"/>
    <n v="18872.77"/>
    <x v="0"/>
  </r>
  <r>
    <x v="5"/>
    <x v="0"/>
    <x v="8"/>
    <x v="1"/>
    <x v="15"/>
    <x v="1"/>
    <x v="0"/>
    <n v="3"/>
    <n v="8514.84"/>
    <n v="20409.97"/>
    <x v="0"/>
  </r>
  <r>
    <x v="5"/>
    <x v="0"/>
    <x v="8"/>
    <x v="1"/>
    <x v="15"/>
    <x v="1"/>
    <x v="1"/>
    <n v="3"/>
    <n v="10542.05"/>
    <n v="25734.3"/>
    <x v="0"/>
  </r>
  <r>
    <x v="5"/>
    <x v="0"/>
    <x v="8"/>
    <x v="1"/>
    <x v="16"/>
    <x v="0"/>
    <x v="1"/>
    <n v="2"/>
    <n v="6127.86"/>
    <n v="22259.66"/>
    <x v="0"/>
  </r>
  <r>
    <x v="5"/>
    <x v="0"/>
    <x v="8"/>
    <x v="1"/>
    <x v="16"/>
    <x v="1"/>
    <x v="0"/>
    <n v="9"/>
    <n v="32040.74"/>
    <n v="76050.990000000005"/>
    <x v="0"/>
  </r>
  <r>
    <x v="5"/>
    <x v="0"/>
    <x v="8"/>
    <x v="1"/>
    <x v="16"/>
    <x v="1"/>
    <x v="1"/>
    <n v="8"/>
    <n v="23010.81"/>
    <n v="53799.040000000001"/>
    <x v="0"/>
  </r>
  <r>
    <x v="5"/>
    <x v="0"/>
    <x v="8"/>
    <x v="1"/>
    <x v="17"/>
    <x v="0"/>
    <x v="1"/>
    <n v="2"/>
    <n v="4986.53"/>
    <n v="17550.89"/>
    <x v="0"/>
  </r>
  <r>
    <x v="5"/>
    <x v="0"/>
    <x v="8"/>
    <x v="1"/>
    <x v="17"/>
    <x v="1"/>
    <x v="0"/>
    <n v="6"/>
    <n v="21862.86"/>
    <n v="51162.97"/>
    <x v="0"/>
  </r>
  <r>
    <x v="5"/>
    <x v="0"/>
    <x v="8"/>
    <x v="1"/>
    <x v="17"/>
    <x v="1"/>
    <x v="1"/>
    <n v="10"/>
    <n v="32183.27"/>
    <n v="76002.17"/>
    <x v="0"/>
  </r>
  <r>
    <x v="5"/>
    <x v="0"/>
    <x v="8"/>
    <x v="1"/>
    <x v="18"/>
    <x v="0"/>
    <x v="1"/>
    <n v="18"/>
    <n v="62633.96"/>
    <n v="218315.88"/>
    <x v="0"/>
  </r>
  <r>
    <x v="5"/>
    <x v="0"/>
    <x v="8"/>
    <x v="1"/>
    <x v="18"/>
    <x v="1"/>
    <x v="0"/>
    <n v="9"/>
    <n v="29846.53"/>
    <n v="74377.22"/>
    <x v="0"/>
  </r>
  <r>
    <x v="5"/>
    <x v="0"/>
    <x v="8"/>
    <x v="1"/>
    <x v="18"/>
    <x v="1"/>
    <x v="1"/>
    <n v="26"/>
    <n v="85866.71"/>
    <n v="212234.99"/>
    <x v="0"/>
  </r>
  <r>
    <x v="5"/>
    <x v="0"/>
    <x v="8"/>
    <x v="1"/>
    <x v="19"/>
    <x v="0"/>
    <x v="1"/>
    <n v="6"/>
    <n v="21595.37"/>
    <n v="77480.73"/>
    <x v="0"/>
  </r>
  <r>
    <x v="5"/>
    <x v="0"/>
    <x v="8"/>
    <x v="1"/>
    <x v="19"/>
    <x v="1"/>
    <x v="0"/>
    <n v="18"/>
    <n v="56474.59"/>
    <n v="133295.99"/>
    <x v="0"/>
  </r>
  <r>
    <x v="5"/>
    <x v="0"/>
    <x v="8"/>
    <x v="1"/>
    <x v="19"/>
    <x v="1"/>
    <x v="1"/>
    <n v="15"/>
    <n v="44915.97"/>
    <n v="108507.24"/>
    <x v="0"/>
  </r>
  <r>
    <x v="5"/>
    <x v="0"/>
    <x v="8"/>
    <x v="1"/>
    <x v="20"/>
    <x v="0"/>
    <x v="0"/>
    <n v="2"/>
    <n v="6764.12"/>
    <n v="23543.87"/>
    <x v="0"/>
  </r>
  <r>
    <x v="5"/>
    <x v="0"/>
    <x v="8"/>
    <x v="1"/>
    <x v="20"/>
    <x v="0"/>
    <x v="1"/>
    <n v="12"/>
    <n v="42532.37"/>
    <n v="152821.10999999999"/>
    <x v="0"/>
  </r>
  <r>
    <x v="5"/>
    <x v="0"/>
    <x v="8"/>
    <x v="1"/>
    <x v="20"/>
    <x v="1"/>
    <x v="0"/>
    <n v="14"/>
    <n v="41781.870000000003"/>
    <n v="98640.06"/>
    <x v="0"/>
  </r>
  <r>
    <x v="5"/>
    <x v="0"/>
    <x v="8"/>
    <x v="1"/>
    <x v="20"/>
    <x v="1"/>
    <x v="1"/>
    <n v="13"/>
    <n v="45362.66"/>
    <n v="107848.05"/>
    <x v="0"/>
  </r>
  <r>
    <x v="5"/>
    <x v="0"/>
    <x v="8"/>
    <x v="2"/>
    <x v="21"/>
    <x v="0"/>
    <x v="0"/>
    <n v="3"/>
    <n v="9133.43"/>
    <n v="33389.49"/>
    <x v="0"/>
  </r>
  <r>
    <x v="5"/>
    <x v="0"/>
    <x v="8"/>
    <x v="2"/>
    <x v="21"/>
    <x v="1"/>
    <x v="1"/>
    <n v="2"/>
    <n v="8088.78"/>
    <n v="16684.47"/>
    <x v="0"/>
  </r>
  <r>
    <x v="5"/>
    <x v="0"/>
    <x v="8"/>
    <x v="2"/>
    <x v="22"/>
    <x v="0"/>
    <x v="1"/>
    <n v="6"/>
    <n v="20105"/>
    <n v="70631.61"/>
    <x v="0"/>
  </r>
  <r>
    <x v="5"/>
    <x v="0"/>
    <x v="8"/>
    <x v="2"/>
    <x v="22"/>
    <x v="1"/>
    <x v="0"/>
    <n v="13"/>
    <n v="48408.09"/>
    <n v="102839.17"/>
    <x v="0"/>
  </r>
  <r>
    <x v="5"/>
    <x v="0"/>
    <x v="8"/>
    <x v="2"/>
    <x v="22"/>
    <x v="1"/>
    <x v="1"/>
    <n v="11"/>
    <n v="32143.52"/>
    <n v="70648.3"/>
    <x v="0"/>
  </r>
  <r>
    <x v="5"/>
    <x v="0"/>
    <x v="8"/>
    <x v="2"/>
    <x v="29"/>
    <x v="0"/>
    <x v="1"/>
    <n v="4"/>
    <n v="10714.4"/>
    <n v="38526.339999999997"/>
    <x v="0"/>
  </r>
  <r>
    <x v="5"/>
    <x v="0"/>
    <x v="8"/>
    <x v="2"/>
    <x v="29"/>
    <x v="1"/>
    <x v="1"/>
    <n v="10"/>
    <n v="38008.97"/>
    <n v="85581.11"/>
    <x v="0"/>
  </r>
  <r>
    <x v="5"/>
    <x v="0"/>
    <x v="8"/>
    <x v="2"/>
    <x v="23"/>
    <x v="1"/>
    <x v="1"/>
    <n v="2"/>
    <n v="6650.13"/>
    <n v="14926.81"/>
    <x v="0"/>
  </r>
  <r>
    <x v="5"/>
    <x v="0"/>
    <x v="8"/>
    <x v="2"/>
    <x v="24"/>
    <x v="0"/>
    <x v="1"/>
    <n v="4"/>
    <n v="14587.02"/>
    <n v="50940.37"/>
    <x v="0"/>
  </r>
  <r>
    <x v="5"/>
    <x v="0"/>
    <x v="8"/>
    <x v="2"/>
    <x v="24"/>
    <x v="1"/>
    <x v="0"/>
    <n v="7"/>
    <n v="25577.08"/>
    <n v="56760.639999999999"/>
    <x v="0"/>
  </r>
  <r>
    <x v="5"/>
    <x v="0"/>
    <x v="8"/>
    <x v="2"/>
    <x v="24"/>
    <x v="1"/>
    <x v="1"/>
    <n v="2"/>
    <n v="8097.62"/>
    <n v="16985.830000000002"/>
    <x v="0"/>
  </r>
  <r>
    <x v="5"/>
    <x v="0"/>
    <x v="8"/>
    <x v="3"/>
    <x v="25"/>
    <x v="0"/>
    <x v="1"/>
    <n v="1"/>
    <n v="2817.28"/>
    <n v="9845.6200000000008"/>
    <x v="0"/>
  </r>
  <r>
    <x v="5"/>
    <x v="0"/>
    <x v="8"/>
    <x v="3"/>
    <x v="25"/>
    <x v="1"/>
    <x v="0"/>
    <n v="4"/>
    <n v="11358.29"/>
    <n v="27856.68"/>
    <x v="0"/>
  </r>
  <r>
    <x v="5"/>
    <x v="0"/>
    <x v="8"/>
    <x v="3"/>
    <x v="26"/>
    <x v="0"/>
    <x v="0"/>
    <n v="3"/>
    <n v="11603.44"/>
    <n v="41094.75"/>
    <x v="0"/>
  </r>
  <r>
    <x v="5"/>
    <x v="0"/>
    <x v="8"/>
    <x v="3"/>
    <x v="26"/>
    <x v="0"/>
    <x v="1"/>
    <n v="1"/>
    <n v="2464.0700000000002"/>
    <n v="8561.41"/>
    <x v="0"/>
  </r>
  <r>
    <x v="5"/>
    <x v="0"/>
    <x v="8"/>
    <x v="3"/>
    <x v="26"/>
    <x v="1"/>
    <x v="0"/>
    <n v="4"/>
    <n v="14217.11"/>
    <n v="34669.31"/>
    <x v="0"/>
  </r>
  <r>
    <x v="5"/>
    <x v="0"/>
    <x v="8"/>
    <x v="3"/>
    <x v="26"/>
    <x v="1"/>
    <x v="1"/>
    <n v="33"/>
    <n v="113493.21"/>
    <n v="276397.84000000003"/>
    <x v="0"/>
  </r>
  <r>
    <x v="5"/>
    <x v="0"/>
    <x v="8"/>
    <x v="3"/>
    <x v="27"/>
    <x v="0"/>
    <x v="0"/>
    <n v="3"/>
    <n v="9233.4599999999991"/>
    <n v="33389.49"/>
    <x v="0"/>
  </r>
  <r>
    <x v="5"/>
    <x v="0"/>
    <x v="8"/>
    <x v="3"/>
    <x v="27"/>
    <x v="0"/>
    <x v="1"/>
    <n v="9"/>
    <n v="27849.41"/>
    <n v="98884.26"/>
    <x v="0"/>
  </r>
  <r>
    <x v="5"/>
    <x v="0"/>
    <x v="8"/>
    <x v="3"/>
    <x v="27"/>
    <x v="1"/>
    <x v="0"/>
    <n v="16"/>
    <n v="52454.18"/>
    <n v="125774.79"/>
    <x v="0"/>
  </r>
  <r>
    <x v="5"/>
    <x v="0"/>
    <x v="8"/>
    <x v="3"/>
    <x v="27"/>
    <x v="1"/>
    <x v="1"/>
    <n v="13"/>
    <n v="48956.22"/>
    <n v="117950.09"/>
    <x v="0"/>
  </r>
  <r>
    <x v="5"/>
    <x v="0"/>
    <x v="9"/>
    <x v="0"/>
    <x v="0"/>
    <x v="0"/>
    <x v="0"/>
    <n v="1"/>
    <n v="2123.64"/>
    <n v="7529.06"/>
    <x v="0"/>
  </r>
  <r>
    <x v="5"/>
    <x v="0"/>
    <x v="9"/>
    <x v="0"/>
    <x v="0"/>
    <x v="1"/>
    <x v="0"/>
    <n v="10"/>
    <n v="26416.31"/>
    <n v="58362.92"/>
    <x v="0"/>
  </r>
  <r>
    <x v="5"/>
    <x v="0"/>
    <x v="9"/>
    <x v="0"/>
    <x v="0"/>
    <x v="1"/>
    <x v="1"/>
    <n v="13"/>
    <n v="33772.800000000003"/>
    <n v="76673.820000000007"/>
    <x v="0"/>
  </r>
  <r>
    <x v="5"/>
    <x v="0"/>
    <x v="9"/>
    <x v="0"/>
    <x v="1"/>
    <x v="0"/>
    <x v="0"/>
    <n v="5"/>
    <n v="13083.77"/>
    <n v="44457.34"/>
    <x v="0"/>
  </r>
  <r>
    <x v="5"/>
    <x v="0"/>
    <x v="9"/>
    <x v="0"/>
    <x v="1"/>
    <x v="0"/>
    <x v="1"/>
    <n v="4"/>
    <n v="11040.74"/>
    <n v="38003.839999999997"/>
    <x v="0"/>
  </r>
  <r>
    <x v="5"/>
    <x v="0"/>
    <x v="9"/>
    <x v="0"/>
    <x v="1"/>
    <x v="1"/>
    <x v="0"/>
    <n v="7"/>
    <n v="16817.73"/>
    <n v="37576.85"/>
    <x v="0"/>
  </r>
  <r>
    <x v="5"/>
    <x v="0"/>
    <x v="9"/>
    <x v="0"/>
    <x v="1"/>
    <x v="1"/>
    <x v="1"/>
    <n v="10"/>
    <n v="29468.37"/>
    <n v="64772.49"/>
    <x v="0"/>
  </r>
  <r>
    <x v="5"/>
    <x v="0"/>
    <x v="9"/>
    <x v="0"/>
    <x v="2"/>
    <x v="1"/>
    <x v="0"/>
    <n v="4"/>
    <n v="8415.7999999999993"/>
    <n v="18702.189999999999"/>
    <x v="0"/>
  </r>
  <r>
    <x v="5"/>
    <x v="0"/>
    <x v="9"/>
    <x v="0"/>
    <x v="2"/>
    <x v="1"/>
    <x v="1"/>
    <n v="5"/>
    <n v="11904.86"/>
    <n v="24936.27"/>
    <x v="0"/>
  </r>
  <r>
    <x v="5"/>
    <x v="0"/>
    <x v="9"/>
    <x v="0"/>
    <x v="3"/>
    <x v="0"/>
    <x v="1"/>
    <n v="8"/>
    <n v="20225.96"/>
    <n v="69554.22"/>
    <x v="0"/>
  </r>
  <r>
    <x v="5"/>
    <x v="0"/>
    <x v="9"/>
    <x v="0"/>
    <x v="3"/>
    <x v="1"/>
    <x v="0"/>
    <n v="12"/>
    <n v="26169.45"/>
    <n v="59018.2"/>
    <x v="0"/>
  </r>
  <r>
    <x v="5"/>
    <x v="0"/>
    <x v="9"/>
    <x v="0"/>
    <x v="3"/>
    <x v="1"/>
    <x v="1"/>
    <n v="16"/>
    <n v="48223.35"/>
    <n v="103019.28"/>
    <x v="0"/>
  </r>
  <r>
    <x v="5"/>
    <x v="0"/>
    <x v="9"/>
    <x v="0"/>
    <x v="4"/>
    <x v="0"/>
    <x v="1"/>
    <n v="1"/>
    <n v="2396.71"/>
    <n v="8246.1200000000008"/>
    <x v="0"/>
  </r>
  <r>
    <x v="5"/>
    <x v="0"/>
    <x v="9"/>
    <x v="0"/>
    <x v="4"/>
    <x v="1"/>
    <x v="0"/>
    <n v="6"/>
    <n v="15782.58"/>
    <n v="34265.919999999998"/>
    <x v="0"/>
  </r>
  <r>
    <x v="5"/>
    <x v="0"/>
    <x v="9"/>
    <x v="0"/>
    <x v="4"/>
    <x v="1"/>
    <x v="1"/>
    <n v="2"/>
    <n v="5474.13"/>
    <n v="11931.78"/>
    <x v="0"/>
  </r>
  <r>
    <x v="5"/>
    <x v="0"/>
    <x v="9"/>
    <x v="0"/>
    <x v="5"/>
    <x v="0"/>
    <x v="1"/>
    <n v="2"/>
    <n v="4228.32"/>
    <n v="15058.12"/>
    <x v="0"/>
  </r>
  <r>
    <x v="5"/>
    <x v="0"/>
    <x v="9"/>
    <x v="0"/>
    <x v="5"/>
    <x v="1"/>
    <x v="0"/>
    <n v="3"/>
    <n v="7473.9"/>
    <n v="17011.38"/>
    <x v="0"/>
  </r>
  <r>
    <x v="5"/>
    <x v="0"/>
    <x v="9"/>
    <x v="0"/>
    <x v="5"/>
    <x v="1"/>
    <x v="1"/>
    <n v="17"/>
    <n v="45507.55"/>
    <n v="102068.31"/>
    <x v="0"/>
  </r>
  <r>
    <x v="5"/>
    <x v="0"/>
    <x v="9"/>
    <x v="0"/>
    <x v="6"/>
    <x v="0"/>
    <x v="1"/>
    <n v="1"/>
    <n v="2416.23"/>
    <n v="8246.1200000000008"/>
    <x v="0"/>
  </r>
  <r>
    <x v="5"/>
    <x v="0"/>
    <x v="9"/>
    <x v="0"/>
    <x v="7"/>
    <x v="1"/>
    <x v="1"/>
    <n v="1"/>
    <n v="2034.84"/>
    <n v="4789.92"/>
    <x v="0"/>
  </r>
  <r>
    <x v="5"/>
    <x v="0"/>
    <x v="9"/>
    <x v="1"/>
    <x v="9"/>
    <x v="1"/>
    <x v="1"/>
    <n v="9"/>
    <n v="30403.55"/>
    <n v="70194.880000000005"/>
    <x v="0"/>
  </r>
  <r>
    <x v="5"/>
    <x v="0"/>
    <x v="9"/>
    <x v="1"/>
    <x v="10"/>
    <x v="0"/>
    <x v="1"/>
    <n v="5"/>
    <n v="12809.93"/>
    <n v="44457.34"/>
    <x v="0"/>
  </r>
  <r>
    <x v="5"/>
    <x v="0"/>
    <x v="9"/>
    <x v="1"/>
    <x v="10"/>
    <x v="1"/>
    <x v="0"/>
    <n v="7"/>
    <n v="17481.439999999999"/>
    <n v="40834.06"/>
    <x v="0"/>
  </r>
  <r>
    <x v="5"/>
    <x v="0"/>
    <x v="9"/>
    <x v="1"/>
    <x v="10"/>
    <x v="1"/>
    <x v="1"/>
    <n v="21"/>
    <n v="55088.05"/>
    <n v="131551.57999999999"/>
    <x v="0"/>
  </r>
  <r>
    <x v="5"/>
    <x v="0"/>
    <x v="9"/>
    <x v="1"/>
    <x v="11"/>
    <x v="0"/>
    <x v="1"/>
    <n v="4"/>
    <n v="9972.9"/>
    <n v="34418.58"/>
    <x v="0"/>
  </r>
  <r>
    <x v="5"/>
    <x v="0"/>
    <x v="9"/>
    <x v="1"/>
    <x v="11"/>
    <x v="1"/>
    <x v="0"/>
    <n v="9"/>
    <n v="27678.79"/>
    <n v="61128.86"/>
    <x v="0"/>
  </r>
  <r>
    <x v="5"/>
    <x v="0"/>
    <x v="9"/>
    <x v="1"/>
    <x v="11"/>
    <x v="1"/>
    <x v="1"/>
    <n v="38"/>
    <n v="91971.76"/>
    <n v="207407.49"/>
    <x v="0"/>
  </r>
  <r>
    <x v="5"/>
    <x v="0"/>
    <x v="9"/>
    <x v="1"/>
    <x v="12"/>
    <x v="1"/>
    <x v="0"/>
    <n v="1"/>
    <n v="2128.7600000000002"/>
    <n v="4904.6499999999996"/>
    <x v="0"/>
  </r>
  <r>
    <x v="5"/>
    <x v="0"/>
    <x v="9"/>
    <x v="1"/>
    <x v="12"/>
    <x v="1"/>
    <x v="1"/>
    <n v="5"/>
    <n v="16999.900000000001"/>
    <n v="39237.18"/>
    <x v="0"/>
  </r>
  <r>
    <x v="5"/>
    <x v="0"/>
    <x v="9"/>
    <x v="1"/>
    <x v="13"/>
    <x v="0"/>
    <x v="1"/>
    <n v="3"/>
    <n v="10080.620000000001"/>
    <n v="34418.58"/>
    <x v="0"/>
  </r>
  <r>
    <x v="5"/>
    <x v="0"/>
    <x v="9"/>
    <x v="1"/>
    <x v="13"/>
    <x v="1"/>
    <x v="0"/>
    <n v="1"/>
    <n v="3330.11"/>
    <n v="7813.02"/>
    <x v="0"/>
  </r>
  <r>
    <x v="5"/>
    <x v="0"/>
    <x v="9"/>
    <x v="1"/>
    <x v="13"/>
    <x v="1"/>
    <x v="1"/>
    <n v="9"/>
    <n v="25466.18"/>
    <n v="59330.12"/>
    <x v="0"/>
  </r>
  <r>
    <x v="5"/>
    <x v="0"/>
    <x v="9"/>
    <x v="1"/>
    <x v="14"/>
    <x v="0"/>
    <x v="1"/>
    <n v="1"/>
    <n v="3371.64"/>
    <n v="11472.86"/>
    <x v="0"/>
  </r>
  <r>
    <x v="5"/>
    <x v="0"/>
    <x v="9"/>
    <x v="1"/>
    <x v="14"/>
    <x v="1"/>
    <x v="0"/>
    <n v="16"/>
    <n v="44693.84"/>
    <n v="102504.27"/>
    <x v="0"/>
  </r>
  <r>
    <x v="5"/>
    <x v="0"/>
    <x v="9"/>
    <x v="1"/>
    <x v="14"/>
    <x v="1"/>
    <x v="1"/>
    <n v="2"/>
    <n v="6713.94"/>
    <n v="15327.74"/>
    <x v="0"/>
  </r>
  <r>
    <x v="5"/>
    <x v="0"/>
    <x v="9"/>
    <x v="1"/>
    <x v="15"/>
    <x v="1"/>
    <x v="1"/>
    <n v="2"/>
    <n v="6742.16"/>
    <n v="15855.49"/>
    <x v="0"/>
  </r>
  <r>
    <x v="5"/>
    <x v="0"/>
    <x v="9"/>
    <x v="1"/>
    <x v="16"/>
    <x v="0"/>
    <x v="1"/>
    <n v="4"/>
    <n v="9041.24"/>
    <n v="31191.84"/>
    <x v="0"/>
  </r>
  <r>
    <x v="5"/>
    <x v="0"/>
    <x v="9"/>
    <x v="1"/>
    <x v="16"/>
    <x v="1"/>
    <x v="0"/>
    <n v="10"/>
    <n v="24945.52"/>
    <n v="56071.33"/>
    <x v="0"/>
  </r>
  <r>
    <x v="5"/>
    <x v="0"/>
    <x v="9"/>
    <x v="1"/>
    <x v="16"/>
    <x v="1"/>
    <x v="1"/>
    <n v="4"/>
    <n v="8564.14"/>
    <n v="19580.580000000002"/>
    <x v="0"/>
  </r>
  <r>
    <x v="5"/>
    <x v="0"/>
    <x v="9"/>
    <x v="1"/>
    <x v="17"/>
    <x v="0"/>
    <x v="1"/>
    <n v="4"/>
    <n v="10941.65"/>
    <n v="38003.839999999997"/>
    <x v="0"/>
  </r>
  <r>
    <x v="5"/>
    <x v="0"/>
    <x v="9"/>
    <x v="1"/>
    <x v="17"/>
    <x v="1"/>
    <x v="0"/>
    <n v="1"/>
    <n v="2023.2"/>
    <n v="4761.24"/>
    <x v="0"/>
  </r>
  <r>
    <x v="5"/>
    <x v="0"/>
    <x v="9"/>
    <x v="1"/>
    <x v="17"/>
    <x v="1"/>
    <x v="1"/>
    <n v="2"/>
    <n v="4350.74"/>
    <n v="9998.59"/>
    <x v="0"/>
  </r>
  <r>
    <x v="5"/>
    <x v="0"/>
    <x v="9"/>
    <x v="1"/>
    <x v="18"/>
    <x v="0"/>
    <x v="1"/>
    <n v="10"/>
    <n v="28098.86"/>
    <n v="95726.66"/>
    <x v="0"/>
  </r>
  <r>
    <x v="5"/>
    <x v="0"/>
    <x v="9"/>
    <x v="1"/>
    <x v="18"/>
    <x v="1"/>
    <x v="0"/>
    <n v="3"/>
    <n v="6227.5"/>
    <n v="14745.54"/>
    <x v="0"/>
  </r>
  <r>
    <x v="5"/>
    <x v="0"/>
    <x v="9"/>
    <x v="1"/>
    <x v="18"/>
    <x v="1"/>
    <x v="1"/>
    <n v="29"/>
    <n v="81558.820000000007"/>
    <n v="193384.32000000001"/>
    <x v="0"/>
  </r>
  <r>
    <x v="5"/>
    <x v="0"/>
    <x v="9"/>
    <x v="1"/>
    <x v="19"/>
    <x v="0"/>
    <x v="1"/>
    <n v="1"/>
    <n v="2085.52"/>
    <n v="7529.06"/>
    <x v="0"/>
  </r>
  <r>
    <x v="5"/>
    <x v="0"/>
    <x v="9"/>
    <x v="1"/>
    <x v="19"/>
    <x v="1"/>
    <x v="0"/>
    <n v="6"/>
    <n v="13728.48"/>
    <n v="31897.43"/>
    <x v="0"/>
  </r>
  <r>
    <x v="5"/>
    <x v="0"/>
    <x v="9"/>
    <x v="1"/>
    <x v="19"/>
    <x v="1"/>
    <x v="1"/>
    <n v="12"/>
    <n v="30034.32"/>
    <n v="69594.39"/>
    <x v="0"/>
  </r>
  <r>
    <x v="5"/>
    <x v="0"/>
    <x v="9"/>
    <x v="1"/>
    <x v="20"/>
    <x v="0"/>
    <x v="0"/>
    <n v="1"/>
    <n v="2005.43"/>
    <n v="7170.54"/>
    <x v="0"/>
  </r>
  <r>
    <x v="5"/>
    <x v="0"/>
    <x v="9"/>
    <x v="1"/>
    <x v="20"/>
    <x v="0"/>
    <x v="1"/>
    <n v="3"/>
    <n v="8840.86"/>
    <n v="30116.26"/>
    <x v="0"/>
  </r>
  <r>
    <x v="5"/>
    <x v="0"/>
    <x v="9"/>
    <x v="1"/>
    <x v="20"/>
    <x v="1"/>
    <x v="0"/>
    <n v="6"/>
    <n v="20730.830000000002"/>
    <n v="45639.040000000001"/>
    <x v="0"/>
  </r>
  <r>
    <x v="5"/>
    <x v="0"/>
    <x v="9"/>
    <x v="1"/>
    <x v="20"/>
    <x v="1"/>
    <x v="1"/>
    <n v="21"/>
    <n v="45794.32"/>
    <n v="106491.07"/>
    <x v="0"/>
  </r>
  <r>
    <x v="5"/>
    <x v="0"/>
    <x v="9"/>
    <x v="2"/>
    <x v="21"/>
    <x v="0"/>
    <x v="0"/>
    <n v="1"/>
    <n v="2103.8000000000002"/>
    <n v="7529.06"/>
    <x v="0"/>
  </r>
  <r>
    <x v="5"/>
    <x v="0"/>
    <x v="9"/>
    <x v="2"/>
    <x v="21"/>
    <x v="1"/>
    <x v="1"/>
    <n v="8"/>
    <n v="23350.63"/>
    <n v="48690.45"/>
    <x v="0"/>
  </r>
  <r>
    <x v="5"/>
    <x v="0"/>
    <x v="9"/>
    <x v="2"/>
    <x v="22"/>
    <x v="0"/>
    <x v="1"/>
    <n v="1"/>
    <n v="3318.85"/>
    <n v="11472.86"/>
    <x v="0"/>
  </r>
  <r>
    <x v="5"/>
    <x v="0"/>
    <x v="9"/>
    <x v="2"/>
    <x v="22"/>
    <x v="1"/>
    <x v="0"/>
    <n v="12"/>
    <n v="29882.83"/>
    <n v="62882.75"/>
    <x v="0"/>
  </r>
  <r>
    <x v="5"/>
    <x v="0"/>
    <x v="9"/>
    <x v="2"/>
    <x v="22"/>
    <x v="1"/>
    <x v="1"/>
    <n v="15"/>
    <n v="43391.15"/>
    <n v="89242.66"/>
    <x v="0"/>
  </r>
  <r>
    <x v="5"/>
    <x v="0"/>
    <x v="9"/>
    <x v="2"/>
    <x v="29"/>
    <x v="0"/>
    <x v="1"/>
    <n v="3"/>
    <n v="6332.43"/>
    <n v="21870.14"/>
    <x v="0"/>
  </r>
  <r>
    <x v="5"/>
    <x v="0"/>
    <x v="9"/>
    <x v="2"/>
    <x v="29"/>
    <x v="1"/>
    <x v="1"/>
    <n v="3"/>
    <n v="8771.25"/>
    <n v="19485.22"/>
    <x v="0"/>
  </r>
  <r>
    <x v="5"/>
    <x v="0"/>
    <x v="9"/>
    <x v="2"/>
    <x v="24"/>
    <x v="0"/>
    <x v="1"/>
    <n v="2"/>
    <n v="5747.57"/>
    <n v="19718.98"/>
    <x v="0"/>
  </r>
  <r>
    <x v="5"/>
    <x v="0"/>
    <x v="9"/>
    <x v="3"/>
    <x v="25"/>
    <x v="0"/>
    <x v="1"/>
    <n v="1"/>
    <n v="2106.56"/>
    <n v="7170.54"/>
    <x v="0"/>
  </r>
  <r>
    <x v="5"/>
    <x v="0"/>
    <x v="9"/>
    <x v="3"/>
    <x v="25"/>
    <x v="1"/>
    <x v="0"/>
    <n v="8"/>
    <n v="23326.63"/>
    <n v="54030.01"/>
    <x v="0"/>
  </r>
  <r>
    <x v="5"/>
    <x v="0"/>
    <x v="9"/>
    <x v="3"/>
    <x v="25"/>
    <x v="1"/>
    <x v="1"/>
    <n v="15"/>
    <n v="43664.7"/>
    <n v="103148.2"/>
    <x v="0"/>
  </r>
  <r>
    <x v="5"/>
    <x v="0"/>
    <x v="9"/>
    <x v="3"/>
    <x v="26"/>
    <x v="1"/>
    <x v="0"/>
    <n v="9"/>
    <n v="22180.01"/>
    <n v="51950.559999999998"/>
    <x v="0"/>
  </r>
  <r>
    <x v="5"/>
    <x v="0"/>
    <x v="9"/>
    <x v="3"/>
    <x v="26"/>
    <x v="1"/>
    <x v="1"/>
    <n v="16"/>
    <n v="39150.879999999997"/>
    <n v="93016.22"/>
    <x v="0"/>
  </r>
  <r>
    <x v="5"/>
    <x v="0"/>
    <x v="9"/>
    <x v="3"/>
    <x v="27"/>
    <x v="0"/>
    <x v="0"/>
    <n v="2"/>
    <n v="3998.64"/>
    <n v="14341.08"/>
    <x v="0"/>
  </r>
  <r>
    <x v="5"/>
    <x v="0"/>
    <x v="9"/>
    <x v="3"/>
    <x v="27"/>
    <x v="0"/>
    <x v="1"/>
    <n v="4"/>
    <n v="12060.57"/>
    <n v="41589.120000000003"/>
    <x v="0"/>
  </r>
  <r>
    <x v="5"/>
    <x v="0"/>
    <x v="9"/>
    <x v="3"/>
    <x v="27"/>
    <x v="1"/>
    <x v="0"/>
    <n v="7"/>
    <n v="16018.76"/>
    <n v="37113.18"/>
    <x v="0"/>
  </r>
  <r>
    <x v="5"/>
    <x v="0"/>
    <x v="9"/>
    <x v="3"/>
    <x v="27"/>
    <x v="1"/>
    <x v="1"/>
    <n v="28"/>
    <n v="62812.33"/>
    <n v="146005.85"/>
    <x v="0"/>
  </r>
  <r>
    <x v="5"/>
    <x v="1"/>
    <x v="0"/>
    <x v="0"/>
    <x v="0"/>
    <x v="0"/>
    <x v="0"/>
    <n v="1"/>
    <n v="6020.09"/>
    <n v="23322.38"/>
    <x v="1"/>
  </r>
  <r>
    <x v="5"/>
    <x v="1"/>
    <x v="0"/>
    <x v="0"/>
    <x v="0"/>
    <x v="0"/>
    <x v="1"/>
    <n v="4"/>
    <n v="32186.81"/>
    <n v="131111.51999999999"/>
    <x v="1"/>
  </r>
  <r>
    <x v="5"/>
    <x v="1"/>
    <x v="0"/>
    <x v="0"/>
    <x v="0"/>
    <x v="1"/>
    <x v="0"/>
    <n v="7"/>
    <n v="40639.730000000003"/>
    <n v="107925.56"/>
    <x v="1"/>
  </r>
  <r>
    <x v="5"/>
    <x v="1"/>
    <x v="0"/>
    <x v="0"/>
    <x v="0"/>
    <x v="1"/>
    <x v="1"/>
    <n v="10"/>
    <n v="75611.56"/>
    <n v="202169.57"/>
    <x v="1"/>
  </r>
  <r>
    <x v="5"/>
    <x v="1"/>
    <x v="0"/>
    <x v="0"/>
    <x v="1"/>
    <x v="0"/>
    <x v="0"/>
    <n v="12"/>
    <n v="92489.81"/>
    <n v="401929.96"/>
    <x v="1"/>
  </r>
  <r>
    <x v="5"/>
    <x v="1"/>
    <x v="0"/>
    <x v="0"/>
    <x v="1"/>
    <x v="0"/>
    <x v="1"/>
    <n v="3"/>
    <n v="24360.720000000001"/>
    <n v="103072.21"/>
    <x v="1"/>
  </r>
  <r>
    <x v="5"/>
    <x v="1"/>
    <x v="0"/>
    <x v="0"/>
    <x v="1"/>
    <x v="1"/>
    <x v="0"/>
    <n v="17"/>
    <n v="121476.15"/>
    <n v="325138.39"/>
    <x v="1"/>
  </r>
  <r>
    <x v="5"/>
    <x v="1"/>
    <x v="0"/>
    <x v="0"/>
    <x v="1"/>
    <x v="1"/>
    <x v="1"/>
    <n v="16"/>
    <n v="116448.62"/>
    <n v="327698.71999999997"/>
    <x v="1"/>
  </r>
  <r>
    <x v="5"/>
    <x v="1"/>
    <x v="0"/>
    <x v="0"/>
    <x v="2"/>
    <x v="0"/>
    <x v="1"/>
    <n v="10"/>
    <n v="63555.6"/>
    <n v="272396.08"/>
    <x v="1"/>
  </r>
  <r>
    <x v="5"/>
    <x v="1"/>
    <x v="0"/>
    <x v="0"/>
    <x v="2"/>
    <x v="1"/>
    <x v="0"/>
    <n v="5"/>
    <n v="39553.07"/>
    <n v="101099.63"/>
    <x v="1"/>
  </r>
  <r>
    <x v="5"/>
    <x v="1"/>
    <x v="0"/>
    <x v="0"/>
    <x v="2"/>
    <x v="1"/>
    <x v="1"/>
    <n v="6"/>
    <n v="36098.28"/>
    <n v="96988.5"/>
    <x v="1"/>
  </r>
  <r>
    <x v="5"/>
    <x v="1"/>
    <x v="0"/>
    <x v="0"/>
    <x v="3"/>
    <x v="0"/>
    <x v="1"/>
    <n v="4"/>
    <n v="25007.200000000001"/>
    <n v="105370.73"/>
    <x v="1"/>
  </r>
  <r>
    <x v="5"/>
    <x v="1"/>
    <x v="0"/>
    <x v="0"/>
    <x v="3"/>
    <x v="1"/>
    <x v="0"/>
    <n v="8"/>
    <n v="51922.8"/>
    <n v="131864.89000000001"/>
    <x v="1"/>
  </r>
  <r>
    <x v="5"/>
    <x v="1"/>
    <x v="0"/>
    <x v="0"/>
    <x v="3"/>
    <x v="1"/>
    <x v="1"/>
    <n v="37"/>
    <n v="258468"/>
    <n v="679772.74"/>
    <x v="1"/>
  </r>
  <r>
    <x v="5"/>
    <x v="1"/>
    <x v="0"/>
    <x v="0"/>
    <x v="28"/>
    <x v="1"/>
    <x v="1"/>
    <n v="2"/>
    <n v="9833.36"/>
    <n v="27719.51"/>
    <x v="1"/>
  </r>
  <r>
    <x v="5"/>
    <x v="1"/>
    <x v="0"/>
    <x v="0"/>
    <x v="4"/>
    <x v="0"/>
    <x v="1"/>
    <n v="3"/>
    <n v="20661.86"/>
    <n v="88189.81"/>
    <x v="1"/>
  </r>
  <r>
    <x v="5"/>
    <x v="1"/>
    <x v="0"/>
    <x v="0"/>
    <x v="4"/>
    <x v="1"/>
    <x v="0"/>
    <n v="6"/>
    <n v="41344.43"/>
    <n v="112337.83"/>
    <x v="1"/>
  </r>
  <r>
    <x v="5"/>
    <x v="1"/>
    <x v="0"/>
    <x v="0"/>
    <x v="4"/>
    <x v="1"/>
    <x v="1"/>
    <n v="11"/>
    <n v="75551.509999999995"/>
    <n v="198652.01"/>
    <x v="1"/>
  </r>
  <r>
    <x v="5"/>
    <x v="1"/>
    <x v="0"/>
    <x v="0"/>
    <x v="5"/>
    <x v="0"/>
    <x v="1"/>
    <n v="5"/>
    <n v="31827.32"/>
    <n v="125495.9"/>
    <x v="1"/>
  </r>
  <r>
    <x v="5"/>
    <x v="1"/>
    <x v="0"/>
    <x v="0"/>
    <x v="5"/>
    <x v="1"/>
    <x v="0"/>
    <n v="1"/>
    <n v="7630.24"/>
    <n v="21823.49"/>
    <x v="1"/>
  </r>
  <r>
    <x v="5"/>
    <x v="1"/>
    <x v="0"/>
    <x v="0"/>
    <x v="5"/>
    <x v="1"/>
    <x v="1"/>
    <n v="30"/>
    <n v="193854.65"/>
    <n v="541433.36"/>
    <x v="1"/>
  </r>
  <r>
    <x v="5"/>
    <x v="1"/>
    <x v="0"/>
    <x v="0"/>
    <x v="6"/>
    <x v="0"/>
    <x v="1"/>
    <n v="4"/>
    <n v="27867.31"/>
    <n v="113300.82"/>
    <x v="1"/>
  </r>
  <r>
    <x v="5"/>
    <x v="1"/>
    <x v="0"/>
    <x v="0"/>
    <x v="6"/>
    <x v="1"/>
    <x v="1"/>
    <n v="6"/>
    <n v="37493.43"/>
    <n v="106353.82"/>
    <x v="1"/>
  </r>
  <r>
    <x v="5"/>
    <x v="1"/>
    <x v="0"/>
    <x v="0"/>
    <x v="7"/>
    <x v="1"/>
    <x v="1"/>
    <n v="1"/>
    <n v="5837.07"/>
    <n v="15941.09"/>
    <x v="1"/>
  </r>
  <r>
    <x v="5"/>
    <x v="1"/>
    <x v="0"/>
    <x v="0"/>
    <x v="8"/>
    <x v="0"/>
    <x v="1"/>
    <n v="2"/>
    <n v="12946.36"/>
    <n v="55985.46"/>
    <x v="1"/>
  </r>
  <r>
    <x v="5"/>
    <x v="1"/>
    <x v="0"/>
    <x v="0"/>
    <x v="8"/>
    <x v="1"/>
    <x v="1"/>
    <n v="2"/>
    <n v="9515.08"/>
    <n v="26323.94"/>
    <x v="1"/>
  </r>
  <r>
    <x v="5"/>
    <x v="1"/>
    <x v="0"/>
    <x v="1"/>
    <x v="30"/>
    <x v="1"/>
    <x v="0"/>
    <n v="2"/>
    <n v="16838.599999999999"/>
    <n v="46614.080000000002"/>
    <x v="1"/>
  </r>
  <r>
    <x v="5"/>
    <x v="1"/>
    <x v="0"/>
    <x v="1"/>
    <x v="9"/>
    <x v="1"/>
    <x v="1"/>
    <n v="3"/>
    <n v="15291.49"/>
    <n v="45689.74"/>
    <x v="1"/>
  </r>
  <r>
    <x v="5"/>
    <x v="1"/>
    <x v="0"/>
    <x v="1"/>
    <x v="31"/>
    <x v="1"/>
    <x v="0"/>
    <n v="11"/>
    <n v="64115.360000000001"/>
    <n v="197136.99"/>
    <x v="1"/>
  </r>
  <r>
    <x v="5"/>
    <x v="1"/>
    <x v="0"/>
    <x v="1"/>
    <x v="10"/>
    <x v="0"/>
    <x v="1"/>
    <n v="1"/>
    <n v="5313.03"/>
    <n v="24146.59"/>
    <x v="1"/>
  </r>
  <r>
    <x v="5"/>
    <x v="1"/>
    <x v="0"/>
    <x v="1"/>
    <x v="10"/>
    <x v="1"/>
    <x v="0"/>
    <n v="9"/>
    <n v="66625.350000000006"/>
    <n v="186442.32"/>
    <x v="1"/>
  </r>
  <r>
    <x v="5"/>
    <x v="1"/>
    <x v="0"/>
    <x v="1"/>
    <x v="10"/>
    <x v="1"/>
    <x v="1"/>
    <n v="33"/>
    <n v="224282.14"/>
    <n v="656938.43000000005"/>
    <x v="1"/>
  </r>
  <r>
    <x v="5"/>
    <x v="1"/>
    <x v="0"/>
    <x v="1"/>
    <x v="11"/>
    <x v="0"/>
    <x v="1"/>
    <n v="6"/>
    <n v="41662.17"/>
    <n v="183089.76"/>
    <x v="1"/>
  </r>
  <r>
    <x v="5"/>
    <x v="1"/>
    <x v="0"/>
    <x v="1"/>
    <x v="11"/>
    <x v="1"/>
    <x v="0"/>
    <n v="3"/>
    <n v="21185.81"/>
    <n v="59475.199999999997"/>
    <x v="1"/>
  </r>
  <r>
    <x v="5"/>
    <x v="1"/>
    <x v="0"/>
    <x v="1"/>
    <x v="11"/>
    <x v="1"/>
    <x v="1"/>
    <n v="18"/>
    <n v="125831.99"/>
    <n v="350648.31"/>
    <x v="1"/>
  </r>
  <r>
    <x v="5"/>
    <x v="1"/>
    <x v="0"/>
    <x v="1"/>
    <x v="13"/>
    <x v="0"/>
    <x v="1"/>
    <n v="4"/>
    <n v="32792.42"/>
    <n v="135255.26"/>
    <x v="1"/>
  </r>
  <r>
    <x v="5"/>
    <x v="1"/>
    <x v="0"/>
    <x v="1"/>
    <x v="13"/>
    <x v="1"/>
    <x v="1"/>
    <n v="11"/>
    <n v="80236.87"/>
    <n v="231093.1"/>
    <x v="1"/>
  </r>
  <r>
    <x v="5"/>
    <x v="1"/>
    <x v="0"/>
    <x v="1"/>
    <x v="14"/>
    <x v="0"/>
    <x v="1"/>
    <n v="2"/>
    <n v="13437.62"/>
    <n v="57534.6"/>
    <x v="1"/>
  </r>
  <r>
    <x v="5"/>
    <x v="1"/>
    <x v="0"/>
    <x v="1"/>
    <x v="14"/>
    <x v="1"/>
    <x v="0"/>
    <n v="11"/>
    <n v="78674.720000000001"/>
    <n v="227340.04"/>
    <x v="1"/>
  </r>
  <r>
    <x v="5"/>
    <x v="1"/>
    <x v="0"/>
    <x v="1"/>
    <x v="14"/>
    <x v="1"/>
    <x v="1"/>
    <n v="7"/>
    <n v="50537.11"/>
    <n v="144708.09"/>
    <x v="1"/>
  </r>
  <r>
    <x v="5"/>
    <x v="1"/>
    <x v="0"/>
    <x v="1"/>
    <x v="15"/>
    <x v="1"/>
    <x v="0"/>
    <n v="3"/>
    <n v="18028.82"/>
    <n v="56675.45"/>
    <x v="1"/>
  </r>
  <r>
    <x v="5"/>
    <x v="1"/>
    <x v="0"/>
    <x v="1"/>
    <x v="15"/>
    <x v="1"/>
    <x v="1"/>
    <n v="7"/>
    <n v="47184.17"/>
    <n v="128572.07"/>
    <x v="1"/>
  </r>
  <r>
    <x v="5"/>
    <x v="1"/>
    <x v="0"/>
    <x v="1"/>
    <x v="16"/>
    <x v="0"/>
    <x v="1"/>
    <n v="4"/>
    <n v="30661.14"/>
    <n v="131857.32999999999"/>
    <x v="1"/>
  </r>
  <r>
    <x v="5"/>
    <x v="1"/>
    <x v="0"/>
    <x v="1"/>
    <x v="16"/>
    <x v="1"/>
    <x v="0"/>
    <n v="2"/>
    <n v="16331.06"/>
    <n v="43762.26"/>
    <x v="1"/>
  </r>
  <r>
    <x v="5"/>
    <x v="1"/>
    <x v="0"/>
    <x v="1"/>
    <x v="16"/>
    <x v="1"/>
    <x v="1"/>
    <n v="3"/>
    <n v="23224.97"/>
    <n v="63974.65"/>
    <x v="1"/>
  </r>
  <r>
    <x v="5"/>
    <x v="1"/>
    <x v="0"/>
    <x v="1"/>
    <x v="17"/>
    <x v="0"/>
    <x v="1"/>
    <n v="5"/>
    <n v="33547.339999999997"/>
    <n v="144878.84"/>
    <x v="1"/>
  </r>
  <r>
    <x v="5"/>
    <x v="1"/>
    <x v="0"/>
    <x v="1"/>
    <x v="17"/>
    <x v="1"/>
    <x v="0"/>
    <n v="8"/>
    <n v="41390.92"/>
    <n v="124072.06"/>
    <x v="1"/>
  </r>
  <r>
    <x v="5"/>
    <x v="1"/>
    <x v="0"/>
    <x v="1"/>
    <x v="17"/>
    <x v="1"/>
    <x v="1"/>
    <n v="1"/>
    <n v="8218.76"/>
    <n v="22523.87"/>
    <x v="1"/>
  </r>
  <r>
    <x v="5"/>
    <x v="1"/>
    <x v="0"/>
    <x v="1"/>
    <x v="18"/>
    <x v="0"/>
    <x v="1"/>
    <n v="24"/>
    <n v="167793.88"/>
    <n v="689359.96"/>
    <x v="1"/>
  </r>
  <r>
    <x v="5"/>
    <x v="1"/>
    <x v="0"/>
    <x v="1"/>
    <x v="18"/>
    <x v="1"/>
    <x v="0"/>
    <n v="7"/>
    <n v="51596.62"/>
    <n v="151470.84"/>
    <x v="1"/>
  </r>
  <r>
    <x v="5"/>
    <x v="1"/>
    <x v="0"/>
    <x v="1"/>
    <x v="18"/>
    <x v="1"/>
    <x v="1"/>
    <n v="21"/>
    <n v="141046.6"/>
    <n v="396077.39"/>
    <x v="1"/>
  </r>
  <r>
    <x v="5"/>
    <x v="1"/>
    <x v="0"/>
    <x v="1"/>
    <x v="19"/>
    <x v="0"/>
    <x v="1"/>
    <n v="2"/>
    <n v="10927.28"/>
    <n v="45469.91"/>
    <x v="1"/>
  </r>
  <r>
    <x v="5"/>
    <x v="1"/>
    <x v="0"/>
    <x v="1"/>
    <x v="19"/>
    <x v="1"/>
    <x v="0"/>
    <n v="1"/>
    <n v="5827.89"/>
    <n v="15725.85"/>
    <x v="1"/>
  </r>
  <r>
    <x v="5"/>
    <x v="1"/>
    <x v="0"/>
    <x v="1"/>
    <x v="19"/>
    <x v="1"/>
    <x v="1"/>
    <n v="23"/>
    <n v="161491.32"/>
    <n v="454123.68"/>
    <x v="1"/>
  </r>
  <r>
    <x v="5"/>
    <x v="1"/>
    <x v="0"/>
    <x v="1"/>
    <x v="20"/>
    <x v="0"/>
    <x v="1"/>
    <n v="5"/>
    <n v="30909.69"/>
    <n v="139051.07999999999"/>
    <x v="1"/>
  </r>
  <r>
    <x v="5"/>
    <x v="1"/>
    <x v="0"/>
    <x v="1"/>
    <x v="20"/>
    <x v="1"/>
    <x v="0"/>
    <n v="6"/>
    <n v="36967.94"/>
    <n v="106702.78"/>
    <x v="1"/>
  </r>
  <r>
    <x v="5"/>
    <x v="1"/>
    <x v="0"/>
    <x v="1"/>
    <x v="20"/>
    <x v="1"/>
    <x v="1"/>
    <n v="18"/>
    <n v="129948.14"/>
    <n v="354314.45"/>
    <x v="1"/>
  </r>
  <r>
    <x v="5"/>
    <x v="1"/>
    <x v="0"/>
    <x v="2"/>
    <x v="21"/>
    <x v="0"/>
    <x v="0"/>
    <n v="2"/>
    <n v="11663.42"/>
    <n v="46725.84"/>
    <x v="1"/>
  </r>
  <r>
    <x v="5"/>
    <x v="1"/>
    <x v="0"/>
    <x v="2"/>
    <x v="21"/>
    <x v="1"/>
    <x v="1"/>
    <n v="1"/>
    <n v="4780.47"/>
    <n v="12906.11"/>
    <x v="1"/>
  </r>
  <r>
    <x v="5"/>
    <x v="1"/>
    <x v="0"/>
    <x v="2"/>
    <x v="22"/>
    <x v="0"/>
    <x v="1"/>
    <n v="1"/>
    <n v="7754.3"/>
    <n v="32635.01"/>
    <x v="1"/>
  </r>
  <r>
    <x v="5"/>
    <x v="1"/>
    <x v="0"/>
    <x v="2"/>
    <x v="22"/>
    <x v="1"/>
    <x v="0"/>
    <n v="6"/>
    <n v="39365.199999999997"/>
    <n v="99561.69"/>
    <x v="1"/>
  </r>
  <r>
    <x v="5"/>
    <x v="1"/>
    <x v="0"/>
    <x v="2"/>
    <x v="22"/>
    <x v="1"/>
    <x v="1"/>
    <n v="15"/>
    <n v="111568.88"/>
    <n v="280342.23"/>
    <x v="1"/>
  </r>
  <r>
    <x v="5"/>
    <x v="1"/>
    <x v="0"/>
    <x v="2"/>
    <x v="29"/>
    <x v="0"/>
    <x v="1"/>
    <n v="5"/>
    <n v="31331.56"/>
    <n v="135799.17000000001"/>
    <x v="1"/>
  </r>
  <r>
    <x v="5"/>
    <x v="1"/>
    <x v="0"/>
    <x v="2"/>
    <x v="29"/>
    <x v="1"/>
    <x v="1"/>
    <n v="5"/>
    <n v="41797.050000000003"/>
    <n v="107648.91"/>
    <x v="1"/>
  </r>
  <r>
    <x v="5"/>
    <x v="1"/>
    <x v="0"/>
    <x v="2"/>
    <x v="23"/>
    <x v="1"/>
    <x v="1"/>
    <n v="5"/>
    <n v="24534.3"/>
    <n v="67162.84"/>
    <x v="1"/>
  </r>
  <r>
    <x v="5"/>
    <x v="1"/>
    <x v="0"/>
    <x v="2"/>
    <x v="24"/>
    <x v="0"/>
    <x v="1"/>
    <n v="4"/>
    <n v="23902.65"/>
    <n v="103079.09"/>
    <x v="1"/>
  </r>
  <r>
    <x v="5"/>
    <x v="1"/>
    <x v="0"/>
    <x v="2"/>
    <x v="24"/>
    <x v="1"/>
    <x v="0"/>
    <n v="2"/>
    <n v="15215.18"/>
    <n v="40163.57"/>
    <x v="1"/>
  </r>
  <r>
    <x v="5"/>
    <x v="1"/>
    <x v="0"/>
    <x v="2"/>
    <x v="24"/>
    <x v="1"/>
    <x v="1"/>
    <n v="3"/>
    <n v="16144.56"/>
    <n v="43164.58"/>
    <x v="1"/>
  </r>
  <r>
    <x v="5"/>
    <x v="1"/>
    <x v="0"/>
    <x v="3"/>
    <x v="25"/>
    <x v="0"/>
    <x v="1"/>
    <n v="3"/>
    <n v="16605.03"/>
    <n v="71554.490000000005"/>
    <x v="1"/>
  </r>
  <r>
    <x v="5"/>
    <x v="1"/>
    <x v="0"/>
    <x v="3"/>
    <x v="25"/>
    <x v="1"/>
    <x v="0"/>
    <n v="10"/>
    <n v="77017.600000000006"/>
    <n v="223952.78"/>
    <x v="1"/>
  </r>
  <r>
    <x v="5"/>
    <x v="1"/>
    <x v="0"/>
    <x v="3"/>
    <x v="25"/>
    <x v="1"/>
    <x v="1"/>
    <n v="2"/>
    <n v="14068.79"/>
    <n v="38149.17"/>
    <x v="1"/>
  </r>
  <r>
    <x v="5"/>
    <x v="1"/>
    <x v="0"/>
    <x v="3"/>
    <x v="26"/>
    <x v="0"/>
    <x v="1"/>
    <n v="1"/>
    <n v="7644.87"/>
    <n v="32635.01"/>
    <x v="1"/>
  </r>
  <r>
    <x v="5"/>
    <x v="1"/>
    <x v="0"/>
    <x v="3"/>
    <x v="26"/>
    <x v="1"/>
    <x v="0"/>
    <n v="3"/>
    <n v="18926.72"/>
    <n v="55438.28"/>
    <x v="1"/>
  </r>
  <r>
    <x v="5"/>
    <x v="1"/>
    <x v="0"/>
    <x v="3"/>
    <x v="26"/>
    <x v="1"/>
    <x v="1"/>
    <n v="24"/>
    <n v="188653.54"/>
    <n v="531208.88"/>
    <x v="1"/>
  </r>
  <r>
    <x v="5"/>
    <x v="1"/>
    <x v="0"/>
    <x v="3"/>
    <x v="27"/>
    <x v="0"/>
    <x v="0"/>
    <n v="1"/>
    <n v="4903.33"/>
    <n v="21303.24"/>
    <x v="1"/>
  </r>
  <r>
    <x v="5"/>
    <x v="1"/>
    <x v="0"/>
    <x v="3"/>
    <x v="27"/>
    <x v="0"/>
    <x v="1"/>
    <n v="9"/>
    <n v="61448.15"/>
    <n v="260418.04"/>
    <x v="1"/>
  </r>
  <r>
    <x v="5"/>
    <x v="1"/>
    <x v="0"/>
    <x v="3"/>
    <x v="27"/>
    <x v="1"/>
    <x v="0"/>
    <n v="6"/>
    <n v="40925.5"/>
    <n v="113396.35"/>
    <x v="1"/>
  </r>
  <r>
    <x v="5"/>
    <x v="1"/>
    <x v="0"/>
    <x v="3"/>
    <x v="27"/>
    <x v="1"/>
    <x v="1"/>
    <n v="36"/>
    <n v="243786.64"/>
    <n v="688651.82"/>
    <x v="1"/>
  </r>
  <r>
    <x v="5"/>
    <x v="1"/>
    <x v="1"/>
    <x v="0"/>
    <x v="0"/>
    <x v="0"/>
    <x v="0"/>
    <n v="1"/>
    <n v="2295.7399999999998"/>
    <n v="7473.42"/>
    <x v="1"/>
  </r>
  <r>
    <x v="5"/>
    <x v="1"/>
    <x v="1"/>
    <x v="0"/>
    <x v="0"/>
    <x v="0"/>
    <x v="1"/>
    <n v="2"/>
    <n v="4256.76"/>
    <n v="14994.17"/>
    <x v="1"/>
  </r>
  <r>
    <x v="5"/>
    <x v="1"/>
    <x v="1"/>
    <x v="0"/>
    <x v="0"/>
    <x v="1"/>
    <x v="0"/>
    <n v="1"/>
    <n v="3292.24"/>
    <n v="7585.98"/>
    <x v="1"/>
  </r>
  <r>
    <x v="5"/>
    <x v="1"/>
    <x v="1"/>
    <x v="0"/>
    <x v="0"/>
    <x v="1"/>
    <x v="1"/>
    <n v="8"/>
    <n v="24217.14"/>
    <n v="52150.53"/>
    <x v="1"/>
  </r>
  <r>
    <x v="5"/>
    <x v="1"/>
    <x v="1"/>
    <x v="0"/>
    <x v="1"/>
    <x v="0"/>
    <x v="0"/>
    <n v="1"/>
    <n v="2365"/>
    <n v="7865.85"/>
    <x v="1"/>
  </r>
  <r>
    <x v="5"/>
    <x v="1"/>
    <x v="1"/>
    <x v="0"/>
    <x v="1"/>
    <x v="0"/>
    <x v="1"/>
    <n v="4"/>
    <n v="8300.74"/>
    <n v="30566.45"/>
    <x v="1"/>
  </r>
  <r>
    <x v="5"/>
    <x v="1"/>
    <x v="1"/>
    <x v="0"/>
    <x v="1"/>
    <x v="1"/>
    <x v="0"/>
    <n v="5"/>
    <n v="11745.11"/>
    <n v="26989.56"/>
    <x v="1"/>
  </r>
  <r>
    <x v="5"/>
    <x v="1"/>
    <x v="1"/>
    <x v="0"/>
    <x v="1"/>
    <x v="1"/>
    <x v="1"/>
    <n v="11"/>
    <n v="31246.28"/>
    <n v="71399.66"/>
    <x v="1"/>
  </r>
  <r>
    <x v="5"/>
    <x v="1"/>
    <x v="1"/>
    <x v="0"/>
    <x v="2"/>
    <x v="0"/>
    <x v="1"/>
    <n v="2"/>
    <n v="4731.32"/>
    <n v="14940.77"/>
    <x v="1"/>
  </r>
  <r>
    <x v="5"/>
    <x v="1"/>
    <x v="1"/>
    <x v="0"/>
    <x v="2"/>
    <x v="1"/>
    <x v="0"/>
    <n v="9"/>
    <n v="27581.87"/>
    <n v="59576.480000000003"/>
    <x v="1"/>
  </r>
  <r>
    <x v="5"/>
    <x v="1"/>
    <x v="1"/>
    <x v="0"/>
    <x v="3"/>
    <x v="0"/>
    <x v="1"/>
    <n v="1"/>
    <n v="3251.94"/>
    <n v="11018.51"/>
    <x v="1"/>
  </r>
  <r>
    <x v="5"/>
    <x v="1"/>
    <x v="1"/>
    <x v="0"/>
    <x v="3"/>
    <x v="1"/>
    <x v="0"/>
    <n v="5"/>
    <n v="14734.26"/>
    <n v="30374.97"/>
    <x v="1"/>
  </r>
  <r>
    <x v="5"/>
    <x v="1"/>
    <x v="1"/>
    <x v="0"/>
    <x v="3"/>
    <x v="1"/>
    <x v="1"/>
    <n v="20"/>
    <n v="61251.56"/>
    <n v="128220.17"/>
    <x v="1"/>
  </r>
  <r>
    <x v="5"/>
    <x v="1"/>
    <x v="1"/>
    <x v="0"/>
    <x v="28"/>
    <x v="1"/>
    <x v="1"/>
    <n v="2"/>
    <n v="6924.82"/>
    <n v="14859.72"/>
    <x v="1"/>
  </r>
  <r>
    <x v="5"/>
    <x v="1"/>
    <x v="1"/>
    <x v="0"/>
    <x v="4"/>
    <x v="0"/>
    <x v="1"/>
    <n v="2"/>
    <n v="6725.74"/>
    <n v="23243.34"/>
    <x v="1"/>
  </r>
  <r>
    <x v="5"/>
    <x v="1"/>
    <x v="1"/>
    <x v="0"/>
    <x v="4"/>
    <x v="1"/>
    <x v="0"/>
    <n v="7"/>
    <n v="19415.71"/>
    <n v="43089.8"/>
    <x v="1"/>
  </r>
  <r>
    <x v="5"/>
    <x v="1"/>
    <x v="1"/>
    <x v="0"/>
    <x v="4"/>
    <x v="1"/>
    <x v="1"/>
    <n v="8"/>
    <n v="21126.61"/>
    <n v="44924.77"/>
    <x v="1"/>
  </r>
  <r>
    <x v="5"/>
    <x v="1"/>
    <x v="1"/>
    <x v="0"/>
    <x v="5"/>
    <x v="0"/>
    <x v="1"/>
    <n v="2"/>
    <n v="5349.98"/>
    <n v="18832.87"/>
    <x v="1"/>
  </r>
  <r>
    <x v="5"/>
    <x v="1"/>
    <x v="1"/>
    <x v="0"/>
    <x v="5"/>
    <x v="1"/>
    <x v="1"/>
    <n v="22"/>
    <n v="59277.51"/>
    <n v="133518.94"/>
    <x v="1"/>
  </r>
  <r>
    <x v="5"/>
    <x v="1"/>
    <x v="1"/>
    <x v="0"/>
    <x v="6"/>
    <x v="1"/>
    <x v="1"/>
    <n v="5"/>
    <n v="16011.6"/>
    <n v="37225.480000000003"/>
    <x v="1"/>
  </r>
  <r>
    <x v="5"/>
    <x v="1"/>
    <x v="1"/>
    <x v="0"/>
    <x v="8"/>
    <x v="0"/>
    <x v="1"/>
    <n v="1"/>
    <n v="3555.05"/>
    <n v="11643.47"/>
    <x v="1"/>
  </r>
  <r>
    <x v="5"/>
    <x v="1"/>
    <x v="1"/>
    <x v="1"/>
    <x v="30"/>
    <x v="1"/>
    <x v="0"/>
    <n v="5"/>
    <n v="15426.42"/>
    <n v="37480.379999999997"/>
    <x v="1"/>
  </r>
  <r>
    <x v="5"/>
    <x v="1"/>
    <x v="1"/>
    <x v="1"/>
    <x v="10"/>
    <x v="0"/>
    <x v="0"/>
    <n v="3"/>
    <n v="6552.42"/>
    <n v="22713.31"/>
    <x v="1"/>
  </r>
  <r>
    <x v="5"/>
    <x v="1"/>
    <x v="1"/>
    <x v="1"/>
    <x v="10"/>
    <x v="0"/>
    <x v="1"/>
    <n v="5"/>
    <n v="13099.02"/>
    <n v="46380.800000000003"/>
    <x v="1"/>
  </r>
  <r>
    <x v="5"/>
    <x v="1"/>
    <x v="1"/>
    <x v="1"/>
    <x v="10"/>
    <x v="1"/>
    <x v="0"/>
    <n v="3"/>
    <n v="9858.39"/>
    <n v="23877.29"/>
    <x v="1"/>
  </r>
  <r>
    <x v="5"/>
    <x v="1"/>
    <x v="1"/>
    <x v="1"/>
    <x v="10"/>
    <x v="1"/>
    <x v="1"/>
    <n v="14"/>
    <n v="37491.21"/>
    <n v="88312.33"/>
    <x v="1"/>
  </r>
  <r>
    <x v="5"/>
    <x v="1"/>
    <x v="1"/>
    <x v="1"/>
    <x v="11"/>
    <x v="0"/>
    <x v="1"/>
    <n v="6"/>
    <n v="14426.7"/>
    <n v="49797.36"/>
    <x v="1"/>
  </r>
  <r>
    <x v="5"/>
    <x v="1"/>
    <x v="1"/>
    <x v="1"/>
    <x v="11"/>
    <x v="1"/>
    <x v="0"/>
    <n v="2"/>
    <n v="7047.96"/>
    <n v="15161.23"/>
    <x v="1"/>
  </r>
  <r>
    <x v="5"/>
    <x v="1"/>
    <x v="1"/>
    <x v="1"/>
    <x v="11"/>
    <x v="1"/>
    <x v="1"/>
    <n v="13"/>
    <n v="42557.17"/>
    <n v="93787.56"/>
    <x v="1"/>
  </r>
  <r>
    <x v="5"/>
    <x v="1"/>
    <x v="1"/>
    <x v="1"/>
    <x v="12"/>
    <x v="1"/>
    <x v="1"/>
    <n v="2"/>
    <n v="7029.58"/>
    <n v="16150"/>
    <x v="1"/>
  </r>
  <r>
    <x v="5"/>
    <x v="1"/>
    <x v="1"/>
    <x v="1"/>
    <x v="13"/>
    <x v="1"/>
    <x v="1"/>
    <n v="7"/>
    <n v="16253.17"/>
    <n v="38944.629999999997"/>
    <x v="1"/>
  </r>
  <r>
    <x v="5"/>
    <x v="1"/>
    <x v="1"/>
    <x v="1"/>
    <x v="14"/>
    <x v="1"/>
    <x v="0"/>
    <n v="7"/>
    <n v="20800.66"/>
    <n v="46972.160000000003"/>
    <x v="1"/>
  </r>
  <r>
    <x v="5"/>
    <x v="1"/>
    <x v="1"/>
    <x v="1"/>
    <x v="14"/>
    <x v="1"/>
    <x v="1"/>
    <n v="3"/>
    <n v="6839.84"/>
    <n v="15352.14"/>
    <x v="1"/>
  </r>
  <r>
    <x v="5"/>
    <x v="1"/>
    <x v="1"/>
    <x v="1"/>
    <x v="15"/>
    <x v="1"/>
    <x v="1"/>
    <n v="5"/>
    <n v="15739.21"/>
    <n v="37614.65"/>
    <x v="1"/>
  </r>
  <r>
    <x v="5"/>
    <x v="1"/>
    <x v="1"/>
    <x v="1"/>
    <x v="16"/>
    <x v="1"/>
    <x v="0"/>
    <n v="7"/>
    <n v="20124.54"/>
    <n v="47207.13"/>
    <x v="1"/>
  </r>
  <r>
    <x v="5"/>
    <x v="1"/>
    <x v="1"/>
    <x v="1"/>
    <x v="16"/>
    <x v="1"/>
    <x v="1"/>
    <n v="4"/>
    <n v="11890.69"/>
    <n v="27544.68"/>
    <x v="1"/>
  </r>
  <r>
    <x v="5"/>
    <x v="1"/>
    <x v="1"/>
    <x v="1"/>
    <x v="17"/>
    <x v="1"/>
    <x v="0"/>
    <n v="3"/>
    <n v="9172.18"/>
    <n v="20495.97"/>
    <x v="1"/>
  </r>
  <r>
    <x v="5"/>
    <x v="1"/>
    <x v="1"/>
    <x v="1"/>
    <x v="17"/>
    <x v="1"/>
    <x v="1"/>
    <n v="3"/>
    <n v="5848.5"/>
    <n v="14690.18"/>
    <x v="1"/>
  </r>
  <r>
    <x v="5"/>
    <x v="1"/>
    <x v="1"/>
    <x v="1"/>
    <x v="18"/>
    <x v="0"/>
    <x v="1"/>
    <n v="9"/>
    <n v="23096.86"/>
    <n v="79091.08"/>
    <x v="1"/>
  </r>
  <r>
    <x v="5"/>
    <x v="1"/>
    <x v="1"/>
    <x v="1"/>
    <x v="18"/>
    <x v="1"/>
    <x v="1"/>
    <n v="8"/>
    <n v="27420.27"/>
    <n v="63615.95"/>
    <x v="1"/>
  </r>
  <r>
    <x v="5"/>
    <x v="1"/>
    <x v="1"/>
    <x v="1"/>
    <x v="19"/>
    <x v="1"/>
    <x v="0"/>
    <n v="3"/>
    <n v="8979.6200000000008"/>
    <n v="20359.490000000002"/>
    <x v="1"/>
  </r>
  <r>
    <x v="5"/>
    <x v="1"/>
    <x v="1"/>
    <x v="1"/>
    <x v="19"/>
    <x v="1"/>
    <x v="1"/>
    <n v="9"/>
    <n v="21700.33"/>
    <n v="50004.18"/>
    <x v="1"/>
  </r>
  <r>
    <x v="5"/>
    <x v="1"/>
    <x v="1"/>
    <x v="1"/>
    <x v="20"/>
    <x v="0"/>
    <x v="0"/>
    <n v="1"/>
    <n v="3207.94"/>
    <n v="11720.49"/>
    <x v="1"/>
  </r>
  <r>
    <x v="5"/>
    <x v="1"/>
    <x v="1"/>
    <x v="1"/>
    <x v="20"/>
    <x v="0"/>
    <x v="1"/>
    <n v="8"/>
    <n v="18587.12"/>
    <n v="65337.06"/>
    <x v="1"/>
  </r>
  <r>
    <x v="5"/>
    <x v="1"/>
    <x v="1"/>
    <x v="1"/>
    <x v="20"/>
    <x v="1"/>
    <x v="0"/>
    <n v="6"/>
    <n v="14874.74"/>
    <n v="36224.720000000001"/>
    <x v="1"/>
  </r>
  <r>
    <x v="5"/>
    <x v="1"/>
    <x v="1"/>
    <x v="1"/>
    <x v="20"/>
    <x v="1"/>
    <x v="1"/>
    <n v="12"/>
    <n v="30626.16"/>
    <n v="72963.92"/>
    <x v="1"/>
  </r>
  <r>
    <x v="5"/>
    <x v="1"/>
    <x v="1"/>
    <x v="2"/>
    <x v="21"/>
    <x v="0"/>
    <x v="0"/>
    <n v="1"/>
    <n v="2343.77"/>
    <n v="7439.1"/>
    <x v="1"/>
  </r>
  <r>
    <x v="5"/>
    <x v="1"/>
    <x v="1"/>
    <x v="2"/>
    <x v="22"/>
    <x v="1"/>
    <x v="1"/>
    <n v="10"/>
    <n v="28550.16"/>
    <n v="60012.94"/>
    <x v="1"/>
  </r>
  <r>
    <x v="5"/>
    <x v="1"/>
    <x v="1"/>
    <x v="2"/>
    <x v="29"/>
    <x v="0"/>
    <x v="1"/>
    <n v="1"/>
    <n v="2003.22"/>
    <n v="7185.77"/>
    <x v="1"/>
  </r>
  <r>
    <x v="5"/>
    <x v="1"/>
    <x v="1"/>
    <x v="2"/>
    <x v="29"/>
    <x v="1"/>
    <x v="1"/>
    <n v="5"/>
    <n v="13759.98"/>
    <n v="32176.799999999999"/>
    <x v="1"/>
  </r>
  <r>
    <x v="5"/>
    <x v="1"/>
    <x v="1"/>
    <x v="2"/>
    <x v="23"/>
    <x v="1"/>
    <x v="1"/>
    <n v="2"/>
    <n v="6450.34"/>
    <n v="14699.7"/>
    <x v="1"/>
  </r>
  <r>
    <x v="5"/>
    <x v="1"/>
    <x v="1"/>
    <x v="2"/>
    <x v="24"/>
    <x v="0"/>
    <x v="1"/>
    <n v="2"/>
    <n v="4245.96"/>
    <n v="15272.13"/>
    <x v="1"/>
  </r>
  <r>
    <x v="5"/>
    <x v="1"/>
    <x v="1"/>
    <x v="2"/>
    <x v="24"/>
    <x v="1"/>
    <x v="0"/>
    <n v="1"/>
    <n v="3469.38"/>
    <n v="7218.95"/>
    <x v="1"/>
  </r>
  <r>
    <x v="5"/>
    <x v="1"/>
    <x v="1"/>
    <x v="2"/>
    <x v="24"/>
    <x v="1"/>
    <x v="1"/>
    <n v="2"/>
    <n v="3968.46"/>
    <n v="8753.82"/>
    <x v="1"/>
  </r>
  <r>
    <x v="5"/>
    <x v="1"/>
    <x v="1"/>
    <x v="3"/>
    <x v="25"/>
    <x v="0"/>
    <x v="1"/>
    <n v="2"/>
    <n v="6960.56"/>
    <n v="22688.31"/>
    <x v="1"/>
  </r>
  <r>
    <x v="5"/>
    <x v="1"/>
    <x v="1"/>
    <x v="3"/>
    <x v="25"/>
    <x v="1"/>
    <x v="0"/>
    <n v="5"/>
    <n v="16639.75"/>
    <n v="39540.839999999997"/>
    <x v="1"/>
  </r>
  <r>
    <x v="5"/>
    <x v="1"/>
    <x v="1"/>
    <x v="3"/>
    <x v="26"/>
    <x v="0"/>
    <x v="0"/>
    <n v="1"/>
    <n v="2077.7800000000002"/>
    <n v="7607.78"/>
    <x v="1"/>
  </r>
  <r>
    <x v="5"/>
    <x v="1"/>
    <x v="1"/>
    <x v="3"/>
    <x v="26"/>
    <x v="1"/>
    <x v="0"/>
    <n v="3"/>
    <n v="10307.94"/>
    <n v="23563.759999999998"/>
    <x v="1"/>
  </r>
  <r>
    <x v="5"/>
    <x v="1"/>
    <x v="1"/>
    <x v="3"/>
    <x v="26"/>
    <x v="1"/>
    <x v="1"/>
    <n v="15"/>
    <n v="35388.129999999997"/>
    <n v="84440.44"/>
    <x v="1"/>
  </r>
  <r>
    <x v="5"/>
    <x v="1"/>
    <x v="1"/>
    <x v="3"/>
    <x v="27"/>
    <x v="0"/>
    <x v="1"/>
    <n v="7"/>
    <n v="19524.45"/>
    <n v="67898.41"/>
    <x v="1"/>
  </r>
  <r>
    <x v="5"/>
    <x v="1"/>
    <x v="1"/>
    <x v="3"/>
    <x v="27"/>
    <x v="1"/>
    <x v="0"/>
    <n v="2"/>
    <n v="6848.98"/>
    <n v="15413.2"/>
    <x v="1"/>
  </r>
  <r>
    <x v="5"/>
    <x v="1"/>
    <x v="1"/>
    <x v="3"/>
    <x v="27"/>
    <x v="1"/>
    <x v="1"/>
    <n v="22"/>
    <n v="55582.31"/>
    <n v="131664.95999999999"/>
    <x v="1"/>
  </r>
  <r>
    <x v="5"/>
    <x v="1"/>
    <x v="2"/>
    <x v="0"/>
    <x v="0"/>
    <x v="0"/>
    <x v="0"/>
    <n v="1"/>
    <n v="5822.76"/>
    <n v="22116.59"/>
    <x v="1"/>
  </r>
  <r>
    <x v="5"/>
    <x v="1"/>
    <x v="2"/>
    <x v="0"/>
    <x v="0"/>
    <x v="0"/>
    <x v="1"/>
    <n v="8"/>
    <n v="40683.980000000003"/>
    <n v="163845.60999999999"/>
    <x v="1"/>
  </r>
  <r>
    <x v="5"/>
    <x v="1"/>
    <x v="2"/>
    <x v="0"/>
    <x v="0"/>
    <x v="1"/>
    <x v="0"/>
    <n v="8"/>
    <n v="41372.199999999997"/>
    <n v="107852.88"/>
    <x v="1"/>
  </r>
  <r>
    <x v="5"/>
    <x v="1"/>
    <x v="2"/>
    <x v="0"/>
    <x v="0"/>
    <x v="1"/>
    <x v="1"/>
    <n v="8"/>
    <n v="40705.54"/>
    <n v="115244.86"/>
    <x v="1"/>
  </r>
  <r>
    <x v="5"/>
    <x v="1"/>
    <x v="2"/>
    <x v="0"/>
    <x v="1"/>
    <x v="0"/>
    <x v="0"/>
    <n v="6"/>
    <n v="37973.910000000003"/>
    <n v="170721.05"/>
    <x v="1"/>
  </r>
  <r>
    <x v="5"/>
    <x v="1"/>
    <x v="2"/>
    <x v="0"/>
    <x v="1"/>
    <x v="0"/>
    <x v="1"/>
    <n v="5"/>
    <n v="23776.13"/>
    <n v="113737.3"/>
    <x v="1"/>
  </r>
  <r>
    <x v="5"/>
    <x v="1"/>
    <x v="2"/>
    <x v="0"/>
    <x v="1"/>
    <x v="1"/>
    <x v="0"/>
    <n v="22"/>
    <n v="117165.61"/>
    <n v="340353.43"/>
    <x v="1"/>
  </r>
  <r>
    <x v="5"/>
    <x v="1"/>
    <x v="2"/>
    <x v="0"/>
    <x v="1"/>
    <x v="1"/>
    <x v="1"/>
    <n v="24"/>
    <n v="141532.88"/>
    <n v="390421.23"/>
    <x v="1"/>
  </r>
  <r>
    <x v="5"/>
    <x v="1"/>
    <x v="2"/>
    <x v="0"/>
    <x v="2"/>
    <x v="0"/>
    <x v="1"/>
    <n v="3"/>
    <n v="16681.3"/>
    <n v="70320.429999999993"/>
    <x v="1"/>
  </r>
  <r>
    <x v="5"/>
    <x v="1"/>
    <x v="2"/>
    <x v="0"/>
    <x v="2"/>
    <x v="1"/>
    <x v="0"/>
    <n v="2"/>
    <n v="11468.68"/>
    <n v="27467.1"/>
    <x v="1"/>
  </r>
  <r>
    <x v="5"/>
    <x v="1"/>
    <x v="2"/>
    <x v="0"/>
    <x v="2"/>
    <x v="1"/>
    <x v="1"/>
    <n v="20"/>
    <n v="97126.55"/>
    <n v="257332.45"/>
    <x v="1"/>
  </r>
  <r>
    <x v="5"/>
    <x v="1"/>
    <x v="2"/>
    <x v="0"/>
    <x v="3"/>
    <x v="0"/>
    <x v="1"/>
    <n v="4"/>
    <n v="21666.68"/>
    <n v="84237.03"/>
    <x v="1"/>
  </r>
  <r>
    <x v="5"/>
    <x v="1"/>
    <x v="2"/>
    <x v="0"/>
    <x v="3"/>
    <x v="1"/>
    <x v="0"/>
    <n v="13"/>
    <n v="65792.81"/>
    <n v="176690.96"/>
    <x v="1"/>
  </r>
  <r>
    <x v="5"/>
    <x v="1"/>
    <x v="2"/>
    <x v="0"/>
    <x v="3"/>
    <x v="1"/>
    <x v="1"/>
    <n v="15"/>
    <n v="80083.100000000006"/>
    <n v="196658.95"/>
    <x v="1"/>
  </r>
  <r>
    <x v="5"/>
    <x v="1"/>
    <x v="2"/>
    <x v="0"/>
    <x v="28"/>
    <x v="1"/>
    <x v="1"/>
    <n v="2"/>
    <n v="9842.7199999999993"/>
    <n v="26514.080000000002"/>
    <x v="1"/>
  </r>
  <r>
    <x v="5"/>
    <x v="1"/>
    <x v="2"/>
    <x v="0"/>
    <x v="4"/>
    <x v="0"/>
    <x v="1"/>
    <n v="4"/>
    <n v="22246.32"/>
    <n v="87206.61"/>
    <x v="1"/>
  </r>
  <r>
    <x v="5"/>
    <x v="1"/>
    <x v="2"/>
    <x v="0"/>
    <x v="4"/>
    <x v="1"/>
    <x v="0"/>
    <n v="8"/>
    <n v="48539.24"/>
    <n v="130323.69"/>
    <x v="1"/>
  </r>
  <r>
    <x v="5"/>
    <x v="1"/>
    <x v="2"/>
    <x v="0"/>
    <x v="4"/>
    <x v="1"/>
    <x v="1"/>
    <n v="12"/>
    <n v="75940.2"/>
    <n v="202584.75"/>
    <x v="1"/>
  </r>
  <r>
    <x v="5"/>
    <x v="1"/>
    <x v="2"/>
    <x v="0"/>
    <x v="5"/>
    <x v="0"/>
    <x v="1"/>
    <n v="3"/>
    <n v="15837.95"/>
    <n v="70116.23"/>
    <x v="1"/>
  </r>
  <r>
    <x v="5"/>
    <x v="1"/>
    <x v="2"/>
    <x v="0"/>
    <x v="5"/>
    <x v="1"/>
    <x v="0"/>
    <n v="7"/>
    <n v="34067.85"/>
    <n v="94786.49"/>
    <x v="1"/>
  </r>
  <r>
    <x v="5"/>
    <x v="1"/>
    <x v="2"/>
    <x v="0"/>
    <x v="5"/>
    <x v="1"/>
    <x v="1"/>
    <n v="21"/>
    <n v="121084.97"/>
    <n v="319901.23"/>
    <x v="1"/>
  </r>
  <r>
    <x v="5"/>
    <x v="1"/>
    <x v="2"/>
    <x v="0"/>
    <x v="6"/>
    <x v="0"/>
    <x v="1"/>
    <n v="1"/>
    <n v="5937.42"/>
    <n v="22280.58"/>
    <x v="1"/>
  </r>
  <r>
    <x v="5"/>
    <x v="1"/>
    <x v="2"/>
    <x v="0"/>
    <x v="6"/>
    <x v="1"/>
    <x v="1"/>
    <n v="5"/>
    <n v="38724.300000000003"/>
    <n v="101010.27"/>
    <x v="1"/>
  </r>
  <r>
    <x v="5"/>
    <x v="1"/>
    <x v="2"/>
    <x v="0"/>
    <x v="8"/>
    <x v="0"/>
    <x v="1"/>
    <n v="5"/>
    <n v="25786.080000000002"/>
    <n v="109543.73"/>
    <x v="1"/>
  </r>
  <r>
    <x v="5"/>
    <x v="1"/>
    <x v="2"/>
    <x v="1"/>
    <x v="30"/>
    <x v="1"/>
    <x v="0"/>
    <n v="13"/>
    <n v="72903.28"/>
    <n v="219462.06"/>
    <x v="1"/>
  </r>
  <r>
    <x v="5"/>
    <x v="1"/>
    <x v="2"/>
    <x v="1"/>
    <x v="9"/>
    <x v="1"/>
    <x v="1"/>
    <n v="3"/>
    <n v="16540.82"/>
    <n v="50597.62"/>
    <x v="1"/>
  </r>
  <r>
    <x v="5"/>
    <x v="1"/>
    <x v="2"/>
    <x v="1"/>
    <x v="31"/>
    <x v="1"/>
    <x v="0"/>
    <n v="5"/>
    <n v="22088.06"/>
    <n v="68989.320000000007"/>
    <x v="1"/>
  </r>
  <r>
    <x v="5"/>
    <x v="1"/>
    <x v="2"/>
    <x v="1"/>
    <x v="10"/>
    <x v="0"/>
    <x v="1"/>
    <n v="5"/>
    <n v="35779.94"/>
    <n v="158622.82"/>
    <x v="1"/>
  </r>
  <r>
    <x v="5"/>
    <x v="1"/>
    <x v="2"/>
    <x v="1"/>
    <x v="10"/>
    <x v="1"/>
    <x v="0"/>
    <n v="8"/>
    <n v="43660.78"/>
    <n v="137410.07999999999"/>
    <x v="1"/>
  </r>
  <r>
    <x v="5"/>
    <x v="1"/>
    <x v="2"/>
    <x v="1"/>
    <x v="10"/>
    <x v="1"/>
    <x v="1"/>
    <n v="34"/>
    <n v="191971.49"/>
    <n v="564426.46"/>
    <x v="1"/>
  </r>
  <r>
    <x v="5"/>
    <x v="1"/>
    <x v="2"/>
    <x v="1"/>
    <x v="11"/>
    <x v="0"/>
    <x v="1"/>
    <n v="8"/>
    <n v="42143.21"/>
    <n v="170407.98"/>
    <x v="1"/>
  </r>
  <r>
    <x v="5"/>
    <x v="1"/>
    <x v="2"/>
    <x v="1"/>
    <x v="11"/>
    <x v="1"/>
    <x v="0"/>
    <n v="15"/>
    <n v="74972.460000000006"/>
    <n v="199264.26"/>
    <x v="1"/>
  </r>
  <r>
    <x v="5"/>
    <x v="1"/>
    <x v="2"/>
    <x v="1"/>
    <x v="11"/>
    <x v="1"/>
    <x v="1"/>
    <n v="34"/>
    <n v="195619.29"/>
    <n v="522832.99"/>
    <x v="1"/>
  </r>
  <r>
    <x v="5"/>
    <x v="1"/>
    <x v="2"/>
    <x v="1"/>
    <x v="12"/>
    <x v="1"/>
    <x v="1"/>
    <n v="4"/>
    <n v="18407.37"/>
    <n v="56902.18"/>
    <x v="1"/>
  </r>
  <r>
    <x v="5"/>
    <x v="1"/>
    <x v="2"/>
    <x v="1"/>
    <x v="13"/>
    <x v="0"/>
    <x v="1"/>
    <n v="1"/>
    <n v="5932.34"/>
    <n v="22758.33"/>
    <x v="1"/>
  </r>
  <r>
    <x v="5"/>
    <x v="1"/>
    <x v="2"/>
    <x v="1"/>
    <x v="13"/>
    <x v="1"/>
    <x v="1"/>
    <n v="14"/>
    <n v="83477.31"/>
    <n v="255095.71"/>
    <x v="1"/>
  </r>
  <r>
    <x v="5"/>
    <x v="1"/>
    <x v="2"/>
    <x v="1"/>
    <x v="14"/>
    <x v="1"/>
    <x v="0"/>
    <n v="13"/>
    <n v="71448.179999999993"/>
    <n v="207004.11"/>
    <x v="1"/>
  </r>
  <r>
    <x v="5"/>
    <x v="1"/>
    <x v="2"/>
    <x v="1"/>
    <x v="14"/>
    <x v="1"/>
    <x v="1"/>
    <n v="4"/>
    <n v="24932.92"/>
    <n v="76947.240000000005"/>
    <x v="1"/>
  </r>
  <r>
    <x v="5"/>
    <x v="1"/>
    <x v="2"/>
    <x v="1"/>
    <x v="15"/>
    <x v="1"/>
    <x v="1"/>
    <n v="9"/>
    <n v="54486.76"/>
    <n v="166654.17000000001"/>
    <x v="1"/>
  </r>
  <r>
    <x v="5"/>
    <x v="1"/>
    <x v="2"/>
    <x v="1"/>
    <x v="16"/>
    <x v="1"/>
    <x v="0"/>
    <n v="2"/>
    <n v="12762.75"/>
    <n v="33251.089999999997"/>
    <x v="1"/>
  </r>
  <r>
    <x v="5"/>
    <x v="1"/>
    <x v="2"/>
    <x v="1"/>
    <x v="16"/>
    <x v="1"/>
    <x v="1"/>
    <n v="4"/>
    <n v="21785.39"/>
    <n v="60123.11"/>
    <x v="1"/>
  </r>
  <r>
    <x v="5"/>
    <x v="1"/>
    <x v="2"/>
    <x v="1"/>
    <x v="17"/>
    <x v="1"/>
    <x v="0"/>
    <n v="10"/>
    <n v="48670.11"/>
    <n v="139679.04999999999"/>
    <x v="1"/>
  </r>
  <r>
    <x v="5"/>
    <x v="1"/>
    <x v="2"/>
    <x v="1"/>
    <x v="17"/>
    <x v="1"/>
    <x v="1"/>
    <n v="7"/>
    <n v="50617.32"/>
    <n v="147508.76999999999"/>
    <x v="1"/>
  </r>
  <r>
    <x v="5"/>
    <x v="1"/>
    <x v="2"/>
    <x v="1"/>
    <x v="18"/>
    <x v="0"/>
    <x v="1"/>
    <n v="6"/>
    <n v="34296.71"/>
    <n v="149796.98000000001"/>
    <x v="1"/>
  </r>
  <r>
    <x v="5"/>
    <x v="1"/>
    <x v="2"/>
    <x v="1"/>
    <x v="18"/>
    <x v="1"/>
    <x v="0"/>
    <n v="3"/>
    <n v="15125.25"/>
    <n v="40369.760000000002"/>
    <x v="1"/>
  </r>
  <r>
    <x v="5"/>
    <x v="1"/>
    <x v="2"/>
    <x v="1"/>
    <x v="18"/>
    <x v="1"/>
    <x v="1"/>
    <n v="34"/>
    <n v="190255.62"/>
    <n v="563558.1"/>
    <x v="1"/>
  </r>
  <r>
    <x v="5"/>
    <x v="1"/>
    <x v="2"/>
    <x v="1"/>
    <x v="19"/>
    <x v="0"/>
    <x v="1"/>
    <n v="5"/>
    <n v="24316.71"/>
    <n v="100202.21"/>
    <x v="1"/>
  </r>
  <r>
    <x v="5"/>
    <x v="1"/>
    <x v="2"/>
    <x v="1"/>
    <x v="19"/>
    <x v="1"/>
    <x v="0"/>
    <n v="8"/>
    <n v="44507.49"/>
    <n v="126214.31"/>
    <x v="1"/>
  </r>
  <r>
    <x v="5"/>
    <x v="1"/>
    <x v="2"/>
    <x v="1"/>
    <x v="19"/>
    <x v="1"/>
    <x v="1"/>
    <n v="4"/>
    <n v="30244.42"/>
    <n v="82793.67"/>
    <x v="1"/>
  </r>
  <r>
    <x v="5"/>
    <x v="1"/>
    <x v="2"/>
    <x v="1"/>
    <x v="20"/>
    <x v="0"/>
    <x v="0"/>
    <n v="1"/>
    <n v="4514.55"/>
    <n v="19859.599999999999"/>
    <x v="1"/>
  </r>
  <r>
    <x v="5"/>
    <x v="1"/>
    <x v="2"/>
    <x v="1"/>
    <x v="20"/>
    <x v="0"/>
    <x v="1"/>
    <n v="16"/>
    <n v="93788.97"/>
    <n v="402039.81"/>
    <x v="1"/>
  </r>
  <r>
    <x v="5"/>
    <x v="1"/>
    <x v="2"/>
    <x v="1"/>
    <x v="20"/>
    <x v="1"/>
    <x v="0"/>
    <n v="14"/>
    <n v="72589.740000000005"/>
    <n v="202880.15"/>
    <x v="1"/>
  </r>
  <r>
    <x v="5"/>
    <x v="1"/>
    <x v="2"/>
    <x v="1"/>
    <x v="20"/>
    <x v="1"/>
    <x v="1"/>
    <n v="17"/>
    <n v="90374.65"/>
    <n v="261385.39"/>
    <x v="1"/>
  </r>
  <r>
    <x v="5"/>
    <x v="1"/>
    <x v="2"/>
    <x v="2"/>
    <x v="21"/>
    <x v="0"/>
    <x v="0"/>
    <n v="1"/>
    <n v="5734.65"/>
    <n v="22201.24"/>
    <x v="1"/>
  </r>
  <r>
    <x v="5"/>
    <x v="1"/>
    <x v="2"/>
    <x v="2"/>
    <x v="21"/>
    <x v="1"/>
    <x v="1"/>
    <n v="1"/>
    <n v="4384.4799999999996"/>
    <n v="11780.66"/>
    <x v="1"/>
  </r>
  <r>
    <x v="5"/>
    <x v="1"/>
    <x v="2"/>
    <x v="2"/>
    <x v="22"/>
    <x v="0"/>
    <x v="1"/>
    <n v="1"/>
    <n v="4939.8999999999996"/>
    <n v="19746.39"/>
    <x v="1"/>
  </r>
  <r>
    <x v="5"/>
    <x v="1"/>
    <x v="2"/>
    <x v="2"/>
    <x v="22"/>
    <x v="1"/>
    <x v="0"/>
    <n v="13"/>
    <n v="59936.86"/>
    <n v="160822.19"/>
    <x v="1"/>
  </r>
  <r>
    <x v="5"/>
    <x v="1"/>
    <x v="2"/>
    <x v="2"/>
    <x v="22"/>
    <x v="1"/>
    <x v="1"/>
    <n v="27"/>
    <n v="150372.47"/>
    <n v="380935.43"/>
    <x v="1"/>
  </r>
  <r>
    <x v="5"/>
    <x v="1"/>
    <x v="2"/>
    <x v="2"/>
    <x v="29"/>
    <x v="0"/>
    <x v="1"/>
    <n v="4"/>
    <n v="24956.14"/>
    <n v="108170.95"/>
    <x v="1"/>
  </r>
  <r>
    <x v="5"/>
    <x v="1"/>
    <x v="2"/>
    <x v="2"/>
    <x v="29"/>
    <x v="1"/>
    <x v="1"/>
    <n v="2"/>
    <n v="9652.0400000000009"/>
    <n v="24636.1"/>
    <x v="1"/>
  </r>
  <r>
    <x v="5"/>
    <x v="1"/>
    <x v="2"/>
    <x v="2"/>
    <x v="24"/>
    <x v="0"/>
    <x v="1"/>
    <n v="2"/>
    <n v="9654.26"/>
    <n v="39592.199999999997"/>
    <x v="1"/>
  </r>
  <r>
    <x v="5"/>
    <x v="1"/>
    <x v="2"/>
    <x v="2"/>
    <x v="24"/>
    <x v="1"/>
    <x v="0"/>
    <n v="8"/>
    <n v="38765.5"/>
    <n v="101109.13"/>
    <x v="1"/>
  </r>
  <r>
    <x v="5"/>
    <x v="1"/>
    <x v="2"/>
    <x v="2"/>
    <x v="24"/>
    <x v="1"/>
    <x v="1"/>
    <n v="3"/>
    <n v="20394.09"/>
    <n v="57193.02"/>
    <x v="1"/>
  </r>
  <r>
    <x v="5"/>
    <x v="1"/>
    <x v="2"/>
    <x v="3"/>
    <x v="25"/>
    <x v="0"/>
    <x v="1"/>
    <n v="2"/>
    <n v="10440.42"/>
    <n v="41139"/>
    <x v="1"/>
  </r>
  <r>
    <x v="5"/>
    <x v="1"/>
    <x v="2"/>
    <x v="3"/>
    <x v="25"/>
    <x v="1"/>
    <x v="0"/>
    <n v="3"/>
    <n v="14518.86"/>
    <n v="46635.360000000001"/>
    <x v="1"/>
  </r>
  <r>
    <x v="5"/>
    <x v="1"/>
    <x v="2"/>
    <x v="3"/>
    <x v="25"/>
    <x v="1"/>
    <x v="1"/>
    <n v="10"/>
    <n v="50486.98"/>
    <n v="146462.82999999999"/>
    <x v="1"/>
  </r>
  <r>
    <x v="5"/>
    <x v="1"/>
    <x v="2"/>
    <x v="3"/>
    <x v="26"/>
    <x v="0"/>
    <x v="0"/>
    <n v="3"/>
    <n v="19727.759999999998"/>
    <n v="84652.93"/>
    <x v="1"/>
  </r>
  <r>
    <x v="5"/>
    <x v="1"/>
    <x v="2"/>
    <x v="3"/>
    <x v="26"/>
    <x v="0"/>
    <x v="1"/>
    <n v="2"/>
    <n v="10004.58"/>
    <n v="38456.94"/>
    <x v="1"/>
  </r>
  <r>
    <x v="5"/>
    <x v="1"/>
    <x v="2"/>
    <x v="3"/>
    <x v="26"/>
    <x v="1"/>
    <x v="1"/>
    <n v="10"/>
    <n v="57277.34"/>
    <n v="169542.77"/>
    <x v="1"/>
  </r>
  <r>
    <x v="5"/>
    <x v="1"/>
    <x v="2"/>
    <x v="3"/>
    <x v="27"/>
    <x v="0"/>
    <x v="0"/>
    <n v="1"/>
    <n v="7351.66"/>
    <n v="30888.68"/>
    <x v="1"/>
  </r>
  <r>
    <x v="5"/>
    <x v="1"/>
    <x v="2"/>
    <x v="3"/>
    <x v="27"/>
    <x v="0"/>
    <x v="1"/>
    <n v="9"/>
    <n v="53795.78"/>
    <n v="224104.64"/>
    <x v="1"/>
  </r>
  <r>
    <x v="5"/>
    <x v="1"/>
    <x v="2"/>
    <x v="3"/>
    <x v="27"/>
    <x v="1"/>
    <x v="0"/>
    <n v="13"/>
    <n v="68303.759999999995"/>
    <n v="191448.74"/>
    <x v="1"/>
  </r>
  <r>
    <x v="5"/>
    <x v="1"/>
    <x v="2"/>
    <x v="3"/>
    <x v="27"/>
    <x v="1"/>
    <x v="1"/>
    <n v="23"/>
    <n v="131410.51"/>
    <n v="375426.32"/>
    <x v="1"/>
  </r>
  <r>
    <x v="5"/>
    <x v="1"/>
    <x v="3"/>
    <x v="0"/>
    <x v="0"/>
    <x v="0"/>
    <x v="0"/>
    <n v="2"/>
    <n v="10997.59"/>
    <n v="49424.26"/>
    <x v="1"/>
  </r>
  <r>
    <x v="5"/>
    <x v="1"/>
    <x v="3"/>
    <x v="0"/>
    <x v="0"/>
    <x v="0"/>
    <x v="1"/>
    <n v="2"/>
    <n v="11690.58"/>
    <n v="52433.760000000002"/>
    <x v="1"/>
  </r>
  <r>
    <x v="5"/>
    <x v="1"/>
    <x v="3"/>
    <x v="0"/>
    <x v="0"/>
    <x v="1"/>
    <x v="0"/>
    <n v="14"/>
    <n v="78263.48"/>
    <n v="222827.12"/>
    <x v="1"/>
  </r>
  <r>
    <x v="5"/>
    <x v="1"/>
    <x v="3"/>
    <x v="0"/>
    <x v="0"/>
    <x v="1"/>
    <x v="1"/>
    <n v="20"/>
    <n v="117475.52"/>
    <n v="341618.5"/>
    <x v="1"/>
  </r>
  <r>
    <x v="5"/>
    <x v="1"/>
    <x v="3"/>
    <x v="0"/>
    <x v="1"/>
    <x v="0"/>
    <x v="0"/>
    <n v="3"/>
    <n v="15249.32"/>
    <n v="71752.47"/>
    <x v="1"/>
  </r>
  <r>
    <x v="5"/>
    <x v="1"/>
    <x v="3"/>
    <x v="0"/>
    <x v="1"/>
    <x v="0"/>
    <x v="1"/>
    <n v="3"/>
    <n v="15552.67"/>
    <n v="74275.289999999994"/>
    <x v="1"/>
  </r>
  <r>
    <x v="5"/>
    <x v="1"/>
    <x v="3"/>
    <x v="0"/>
    <x v="1"/>
    <x v="1"/>
    <x v="0"/>
    <n v="34"/>
    <n v="211524.22"/>
    <n v="621258.12"/>
    <x v="1"/>
  </r>
  <r>
    <x v="5"/>
    <x v="1"/>
    <x v="3"/>
    <x v="0"/>
    <x v="1"/>
    <x v="1"/>
    <x v="1"/>
    <n v="21"/>
    <n v="125180.59"/>
    <n v="371551.56"/>
    <x v="1"/>
  </r>
  <r>
    <x v="5"/>
    <x v="1"/>
    <x v="3"/>
    <x v="0"/>
    <x v="2"/>
    <x v="0"/>
    <x v="1"/>
    <n v="8"/>
    <n v="60160.18"/>
    <n v="269726.24"/>
    <x v="1"/>
  </r>
  <r>
    <x v="5"/>
    <x v="1"/>
    <x v="3"/>
    <x v="0"/>
    <x v="2"/>
    <x v="1"/>
    <x v="0"/>
    <n v="6"/>
    <n v="32879.769999999997"/>
    <n v="88388.42"/>
    <x v="1"/>
  </r>
  <r>
    <x v="5"/>
    <x v="1"/>
    <x v="3"/>
    <x v="0"/>
    <x v="2"/>
    <x v="1"/>
    <x v="1"/>
    <n v="35"/>
    <n v="215211.05"/>
    <n v="591660.16"/>
    <x v="1"/>
  </r>
  <r>
    <x v="5"/>
    <x v="1"/>
    <x v="3"/>
    <x v="0"/>
    <x v="3"/>
    <x v="0"/>
    <x v="1"/>
    <n v="9"/>
    <n v="50260.480000000003"/>
    <n v="223831.51"/>
    <x v="1"/>
  </r>
  <r>
    <x v="5"/>
    <x v="1"/>
    <x v="3"/>
    <x v="0"/>
    <x v="3"/>
    <x v="1"/>
    <x v="0"/>
    <n v="14"/>
    <n v="88484.64"/>
    <n v="240858.86"/>
    <x v="1"/>
  </r>
  <r>
    <x v="5"/>
    <x v="1"/>
    <x v="3"/>
    <x v="0"/>
    <x v="3"/>
    <x v="1"/>
    <x v="1"/>
    <n v="29"/>
    <n v="176018.36"/>
    <n v="509174.99"/>
    <x v="1"/>
  </r>
  <r>
    <x v="5"/>
    <x v="1"/>
    <x v="3"/>
    <x v="0"/>
    <x v="28"/>
    <x v="1"/>
    <x v="1"/>
    <n v="14"/>
    <n v="90334.99"/>
    <n v="257997.81"/>
    <x v="1"/>
  </r>
  <r>
    <x v="5"/>
    <x v="1"/>
    <x v="3"/>
    <x v="0"/>
    <x v="4"/>
    <x v="1"/>
    <x v="0"/>
    <n v="4"/>
    <n v="24939.439999999999"/>
    <n v="71769.3"/>
    <x v="1"/>
  </r>
  <r>
    <x v="5"/>
    <x v="1"/>
    <x v="3"/>
    <x v="0"/>
    <x v="4"/>
    <x v="1"/>
    <x v="1"/>
    <n v="20"/>
    <n v="129184.52"/>
    <n v="354816.02"/>
    <x v="1"/>
  </r>
  <r>
    <x v="5"/>
    <x v="1"/>
    <x v="3"/>
    <x v="0"/>
    <x v="5"/>
    <x v="0"/>
    <x v="1"/>
    <n v="4"/>
    <n v="27132.91"/>
    <n v="117413.01"/>
    <x v="1"/>
  </r>
  <r>
    <x v="5"/>
    <x v="1"/>
    <x v="3"/>
    <x v="0"/>
    <x v="5"/>
    <x v="1"/>
    <x v="0"/>
    <n v="1"/>
    <n v="6446.44"/>
    <n v="15837.71"/>
    <x v="1"/>
  </r>
  <r>
    <x v="5"/>
    <x v="1"/>
    <x v="3"/>
    <x v="0"/>
    <x v="5"/>
    <x v="1"/>
    <x v="1"/>
    <n v="31"/>
    <n v="206827.31"/>
    <n v="602045.92000000004"/>
    <x v="1"/>
  </r>
  <r>
    <x v="5"/>
    <x v="1"/>
    <x v="3"/>
    <x v="0"/>
    <x v="6"/>
    <x v="0"/>
    <x v="1"/>
    <n v="5"/>
    <n v="33652.92"/>
    <n v="147145.93"/>
    <x v="1"/>
  </r>
  <r>
    <x v="5"/>
    <x v="1"/>
    <x v="3"/>
    <x v="0"/>
    <x v="6"/>
    <x v="1"/>
    <x v="1"/>
    <n v="3"/>
    <n v="24495.45"/>
    <n v="67812.89"/>
    <x v="1"/>
  </r>
  <r>
    <x v="5"/>
    <x v="1"/>
    <x v="3"/>
    <x v="0"/>
    <x v="7"/>
    <x v="1"/>
    <x v="1"/>
    <n v="6"/>
    <n v="37296.22"/>
    <n v="104845.11"/>
    <x v="1"/>
  </r>
  <r>
    <x v="5"/>
    <x v="1"/>
    <x v="3"/>
    <x v="0"/>
    <x v="8"/>
    <x v="1"/>
    <x v="1"/>
    <n v="4"/>
    <n v="24981.34"/>
    <n v="70775.320000000007"/>
    <x v="1"/>
  </r>
  <r>
    <x v="5"/>
    <x v="1"/>
    <x v="3"/>
    <x v="1"/>
    <x v="30"/>
    <x v="1"/>
    <x v="0"/>
    <n v="3"/>
    <n v="24463.71"/>
    <n v="73239.58"/>
    <x v="1"/>
  </r>
  <r>
    <x v="5"/>
    <x v="1"/>
    <x v="3"/>
    <x v="1"/>
    <x v="9"/>
    <x v="1"/>
    <x v="1"/>
    <n v="3"/>
    <n v="16576.14"/>
    <n v="52989.72"/>
    <x v="1"/>
  </r>
  <r>
    <x v="5"/>
    <x v="1"/>
    <x v="3"/>
    <x v="1"/>
    <x v="31"/>
    <x v="1"/>
    <x v="0"/>
    <n v="2"/>
    <n v="10811.84"/>
    <n v="33664.629999999997"/>
    <x v="1"/>
  </r>
  <r>
    <x v="5"/>
    <x v="1"/>
    <x v="3"/>
    <x v="1"/>
    <x v="10"/>
    <x v="0"/>
    <x v="0"/>
    <n v="5"/>
    <n v="26619.7"/>
    <n v="124321.43"/>
    <x v="1"/>
  </r>
  <r>
    <x v="5"/>
    <x v="1"/>
    <x v="3"/>
    <x v="1"/>
    <x v="10"/>
    <x v="0"/>
    <x v="1"/>
    <n v="7"/>
    <n v="43602.73"/>
    <n v="206369.74"/>
    <x v="1"/>
  </r>
  <r>
    <x v="5"/>
    <x v="1"/>
    <x v="3"/>
    <x v="1"/>
    <x v="10"/>
    <x v="1"/>
    <x v="0"/>
    <n v="20"/>
    <n v="110412.35"/>
    <n v="348471.29"/>
    <x v="1"/>
  </r>
  <r>
    <x v="5"/>
    <x v="1"/>
    <x v="3"/>
    <x v="1"/>
    <x v="10"/>
    <x v="1"/>
    <x v="1"/>
    <n v="26"/>
    <n v="164987.01"/>
    <n v="507155.32"/>
    <x v="1"/>
  </r>
  <r>
    <x v="5"/>
    <x v="1"/>
    <x v="3"/>
    <x v="1"/>
    <x v="11"/>
    <x v="0"/>
    <x v="1"/>
    <n v="19"/>
    <n v="124815.6"/>
    <n v="563132.03"/>
    <x v="1"/>
  </r>
  <r>
    <x v="5"/>
    <x v="1"/>
    <x v="3"/>
    <x v="1"/>
    <x v="11"/>
    <x v="1"/>
    <x v="0"/>
    <n v="1"/>
    <n v="8287.19"/>
    <n v="23266.45"/>
    <x v="1"/>
  </r>
  <r>
    <x v="5"/>
    <x v="1"/>
    <x v="3"/>
    <x v="1"/>
    <x v="11"/>
    <x v="1"/>
    <x v="1"/>
    <n v="20"/>
    <n v="126931.59"/>
    <n v="386135.28"/>
    <x v="1"/>
  </r>
  <r>
    <x v="5"/>
    <x v="1"/>
    <x v="3"/>
    <x v="1"/>
    <x v="12"/>
    <x v="1"/>
    <x v="0"/>
    <n v="1"/>
    <n v="5612.75"/>
    <n v="18052.39"/>
    <x v="1"/>
  </r>
  <r>
    <x v="5"/>
    <x v="1"/>
    <x v="3"/>
    <x v="1"/>
    <x v="12"/>
    <x v="1"/>
    <x v="1"/>
    <n v="6"/>
    <n v="41816.620000000003"/>
    <n v="139150.56"/>
    <x v="1"/>
  </r>
  <r>
    <x v="5"/>
    <x v="1"/>
    <x v="3"/>
    <x v="1"/>
    <x v="13"/>
    <x v="0"/>
    <x v="1"/>
    <n v="9"/>
    <n v="50634.35"/>
    <n v="233137.47"/>
    <x v="1"/>
  </r>
  <r>
    <x v="5"/>
    <x v="1"/>
    <x v="3"/>
    <x v="1"/>
    <x v="13"/>
    <x v="1"/>
    <x v="0"/>
    <n v="1"/>
    <n v="8108.85"/>
    <n v="24376.09"/>
    <x v="1"/>
  </r>
  <r>
    <x v="5"/>
    <x v="1"/>
    <x v="3"/>
    <x v="1"/>
    <x v="13"/>
    <x v="1"/>
    <x v="1"/>
    <n v="5"/>
    <n v="35629.51"/>
    <n v="108659.62"/>
    <x v="1"/>
  </r>
  <r>
    <x v="5"/>
    <x v="1"/>
    <x v="3"/>
    <x v="1"/>
    <x v="14"/>
    <x v="0"/>
    <x v="1"/>
    <n v="2"/>
    <n v="15834.24"/>
    <n v="70865.95"/>
    <x v="1"/>
  </r>
  <r>
    <x v="5"/>
    <x v="1"/>
    <x v="3"/>
    <x v="1"/>
    <x v="14"/>
    <x v="1"/>
    <x v="0"/>
    <n v="11"/>
    <n v="62005.13"/>
    <n v="185925.86"/>
    <x v="1"/>
  </r>
  <r>
    <x v="5"/>
    <x v="1"/>
    <x v="3"/>
    <x v="1"/>
    <x v="14"/>
    <x v="1"/>
    <x v="1"/>
    <n v="6"/>
    <n v="34677.11"/>
    <n v="106184.21"/>
    <x v="1"/>
  </r>
  <r>
    <x v="5"/>
    <x v="1"/>
    <x v="3"/>
    <x v="1"/>
    <x v="16"/>
    <x v="0"/>
    <x v="1"/>
    <n v="4"/>
    <n v="31396.54"/>
    <n v="141160.45000000001"/>
    <x v="1"/>
  </r>
  <r>
    <x v="5"/>
    <x v="1"/>
    <x v="3"/>
    <x v="1"/>
    <x v="16"/>
    <x v="1"/>
    <x v="0"/>
    <n v="2"/>
    <n v="9949.0300000000007"/>
    <n v="28565.71"/>
    <x v="1"/>
  </r>
  <r>
    <x v="5"/>
    <x v="1"/>
    <x v="3"/>
    <x v="1"/>
    <x v="16"/>
    <x v="1"/>
    <x v="1"/>
    <n v="5"/>
    <n v="34836.239999999998"/>
    <n v="98534.76"/>
    <x v="1"/>
  </r>
  <r>
    <x v="5"/>
    <x v="1"/>
    <x v="3"/>
    <x v="1"/>
    <x v="17"/>
    <x v="0"/>
    <x v="1"/>
    <n v="2"/>
    <n v="13993.86"/>
    <n v="61547.45"/>
    <x v="1"/>
  </r>
  <r>
    <x v="5"/>
    <x v="1"/>
    <x v="3"/>
    <x v="1"/>
    <x v="17"/>
    <x v="1"/>
    <x v="0"/>
    <n v="4"/>
    <n v="19754.919999999998"/>
    <n v="61091.46"/>
    <x v="1"/>
  </r>
  <r>
    <x v="5"/>
    <x v="1"/>
    <x v="3"/>
    <x v="1"/>
    <x v="17"/>
    <x v="1"/>
    <x v="1"/>
    <n v="7"/>
    <n v="39161.269999999997"/>
    <n v="121147.94"/>
    <x v="1"/>
  </r>
  <r>
    <x v="5"/>
    <x v="1"/>
    <x v="3"/>
    <x v="1"/>
    <x v="18"/>
    <x v="0"/>
    <x v="1"/>
    <n v="27"/>
    <n v="170635.67"/>
    <n v="766111.04"/>
    <x v="1"/>
  </r>
  <r>
    <x v="5"/>
    <x v="1"/>
    <x v="3"/>
    <x v="1"/>
    <x v="18"/>
    <x v="1"/>
    <x v="0"/>
    <n v="8"/>
    <n v="62436.76"/>
    <n v="185432.26"/>
    <x v="1"/>
  </r>
  <r>
    <x v="5"/>
    <x v="1"/>
    <x v="3"/>
    <x v="1"/>
    <x v="18"/>
    <x v="1"/>
    <x v="1"/>
    <n v="26"/>
    <n v="174019.57"/>
    <n v="536891.89"/>
    <x v="1"/>
  </r>
  <r>
    <x v="5"/>
    <x v="1"/>
    <x v="3"/>
    <x v="1"/>
    <x v="19"/>
    <x v="0"/>
    <x v="1"/>
    <n v="3"/>
    <n v="21731.3"/>
    <n v="94708.11"/>
    <x v="1"/>
  </r>
  <r>
    <x v="5"/>
    <x v="1"/>
    <x v="3"/>
    <x v="1"/>
    <x v="19"/>
    <x v="1"/>
    <x v="0"/>
    <n v="17"/>
    <n v="93414.26"/>
    <n v="281406.48"/>
    <x v="1"/>
  </r>
  <r>
    <x v="5"/>
    <x v="1"/>
    <x v="3"/>
    <x v="1"/>
    <x v="19"/>
    <x v="1"/>
    <x v="1"/>
    <n v="25"/>
    <n v="139006.87"/>
    <n v="417748.12"/>
    <x v="1"/>
  </r>
  <r>
    <x v="5"/>
    <x v="1"/>
    <x v="3"/>
    <x v="1"/>
    <x v="20"/>
    <x v="0"/>
    <x v="0"/>
    <n v="1"/>
    <n v="7206.11"/>
    <n v="35795.980000000003"/>
    <x v="1"/>
  </r>
  <r>
    <x v="5"/>
    <x v="1"/>
    <x v="3"/>
    <x v="1"/>
    <x v="20"/>
    <x v="0"/>
    <x v="1"/>
    <n v="12"/>
    <n v="70442.34"/>
    <n v="322405.44"/>
    <x v="1"/>
  </r>
  <r>
    <x v="5"/>
    <x v="1"/>
    <x v="3"/>
    <x v="1"/>
    <x v="20"/>
    <x v="1"/>
    <x v="0"/>
    <n v="37"/>
    <n v="199983.92"/>
    <n v="619618"/>
    <x v="1"/>
  </r>
  <r>
    <x v="5"/>
    <x v="1"/>
    <x v="3"/>
    <x v="1"/>
    <x v="20"/>
    <x v="1"/>
    <x v="1"/>
    <n v="21"/>
    <n v="132087.73000000001"/>
    <n v="387620.32"/>
    <x v="1"/>
  </r>
  <r>
    <x v="5"/>
    <x v="1"/>
    <x v="3"/>
    <x v="2"/>
    <x v="21"/>
    <x v="0"/>
    <x v="0"/>
    <n v="3"/>
    <n v="19781.77"/>
    <n v="86675.12"/>
    <x v="1"/>
  </r>
  <r>
    <x v="5"/>
    <x v="1"/>
    <x v="3"/>
    <x v="2"/>
    <x v="21"/>
    <x v="1"/>
    <x v="1"/>
    <n v="10"/>
    <n v="74693.009999999995"/>
    <n v="196371.87"/>
    <x v="1"/>
  </r>
  <r>
    <x v="5"/>
    <x v="1"/>
    <x v="3"/>
    <x v="2"/>
    <x v="22"/>
    <x v="0"/>
    <x v="1"/>
    <n v="3"/>
    <n v="19401.88"/>
    <n v="91798.78"/>
    <x v="1"/>
  </r>
  <r>
    <x v="5"/>
    <x v="1"/>
    <x v="3"/>
    <x v="2"/>
    <x v="22"/>
    <x v="1"/>
    <x v="0"/>
    <n v="12"/>
    <n v="67006.25"/>
    <n v="180261.75"/>
    <x v="1"/>
  </r>
  <r>
    <x v="5"/>
    <x v="1"/>
    <x v="3"/>
    <x v="2"/>
    <x v="22"/>
    <x v="1"/>
    <x v="1"/>
    <n v="18"/>
    <n v="119343.53"/>
    <n v="322087.02"/>
    <x v="1"/>
  </r>
  <r>
    <x v="5"/>
    <x v="1"/>
    <x v="3"/>
    <x v="2"/>
    <x v="29"/>
    <x v="0"/>
    <x v="1"/>
    <n v="2"/>
    <n v="16263.61"/>
    <n v="70434.44"/>
    <x v="1"/>
  </r>
  <r>
    <x v="5"/>
    <x v="1"/>
    <x v="3"/>
    <x v="2"/>
    <x v="29"/>
    <x v="1"/>
    <x v="1"/>
    <n v="8"/>
    <n v="52908.35"/>
    <n v="151423.32999999999"/>
    <x v="1"/>
  </r>
  <r>
    <x v="5"/>
    <x v="1"/>
    <x v="3"/>
    <x v="2"/>
    <x v="24"/>
    <x v="1"/>
    <x v="1"/>
    <n v="5"/>
    <n v="30890"/>
    <n v="85241.47"/>
    <x v="1"/>
  </r>
  <r>
    <x v="5"/>
    <x v="1"/>
    <x v="3"/>
    <x v="3"/>
    <x v="25"/>
    <x v="0"/>
    <x v="1"/>
    <n v="2"/>
    <n v="10788.21"/>
    <n v="49695.1"/>
    <x v="1"/>
  </r>
  <r>
    <x v="5"/>
    <x v="1"/>
    <x v="3"/>
    <x v="3"/>
    <x v="25"/>
    <x v="1"/>
    <x v="0"/>
    <n v="12"/>
    <n v="72876.240000000005"/>
    <n v="226995.72"/>
    <x v="1"/>
  </r>
  <r>
    <x v="5"/>
    <x v="1"/>
    <x v="3"/>
    <x v="3"/>
    <x v="25"/>
    <x v="1"/>
    <x v="1"/>
    <n v="7"/>
    <n v="37706.26"/>
    <n v="119344.29"/>
    <x v="1"/>
  </r>
  <r>
    <x v="5"/>
    <x v="1"/>
    <x v="3"/>
    <x v="3"/>
    <x v="26"/>
    <x v="0"/>
    <x v="0"/>
    <n v="3"/>
    <n v="18851.72"/>
    <n v="85810.23"/>
    <x v="1"/>
  </r>
  <r>
    <x v="5"/>
    <x v="1"/>
    <x v="3"/>
    <x v="3"/>
    <x v="26"/>
    <x v="0"/>
    <x v="1"/>
    <n v="1"/>
    <n v="5796.47"/>
    <n v="26000.69"/>
    <x v="1"/>
  </r>
  <r>
    <x v="5"/>
    <x v="1"/>
    <x v="3"/>
    <x v="3"/>
    <x v="26"/>
    <x v="1"/>
    <x v="0"/>
    <n v="7"/>
    <n v="44756.72"/>
    <n v="135003.82"/>
    <x v="1"/>
  </r>
  <r>
    <x v="5"/>
    <x v="1"/>
    <x v="3"/>
    <x v="3"/>
    <x v="26"/>
    <x v="1"/>
    <x v="1"/>
    <n v="10"/>
    <n v="55440.36"/>
    <n v="173547.81"/>
    <x v="1"/>
  </r>
  <r>
    <x v="5"/>
    <x v="1"/>
    <x v="3"/>
    <x v="3"/>
    <x v="27"/>
    <x v="0"/>
    <x v="0"/>
    <n v="1"/>
    <n v="5799.89"/>
    <n v="25635.59"/>
    <x v="1"/>
  </r>
  <r>
    <x v="5"/>
    <x v="1"/>
    <x v="3"/>
    <x v="3"/>
    <x v="27"/>
    <x v="0"/>
    <x v="1"/>
    <n v="9"/>
    <n v="56707.69"/>
    <n v="253772.36"/>
    <x v="1"/>
  </r>
  <r>
    <x v="5"/>
    <x v="1"/>
    <x v="3"/>
    <x v="3"/>
    <x v="27"/>
    <x v="1"/>
    <x v="0"/>
    <n v="21"/>
    <n v="128531.91"/>
    <n v="382586.46"/>
    <x v="1"/>
  </r>
  <r>
    <x v="5"/>
    <x v="1"/>
    <x v="3"/>
    <x v="3"/>
    <x v="27"/>
    <x v="1"/>
    <x v="1"/>
    <n v="19"/>
    <n v="113114.31"/>
    <n v="341854.46"/>
    <x v="1"/>
  </r>
  <r>
    <x v="5"/>
    <x v="1"/>
    <x v="4"/>
    <x v="0"/>
    <x v="0"/>
    <x v="0"/>
    <x v="0"/>
    <n v="2"/>
    <n v="9603.59"/>
    <n v="43847.25"/>
    <x v="1"/>
  </r>
  <r>
    <x v="5"/>
    <x v="1"/>
    <x v="4"/>
    <x v="0"/>
    <x v="0"/>
    <x v="1"/>
    <x v="0"/>
    <n v="6"/>
    <n v="33706.199999999997"/>
    <n v="97727.84"/>
    <x v="1"/>
  </r>
  <r>
    <x v="5"/>
    <x v="1"/>
    <x v="4"/>
    <x v="0"/>
    <x v="0"/>
    <x v="1"/>
    <x v="1"/>
    <n v="9"/>
    <n v="47315.23"/>
    <n v="149915.34"/>
    <x v="1"/>
  </r>
  <r>
    <x v="5"/>
    <x v="1"/>
    <x v="4"/>
    <x v="0"/>
    <x v="1"/>
    <x v="0"/>
    <x v="0"/>
    <n v="5"/>
    <n v="26554.85"/>
    <n v="125192.38"/>
    <x v="1"/>
  </r>
  <r>
    <x v="5"/>
    <x v="1"/>
    <x v="4"/>
    <x v="0"/>
    <x v="1"/>
    <x v="0"/>
    <x v="1"/>
    <n v="1"/>
    <n v="6857.77"/>
    <n v="34359.660000000003"/>
    <x v="1"/>
  </r>
  <r>
    <x v="5"/>
    <x v="1"/>
    <x v="4"/>
    <x v="0"/>
    <x v="1"/>
    <x v="1"/>
    <x v="0"/>
    <n v="7"/>
    <n v="35356.730000000003"/>
    <n v="110034.57"/>
    <x v="1"/>
  </r>
  <r>
    <x v="5"/>
    <x v="1"/>
    <x v="4"/>
    <x v="0"/>
    <x v="1"/>
    <x v="1"/>
    <x v="1"/>
    <n v="21"/>
    <n v="121240.93"/>
    <n v="373390.43"/>
    <x v="1"/>
  </r>
  <r>
    <x v="5"/>
    <x v="1"/>
    <x v="4"/>
    <x v="0"/>
    <x v="2"/>
    <x v="0"/>
    <x v="1"/>
    <n v="4"/>
    <n v="23998.89"/>
    <n v="113439.86"/>
    <x v="1"/>
  </r>
  <r>
    <x v="5"/>
    <x v="1"/>
    <x v="4"/>
    <x v="0"/>
    <x v="2"/>
    <x v="1"/>
    <x v="0"/>
    <n v="4"/>
    <n v="20248.55"/>
    <n v="54485.93"/>
    <x v="1"/>
  </r>
  <r>
    <x v="5"/>
    <x v="1"/>
    <x v="4"/>
    <x v="0"/>
    <x v="2"/>
    <x v="1"/>
    <x v="1"/>
    <n v="10"/>
    <n v="55341.82"/>
    <n v="164474.18"/>
    <x v="1"/>
  </r>
  <r>
    <x v="5"/>
    <x v="1"/>
    <x v="4"/>
    <x v="0"/>
    <x v="3"/>
    <x v="0"/>
    <x v="0"/>
    <n v="2"/>
    <n v="11442.43"/>
    <n v="52376.14"/>
    <x v="1"/>
  </r>
  <r>
    <x v="5"/>
    <x v="1"/>
    <x v="4"/>
    <x v="0"/>
    <x v="3"/>
    <x v="0"/>
    <x v="1"/>
    <n v="7"/>
    <n v="37048.97"/>
    <n v="161019.28"/>
    <x v="1"/>
  </r>
  <r>
    <x v="5"/>
    <x v="1"/>
    <x v="4"/>
    <x v="0"/>
    <x v="3"/>
    <x v="1"/>
    <x v="0"/>
    <n v="2"/>
    <n v="10218.66"/>
    <n v="27703.29"/>
    <x v="1"/>
  </r>
  <r>
    <x v="5"/>
    <x v="1"/>
    <x v="4"/>
    <x v="0"/>
    <x v="3"/>
    <x v="1"/>
    <x v="1"/>
    <n v="36"/>
    <n v="196553.4"/>
    <n v="573068.63"/>
    <x v="1"/>
  </r>
  <r>
    <x v="5"/>
    <x v="1"/>
    <x v="4"/>
    <x v="0"/>
    <x v="28"/>
    <x v="1"/>
    <x v="1"/>
    <n v="6"/>
    <n v="29040.7"/>
    <n v="92208.86"/>
    <x v="1"/>
  </r>
  <r>
    <x v="5"/>
    <x v="1"/>
    <x v="4"/>
    <x v="0"/>
    <x v="4"/>
    <x v="1"/>
    <x v="1"/>
    <n v="5"/>
    <n v="27953.03"/>
    <n v="86091.5"/>
    <x v="1"/>
  </r>
  <r>
    <x v="5"/>
    <x v="1"/>
    <x v="4"/>
    <x v="0"/>
    <x v="5"/>
    <x v="0"/>
    <x v="1"/>
    <n v="1"/>
    <n v="5546.8"/>
    <n v="21924.1"/>
    <x v="1"/>
  </r>
  <r>
    <x v="5"/>
    <x v="1"/>
    <x v="4"/>
    <x v="0"/>
    <x v="5"/>
    <x v="1"/>
    <x v="0"/>
    <n v="1"/>
    <n v="5380.47"/>
    <n v="14418.97"/>
    <x v="1"/>
  </r>
  <r>
    <x v="5"/>
    <x v="1"/>
    <x v="4"/>
    <x v="0"/>
    <x v="5"/>
    <x v="1"/>
    <x v="1"/>
    <n v="23"/>
    <n v="121757"/>
    <n v="372418.14"/>
    <x v="1"/>
  </r>
  <r>
    <x v="5"/>
    <x v="1"/>
    <x v="4"/>
    <x v="0"/>
    <x v="6"/>
    <x v="0"/>
    <x v="1"/>
    <n v="3"/>
    <n v="15860.07"/>
    <n v="68689.929999999993"/>
    <x v="1"/>
  </r>
  <r>
    <x v="5"/>
    <x v="1"/>
    <x v="4"/>
    <x v="0"/>
    <x v="6"/>
    <x v="1"/>
    <x v="1"/>
    <n v="2"/>
    <n v="9500.7199999999993"/>
    <n v="29204.13"/>
    <x v="1"/>
  </r>
  <r>
    <x v="5"/>
    <x v="1"/>
    <x v="4"/>
    <x v="0"/>
    <x v="8"/>
    <x v="0"/>
    <x v="1"/>
    <n v="1"/>
    <n v="4790.03"/>
    <n v="21719.97"/>
    <x v="1"/>
  </r>
  <r>
    <x v="5"/>
    <x v="1"/>
    <x v="4"/>
    <x v="0"/>
    <x v="8"/>
    <x v="1"/>
    <x v="1"/>
    <n v="6"/>
    <n v="32593.8"/>
    <n v="81670.19"/>
    <x v="1"/>
  </r>
  <r>
    <x v="5"/>
    <x v="1"/>
    <x v="4"/>
    <x v="1"/>
    <x v="30"/>
    <x v="1"/>
    <x v="0"/>
    <n v="3"/>
    <n v="14864.64"/>
    <n v="47911.55"/>
    <x v="1"/>
  </r>
  <r>
    <x v="5"/>
    <x v="1"/>
    <x v="4"/>
    <x v="1"/>
    <x v="9"/>
    <x v="1"/>
    <x v="1"/>
    <n v="18"/>
    <n v="90742.28"/>
    <n v="298885.48"/>
    <x v="1"/>
  </r>
  <r>
    <x v="5"/>
    <x v="1"/>
    <x v="4"/>
    <x v="1"/>
    <x v="31"/>
    <x v="1"/>
    <x v="0"/>
    <n v="2"/>
    <n v="9303.6200000000008"/>
    <n v="32740.68"/>
    <x v="1"/>
  </r>
  <r>
    <x v="5"/>
    <x v="1"/>
    <x v="4"/>
    <x v="1"/>
    <x v="10"/>
    <x v="0"/>
    <x v="1"/>
    <n v="1"/>
    <n v="5370.95"/>
    <n v="22459.79"/>
    <x v="1"/>
  </r>
  <r>
    <x v="5"/>
    <x v="1"/>
    <x v="4"/>
    <x v="1"/>
    <x v="10"/>
    <x v="1"/>
    <x v="0"/>
    <n v="1"/>
    <n v="4887.78"/>
    <n v="14806.75"/>
    <x v="1"/>
  </r>
  <r>
    <x v="5"/>
    <x v="1"/>
    <x v="4"/>
    <x v="1"/>
    <x v="10"/>
    <x v="1"/>
    <x v="1"/>
    <n v="30"/>
    <n v="158125.07999999999"/>
    <n v="477488.15"/>
    <x v="1"/>
  </r>
  <r>
    <x v="5"/>
    <x v="1"/>
    <x v="4"/>
    <x v="1"/>
    <x v="11"/>
    <x v="0"/>
    <x v="1"/>
    <n v="6"/>
    <n v="29068.53"/>
    <n v="138518.25"/>
    <x v="1"/>
  </r>
  <r>
    <x v="5"/>
    <x v="1"/>
    <x v="4"/>
    <x v="1"/>
    <x v="11"/>
    <x v="1"/>
    <x v="0"/>
    <n v="9"/>
    <n v="47753.65"/>
    <n v="145532.25"/>
    <x v="1"/>
  </r>
  <r>
    <x v="5"/>
    <x v="1"/>
    <x v="4"/>
    <x v="1"/>
    <x v="11"/>
    <x v="1"/>
    <x v="1"/>
    <n v="24"/>
    <n v="133862.82"/>
    <n v="402343.06"/>
    <x v="1"/>
  </r>
  <r>
    <x v="5"/>
    <x v="1"/>
    <x v="4"/>
    <x v="1"/>
    <x v="13"/>
    <x v="0"/>
    <x v="1"/>
    <n v="5"/>
    <n v="25214.26"/>
    <n v="122522.87"/>
    <x v="1"/>
  </r>
  <r>
    <x v="5"/>
    <x v="1"/>
    <x v="4"/>
    <x v="1"/>
    <x v="13"/>
    <x v="1"/>
    <x v="0"/>
    <n v="9"/>
    <n v="46840.47"/>
    <n v="136037.72"/>
    <x v="1"/>
  </r>
  <r>
    <x v="5"/>
    <x v="1"/>
    <x v="4"/>
    <x v="1"/>
    <x v="13"/>
    <x v="1"/>
    <x v="1"/>
    <n v="16"/>
    <n v="78850.53"/>
    <n v="246624.03"/>
    <x v="1"/>
  </r>
  <r>
    <x v="5"/>
    <x v="1"/>
    <x v="4"/>
    <x v="1"/>
    <x v="14"/>
    <x v="0"/>
    <x v="1"/>
    <n v="3"/>
    <n v="16237.82"/>
    <n v="68031.199999999997"/>
    <x v="1"/>
  </r>
  <r>
    <x v="5"/>
    <x v="1"/>
    <x v="4"/>
    <x v="1"/>
    <x v="14"/>
    <x v="1"/>
    <x v="0"/>
    <n v="16"/>
    <n v="82841.58"/>
    <n v="253370.43"/>
    <x v="1"/>
  </r>
  <r>
    <x v="5"/>
    <x v="1"/>
    <x v="4"/>
    <x v="1"/>
    <x v="14"/>
    <x v="1"/>
    <x v="1"/>
    <n v="7"/>
    <n v="38984.199999999997"/>
    <n v="120394.2"/>
    <x v="1"/>
  </r>
  <r>
    <x v="5"/>
    <x v="1"/>
    <x v="4"/>
    <x v="1"/>
    <x v="15"/>
    <x v="1"/>
    <x v="0"/>
    <n v="5"/>
    <n v="24004.2"/>
    <n v="74036.84"/>
    <x v="1"/>
  </r>
  <r>
    <x v="5"/>
    <x v="1"/>
    <x v="4"/>
    <x v="1"/>
    <x v="15"/>
    <x v="1"/>
    <x v="1"/>
    <n v="2"/>
    <n v="11132.94"/>
    <n v="36063.46"/>
    <x v="1"/>
  </r>
  <r>
    <x v="5"/>
    <x v="1"/>
    <x v="4"/>
    <x v="1"/>
    <x v="16"/>
    <x v="1"/>
    <x v="0"/>
    <n v="9"/>
    <n v="49276.55"/>
    <n v="156515.94"/>
    <x v="1"/>
  </r>
  <r>
    <x v="5"/>
    <x v="1"/>
    <x v="4"/>
    <x v="1"/>
    <x v="16"/>
    <x v="1"/>
    <x v="1"/>
    <n v="8"/>
    <n v="42033.36"/>
    <n v="125604.81"/>
    <x v="1"/>
  </r>
  <r>
    <x v="5"/>
    <x v="1"/>
    <x v="4"/>
    <x v="1"/>
    <x v="17"/>
    <x v="0"/>
    <x v="1"/>
    <n v="3"/>
    <n v="14535.52"/>
    <n v="69630.13"/>
    <x v="1"/>
  </r>
  <r>
    <x v="5"/>
    <x v="1"/>
    <x v="4"/>
    <x v="1"/>
    <x v="17"/>
    <x v="1"/>
    <x v="0"/>
    <n v="4"/>
    <n v="21762.33"/>
    <n v="67269.39"/>
    <x v="1"/>
  </r>
  <r>
    <x v="5"/>
    <x v="1"/>
    <x v="4"/>
    <x v="1"/>
    <x v="17"/>
    <x v="1"/>
    <x v="1"/>
    <n v="6"/>
    <n v="30090.94"/>
    <n v="90221.54"/>
    <x v="1"/>
  </r>
  <r>
    <x v="5"/>
    <x v="1"/>
    <x v="4"/>
    <x v="1"/>
    <x v="18"/>
    <x v="0"/>
    <x v="1"/>
    <n v="6"/>
    <n v="34475.1"/>
    <n v="157596.25"/>
    <x v="1"/>
  </r>
  <r>
    <x v="5"/>
    <x v="1"/>
    <x v="4"/>
    <x v="1"/>
    <x v="18"/>
    <x v="1"/>
    <x v="0"/>
    <n v="1"/>
    <n v="5300.14"/>
    <n v="17655.62"/>
    <x v="1"/>
  </r>
  <r>
    <x v="5"/>
    <x v="1"/>
    <x v="4"/>
    <x v="1"/>
    <x v="18"/>
    <x v="1"/>
    <x v="1"/>
    <n v="25"/>
    <n v="132593.54999999999"/>
    <n v="402135.27"/>
    <x v="1"/>
  </r>
  <r>
    <x v="5"/>
    <x v="1"/>
    <x v="4"/>
    <x v="1"/>
    <x v="19"/>
    <x v="0"/>
    <x v="1"/>
    <n v="5"/>
    <n v="25141.24"/>
    <n v="114011.83"/>
    <x v="1"/>
  </r>
  <r>
    <x v="5"/>
    <x v="1"/>
    <x v="4"/>
    <x v="1"/>
    <x v="19"/>
    <x v="1"/>
    <x v="0"/>
    <n v="17"/>
    <n v="86759.98"/>
    <n v="257881.33"/>
    <x v="1"/>
  </r>
  <r>
    <x v="5"/>
    <x v="1"/>
    <x v="4"/>
    <x v="1"/>
    <x v="19"/>
    <x v="1"/>
    <x v="1"/>
    <n v="24"/>
    <n v="123059.85"/>
    <n v="380731.71"/>
    <x v="1"/>
  </r>
  <r>
    <x v="5"/>
    <x v="1"/>
    <x v="4"/>
    <x v="1"/>
    <x v="20"/>
    <x v="0"/>
    <x v="0"/>
    <n v="1"/>
    <n v="5435.49"/>
    <n v="22695.1"/>
    <x v="1"/>
  </r>
  <r>
    <x v="5"/>
    <x v="1"/>
    <x v="4"/>
    <x v="1"/>
    <x v="20"/>
    <x v="0"/>
    <x v="1"/>
    <n v="8"/>
    <n v="40286.25"/>
    <n v="199398.63"/>
    <x v="1"/>
  </r>
  <r>
    <x v="5"/>
    <x v="1"/>
    <x v="4"/>
    <x v="1"/>
    <x v="20"/>
    <x v="1"/>
    <x v="0"/>
    <n v="10"/>
    <n v="57508.25"/>
    <n v="184164.18"/>
    <x v="1"/>
  </r>
  <r>
    <x v="5"/>
    <x v="1"/>
    <x v="4"/>
    <x v="1"/>
    <x v="20"/>
    <x v="1"/>
    <x v="1"/>
    <n v="6"/>
    <n v="31694.55"/>
    <n v="94487.73"/>
    <x v="1"/>
  </r>
  <r>
    <x v="5"/>
    <x v="1"/>
    <x v="4"/>
    <x v="2"/>
    <x v="21"/>
    <x v="1"/>
    <x v="1"/>
    <n v="4"/>
    <n v="20608.48"/>
    <n v="60834.66"/>
    <x v="1"/>
  </r>
  <r>
    <x v="5"/>
    <x v="1"/>
    <x v="4"/>
    <x v="2"/>
    <x v="22"/>
    <x v="1"/>
    <x v="0"/>
    <n v="14"/>
    <n v="72621.509999999995"/>
    <n v="199237.55"/>
    <x v="1"/>
  </r>
  <r>
    <x v="5"/>
    <x v="1"/>
    <x v="4"/>
    <x v="2"/>
    <x v="22"/>
    <x v="1"/>
    <x v="1"/>
    <n v="20"/>
    <n v="104567.92"/>
    <n v="294103.49"/>
    <x v="1"/>
  </r>
  <r>
    <x v="5"/>
    <x v="1"/>
    <x v="4"/>
    <x v="2"/>
    <x v="29"/>
    <x v="0"/>
    <x v="1"/>
    <n v="2"/>
    <n v="10959.2"/>
    <n v="51249.79"/>
    <x v="1"/>
  </r>
  <r>
    <x v="5"/>
    <x v="1"/>
    <x v="4"/>
    <x v="2"/>
    <x v="29"/>
    <x v="1"/>
    <x v="1"/>
    <n v="1"/>
    <n v="6871.69"/>
    <n v="21750.65"/>
    <x v="1"/>
  </r>
  <r>
    <x v="5"/>
    <x v="1"/>
    <x v="4"/>
    <x v="2"/>
    <x v="23"/>
    <x v="1"/>
    <x v="1"/>
    <n v="6"/>
    <n v="30821.49"/>
    <n v="89099.5"/>
    <x v="1"/>
  </r>
  <r>
    <x v="5"/>
    <x v="1"/>
    <x v="4"/>
    <x v="2"/>
    <x v="24"/>
    <x v="0"/>
    <x v="1"/>
    <n v="1"/>
    <n v="5495.33"/>
    <n v="22365.32"/>
    <x v="1"/>
  </r>
  <r>
    <x v="5"/>
    <x v="1"/>
    <x v="4"/>
    <x v="2"/>
    <x v="24"/>
    <x v="1"/>
    <x v="0"/>
    <n v="4"/>
    <n v="27068.799999999999"/>
    <n v="83371.91"/>
    <x v="1"/>
  </r>
  <r>
    <x v="5"/>
    <x v="1"/>
    <x v="4"/>
    <x v="2"/>
    <x v="24"/>
    <x v="1"/>
    <x v="1"/>
    <n v="2"/>
    <n v="13611.8"/>
    <n v="41355.81"/>
    <x v="1"/>
  </r>
  <r>
    <x v="5"/>
    <x v="1"/>
    <x v="4"/>
    <x v="3"/>
    <x v="25"/>
    <x v="0"/>
    <x v="1"/>
    <n v="2"/>
    <n v="9980.06"/>
    <n v="47338.81"/>
    <x v="1"/>
  </r>
  <r>
    <x v="5"/>
    <x v="1"/>
    <x v="4"/>
    <x v="3"/>
    <x v="25"/>
    <x v="1"/>
    <x v="0"/>
    <n v="12"/>
    <n v="63096.6"/>
    <n v="204972.08"/>
    <x v="1"/>
  </r>
  <r>
    <x v="5"/>
    <x v="1"/>
    <x v="4"/>
    <x v="3"/>
    <x v="25"/>
    <x v="1"/>
    <x v="1"/>
    <n v="2"/>
    <n v="10062.65"/>
    <n v="30951.78"/>
    <x v="1"/>
  </r>
  <r>
    <x v="5"/>
    <x v="1"/>
    <x v="4"/>
    <x v="3"/>
    <x v="26"/>
    <x v="1"/>
    <x v="0"/>
    <n v="9"/>
    <n v="46305.72"/>
    <n v="140005.9"/>
    <x v="1"/>
  </r>
  <r>
    <x v="5"/>
    <x v="1"/>
    <x v="4"/>
    <x v="3"/>
    <x v="26"/>
    <x v="1"/>
    <x v="1"/>
    <n v="37"/>
    <n v="203101.43"/>
    <n v="645728.35"/>
    <x v="1"/>
  </r>
  <r>
    <x v="5"/>
    <x v="1"/>
    <x v="4"/>
    <x v="3"/>
    <x v="27"/>
    <x v="0"/>
    <x v="0"/>
    <n v="2"/>
    <n v="10369.6"/>
    <n v="47422.04"/>
    <x v="1"/>
  </r>
  <r>
    <x v="5"/>
    <x v="1"/>
    <x v="4"/>
    <x v="3"/>
    <x v="27"/>
    <x v="0"/>
    <x v="1"/>
    <n v="7"/>
    <n v="35681.1"/>
    <n v="154963.51"/>
    <x v="1"/>
  </r>
  <r>
    <x v="5"/>
    <x v="1"/>
    <x v="4"/>
    <x v="3"/>
    <x v="27"/>
    <x v="1"/>
    <x v="0"/>
    <n v="11"/>
    <n v="62086.76"/>
    <n v="188447.1"/>
    <x v="1"/>
  </r>
  <r>
    <x v="5"/>
    <x v="1"/>
    <x v="4"/>
    <x v="3"/>
    <x v="27"/>
    <x v="1"/>
    <x v="1"/>
    <n v="24"/>
    <n v="125201.65"/>
    <n v="369401"/>
    <x v="1"/>
  </r>
  <r>
    <x v="5"/>
    <x v="1"/>
    <x v="5"/>
    <x v="0"/>
    <x v="0"/>
    <x v="0"/>
    <x v="1"/>
    <n v="4"/>
    <n v="19471.419999999998"/>
    <n v="76419.83"/>
    <x v="1"/>
  </r>
  <r>
    <x v="5"/>
    <x v="1"/>
    <x v="5"/>
    <x v="0"/>
    <x v="0"/>
    <x v="1"/>
    <x v="0"/>
    <n v="2"/>
    <n v="14216.48"/>
    <n v="36015.089999999997"/>
    <x v="1"/>
  </r>
  <r>
    <x v="5"/>
    <x v="1"/>
    <x v="5"/>
    <x v="0"/>
    <x v="0"/>
    <x v="1"/>
    <x v="1"/>
    <n v="1"/>
    <n v="4928.22"/>
    <n v="11551.26"/>
    <x v="1"/>
  </r>
  <r>
    <x v="5"/>
    <x v="1"/>
    <x v="5"/>
    <x v="0"/>
    <x v="1"/>
    <x v="0"/>
    <x v="0"/>
    <n v="4"/>
    <n v="27012.2"/>
    <n v="113698.94"/>
    <x v="1"/>
  </r>
  <r>
    <x v="5"/>
    <x v="1"/>
    <x v="5"/>
    <x v="0"/>
    <x v="1"/>
    <x v="1"/>
    <x v="0"/>
    <n v="24"/>
    <n v="127962.73"/>
    <n v="336684.18"/>
    <x v="1"/>
  </r>
  <r>
    <x v="5"/>
    <x v="1"/>
    <x v="5"/>
    <x v="0"/>
    <x v="1"/>
    <x v="1"/>
    <x v="1"/>
    <n v="3"/>
    <n v="14940.48"/>
    <n v="36972.94"/>
    <x v="1"/>
  </r>
  <r>
    <x v="5"/>
    <x v="1"/>
    <x v="5"/>
    <x v="0"/>
    <x v="2"/>
    <x v="0"/>
    <x v="1"/>
    <n v="1"/>
    <n v="4465.63"/>
    <n v="18041.21"/>
    <x v="1"/>
  </r>
  <r>
    <x v="5"/>
    <x v="1"/>
    <x v="5"/>
    <x v="0"/>
    <x v="2"/>
    <x v="1"/>
    <x v="0"/>
    <n v="7"/>
    <n v="46880.89"/>
    <n v="118094.2"/>
    <x v="1"/>
  </r>
  <r>
    <x v="5"/>
    <x v="1"/>
    <x v="5"/>
    <x v="0"/>
    <x v="2"/>
    <x v="1"/>
    <x v="1"/>
    <n v="3"/>
    <n v="20768.310000000001"/>
    <n v="50443.18"/>
    <x v="1"/>
  </r>
  <r>
    <x v="5"/>
    <x v="1"/>
    <x v="5"/>
    <x v="0"/>
    <x v="3"/>
    <x v="0"/>
    <x v="0"/>
    <n v="1"/>
    <n v="6766.43"/>
    <n v="25835.41"/>
    <x v="1"/>
  </r>
  <r>
    <x v="5"/>
    <x v="1"/>
    <x v="5"/>
    <x v="0"/>
    <x v="3"/>
    <x v="0"/>
    <x v="1"/>
    <n v="6"/>
    <n v="38934.79"/>
    <n v="148291.96"/>
    <x v="1"/>
  </r>
  <r>
    <x v="5"/>
    <x v="1"/>
    <x v="5"/>
    <x v="0"/>
    <x v="3"/>
    <x v="1"/>
    <x v="0"/>
    <n v="4"/>
    <n v="22503.74"/>
    <n v="56901.55"/>
    <x v="1"/>
  </r>
  <r>
    <x v="5"/>
    <x v="1"/>
    <x v="5"/>
    <x v="0"/>
    <x v="3"/>
    <x v="1"/>
    <x v="1"/>
    <n v="12"/>
    <n v="65156.31"/>
    <n v="159078.76999999999"/>
    <x v="1"/>
  </r>
  <r>
    <x v="5"/>
    <x v="1"/>
    <x v="5"/>
    <x v="0"/>
    <x v="28"/>
    <x v="1"/>
    <x v="1"/>
    <n v="1"/>
    <n v="7105.97"/>
    <n v="17539.66"/>
    <x v="1"/>
  </r>
  <r>
    <x v="5"/>
    <x v="1"/>
    <x v="5"/>
    <x v="0"/>
    <x v="4"/>
    <x v="0"/>
    <x v="1"/>
    <n v="1"/>
    <n v="6626.34"/>
    <n v="27518.94"/>
    <x v="1"/>
  </r>
  <r>
    <x v="5"/>
    <x v="1"/>
    <x v="5"/>
    <x v="0"/>
    <x v="4"/>
    <x v="1"/>
    <x v="0"/>
    <n v="2"/>
    <n v="14056.94"/>
    <n v="34588.1"/>
    <x v="1"/>
  </r>
  <r>
    <x v="5"/>
    <x v="1"/>
    <x v="5"/>
    <x v="0"/>
    <x v="4"/>
    <x v="1"/>
    <x v="1"/>
    <n v="9"/>
    <n v="54458.64"/>
    <n v="136123.82"/>
    <x v="1"/>
  </r>
  <r>
    <x v="5"/>
    <x v="1"/>
    <x v="5"/>
    <x v="0"/>
    <x v="5"/>
    <x v="0"/>
    <x v="1"/>
    <n v="5"/>
    <n v="29252.99"/>
    <n v="117320.98"/>
    <x v="1"/>
  </r>
  <r>
    <x v="5"/>
    <x v="1"/>
    <x v="5"/>
    <x v="0"/>
    <x v="5"/>
    <x v="1"/>
    <x v="0"/>
    <n v="4"/>
    <n v="23995.46"/>
    <n v="61738.15"/>
    <x v="1"/>
  </r>
  <r>
    <x v="5"/>
    <x v="1"/>
    <x v="5"/>
    <x v="0"/>
    <x v="5"/>
    <x v="1"/>
    <x v="1"/>
    <n v="29"/>
    <n v="170247.47"/>
    <n v="443604.69"/>
    <x v="1"/>
  </r>
  <r>
    <x v="5"/>
    <x v="1"/>
    <x v="5"/>
    <x v="0"/>
    <x v="6"/>
    <x v="1"/>
    <x v="1"/>
    <n v="3"/>
    <n v="14574.24"/>
    <n v="34696.269999999997"/>
    <x v="1"/>
  </r>
  <r>
    <x v="5"/>
    <x v="1"/>
    <x v="5"/>
    <x v="1"/>
    <x v="31"/>
    <x v="1"/>
    <x v="0"/>
    <n v="1"/>
    <n v="7182.63"/>
    <n v="19167.150000000001"/>
    <x v="1"/>
  </r>
  <r>
    <x v="5"/>
    <x v="1"/>
    <x v="5"/>
    <x v="1"/>
    <x v="10"/>
    <x v="0"/>
    <x v="0"/>
    <n v="3"/>
    <n v="17511.52"/>
    <n v="74345.94"/>
    <x v="1"/>
  </r>
  <r>
    <x v="5"/>
    <x v="1"/>
    <x v="5"/>
    <x v="1"/>
    <x v="10"/>
    <x v="0"/>
    <x v="1"/>
    <n v="3"/>
    <n v="17617.18"/>
    <n v="73692.31"/>
    <x v="1"/>
  </r>
  <r>
    <x v="5"/>
    <x v="1"/>
    <x v="5"/>
    <x v="1"/>
    <x v="10"/>
    <x v="1"/>
    <x v="0"/>
    <n v="2"/>
    <n v="13905.38"/>
    <n v="37573.21"/>
    <x v="1"/>
  </r>
  <r>
    <x v="5"/>
    <x v="1"/>
    <x v="5"/>
    <x v="1"/>
    <x v="10"/>
    <x v="1"/>
    <x v="1"/>
    <n v="17"/>
    <n v="97250.78"/>
    <n v="267651.64"/>
    <x v="1"/>
  </r>
  <r>
    <x v="5"/>
    <x v="1"/>
    <x v="5"/>
    <x v="1"/>
    <x v="11"/>
    <x v="0"/>
    <x v="1"/>
    <n v="5"/>
    <n v="27102.83"/>
    <n v="104265.38"/>
    <x v="1"/>
  </r>
  <r>
    <x v="5"/>
    <x v="1"/>
    <x v="5"/>
    <x v="1"/>
    <x v="11"/>
    <x v="1"/>
    <x v="0"/>
    <n v="3"/>
    <n v="21100.02"/>
    <n v="53984.38"/>
    <x v="1"/>
  </r>
  <r>
    <x v="5"/>
    <x v="1"/>
    <x v="5"/>
    <x v="1"/>
    <x v="11"/>
    <x v="1"/>
    <x v="1"/>
    <n v="25"/>
    <n v="137454.10999999999"/>
    <n v="347878.95"/>
    <x v="1"/>
  </r>
  <r>
    <x v="5"/>
    <x v="1"/>
    <x v="5"/>
    <x v="1"/>
    <x v="13"/>
    <x v="0"/>
    <x v="1"/>
    <n v="6"/>
    <n v="34621.269999999997"/>
    <n v="135719.87"/>
    <x v="1"/>
  </r>
  <r>
    <x v="5"/>
    <x v="1"/>
    <x v="5"/>
    <x v="1"/>
    <x v="13"/>
    <x v="1"/>
    <x v="0"/>
    <n v="7"/>
    <n v="41233.519999999997"/>
    <n v="109457.63"/>
    <x v="1"/>
  </r>
  <r>
    <x v="5"/>
    <x v="1"/>
    <x v="5"/>
    <x v="1"/>
    <x v="13"/>
    <x v="1"/>
    <x v="1"/>
    <n v="14"/>
    <n v="83955.46"/>
    <n v="238275.23"/>
    <x v="1"/>
  </r>
  <r>
    <x v="5"/>
    <x v="1"/>
    <x v="5"/>
    <x v="1"/>
    <x v="14"/>
    <x v="0"/>
    <x v="1"/>
    <n v="2"/>
    <n v="11214.16"/>
    <n v="46456.13"/>
    <x v="1"/>
  </r>
  <r>
    <x v="5"/>
    <x v="1"/>
    <x v="5"/>
    <x v="1"/>
    <x v="14"/>
    <x v="1"/>
    <x v="0"/>
    <n v="8"/>
    <n v="46134.82"/>
    <n v="122489.75"/>
    <x v="1"/>
  </r>
  <r>
    <x v="5"/>
    <x v="1"/>
    <x v="5"/>
    <x v="1"/>
    <x v="15"/>
    <x v="1"/>
    <x v="0"/>
    <n v="1"/>
    <n v="4891.8900000000003"/>
    <n v="13935.35"/>
    <x v="1"/>
  </r>
  <r>
    <x v="5"/>
    <x v="1"/>
    <x v="5"/>
    <x v="1"/>
    <x v="15"/>
    <x v="1"/>
    <x v="1"/>
    <n v="9"/>
    <n v="59770.71"/>
    <n v="173943.41"/>
    <x v="1"/>
  </r>
  <r>
    <x v="5"/>
    <x v="1"/>
    <x v="5"/>
    <x v="1"/>
    <x v="16"/>
    <x v="1"/>
    <x v="0"/>
    <n v="11"/>
    <n v="64961.48"/>
    <n v="172905.91"/>
    <x v="1"/>
  </r>
  <r>
    <x v="5"/>
    <x v="1"/>
    <x v="5"/>
    <x v="1"/>
    <x v="16"/>
    <x v="1"/>
    <x v="1"/>
    <n v="8"/>
    <n v="46224.94"/>
    <n v="117289.08"/>
    <x v="1"/>
  </r>
  <r>
    <x v="5"/>
    <x v="1"/>
    <x v="5"/>
    <x v="1"/>
    <x v="17"/>
    <x v="0"/>
    <x v="1"/>
    <n v="2"/>
    <n v="13379.66"/>
    <n v="55791.71"/>
    <x v="1"/>
  </r>
  <r>
    <x v="5"/>
    <x v="1"/>
    <x v="5"/>
    <x v="1"/>
    <x v="18"/>
    <x v="0"/>
    <x v="1"/>
    <n v="8"/>
    <n v="47622.41"/>
    <n v="194464.62"/>
    <x v="1"/>
  </r>
  <r>
    <x v="5"/>
    <x v="1"/>
    <x v="5"/>
    <x v="1"/>
    <x v="18"/>
    <x v="1"/>
    <x v="0"/>
    <n v="2"/>
    <n v="14257"/>
    <n v="37888.53"/>
    <x v="1"/>
  </r>
  <r>
    <x v="5"/>
    <x v="1"/>
    <x v="5"/>
    <x v="1"/>
    <x v="18"/>
    <x v="1"/>
    <x v="1"/>
    <n v="21"/>
    <n v="120577.69"/>
    <n v="328169.74"/>
    <x v="1"/>
  </r>
  <r>
    <x v="5"/>
    <x v="1"/>
    <x v="5"/>
    <x v="1"/>
    <x v="19"/>
    <x v="0"/>
    <x v="1"/>
    <n v="7"/>
    <n v="40395.99"/>
    <n v="153353.56"/>
    <x v="1"/>
  </r>
  <r>
    <x v="5"/>
    <x v="1"/>
    <x v="5"/>
    <x v="1"/>
    <x v="19"/>
    <x v="1"/>
    <x v="0"/>
    <n v="11"/>
    <n v="68621.39"/>
    <n v="190808.5"/>
    <x v="1"/>
  </r>
  <r>
    <x v="5"/>
    <x v="1"/>
    <x v="5"/>
    <x v="1"/>
    <x v="19"/>
    <x v="1"/>
    <x v="1"/>
    <n v="6"/>
    <n v="29822.67"/>
    <n v="73391.899999999994"/>
    <x v="1"/>
  </r>
  <r>
    <x v="5"/>
    <x v="1"/>
    <x v="5"/>
    <x v="1"/>
    <x v="20"/>
    <x v="0"/>
    <x v="1"/>
    <n v="8"/>
    <n v="44319.87"/>
    <n v="180430.64"/>
    <x v="1"/>
  </r>
  <r>
    <x v="5"/>
    <x v="1"/>
    <x v="5"/>
    <x v="1"/>
    <x v="20"/>
    <x v="1"/>
    <x v="0"/>
    <n v="4"/>
    <n v="26095.22"/>
    <n v="74468.38"/>
    <x v="1"/>
  </r>
  <r>
    <x v="5"/>
    <x v="1"/>
    <x v="5"/>
    <x v="1"/>
    <x v="20"/>
    <x v="1"/>
    <x v="1"/>
    <n v="7"/>
    <n v="40085.53"/>
    <n v="105837.61"/>
    <x v="1"/>
  </r>
  <r>
    <x v="5"/>
    <x v="1"/>
    <x v="5"/>
    <x v="2"/>
    <x v="21"/>
    <x v="1"/>
    <x v="1"/>
    <n v="3"/>
    <n v="13193.1"/>
    <n v="33035.14"/>
    <x v="1"/>
  </r>
  <r>
    <x v="5"/>
    <x v="1"/>
    <x v="5"/>
    <x v="2"/>
    <x v="22"/>
    <x v="0"/>
    <x v="1"/>
    <n v="1"/>
    <n v="4844.8900000000003"/>
    <n v="19422.03"/>
    <x v="1"/>
  </r>
  <r>
    <x v="5"/>
    <x v="1"/>
    <x v="5"/>
    <x v="2"/>
    <x v="22"/>
    <x v="1"/>
    <x v="0"/>
    <n v="4"/>
    <n v="25763.040000000001"/>
    <n v="67285.320000000007"/>
    <x v="1"/>
  </r>
  <r>
    <x v="5"/>
    <x v="1"/>
    <x v="5"/>
    <x v="2"/>
    <x v="22"/>
    <x v="1"/>
    <x v="1"/>
    <n v="15"/>
    <n v="94721.38"/>
    <n v="220158.78"/>
    <x v="1"/>
  </r>
  <r>
    <x v="5"/>
    <x v="1"/>
    <x v="5"/>
    <x v="2"/>
    <x v="29"/>
    <x v="0"/>
    <x v="1"/>
    <n v="3"/>
    <n v="16697.22"/>
    <n v="63777.279999999999"/>
    <x v="1"/>
  </r>
  <r>
    <x v="5"/>
    <x v="1"/>
    <x v="5"/>
    <x v="2"/>
    <x v="24"/>
    <x v="1"/>
    <x v="1"/>
    <n v="8"/>
    <n v="48338.6"/>
    <n v="121956.52"/>
    <x v="1"/>
  </r>
  <r>
    <x v="5"/>
    <x v="1"/>
    <x v="5"/>
    <x v="3"/>
    <x v="25"/>
    <x v="0"/>
    <x v="1"/>
    <n v="2"/>
    <n v="14239.33"/>
    <n v="54449.88"/>
    <x v="1"/>
  </r>
  <r>
    <x v="5"/>
    <x v="1"/>
    <x v="5"/>
    <x v="3"/>
    <x v="25"/>
    <x v="1"/>
    <x v="0"/>
    <n v="2"/>
    <n v="11530.96"/>
    <n v="30467.51"/>
    <x v="1"/>
  </r>
  <r>
    <x v="5"/>
    <x v="1"/>
    <x v="5"/>
    <x v="3"/>
    <x v="25"/>
    <x v="1"/>
    <x v="1"/>
    <n v="7"/>
    <n v="40025.74"/>
    <n v="114850.95"/>
    <x v="1"/>
  </r>
  <r>
    <x v="5"/>
    <x v="1"/>
    <x v="5"/>
    <x v="3"/>
    <x v="26"/>
    <x v="0"/>
    <x v="0"/>
    <n v="2"/>
    <n v="9170.41"/>
    <n v="36855.440000000002"/>
    <x v="1"/>
  </r>
  <r>
    <x v="5"/>
    <x v="1"/>
    <x v="5"/>
    <x v="3"/>
    <x v="26"/>
    <x v="1"/>
    <x v="0"/>
    <n v="2"/>
    <n v="10721.5"/>
    <n v="26649.23"/>
    <x v="1"/>
  </r>
  <r>
    <x v="5"/>
    <x v="1"/>
    <x v="5"/>
    <x v="3"/>
    <x v="26"/>
    <x v="1"/>
    <x v="1"/>
    <n v="7"/>
    <n v="31282.19"/>
    <n v="85315.4"/>
    <x v="1"/>
  </r>
  <r>
    <x v="5"/>
    <x v="1"/>
    <x v="5"/>
    <x v="3"/>
    <x v="27"/>
    <x v="0"/>
    <x v="1"/>
    <n v="10"/>
    <n v="62086.63"/>
    <n v="242900.11"/>
    <x v="1"/>
  </r>
  <r>
    <x v="5"/>
    <x v="1"/>
    <x v="5"/>
    <x v="3"/>
    <x v="27"/>
    <x v="1"/>
    <x v="0"/>
    <n v="2"/>
    <n v="10690.2"/>
    <n v="26350.32"/>
    <x v="1"/>
  </r>
  <r>
    <x v="5"/>
    <x v="1"/>
    <x v="5"/>
    <x v="3"/>
    <x v="27"/>
    <x v="1"/>
    <x v="1"/>
    <n v="27"/>
    <n v="162401.53"/>
    <n v="443226.43"/>
    <x v="1"/>
  </r>
  <r>
    <x v="5"/>
    <x v="1"/>
    <x v="6"/>
    <x v="0"/>
    <x v="0"/>
    <x v="1"/>
    <x v="0"/>
    <n v="10"/>
    <n v="30741.87"/>
    <n v="67789.41"/>
    <x v="1"/>
  </r>
  <r>
    <x v="5"/>
    <x v="1"/>
    <x v="6"/>
    <x v="0"/>
    <x v="0"/>
    <x v="1"/>
    <x v="1"/>
    <n v="18"/>
    <n v="50819.09"/>
    <n v="109470.34"/>
    <x v="1"/>
  </r>
  <r>
    <x v="5"/>
    <x v="1"/>
    <x v="6"/>
    <x v="0"/>
    <x v="1"/>
    <x v="0"/>
    <x v="0"/>
    <n v="2"/>
    <n v="6055.89"/>
    <n v="22081.119999999999"/>
    <x v="1"/>
  </r>
  <r>
    <x v="5"/>
    <x v="1"/>
    <x v="6"/>
    <x v="0"/>
    <x v="1"/>
    <x v="0"/>
    <x v="1"/>
    <n v="4"/>
    <n v="12568.66"/>
    <n v="44052.97"/>
    <x v="1"/>
  </r>
  <r>
    <x v="5"/>
    <x v="1"/>
    <x v="6"/>
    <x v="0"/>
    <x v="1"/>
    <x v="1"/>
    <x v="0"/>
    <n v="19"/>
    <n v="56917.08"/>
    <n v="128380.8"/>
    <x v="1"/>
  </r>
  <r>
    <x v="5"/>
    <x v="1"/>
    <x v="6"/>
    <x v="0"/>
    <x v="1"/>
    <x v="1"/>
    <x v="1"/>
    <n v="14"/>
    <n v="38297.46"/>
    <n v="86925.59"/>
    <x v="1"/>
  </r>
  <r>
    <x v="5"/>
    <x v="1"/>
    <x v="6"/>
    <x v="0"/>
    <x v="2"/>
    <x v="0"/>
    <x v="1"/>
    <n v="1"/>
    <n v="3011.58"/>
    <n v="10446.370000000001"/>
    <x v="1"/>
  </r>
  <r>
    <x v="5"/>
    <x v="1"/>
    <x v="6"/>
    <x v="0"/>
    <x v="2"/>
    <x v="1"/>
    <x v="0"/>
    <n v="3"/>
    <n v="5634.18"/>
    <n v="12172.18"/>
    <x v="1"/>
  </r>
  <r>
    <x v="5"/>
    <x v="1"/>
    <x v="6"/>
    <x v="0"/>
    <x v="2"/>
    <x v="1"/>
    <x v="1"/>
    <n v="17"/>
    <n v="47915.78"/>
    <n v="102115.62"/>
    <x v="1"/>
  </r>
  <r>
    <x v="5"/>
    <x v="1"/>
    <x v="6"/>
    <x v="0"/>
    <x v="3"/>
    <x v="0"/>
    <x v="1"/>
    <n v="7"/>
    <n v="19964.53"/>
    <n v="64942.9"/>
    <x v="1"/>
  </r>
  <r>
    <x v="5"/>
    <x v="1"/>
    <x v="6"/>
    <x v="0"/>
    <x v="3"/>
    <x v="1"/>
    <x v="0"/>
    <n v="15"/>
    <n v="43613.17"/>
    <n v="93069.96"/>
    <x v="1"/>
  </r>
  <r>
    <x v="5"/>
    <x v="1"/>
    <x v="6"/>
    <x v="0"/>
    <x v="3"/>
    <x v="1"/>
    <x v="1"/>
    <n v="15"/>
    <n v="44055.22"/>
    <n v="93026.73"/>
    <x v="1"/>
  </r>
  <r>
    <x v="5"/>
    <x v="1"/>
    <x v="6"/>
    <x v="0"/>
    <x v="4"/>
    <x v="0"/>
    <x v="1"/>
    <n v="5"/>
    <n v="14741.66"/>
    <n v="48517.88"/>
    <x v="1"/>
  </r>
  <r>
    <x v="5"/>
    <x v="1"/>
    <x v="6"/>
    <x v="0"/>
    <x v="4"/>
    <x v="1"/>
    <x v="0"/>
    <n v="2"/>
    <n v="4311.96"/>
    <n v="9629.64"/>
    <x v="1"/>
  </r>
  <r>
    <x v="5"/>
    <x v="1"/>
    <x v="6"/>
    <x v="0"/>
    <x v="4"/>
    <x v="1"/>
    <x v="1"/>
    <n v="12"/>
    <n v="39221.24"/>
    <n v="81038.81"/>
    <x v="1"/>
  </r>
  <r>
    <x v="5"/>
    <x v="1"/>
    <x v="6"/>
    <x v="0"/>
    <x v="5"/>
    <x v="0"/>
    <x v="1"/>
    <n v="2"/>
    <n v="6168.32"/>
    <n v="21467.08"/>
    <x v="1"/>
  </r>
  <r>
    <x v="5"/>
    <x v="1"/>
    <x v="6"/>
    <x v="0"/>
    <x v="5"/>
    <x v="1"/>
    <x v="1"/>
    <n v="29"/>
    <n v="83375.210000000006"/>
    <n v="187625.23"/>
    <x v="1"/>
  </r>
  <r>
    <x v="5"/>
    <x v="1"/>
    <x v="6"/>
    <x v="0"/>
    <x v="6"/>
    <x v="0"/>
    <x v="1"/>
    <n v="2"/>
    <n v="6585.01"/>
    <n v="20884.61"/>
    <x v="1"/>
  </r>
  <r>
    <x v="5"/>
    <x v="1"/>
    <x v="6"/>
    <x v="0"/>
    <x v="6"/>
    <x v="1"/>
    <x v="1"/>
    <n v="2"/>
    <n v="6064.74"/>
    <n v="14006.51"/>
    <x v="1"/>
  </r>
  <r>
    <x v="5"/>
    <x v="1"/>
    <x v="6"/>
    <x v="0"/>
    <x v="8"/>
    <x v="0"/>
    <x v="1"/>
    <n v="3"/>
    <n v="9573.32"/>
    <n v="31837.02"/>
    <x v="1"/>
  </r>
  <r>
    <x v="5"/>
    <x v="1"/>
    <x v="6"/>
    <x v="0"/>
    <x v="8"/>
    <x v="1"/>
    <x v="1"/>
    <n v="3"/>
    <n v="9194.3700000000008"/>
    <n v="19208.650000000001"/>
    <x v="1"/>
  </r>
  <r>
    <x v="5"/>
    <x v="1"/>
    <x v="6"/>
    <x v="1"/>
    <x v="9"/>
    <x v="1"/>
    <x v="1"/>
    <n v="2"/>
    <n v="6071.12"/>
    <n v="14991.9"/>
    <x v="1"/>
  </r>
  <r>
    <x v="5"/>
    <x v="1"/>
    <x v="6"/>
    <x v="1"/>
    <x v="10"/>
    <x v="0"/>
    <x v="0"/>
    <n v="4"/>
    <n v="12020.63"/>
    <n v="40520.22"/>
    <x v="1"/>
  </r>
  <r>
    <x v="5"/>
    <x v="1"/>
    <x v="6"/>
    <x v="1"/>
    <x v="10"/>
    <x v="0"/>
    <x v="1"/>
    <n v="4"/>
    <n v="12611.06"/>
    <n v="43386.11"/>
    <x v="1"/>
  </r>
  <r>
    <x v="5"/>
    <x v="1"/>
    <x v="6"/>
    <x v="1"/>
    <x v="10"/>
    <x v="1"/>
    <x v="0"/>
    <n v="14"/>
    <n v="36472.089999999997"/>
    <n v="88009.78"/>
    <x v="1"/>
  </r>
  <r>
    <x v="5"/>
    <x v="1"/>
    <x v="6"/>
    <x v="1"/>
    <x v="10"/>
    <x v="1"/>
    <x v="1"/>
    <n v="23"/>
    <n v="58176.800000000003"/>
    <n v="139892.03"/>
    <x v="1"/>
  </r>
  <r>
    <x v="5"/>
    <x v="1"/>
    <x v="6"/>
    <x v="1"/>
    <x v="11"/>
    <x v="0"/>
    <x v="1"/>
    <n v="13"/>
    <n v="31041.31"/>
    <n v="109664.38"/>
    <x v="1"/>
  </r>
  <r>
    <x v="5"/>
    <x v="1"/>
    <x v="6"/>
    <x v="1"/>
    <x v="11"/>
    <x v="1"/>
    <x v="0"/>
    <n v="3"/>
    <n v="7326.5"/>
    <n v="17237.59"/>
    <x v="1"/>
  </r>
  <r>
    <x v="5"/>
    <x v="1"/>
    <x v="6"/>
    <x v="1"/>
    <x v="11"/>
    <x v="1"/>
    <x v="1"/>
    <n v="16"/>
    <n v="40384.22"/>
    <n v="92119.62"/>
    <x v="1"/>
  </r>
  <r>
    <x v="5"/>
    <x v="1"/>
    <x v="6"/>
    <x v="1"/>
    <x v="12"/>
    <x v="1"/>
    <x v="1"/>
    <n v="4"/>
    <n v="11023.37"/>
    <n v="26927.91"/>
    <x v="1"/>
  </r>
  <r>
    <x v="5"/>
    <x v="1"/>
    <x v="6"/>
    <x v="1"/>
    <x v="13"/>
    <x v="0"/>
    <x v="1"/>
    <n v="2"/>
    <n v="6186.82"/>
    <n v="21815.03"/>
    <x v="1"/>
  </r>
  <r>
    <x v="5"/>
    <x v="1"/>
    <x v="6"/>
    <x v="1"/>
    <x v="13"/>
    <x v="1"/>
    <x v="1"/>
    <n v="11"/>
    <n v="31074.54"/>
    <n v="74540.37"/>
    <x v="1"/>
  </r>
  <r>
    <x v="5"/>
    <x v="1"/>
    <x v="6"/>
    <x v="1"/>
    <x v="14"/>
    <x v="1"/>
    <x v="0"/>
    <n v="12"/>
    <n v="28250.3"/>
    <n v="66881.27"/>
    <x v="1"/>
  </r>
  <r>
    <x v="5"/>
    <x v="1"/>
    <x v="6"/>
    <x v="1"/>
    <x v="14"/>
    <x v="1"/>
    <x v="1"/>
    <n v="2"/>
    <n v="3776.48"/>
    <n v="9021.61"/>
    <x v="1"/>
  </r>
  <r>
    <x v="5"/>
    <x v="1"/>
    <x v="6"/>
    <x v="1"/>
    <x v="15"/>
    <x v="1"/>
    <x v="0"/>
    <n v="1"/>
    <n v="3041.33"/>
    <n v="7400.63"/>
    <x v="1"/>
  </r>
  <r>
    <x v="5"/>
    <x v="1"/>
    <x v="6"/>
    <x v="1"/>
    <x v="15"/>
    <x v="1"/>
    <x v="1"/>
    <n v="2"/>
    <n v="3853.08"/>
    <n v="9286.24"/>
    <x v="1"/>
  </r>
  <r>
    <x v="5"/>
    <x v="1"/>
    <x v="6"/>
    <x v="1"/>
    <x v="16"/>
    <x v="0"/>
    <x v="1"/>
    <n v="4"/>
    <n v="11557.76"/>
    <n v="39063"/>
    <x v="1"/>
  </r>
  <r>
    <x v="5"/>
    <x v="1"/>
    <x v="6"/>
    <x v="1"/>
    <x v="16"/>
    <x v="1"/>
    <x v="0"/>
    <n v="1"/>
    <n v="3029.91"/>
    <n v="7044.3"/>
    <x v="1"/>
  </r>
  <r>
    <x v="5"/>
    <x v="1"/>
    <x v="6"/>
    <x v="1"/>
    <x v="16"/>
    <x v="1"/>
    <x v="1"/>
    <n v="7"/>
    <n v="22178.48"/>
    <n v="47024.84"/>
    <x v="1"/>
  </r>
  <r>
    <x v="5"/>
    <x v="1"/>
    <x v="6"/>
    <x v="1"/>
    <x v="17"/>
    <x v="0"/>
    <x v="1"/>
    <n v="3"/>
    <n v="7336.11"/>
    <n v="26299.13"/>
    <x v="1"/>
  </r>
  <r>
    <x v="5"/>
    <x v="1"/>
    <x v="6"/>
    <x v="1"/>
    <x v="17"/>
    <x v="1"/>
    <x v="0"/>
    <n v="3"/>
    <n v="6544.47"/>
    <n v="15466.67"/>
    <x v="1"/>
  </r>
  <r>
    <x v="5"/>
    <x v="1"/>
    <x v="6"/>
    <x v="1"/>
    <x v="17"/>
    <x v="1"/>
    <x v="1"/>
    <n v="3"/>
    <n v="7217.37"/>
    <n v="17295.150000000001"/>
    <x v="1"/>
  </r>
  <r>
    <x v="5"/>
    <x v="1"/>
    <x v="6"/>
    <x v="1"/>
    <x v="18"/>
    <x v="0"/>
    <x v="1"/>
    <n v="5"/>
    <n v="15608.41"/>
    <n v="52784.09"/>
    <x v="1"/>
  </r>
  <r>
    <x v="5"/>
    <x v="1"/>
    <x v="6"/>
    <x v="1"/>
    <x v="18"/>
    <x v="1"/>
    <x v="0"/>
    <n v="4"/>
    <n v="12312.06"/>
    <n v="29253.54"/>
    <x v="1"/>
  </r>
  <r>
    <x v="5"/>
    <x v="1"/>
    <x v="6"/>
    <x v="1"/>
    <x v="18"/>
    <x v="1"/>
    <x v="1"/>
    <n v="15"/>
    <n v="42487.7"/>
    <n v="100688.5"/>
    <x v="1"/>
  </r>
  <r>
    <x v="5"/>
    <x v="1"/>
    <x v="6"/>
    <x v="1"/>
    <x v="19"/>
    <x v="0"/>
    <x v="1"/>
    <n v="3"/>
    <n v="7377.21"/>
    <n v="25518.82"/>
    <x v="1"/>
  </r>
  <r>
    <x v="5"/>
    <x v="1"/>
    <x v="6"/>
    <x v="1"/>
    <x v="19"/>
    <x v="1"/>
    <x v="0"/>
    <n v="19"/>
    <n v="48280.78"/>
    <n v="112898.6"/>
    <x v="1"/>
  </r>
  <r>
    <x v="5"/>
    <x v="1"/>
    <x v="6"/>
    <x v="1"/>
    <x v="19"/>
    <x v="1"/>
    <x v="1"/>
    <n v="10"/>
    <n v="28931.93"/>
    <n v="65907.61"/>
    <x v="1"/>
  </r>
  <r>
    <x v="5"/>
    <x v="1"/>
    <x v="6"/>
    <x v="1"/>
    <x v="20"/>
    <x v="0"/>
    <x v="0"/>
    <n v="1"/>
    <n v="2070.6799999999998"/>
    <n v="7734.29"/>
    <x v="1"/>
  </r>
  <r>
    <x v="5"/>
    <x v="1"/>
    <x v="6"/>
    <x v="1"/>
    <x v="20"/>
    <x v="0"/>
    <x v="1"/>
    <n v="5"/>
    <n v="9989.92"/>
    <n v="36759.15"/>
    <x v="1"/>
  </r>
  <r>
    <x v="5"/>
    <x v="1"/>
    <x v="6"/>
    <x v="1"/>
    <x v="20"/>
    <x v="1"/>
    <x v="0"/>
    <n v="18"/>
    <n v="53919.05"/>
    <n v="121818.46"/>
    <x v="1"/>
  </r>
  <r>
    <x v="5"/>
    <x v="1"/>
    <x v="6"/>
    <x v="1"/>
    <x v="20"/>
    <x v="1"/>
    <x v="1"/>
    <n v="16"/>
    <n v="48081.1"/>
    <n v="110447.59"/>
    <x v="1"/>
  </r>
  <r>
    <x v="5"/>
    <x v="1"/>
    <x v="6"/>
    <x v="2"/>
    <x v="21"/>
    <x v="0"/>
    <x v="0"/>
    <n v="1"/>
    <n v="1866.07"/>
    <n v="6662.15"/>
    <x v="1"/>
  </r>
  <r>
    <x v="5"/>
    <x v="1"/>
    <x v="6"/>
    <x v="2"/>
    <x v="21"/>
    <x v="1"/>
    <x v="1"/>
    <n v="3"/>
    <n v="9234"/>
    <n v="19028.310000000001"/>
    <x v="1"/>
  </r>
  <r>
    <x v="5"/>
    <x v="1"/>
    <x v="6"/>
    <x v="2"/>
    <x v="22"/>
    <x v="0"/>
    <x v="1"/>
    <n v="3"/>
    <n v="8733.57"/>
    <n v="28449.87"/>
    <x v="1"/>
  </r>
  <r>
    <x v="5"/>
    <x v="1"/>
    <x v="6"/>
    <x v="2"/>
    <x v="22"/>
    <x v="1"/>
    <x v="0"/>
    <n v="1"/>
    <n v="3263.2"/>
    <n v="6366.39"/>
    <x v="1"/>
  </r>
  <r>
    <x v="5"/>
    <x v="1"/>
    <x v="6"/>
    <x v="2"/>
    <x v="22"/>
    <x v="1"/>
    <x v="1"/>
    <n v="8"/>
    <n v="19716.849999999999"/>
    <n v="42380.04"/>
    <x v="1"/>
  </r>
  <r>
    <x v="5"/>
    <x v="1"/>
    <x v="6"/>
    <x v="2"/>
    <x v="29"/>
    <x v="0"/>
    <x v="1"/>
    <n v="1"/>
    <n v="2974.58"/>
    <n v="10446.370000000001"/>
    <x v="1"/>
  </r>
  <r>
    <x v="5"/>
    <x v="1"/>
    <x v="6"/>
    <x v="2"/>
    <x v="29"/>
    <x v="1"/>
    <x v="1"/>
    <n v="2"/>
    <n v="4244.4799999999996"/>
    <n v="9719.07"/>
    <x v="1"/>
  </r>
  <r>
    <x v="5"/>
    <x v="1"/>
    <x v="6"/>
    <x v="2"/>
    <x v="24"/>
    <x v="1"/>
    <x v="1"/>
    <n v="5"/>
    <n v="15096.65"/>
    <n v="33010.449999999997"/>
    <x v="1"/>
  </r>
  <r>
    <x v="5"/>
    <x v="1"/>
    <x v="6"/>
    <x v="3"/>
    <x v="25"/>
    <x v="0"/>
    <x v="1"/>
    <n v="6"/>
    <n v="18350.830000000002"/>
    <n v="64186.95"/>
    <x v="1"/>
  </r>
  <r>
    <x v="5"/>
    <x v="1"/>
    <x v="6"/>
    <x v="3"/>
    <x v="25"/>
    <x v="1"/>
    <x v="0"/>
    <n v="14"/>
    <n v="44366.94"/>
    <n v="101753.57"/>
    <x v="1"/>
  </r>
  <r>
    <x v="5"/>
    <x v="1"/>
    <x v="6"/>
    <x v="3"/>
    <x v="25"/>
    <x v="1"/>
    <x v="1"/>
    <n v="5"/>
    <n v="13565.6"/>
    <n v="32251.96"/>
    <x v="1"/>
  </r>
  <r>
    <x v="5"/>
    <x v="1"/>
    <x v="6"/>
    <x v="3"/>
    <x v="26"/>
    <x v="0"/>
    <x v="0"/>
    <n v="6"/>
    <n v="17604.490000000002"/>
    <n v="60858.02"/>
    <x v="1"/>
  </r>
  <r>
    <x v="5"/>
    <x v="1"/>
    <x v="6"/>
    <x v="3"/>
    <x v="26"/>
    <x v="0"/>
    <x v="1"/>
    <n v="2"/>
    <n v="5447.41"/>
    <n v="17802.12"/>
    <x v="1"/>
  </r>
  <r>
    <x v="5"/>
    <x v="1"/>
    <x v="6"/>
    <x v="3"/>
    <x v="26"/>
    <x v="1"/>
    <x v="0"/>
    <n v="6"/>
    <n v="12816.65"/>
    <n v="30367.47"/>
    <x v="1"/>
  </r>
  <r>
    <x v="5"/>
    <x v="1"/>
    <x v="6"/>
    <x v="3"/>
    <x v="26"/>
    <x v="1"/>
    <x v="1"/>
    <n v="10"/>
    <n v="29329.14"/>
    <n v="70284.69"/>
    <x v="1"/>
  </r>
  <r>
    <x v="5"/>
    <x v="1"/>
    <x v="6"/>
    <x v="3"/>
    <x v="27"/>
    <x v="0"/>
    <x v="1"/>
    <n v="11"/>
    <n v="30536.14"/>
    <n v="104399.67"/>
    <x v="1"/>
  </r>
  <r>
    <x v="5"/>
    <x v="1"/>
    <x v="6"/>
    <x v="3"/>
    <x v="27"/>
    <x v="1"/>
    <x v="0"/>
    <n v="16"/>
    <n v="39223.75"/>
    <n v="91695.01"/>
    <x v="1"/>
  </r>
  <r>
    <x v="5"/>
    <x v="1"/>
    <x v="6"/>
    <x v="3"/>
    <x v="27"/>
    <x v="1"/>
    <x v="1"/>
    <n v="33"/>
    <n v="93616.78"/>
    <n v="213482.55"/>
    <x v="1"/>
  </r>
  <r>
    <x v="5"/>
    <x v="1"/>
    <x v="7"/>
    <x v="0"/>
    <x v="0"/>
    <x v="0"/>
    <x v="0"/>
    <n v="1"/>
    <n v="6528.41"/>
    <n v="21833.78"/>
    <x v="1"/>
  </r>
  <r>
    <x v="5"/>
    <x v="1"/>
    <x v="7"/>
    <x v="0"/>
    <x v="0"/>
    <x v="0"/>
    <x v="1"/>
    <n v="3"/>
    <n v="13027.13"/>
    <n v="50112.95"/>
    <x v="1"/>
  </r>
  <r>
    <x v="5"/>
    <x v="1"/>
    <x v="7"/>
    <x v="0"/>
    <x v="0"/>
    <x v="1"/>
    <x v="0"/>
    <n v="8"/>
    <n v="39658.82"/>
    <n v="103864.16"/>
    <x v="1"/>
  </r>
  <r>
    <x v="5"/>
    <x v="1"/>
    <x v="7"/>
    <x v="0"/>
    <x v="1"/>
    <x v="0"/>
    <x v="0"/>
    <n v="1"/>
    <n v="5432.38"/>
    <n v="23051.97"/>
    <x v="1"/>
  </r>
  <r>
    <x v="5"/>
    <x v="1"/>
    <x v="7"/>
    <x v="0"/>
    <x v="1"/>
    <x v="0"/>
    <x v="1"/>
    <n v="1"/>
    <n v="6017.9"/>
    <n v="22916.73"/>
    <x v="1"/>
  </r>
  <r>
    <x v="5"/>
    <x v="1"/>
    <x v="7"/>
    <x v="0"/>
    <x v="1"/>
    <x v="1"/>
    <x v="0"/>
    <n v="20"/>
    <n v="96503.19"/>
    <n v="239702.81"/>
    <x v="1"/>
  </r>
  <r>
    <x v="5"/>
    <x v="1"/>
    <x v="7"/>
    <x v="0"/>
    <x v="1"/>
    <x v="1"/>
    <x v="1"/>
    <n v="14"/>
    <n v="65596.88"/>
    <n v="161518.51"/>
    <x v="1"/>
  </r>
  <r>
    <x v="5"/>
    <x v="1"/>
    <x v="7"/>
    <x v="0"/>
    <x v="2"/>
    <x v="0"/>
    <x v="1"/>
    <n v="3"/>
    <n v="16937.45"/>
    <n v="58296.59"/>
    <x v="1"/>
  </r>
  <r>
    <x v="5"/>
    <x v="1"/>
    <x v="7"/>
    <x v="0"/>
    <x v="2"/>
    <x v="1"/>
    <x v="0"/>
    <n v="6"/>
    <n v="24285.7"/>
    <n v="56814.85"/>
    <x v="1"/>
  </r>
  <r>
    <x v="5"/>
    <x v="1"/>
    <x v="7"/>
    <x v="0"/>
    <x v="2"/>
    <x v="1"/>
    <x v="1"/>
    <n v="4"/>
    <n v="25560.95"/>
    <n v="55505.07"/>
    <x v="1"/>
  </r>
  <r>
    <x v="5"/>
    <x v="1"/>
    <x v="7"/>
    <x v="0"/>
    <x v="3"/>
    <x v="0"/>
    <x v="0"/>
    <n v="4"/>
    <n v="20781.98"/>
    <n v="70602.41"/>
    <x v="1"/>
  </r>
  <r>
    <x v="5"/>
    <x v="1"/>
    <x v="7"/>
    <x v="0"/>
    <x v="3"/>
    <x v="0"/>
    <x v="1"/>
    <n v="5"/>
    <n v="24445.599999999999"/>
    <n v="83452.11"/>
    <x v="1"/>
  </r>
  <r>
    <x v="5"/>
    <x v="1"/>
    <x v="7"/>
    <x v="0"/>
    <x v="3"/>
    <x v="1"/>
    <x v="0"/>
    <n v="6"/>
    <n v="30653.13"/>
    <n v="73897.86"/>
    <x v="1"/>
  </r>
  <r>
    <x v="5"/>
    <x v="1"/>
    <x v="7"/>
    <x v="0"/>
    <x v="3"/>
    <x v="1"/>
    <x v="1"/>
    <n v="23"/>
    <n v="99352.15"/>
    <n v="236006.84"/>
    <x v="1"/>
  </r>
  <r>
    <x v="5"/>
    <x v="1"/>
    <x v="7"/>
    <x v="0"/>
    <x v="28"/>
    <x v="1"/>
    <x v="1"/>
    <n v="1"/>
    <n v="5455.72"/>
    <n v="13496.34"/>
    <x v="1"/>
  </r>
  <r>
    <x v="5"/>
    <x v="1"/>
    <x v="7"/>
    <x v="0"/>
    <x v="4"/>
    <x v="0"/>
    <x v="1"/>
    <n v="4"/>
    <n v="17747.669999999998"/>
    <n v="64769.97"/>
    <x v="1"/>
  </r>
  <r>
    <x v="5"/>
    <x v="1"/>
    <x v="7"/>
    <x v="0"/>
    <x v="4"/>
    <x v="1"/>
    <x v="0"/>
    <n v="8"/>
    <n v="50051.23"/>
    <n v="114725.51"/>
    <x v="1"/>
  </r>
  <r>
    <x v="5"/>
    <x v="1"/>
    <x v="7"/>
    <x v="0"/>
    <x v="4"/>
    <x v="1"/>
    <x v="1"/>
    <n v="9"/>
    <n v="56895.95"/>
    <n v="126616.3"/>
    <x v="1"/>
  </r>
  <r>
    <x v="5"/>
    <x v="1"/>
    <x v="7"/>
    <x v="0"/>
    <x v="5"/>
    <x v="1"/>
    <x v="0"/>
    <n v="1"/>
    <n v="3455.56"/>
    <n v="8932.68"/>
    <x v="1"/>
  </r>
  <r>
    <x v="5"/>
    <x v="1"/>
    <x v="7"/>
    <x v="0"/>
    <x v="5"/>
    <x v="1"/>
    <x v="1"/>
    <n v="5"/>
    <n v="29646.75"/>
    <n v="66839.929999999993"/>
    <x v="1"/>
  </r>
  <r>
    <x v="5"/>
    <x v="1"/>
    <x v="7"/>
    <x v="0"/>
    <x v="6"/>
    <x v="0"/>
    <x v="1"/>
    <n v="2"/>
    <n v="11657.76"/>
    <n v="44139.76"/>
    <x v="1"/>
  </r>
  <r>
    <x v="5"/>
    <x v="1"/>
    <x v="7"/>
    <x v="0"/>
    <x v="8"/>
    <x v="0"/>
    <x v="1"/>
    <n v="2"/>
    <n v="11857.74"/>
    <n v="43446.79"/>
    <x v="1"/>
  </r>
  <r>
    <x v="5"/>
    <x v="1"/>
    <x v="7"/>
    <x v="0"/>
    <x v="8"/>
    <x v="1"/>
    <x v="1"/>
    <n v="1"/>
    <n v="6196.87"/>
    <n v="13815.16"/>
    <x v="1"/>
  </r>
  <r>
    <x v="5"/>
    <x v="1"/>
    <x v="7"/>
    <x v="1"/>
    <x v="9"/>
    <x v="1"/>
    <x v="1"/>
    <n v="1"/>
    <n v="3860.53"/>
    <n v="10142.129999999999"/>
    <x v="1"/>
  </r>
  <r>
    <x v="5"/>
    <x v="1"/>
    <x v="7"/>
    <x v="1"/>
    <x v="10"/>
    <x v="0"/>
    <x v="0"/>
    <n v="1"/>
    <n v="4254.55"/>
    <n v="16340.07"/>
    <x v="1"/>
  </r>
  <r>
    <x v="5"/>
    <x v="1"/>
    <x v="7"/>
    <x v="1"/>
    <x v="10"/>
    <x v="0"/>
    <x v="1"/>
    <n v="9"/>
    <n v="40890.959999999999"/>
    <n v="158134.89000000001"/>
    <x v="1"/>
  </r>
  <r>
    <x v="5"/>
    <x v="1"/>
    <x v="7"/>
    <x v="1"/>
    <x v="10"/>
    <x v="1"/>
    <x v="0"/>
    <n v="2"/>
    <n v="10039.969999999999"/>
    <n v="26330.3"/>
    <x v="1"/>
  </r>
  <r>
    <x v="5"/>
    <x v="1"/>
    <x v="7"/>
    <x v="1"/>
    <x v="10"/>
    <x v="1"/>
    <x v="1"/>
    <n v="17"/>
    <n v="76000.490000000005"/>
    <n v="204428.9"/>
    <x v="1"/>
  </r>
  <r>
    <x v="5"/>
    <x v="1"/>
    <x v="7"/>
    <x v="1"/>
    <x v="11"/>
    <x v="0"/>
    <x v="1"/>
    <n v="7"/>
    <n v="34573.07"/>
    <n v="129569.58"/>
    <x v="1"/>
  </r>
  <r>
    <x v="5"/>
    <x v="1"/>
    <x v="7"/>
    <x v="1"/>
    <x v="11"/>
    <x v="1"/>
    <x v="0"/>
    <n v="7"/>
    <n v="37065.99"/>
    <n v="91444.77"/>
    <x v="1"/>
  </r>
  <r>
    <x v="5"/>
    <x v="1"/>
    <x v="7"/>
    <x v="1"/>
    <x v="11"/>
    <x v="1"/>
    <x v="1"/>
    <n v="7"/>
    <n v="35066.1"/>
    <n v="87250.04"/>
    <x v="1"/>
  </r>
  <r>
    <x v="5"/>
    <x v="1"/>
    <x v="7"/>
    <x v="1"/>
    <x v="12"/>
    <x v="1"/>
    <x v="0"/>
    <n v="11"/>
    <n v="48025.39"/>
    <n v="134742.54"/>
    <x v="1"/>
  </r>
  <r>
    <x v="5"/>
    <x v="1"/>
    <x v="7"/>
    <x v="1"/>
    <x v="12"/>
    <x v="1"/>
    <x v="1"/>
    <n v="10"/>
    <n v="45042.15"/>
    <n v="116261.48"/>
    <x v="1"/>
  </r>
  <r>
    <x v="5"/>
    <x v="1"/>
    <x v="7"/>
    <x v="1"/>
    <x v="13"/>
    <x v="0"/>
    <x v="1"/>
    <n v="5"/>
    <n v="17739.66"/>
    <n v="72079.070000000007"/>
    <x v="1"/>
  </r>
  <r>
    <x v="5"/>
    <x v="1"/>
    <x v="7"/>
    <x v="1"/>
    <x v="13"/>
    <x v="1"/>
    <x v="0"/>
    <n v="2"/>
    <n v="7614.46"/>
    <n v="20309.27"/>
    <x v="1"/>
  </r>
  <r>
    <x v="5"/>
    <x v="1"/>
    <x v="7"/>
    <x v="1"/>
    <x v="13"/>
    <x v="1"/>
    <x v="1"/>
    <n v="17"/>
    <n v="95579.51"/>
    <n v="244858.29"/>
    <x v="1"/>
  </r>
  <r>
    <x v="5"/>
    <x v="1"/>
    <x v="7"/>
    <x v="1"/>
    <x v="14"/>
    <x v="1"/>
    <x v="0"/>
    <n v="10"/>
    <n v="49035.4"/>
    <n v="125445.55"/>
    <x v="1"/>
  </r>
  <r>
    <x v="5"/>
    <x v="1"/>
    <x v="7"/>
    <x v="1"/>
    <x v="16"/>
    <x v="1"/>
    <x v="0"/>
    <n v="1"/>
    <n v="3451.4"/>
    <n v="8666.01"/>
    <x v="1"/>
  </r>
  <r>
    <x v="5"/>
    <x v="1"/>
    <x v="7"/>
    <x v="1"/>
    <x v="16"/>
    <x v="1"/>
    <x v="1"/>
    <n v="3"/>
    <n v="16353.51"/>
    <n v="43185.68"/>
    <x v="1"/>
  </r>
  <r>
    <x v="5"/>
    <x v="1"/>
    <x v="7"/>
    <x v="1"/>
    <x v="17"/>
    <x v="1"/>
    <x v="0"/>
    <n v="3"/>
    <n v="13594.95"/>
    <n v="34740.32"/>
    <x v="1"/>
  </r>
  <r>
    <x v="5"/>
    <x v="1"/>
    <x v="7"/>
    <x v="1"/>
    <x v="17"/>
    <x v="1"/>
    <x v="1"/>
    <n v="6"/>
    <n v="22521.54"/>
    <n v="57428.93"/>
    <x v="1"/>
  </r>
  <r>
    <x v="5"/>
    <x v="1"/>
    <x v="7"/>
    <x v="1"/>
    <x v="18"/>
    <x v="0"/>
    <x v="1"/>
    <n v="4"/>
    <n v="21434.7"/>
    <n v="80660.73"/>
    <x v="1"/>
  </r>
  <r>
    <x v="5"/>
    <x v="1"/>
    <x v="7"/>
    <x v="1"/>
    <x v="18"/>
    <x v="1"/>
    <x v="0"/>
    <n v="4"/>
    <n v="18296.75"/>
    <n v="48264.76"/>
    <x v="1"/>
  </r>
  <r>
    <x v="5"/>
    <x v="1"/>
    <x v="7"/>
    <x v="1"/>
    <x v="18"/>
    <x v="1"/>
    <x v="1"/>
    <n v="20"/>
    <n v="98664.53"/>
    <n v="256073.07"/>
    <x v="1"/>
  </r>
  <r>
    <x v="5"/>
    <x v="1"/>
    <x v="7"/>
    <x v="1"/>
    <x v="19"/>
    <x v="0"/>
    <x v="1"/>
    <n v="1"/>
    <n v="4291.96"/>
    <n v="16045.62"/>
    <x v="1"/>
  </r>
  <r>
    <x v="5"/>
    <x v="1"/>
    <x v="7"/>
    <x v="1"/>
    <x v="19"/>
    <x v="1"/>
    <x v="0"/>
    <n v="12"/>
    <n v="55462.57"/>
    <n v="145568.4"/>
    <x v="1"/>
  </r>
  <r>
    <x v="5"/>
    <x v="1"/>
    <x v="7"/>
    <x v="1"/>
    <x v="19"/>
    <x v="1"/>
    <x v="1"/>
    <n v="10"/>
    <n v="44104.54"/>
    <n v="111683.1"/>
    <x v="1"/>
  </r>
  <r>
    <x v="5"/>
    <x v="1"/>
    <x v="7"/>
    <x v="1"/>
    <x v="20"/>
    <x v="0"/>
    <x v="0"/>
    <n v="4"/>
    <n v="24154.07"/>
    <n v="90735.31"/>
    <x v="1"/>
  </r>
  <r>
    <x v="5"/>
    <x v="1"/>
    <x v="7"/>
    <x v="1"/>
    <x v="20"/>
    <x v="0"/>
    <x v="1"/>
    <n v="9"/>
    <n v="45247.67"/>
    <n v="172007.18"/>
    <x v="1"/>
  </r>
  <r>
    <x v="5"/>
    <x v="1"/>
    <x v="7"/>
    <x v="1"/>
    <x v="20"/>
    <x v="1"/>
    <x v="0"/>
    <n v="5"/>
    <n v="29821.119999999999"/>
    <n v="73657.02"/>
    <x v="1"/>
  </r>
  <r>
    <x v="5"/>
    <x v="1"/>
    <x v="7"/>
    <x v="1"/>
    <x v="20"/>
    <x v="1"/>
    <x v="1"/>
    <n v="2"/>
    <n v="8161.8"/>
    <n v="20509.47"/>
    <x v="1"/>
  </r>
  <r>
    <x v="5"/>
    <x v="1"/>
    <x v="7"/>
    <x v="2"/>
    <x v="21"/>
    <x v="0"/>
    <x v="0"/>
    <n v="4"/>
    <n v="22294.98"/>
    <n v="79823.42"/>
    <x v="1"/>
  </r>
  <r>
    <x v="5"/>
    <x v="1"/>
    <x v="7"/>
    <x v="2"/>
    <x v="21"/>
    <x v="1"/>
    <x v="1"/>
    <n v="2"/>
    <n v="12402.9"/>
    <n v="26395.19"/>
    <x v="1"/>
  </r>
  <r>
    <x v="5"/>
    <x v="1"/>
    <x v="7"/>
    <x v="2"/>
    <x v="22"/>
    <x v="0"/>
    <x v="1"/>
    <n v="1"/>
    <n v="3971"/>
    <n v="14238.86"/>
    <x v="1"/>
  </r>
  <r>
    <x v="5"/>
    <x v="1"/>
    <x v="7"/>
    <x v="2"/>
    <x v="22"/>
    <x v="1"/>
    <x v="0"/>
    <n v="11"/>
    <n v="67102.09"/>
    <n v="146433.75"/>
    <x v="1"/>
  </r>
  <r>
    <x v="5"/>
    <x v="1"/>
    <x v="7"/>
    <x v="2"/>
    <x v="22"/>
    <x v="1"/>
    <x v="1"/>
    <n v="12"/>
    <n v="65649.81"/>
    <n v="146629.89000000001"/>
    <x v="1"/>
  </r>
  <r>
    <x v="5"/>
    <x v="1"/>
    <x v="7"/>
    <x v="2"/>
    <x v="29"/>
    <x v="0"/>
    <x v="1"/>
    <n v="2"/>
    <n v="12857.81"/>
    <n v="44022.98"/>
    <x v="1"/>
  </r>
  <r>
    <x v="5"/>
    <x v="1"/>
    <x v="7"/>
    <x v="2"/>
    <x v="23"/>
    <x v="1"/>
    <x v="1"/>
    <n v="3"/>
    <n v="12432.66"/>
    <n v="27247.13"/>
    <x v="1"/>
  </r>
  <r>
    <x v="5"/>
    <x v="1"/>
    <x v="7"/>
    <x v="2"/>
    <x v="24"/>
    <x v="0"/>
    <x v="1"/>
    <n v="2"/>
    <n v="9988.8700000000008"/>
    <n v="36645.03"/>
    <x v="1"/>
  </r>
  <r>
    <x v="5"/>
    <x v="1"/>
    <x v="7"/>
    <x v="2"/>
    <x v="24"/>
    <x v="1"/>
    <x v="0"/>
    <n v="5"/>
    <n v="30111.32"/>
    <n v="69071.25"/>
    <x v="1"/>
  </r>
  <r>
    <x v="5"/>
    <x v="1"/>
    <x v="7"/>
    <x v="3"/>
    <x v="25"/>
    <x v="1"/>
    <x v="0"/>
    <n v="10"/>
    <n v="46256.45"/>
    <n v="117976.82"/>
    <x v="1"/>
  </r>
  <r>
    <x v="5"/>
    <x v="1"/>
    <x v="7"/>
    <x v="3"/>
    <x v="25"/>
    <x v="1"/>
    <x v="1"/>
    <n v="6"/>
    <n v="29974.81"/>
    <n v="78792.38"/>
    <x v="1"/>
  </r>
  <r>
    <x v="5"/>
    <x v="1"/>
    <x v="7"/>
    <x v="3"/>
    <x v="26"/>
    <x v="0"/>
    <x v="0"/>
    <n v="2"/>
    <n v="7942.7"/>
    <n v="30084.91"/>
    <x v="1"/>
  </r>
  <r>
    <x v="5"/>
    <x v="1"/>
    <x v="7"/>
    <x v="3"/>
    <x v="26"/>
    <x v="0"/>
    <x v="1"/>
    <n v="1"/>
    <n v="3955.33"/>
    <n v="14529.54"/>
    <x v="1"/>
  </r>
  <r>
    <x v="5"/>
    <x v="1"/>
    <x v="7"/>
    <x v="3"/>
    <x v="26"/>
    <x v="1"/>
    <x v="0"/>
    <n v="1"/>
    <n v="3823.07"/>
    <n v="9926.17"/>
    <x v="1"/>
  </r>
  <r>
    <x v="5"/>
    <x v="1"/>
    <x v="7"/>
    <x v="3"/>
    <x v="26"/>
    <x v="1"/>
    <x v="1"/>
    <n v="17"/>
    <n v="97482.01"/>
    <n v="240705.55"/>
    <x v="1"/>
  </r>
  <r>
    <x v="5"/>
    <x v="1"/>
    <x v="7"/>
    <x v="3"/>
    <x v="27"/>
    <x v="0"/>
    <x v="0"/>
    <n v="3"/>
    <n v="12057.36"/>
    <n v="45701.06"/>
    <x v="1"/>
  </r>
  <r>
    <x v="5"/>
    <x v="1"/>
    <x v="7"/>
    <x v="3"/>
    <x v="27"/>
    <x v="0"/>
    <x v="1"/>
    <n v="7"/>
    <n v="33960.43"/>
    <n v="123156.85"/>
    <x v="1"/>
  </r>
  <r>
    <x v="5"/>
    <x v="1"/>
    <x v="7"/>
    <x v="3"/>
    <x v="27"/>
    <x v="1"/>
    <x v="0"/>
    <n v="15"/>
    <n v="71163.16"/>
    <n v="183625.36"/>
    <x v="1"/>
  </r>
  <r>
    <x v="5"/>
    <x v="1"/>
    <x v="7"/>
    <x v="3"/>
    <x v="27"/>
    <x v="1"/>
    <x v="1"/>
    <n v="24"/>
    <n v="112319.05"/>
    <n v="289231.35999999999"/>
    <x v="1"/>
  </r>
  <r>
    <x v="5"/>
    <x v="1"/>
    <x v="8"/>
    <x v="0"/>
    <x v="0"/>
    <x v="0"/>
    <x v="0"/>
    <n v="3"/>
    <n v="10415.870000000001"/>
    <n v="33677.08"/>
    <x v="1"/>
  </r>
  <r>
    <x v="5"/>
    <x v="1"/>
    <x v="8"/>
    <x v="0"/>
    <x v="0"/>
    <x v="0"/>
    <x v="1"/>
    <n v="2"/>
    <n v="8236.84"/>
    <n v="27749.55"/>
    <x v="1"/>
  </r>
  <r>
    <x v="5"/>
    <x v="1"/>
    <x v="8"/>
    <x v="0"/>
    <x v="0"/>
    <x v="1"/>
    <x v="0"/>
    <n v="2"/>
    <n v="6126.9"/>
    <n v="13021.89"/>
    <x v="1"/>
  </r>
  <r>
    <x v="5"/>
    <x v="1"/>
    <x v="8"/>
    <x v="0"/>
    <x v="0"/>
    <x v="1"/>
    <x v="1"/>
    <n v="7"/>
    <n v="26192.68"/>
    <n v="56355.33"/>
    <x v="1"/>
  </r>
  <r>
    <x v="5"/>
    <x v="1"/>
    <x v="8"/>
    <x v="0"/>
    <x v="1"/>
    <x v="0"/>
    <x v="0"/>
    <n v="4"/>
    <n v="16724.75"/>
    <n v="58359.519999999997"/>
    <x v="1"/>
  </r>
  <r>
    <x v="5"/>
    <x v="1"/>
    <x v="8"/>
    <x v="0"/>
    <x v="1"/>
    <x v="0"/>
    <x v="1"/>
    <n v="9"/>
    <n v="35284.720000000001"/>
    <n v="127365.02"/>
    <x v="1"/>
  </r>
  <r>
    <x v="5"/>
    <x v="1"/>
    <x v="8"/>
    <x v="0"/>
    <x v="1"/>
    <x v="1"/>
    <x v="0"/>
    <n v="29"/>
    <n v="100324.92"/>
    <n v="233794.98"/>
    <x v="1"/>
  </r>
  <r>
    <x v="5"/>
    <x v="1"/>
    <x v="8"/>
    <x v="0"/>
    <x v="1"/>
    <x v="1"/>
    <x v="1"/>
    <n v="24"/>
    <n v="86678.16"/>
    <n v="199510.29"/>
    <x v="1"/>
  </r>
  <r>
    <x v="5"/>
    <x v="1"/>
    <x v="8"/>
    <x v="0"/>
    <x v="2"/>
    <x v="0"/>
    <x v="1"/>
    <n v="3"/>
    <n v="8663.66"/>
    <n v="29794.3"/>
    <x v="1"/>
  </r>
  <r>
    <x v="5"/>
    <x v="1"/>
    <x v="8"/>
    <x v="0"/>
    <x v="2"/>
    <x v="1"/>
    <x v="0"/>
    <n v="11"/>
    <n v="38160.879999999997"/>
    <n v="77432.03"/>
    <x v="1"/>
  </r>
  <r>
    <x v="5"/>
    <x v="1"/>
    <x v="8"/>
    <x v="0"/>
    <x v="2"/>
    <x v="1"/>
    <x v="1"/>
    <n v="7"/>
    <n v="23734.98"/>
    <n v="49138.61"/>
    <x v="1"/>
  </r>
  <r>
    <x v="5"/>
    <x v="1"/>
    <x v="8"/>
    <x v="0"/>
    <x v="3"/>
    <x v="0"/>
    <x v="0"/>
    <n v="7"/>
    <n v="25275.89"/>
    <n v="81435.86"/>
    <x v="1"/>
  </r>
  <r>
    <x v="5"/>
    <x v="1"/>
    <x v="8"/>
    <x v="0"/>
    <x v="3"/>
    <x v="0"/>
    <x v="1"/>
    <n v="8"/>
    <n v="26840.87"/>
    <n v="88929.17"/>
    <x v="1"/>
  </r>
  <r>
    <x v="5"/>
    <x v="1"/>
    <x v="8"/>
    <x v="0"/>
    <x v="3"/>
    <x v="1"/>
    <x v="0"/>
    <n v="13"/>
    <n v="46116.41"/>
    <n v="96290.72"/>
    <x v="1"/>
  </r>
  <r>
    <x v="5"/>
    <x v="1"/>
    <x v="8"/>
    <x v="0"/>
    <x v="3"/>
    <x v="1"/>
    <x v="1"/>
    <n v="39"/>
    <n v="135804.32"/>
    <n v="294058.23999999999"/>
    <x v="1"/>
  </r>
  <r>
    <x v="5"/>
    <x v="1"/>
    <x v="8"/>
    <x v="0"/>
    <x v="28"/>
    <x v="1"/>
    <x v="1"/>
    <n v="1"/>
    <n v="4272.3"/>
    <n v="9076.8799999999992"/>
    <x v="1"/>
  </r>
  <r>
    <x v="5"/>
    <x v="1"/>
    <x v="8"/>
    <x v="0"/>
    <x v="4"/>
    <x v="0"/>
    <x v="1"/>
    <n v="2"/>
    <n v="6696.6"/>
    <n v="23415.18"/>
    <x v="1"/>
  </r>
  <r>
    <x v="5"/>
    <x v="1"/>
    <x v="8"/>
    <x v="0"/>
    <x v="4"/>
    <x v="1"/>
    <x v="0"/>
    <n v="11"/>
    <n v="40413.21"/>
    <n v="84854.2"/>
    <x v="1"/>
  </r>
  <r>
    <x v="5"/>
    <x v="1"/>
    <x v="8"/>
    <x v="0"/>
    <x v="4"/>
    <x v="1"/>
    <x v="1"/>
    <n v="5"/>
    <n v="17622.12"/>
    <n v="41324.480000000003"/>
    <x v="1"/>
  </r>
  <r>
    <x v="5"/>
    <x v="1"/>
    <x v="8"/>
    <x v="0"/>
    <x v="5"/>
    <x v="0"/>
    <x v="1"/>
    <n v="5"/>
    <n v="20167.57"/>
    <n v="70205.070000000007"/>
    <x v="1"/>
  </r>
  <r>
    <x v="5"/>
    <x v="1"/>
    <x v="8"/>
    <x v="0"/>
    <x v="5"/>
    <x v="1"/>
    <x v="0"/>
    <n v="3"/>
    <n v="8299.5300000000007"/>
    <n v="19115.13"/>
    <x v="1"/>
  </r>
  <r>
    <x v="5"/>
    <x v="1"/>
    <x v="8"/>
    <x v="0"/>
    <x v="5"/>
    <x v="1"/>
    <x v="1"/>
    <n v="15"/>
    <n v="54060.09"/>
    <n v="122493.2"/>
    <x v="1"/>
  </r>
  <r>
    <x v="5"/>
    <x v="1"/>
    <x v="8"/>
    <x v="0"/>
    <x v="6"/>
    <x v="0"/>
    <x v="1"/>
    <n v="3"/>
    <n v="9095.1200000000008"/>
    <n v="32054.959999999999"/>
    <x v="1"/>
  </r>
  <r>
    <x v="5"/>
    <x v="1"/>
    <x v="8"/>
    <x v="0"/>
    <x v="7"/>
    <x v="1"/>
    <x v="1"/>
    <n v="3"/>
    <n v="9146.94"/>
    <n v="22352.44"/>
    <x v="1"/>
  </r>
  <r>
    <x v="5"/>
    <x v="1"/>
    <x v="8"/>
    <x v="0"/>
    <x v="8"/>
    <x v="0"/>
    <x v="1"/>
    <n v="2"/>
    <n v="5351.1"/>
    <n v="19864.21"/>
    <x v="1"/>
  </r>
  <r>
    <x v="5"/>
    <x v="1"/>
    <x v="8"/>
    <x v="0"/>
    <x v="8"/>
    <x v="1"/>
    <x v="1"/>
    <n v="8"/>
    <n v="20233.79"/>
    <n v="48092.2"/>
    <x v="1"/>
  </r>
  <r>
    <x v="5"/>
    <x v="1"/>
    <x v="8"/>
    <x v="1"/>
    <x v="9"/>
    <x v="1"/>
    <x v="1"/>
    <n v="9"/>
    <n v="33503.43"/>
    <n v="84770.8"/>
    <x v="1"/>
  </r>
  <r>
    <x v="5"/>
    <x v="1"/>
    <x v="8"/>
    <x v="1"/>
    <x v="10"/>
    <x v="0"/>
    <x v="0"/>
    <n v="5"/>
    <n v="13894.1"/>
    <n v="51530.42"/>
    <x v="1"/>
  </r>
  <r>
    <x v="5"/>
    <x v="1"/>
    <x v="8"/>
    <x v="1"/>
    <x v="10"/>
    <x v="0"/>
    <x v="1"/>
    <n v="5"/>
    <n v="21023.22"/>
    <n v="71190.100000000006"/>
    <x v="1"/>
  </r>
  <r>
    <x v="5"/>
    <x v="1"/>
    <x v="8"/>
    <x v="1"/>
    <x v="10"/>
    <x v="1"/>
    <x v="0"/>
    <n v="17"/>
    <n v="56988.19"/>
    <n v="144271.92000000001"/>
    <x v="1"/>
  </r>
  <r>
    <x v="5"/>
    <x v="1"/>
    <x v="8"/>
    <x v="1"/>
    <x v="10"/>
    <x v="1"/>
    <x v="1"/>
    <n v="29"/>
    <n v="88182.78"/>
    <n v="210716.9"/>
    <x v="1"/>
  </r>
  <r>
    <x v="5"/>
    <x v="1"/>
    <x v="8"/>
    <x v="1"/>
    <x v="11"/>
    <x v="0"/>
    <x v="1"/>
    <n v="15"/>
    <n v="47234.87"/>
    <n v="167193.07"/>
    <x v="1"/>
  </r>
  <r>
    <x v="5"/>
    <x v="1"/>
    <x v="8"/>
    <x v="1"/>
    <x v="11"/>
    <x v="1"/>
    <x v="0"/>
    <n v="2"/>
    <n v="8212.7199999999993"/>
    <n v="18497.5"/>
    <x v="1"/>
  </r>
  <r>
    <x v="5"/>
    <x v="1"/>
    <x v="8"/>
    <x v="1"/>
    <x v="11"/>
    <x v="1"/>
    <x v="1"/>
    <n v="32"/>
    <n v="118206.12"/>
    <n v="267571.25"/>
    <x v="1"/>
  </r>
  <r>
    <x v="5"/>
    <x v="1"/>
    <x v="8"/>
    <x v="1"/>
    <x v="12"/>
    <x v="1"/>
    <x v="1"/>
    <n v="4"/>
    <n v="16338.06"/>
    <n v="39179.769999999997"/>
    <x v="1"/>
  </r>
  <r>
    <x v="5"/>
    <x v="1"/>
    <x v="8"/>
    <x v="1"/>
    <x v="13"/>
    <x v="0"/>
    <x v="1"/>
    <n v="5"/>
    <n v="19329.3"/>
    <n v="67433.919999999998"/>
    <x v="1"/>
  </r>
  <r>
    <x v="5"/>
    <x v="1"/>
    <x v="8"/>
    <x v="1"/>
    <x v="13"/>
    <x v="1"/>
    <x v="0"/>
    <n v="1"/>
    <n v="3798.77"/>
    <n v="9754.61"/>
    <x v="1"/>
  </r>
  <r>
    <x v="5"/>
    <x v="1"/>
    <x v="8"/>
    <x v="1"/>
    <x v="13"/>
    <x v="1"/>
    <x v="1"/>
    <n v="12"/>
    <n v="40108.97"/>
    <n v="98637.41"/>
    <x v="1"/>
  </r>
  <r>
    <x v="5"/>
    <x v="1"/>
    <x v="8"/>
    <x v="1"/>
    <x v="14"/>
    <x v="0"/>
    <x v="1"/>
    <n v="4"/>
    <n v="12183.09"/>
    <n v="41403.19"/>
    <x v="1"/>
  </r>
  <r>
    <x v="5"/>
    <x v="1"/>
    <x v="8"/>
    <x v="1"/>
    <x v="14"/>
    <x v="1"/>
    <x v="0"/>
    <n v="13"/>
    <n v="46835.82"/>
    <n v="108617.29"/>
    <x v="1"/>
  </r>
  <r>
    <x v="5"/>
    <x v="1"/>
    <x v="8"/>
    <x v="1"/>
    <x v="14"/>
    <x v="1"/>
    <x v="1"/>
    <n v="3"/>
    <n v="8017.01"/>
    <n v="19782.71"/>
    <x v="1"/>
  </r>
  <r>
    <x v="5"/>
    <x v="1"/>
    <x v="8"/>
    <x v="1"/>
    <x v="15"/>
    <x v="1"/>
    <x v="0"/>
    <n v="3"/>
    <n v="8996.25"/>
    <n v="21308.73"/>
    <x v="1"/>
  </r>
  <r>
    <x v="5"/>
    <x v="1"/>
    <x v="8"/>
    <x v="1"/>
    <x v="15"/>
    <x v="1"/>
    <x v="1"/>
    <n v="3"/>
    <n v="11315.89"/>
    <n v="26978.560000000001"/>
    <x v="1"/>
  </r>
  <r>
    <x v="5"/>
    <x v="1"/>
    <x v="8"/>
    <x v="1"/>
    <x v="16"/>
    <x v="0"/>
    <x v="1"/>
    <n v="2"/>
    <n v="6521.44"/>
    <n v="22462.240000000002"/>
    <x v="1"/>
  </r>
  <r>
    <x v="5"/>
    <x v="1"/>
    <x v="8"/>
    <x v="1"/>
    <x v="16"/>
    <x v="1"/>
    <x v="0"/>
    <n v="9"/>
    <n v="33969.449999999997"/>
    <n v="77492.05"/>
    <x v="1"/>
  </r>
  <r>
    <x v="5"/>
    <x v="1"/>
    <x v="8"/>
    <x v="1"/>
    <x v="16"/>
    <x v="1"/>
    <x v="1"/>
    <n v="8"/>
    <n v="24472.2"/>
    <n v="54398.37"/>
    <x v="1"/>
  </r>
  <r>
    <x v="5"/>
    <x v="1"/>
    <x v="8"/>
    <x v="1"/>
    <x v="17"/>
    <x v="0"/>
    <x v="1"/>
    <n v="2"/>
    <n v="5272.91"/>
    <n v="18305.73"/>
    <x v="1"/>
  </r>
  <r>
    <x v="5"/>
    <x v="1"/>
    <x v="8"/>
    <x v="1"/>
    <x v="17"/>
    <x v="1"/>
    <x v="0"/>
    <n v="6"/>
    <n v="23096.83"/>
    <n v="53623.93"/>
    <x v="1"/>
  </r>
  <r>
    <x v="5"/>
    <x v="1"/>
    <x v="8"/>
    <x v="1"/>
    <x v="17"/>
    <x v="1"/>
    <x v="1"/>
    <n v="9"/>
    <n v="31310.68"/>
    <n v="72953.97"/>
    <x v="1"/>
  </r>
  <r>
    <x v="5"/>
    <x v="1"/>
    <x v="8"/>
    <x v="1"/>
    <x v="18"/>
    <x v="0"/>
    <x v="1"/>
    <n v="20"/>
    <n v="75973.59"/>
    <n v="250682.41"/>
    <x v="1"/>
  </r>
  <r>
    <x v="5"/>
    <x v="1"/>
    <x v="8"/>
    <x v="1"/>
    <x v="18"/>
    <x v="1"/>
    <x v="0"/>
    <n v="9"/>
    <n v="31058.84"/>
    <n v="76056.160000000003"/>
    <x v="1"/>
  </r>
  <r>
    <x v="5"/>
    <x v="1"/>
    <x v="8"/>
    <x v="1"/>
    <x v="18"/>
    <x v="1"/>
    <x v="1"/>
    <n v="26"/>
    <n v="89770.95"/>
    <n v="215848.33"/>
    <x v="1"/>
  </r>
  <r>
    <x v="5"/>
    <x v="1"/>
    <x v="8"/>
    <x v="1"/>
    <x v="19"/>
    <x v="0"/>
    <x v="1"/>
    <n v="6"/>
    <n v="22924.13"/>
    <n v="79623.13"/>
    <x v="1"/>
  </r>
  <r>
    <x v="5"/>
    <x v="1"/>
    <x v="8"/>
    <x v="1"/>
    <x v="19"/>
    <x v="1"/>
    <x v="0"/>
    <n v="18"/>
    <n v="59729.34"/>
    <n v="136731.63"/>
    <x v="1"/>
  </r>
  <r>
    <x v="5"/>
    <x v="1"/>
    <x v="8"/>
    <x v="1"/>
    <x v="19"/>
    <x v="1"/>
    <x v="1"/>
    <n v="15"/>
    <n v="46496.74"/>
    <n v="109584.54"/>
    <x v="1"/>
  </r>
  <r>
    <x v="5"/>
    <x v="1"/>
    <x v="8"/>
    <x v="1"/>
    <x v="20"/>
    <x v="0"/>
    <x v="0"/>
    <n v="3"/>
    <n v="11344.72"/>
    <n v="39106.959999999999"/>
    <x v="1"/>
  </r>
  <r>
    <x v="5"/>
    <x v="1"/>
    <x v="8"/>
    <x v="1"/>
    <x v="20"/>
    <x v="0"/>
    <x v="1"/>
    <n v="13"/>
    <n v="48515.51"/>
    <n v="173592.26"/>
    <x v="1"/>
  </r>
  <r>
    <x v="5"/>
    <x v="1"/>
    <x v="8"/>
    <x v="1"/>
    <x v="20"/>
    <x v="1"/>
    <x v="0"/>
    <n v="14"/>
    <n v="44039.33"/>
    <n v="103478.95"/>
    <x v="1"/>
  </r>
  <r>
    <x v="5"/>
    <x v="1"/>
    <x v="8"/>
    <x v="1"/>
    <x v="20"/>
    <x v="1"/>
    <x v="1"/>
    <n v="13"/>
    <n v="47507.96"/>
    <n v="112676"/>
    <x v="1"/>
  </r>
  <r>
    <x v="5"/>
    <x v="1"/>
    <x v="8"/>
    <x v="2"/>
    <x v="21"/>
    <x v="0"/>
    <x v="0"/>
    <n v="3"/>
    <n v="9258.25"/>
    <n v="33701.269999999997"/>
    <x v="1"/>
  </r>
  <r>
    <x v="5"/>
    <x v="1"/>
    <x v="8"/>
    <x v="2"/>
    <x v="21"/>
    <x v="1"/>
    <x v="1"/>
    <n v="2"/>
    <n v="8833.2000000000007"/>
    <n v="17236.86"/>
    <x v="1"/>
  </r>
  <r>
    <x v="5"/>
    <x v="1"/>
    <x v="8"/>
    <x v="2"/>
    <x v="22"/>
    <x v="0"/>
    <x v="1"/>
    <n v="6"/>
    <n v="21118.93"/>
    <n v="71449.009999999995"/>
    <x v="1"/>
  </r>
  <r>
    <x v="5"/>
    <x v="1"/>
    <x v="8"/>
    <x v="2"/>
    <x v="22"/>
    <x v="1"/>
    <x v="0"/>
    <n v="13"/>
    <n v="51443.01"/>
    <n v="103676.7"/>
    <x v="1"/>
  </r>
  <r>
    <x v="5"/>
    <x v="1"/>
    <x v="8"/>
    <x v="2"/>
    <x v="22"/>
    <x v="1"/>
    <x v="1"/>
    <n v="11"/>
    <n v="32675.279999999999"/>
    <n v="71988.600000000006"/>
    <x v="1"/>
  </r>
  <r>
    <x v="5"/>
    <x v="1"/>
    <x v="8"/>
    <x v="2"/>
    <x v="29"/>
    <x v="0"/>
    <x v="1"/>
    <n v="4"/>
    <n v="10982.69"/>
    <n v="38552.43"/>
    <x v="1"/>
  </r>
  <r>
    <x v="5"/>
    <x v="1"/>
    <x v="8"/>
    <x v="2"/>
    <x v="29"/>
    <x v="1"/>
    <x v="1"/>
    <n v="10"/>
    <n v="41103.269999999997"/>
    <n v="86767.32"/>
    <x v="1"/>
  </r>
  <r>
    <x v="5"/>
    <x v="1"/>
    <x v="8"/>
    <x v="2"/>
    <x v="23"/>
    <x v="1"/>
    <x v="1"/>
    <n v="2"/>
    <n v="7066.06"/>
    <n v="15401.98"/>
    <x v="1"/>
  </r>
  <r>
    <x v="5"/>
    <x v="1"/>
    <x v="8"/>
    <x v="2"/>
    <x v="24"/>
    <x v="0"/>
    <x v="1"/>
    <n v="5"/>
    <n v="19442.259999999998"/>
    <n v="66066.759999999995"/>
    <x v="1"/>
  </r>
  <r>
    <x v="5"/>
    <x v="1"/>
    <x v="8"/>
    <x v="2"/>
    <x v="24"/>
    <x v="1"/>
    <x v="0"/>
    <n v="7"/>
    <n v="26593.279999999999"/>
    <n v="58368.83"/>
    <x v="1"/>
  </r>
  <r>
    <x v="5"/>
    <x v="1"/>
    <x v="8"/>
    <x v="2"/>
    <x v="24"/>
    <x v="1"/>
    <x v="1"/>
    <n v="2"/>
    <n v="8842.86"/>
    <n v="17175.52"/>
    <x v="1"/>
  </r>
  <r>
    <x v="5"/>
    <x v="1"/>
    <x v="8"/>
    <x v="3"/>
    <x v="25"/>
    <x v="0"/>
    <x v="1"/>
    <n v="1"/>
    <n v="2976.56"/>
    <n v="10132.99"/>
    <x v="1"/>
  </r>
  <r>
    <x v="5"/>
    <x v="1"/>
    <x v="8"/>
    <x v="3"/>
    <x v="25"/>
    <x v="1"/>
    <x v="0"/>
    <n v="4"/>
    <n v="12216.91"/>
    <n v="28534.58"/>
    <x v="1"/>
  </r>
  <r>
    <x v="5"/>
    <x v="1"/>
    <x v="8"/>
    <x v="3"/>
    <x v="26"/>
    <x v="0"/>
    <x v="0"/>
    <n v="4"/>
    <n v="16721.849999999999"/>
    <n v="55221.94"/>
    <x v="1"/>
  </r>
  <r>
    <x v="5"/>
    <x v="1"/>
    <x v="8"/>
    <x v="3"/>
    <x v="26"/>
    <x v="0"/>
    <x v="1"/>
    <n v="1"/>
    <n v="2742.79"/>
    <n v="8610.91"/>
    <x v="1"/>
  </r>
  <r>
    <x v="5"/>
    <x v="1"/>
    <x v="8"/>
    <x v="3"/>
    <x v="26"/>
    <x v="1"/>
    <x v="0"/>
    <n v="4"/>
    <n v="14836.66"/>
    <n v="35384.18"/>
    <x v="1"/>
  </r>
  <r>
    <x v="5"/>
    <x v="1"/>
    <x v="8"/>
    <x v="3"/>
    <x v="26"/>
    <x v="1"/>
    <x v="1"/>
    <n v="35"/>
    <n v="125026.43"/>
    <n v="293678.96000000002"/>
    <x v="1"/>
  </r>
  <r>
    <x v="5"/>
    <x v="1"/>
    <x v="8"/>
    <x v="3"/>
    <x v="27"/>
    <x v="0"/>
    <x v="0"/>
    <n v="3"/>
    <n v="9524.41"/>
    <n v="33902.959999999999"/>
    <x v="1"/>
  </r>
  <r>
    <x v="5"/>
    <x v="1"/>
    <x v="8"/>
    <x v="3"/>
    <x v="27"/>
    <x v="0"/>
    <x v="1"/>
    <n v="9"/>
    <n v="29355.72"/>
    <n v="100192.69"/>
    <x v="1"/>
  </r>
  <r>
    <x v="5"/>
    <x v="1"/>
    <x v="8"/>
    <x v="3"/>
    <x v="27"/>
    <x v="1"/>
    <x v="0"/>
    <n v="17"/>
    <n v="60414.37"/>
    <n v="137638.89000000001"/>
    <x v="1"/>
  </r>
  <r>
    <x v="5"/>
    <x v="1"/>
    <x v="8"/>
    <x v="3"/>
    <x v="27"/>
    <x v="1"/>
    <x v="1"/>
    <n v="14"/>
    <n v="56227.31"/>
    <n v="131215.45000000001"/>
    <x v="1"/>
  </r>
  <r>
    <x v="5"/>
    <x v="1"/>
    <x v="9"/>
    <x v="0"/>
    <x v="0"/>
    <x v="0"/>
    <x v="0"/>
    <n v="2"/>
    <n v="4391.26"/>
    <n v="15159.39"/>
    <x v="1"/>
  </r>
  <r>
    <x v="5"/>
    <x v="1"/>
    <x v="9"/>
    <x v="0"/>
    <x v="0"/>
    <x v="1"/>
    <x v="0"/>
    <n v="9"/>
    <n v="25846.25"/>
    <n v="52963.4"/>
    <x v="1"/>
  </r>
  <r>
    <x v="5"/>
    <x v="1"/>
    <x v="9"/>
    <x v="0"/>
    <x v="0"/>
    <x v="1"/>
    <x v="1"/>
    <n v="13"/>
    <n v="36260.53"/>
    <n v="77581.41"/>
    <x v="1"/>
  </r>
  <r>
    <x v="5"/>
    <x v="1"/>
    <x v="9"/>
    <x v="0"/>
    <x v="1"/>
    <x v="0"/>
    <x v="0"/>
    <n v="6"/>
    <n v="16146.88"/>
    <n v="54591.66"/>
    <x v="1"/>
  </r>
  <r>
    <x v="5"/>
    <x v="1"/>
    <x v="9"/>
    <x v="0"/>
    <x v="1"/>
    <x v="0"/>
    <x v="1"/>
    <n v="5"/>
    <n v="15594.92"/>
    <n v="52273.81"/>
    <x v="1"/>
  </r>
  <r>
    <x v="5"/>
    <x v="1"/>
    <x v="9"/>
    <x v="0"/>
    <x v="1"/>
    <x v="1"/>
    <x v="0"/>
    <n v="7"/>
    <n v="17768.97"/>
    <n v="39834.43"/>
    <x v="1"/>
  </r>
  <r>
    <x v="5"/>
    <x v="1"/>
    <x v="9"/>
    <x v="0"/>
    <x v="1"/>
    <x v="1"/>
    <x v="1"/>
    <n v="11"/>
    <n v="35712.42"/>
    <n v="76611.05"/>
    <x v="1"/>
  </r>
  <r>
    <x v="5"/>
    <x v="1"/>
    <x v="9"/>
    <x v="0"/>
    <x v="2"/>
    <x v="1"/>
    <x v="0"/>
    <n v="4"/>
    <n v="8701.1200000000008"/>
    <n v="18835"/>
    <x v="1"/>
  </r>
  <r>
    <x v="5"/>
    <x v="1"/>
    <x v="9"/>
    <x v="0"/>
    <x v="2"/>
    <x v="1"/>
    <x v="1"/>
    <n v="5"/>
    <n v="12712.23"/>
    <n v="25249.43"/>
    <x v="1"/>
  </r>
  <r>
    <x v="5"/>
    <x v="1"/>
    <x v="9"/>
    <x v="0"/>
    <x v="3"/>
    <x v="0"/>
    <x v="1"/>
    <n v="8"/>
    <n v="21575.9"/>
    <n v="68519.179999999993"/>
    <x v="1"/>
  </r>
  <r>
    <x v="5"/>
    <x v="1"/>
    <x v="9"/>
    <x v="0"/>
    <x v="3"/>
    <x v="1"/>
    <x v="0"/>
    <n v="12"/>
    <n v="27341.78"/>
    <n v="58035.99"/>
    <x v="1"/>
  </r>
  <r>
    <x v="5"/>
    <x v="1"/>
    <x v="9"/>
    <x v="0"/>
    <x v="3"/>
    <x v="1"/>
    <x v="1"/>
    <n v="17"/>
    <n v="55740.09"/>
    <n v="109262.79"/>
    <x v="1"/>
  </r>
  <r>
    <x v="5"/>
    <x v="1"/>
    <x v="9"/>
    <x v="0"/>
    <x v="4"/>
    <x v="0"/>
    <x v="1"/>
    <n v="1"/>
    <n v="2573.73"/>
    <n v="8491.41"/>
    <x v="1"/>
  </r>
  <r>
    <x v="5"/>
    <x v="1"/>
    <x v="9"/>
    <x v="0"/>
    <x v="4"/>
    <x v="1"/>
    <x v="0"/>
    <n v="6"/>
    <n v="16918.5"/>
    <n v="34545"/>
    <x v="1"/>
  </r>
  <r>
    <x v="5"/>
    <x v="1"/>
    <x v="9"/>
    <x v="0"/>
    <x v="4"/>
    <x v="1"/>
    <x v="1"/>
    <n v="2"/>
    <n v="5834.89"/>
    <n v="12158.55"/>
    <x v="1"/>
  </r>
  <r>
    <x v="5"/>
    <x v="1"/>
    <x v="9"/>
    <x v="0"/>
    <x v="5"/>
    <x v="0"/>
    <x v="1"/>
    <n v="2"/>
    <n v="4371.66"/>
    <n v="15350.87"/>
    <x v="1"/>
  </r>
  <r>
    <x v="5"/>
    <x v="1"/>
    <x v="9"/>
    <x v="0"/>
    <x v="5"/>
    <x v="1"/>
    <x v="0"/>
    <n v="3"/>
    <n v="8059.32"/>
    <n v="17232.27"/>
    <x v="1"/>
  </r>
  <r>
    <x v="5"/>
    <x v="1"/>
    <x v="9"/>
    <x v="0"/>
    <x v="5"/>
    <x v="1"/>
    <x v="1"/>
    <n v="17"/>
    <n v="49305.75"/>
    <n v="103512.17"/>
    <x v="1"/>
  </r>
  <r>
    <x v="5"/>
    <x v="1"/>
    <x v="9"/>
    <x v="0"/>
    <x v="6"/>
    <x v="0"/>
    <x v="1"/>
    <n v="1"/>
    <n v="2594.69"/>
    <n v="8497.1200000000008"/>
    <x v="1"/>
  </r>
  <r>
    <x v="5"/>
    <x v="1"/>
    <x v="9"/>
    <x v="0"/>
    <x v="7"/>
    <x v="1"/>
    <x v="1"/>
    <n v="1"/>
    <n v="2061.31"/>
    <n v="4788.68"/>
    <x v="1"/>
  </r>
  <r>
    <x v="5"/>
    <x v="1"/>
    <x v="9"/>
    <x v="1"/>
    <x v="9"/>
    <x v="1"/>
    <x v="1"/>
    <n v="10"/>
    <n v="36854.6"/>
    <n v="81486.52"/>
    <x v="1"/>
  </r>
  <r>
    <x v="5"/>
    <x v="1"/>
    <x v="9"/>
    <x v="1"/>
    <x v="10"/>
    <x v="0"/>
    <x v="1"/>
    <n v="5"/>
    <n v="13592.24"/>
    <n v="46319.34"/>
    <x v="1"/>
  </r>
  <r>
    <x v="5"/>
    <x v="1"/>
    <x v="9"/>
    <x v="1"/>
    <x v="10"/>
    <x v="1"/>
    <x v="0"/>
    <n v="7"/>
    <n v="18550.25"/>
    <n v="42306.37"/>
    <x v="1"/>
  </r>
  <r>
    <x v="5"/>
    <x v="1"/>
    <x v="9"/>
    <x v="1"/>
    <x v="10"/>
    <x v="1"/>
    <x v="1"/>
    <n v="23"/>
    <n v="63252.91"/>
    <n v="150016.01999999999"/>
    <x v="1"/>
  </r>
  <r>
    <x v="5"/>
    <x v="1"/>
    <x v="9"/>
    <x v="1"/>
    <x v="11"/>
    <x v="0"/>
    <x v="1"/>
    <n v="6"/>
    <n v="16459.03"/>
    <n v="55755.21"/>
    <x v="1"/>
  </r>
  <r>
    <x v="5"/>
    <x v="1"/>
    <x v="9"/>
    <x v="1"/>
    <x v="11"/>
    <x v="1"/>
    <x v="0"/>
    <n v="9"/>
    <n v="29844.83"/>
    <n v="63333.67"/>
    <x v="1"/>
  </r>
  <r>
    <x v="5"/>
    <x v="1"/>
    <x v="9"/>
    <x v="1"/>
    <x v="11"/>
    <x v="1"/>
    <x v="1"/>
    <n v="39"/>
    <n v="100688.75"/>
    <n v="222581.37"/>
    <x v="1"/>
  </r>
  <r>
    <x v="5"/>
    <x v="1"/>
    <x v="9"/>
    <x v="1"/>
    <x v="12"/>
    <x v="1"/>
    <x v="0"/>
    <n v="1"/>
    <n v="2256.86"/>
    <n v="5081.49"/>
    <x v="1"/>
  </r>
  <r>
    <x v="5"/>
    <x v="1"/>
    <x v="9"/>
    <x v="1"/>
    <x v="12"/>
    <x v="1"/>
    <x v="1"/>
    <n v="5"/>
    <n v="18483.61"/>
    <n v="40840.06"/>
    <x v="1"/>
  </r>
  <r>
    <x v="5"/>
    <x v="1"/>
    <x v="9"/>
    <x v="1"/>
    <x v="13"/>
    <x v="0"/>
    <x v="1"/>
    <n v="4"/>
    <n v="14675.7"/>
    <n v="47909.71"/>
    <x v="1"/>
  </r>
  <r>
    <x v="5"/>
    <x v="1"/>
    <x v="9"/>
    <x v="1"/>
    <x v="13"/>
    <x v="1"/>
    <x v="0"/>
    <n v="1"/>
    <n v="3538.38"/>
    <n v="8184.14"/>
    <x v="1"/>
  </r>
  <r>
    <x v="5"/>
    <x v="1"/>
    <x v="9"/>
    <x v="1"/>
    <x v="13"/>
    <x v="1"/>
    <x v="1"/>
    <n v="9"/>
    <n v="27422.86"/>
    <n v="61603.14"/>
    <x v="1"/>
  </r>
  <r>
    <x v="5"/>
    <x v="1"/>
    <x v="9"/>
    <x v="1"/>
    <x v="14"/>
    <x v="0"/>
    <x v="1"/>
    <n v="1"/>
    <n v="3665.89"/>
    <n v="11886.53"/>
    <x v="1"/>
  </r>
  <r>
    <x v="5"/>
    <x v="1"/>
    <x v="9"/>
    <x v="1"/>
    <x v="14"/>
    <x v="1"/>
    <x v="0"/>
    <n v="15"/>
    <n v="45328.57"/>
    <n v="101658.31"/>
    <x v="1"/>
  </r>
  <r>
    <x v="5"/>
    <x v="1"/>
    <x v="9"/>
    <x v="1"/>
    <x v="14"/>
    <x v="1"/>
    <x v="1"/>
    <n v="2"/>
    <n v="7299.88"/>
    <n v="15948.19"/>
    <x v="1"/>
  </r>
  <r>
    <x v="5"/>
    <x v="1"/>
    <x v="9"/>
    <x v="1"/>
    <x v="15"/>
    <x v="1"/>
    <x v="1"/>
    <n v="2"/>
    <n v="7423.84"/>
    <n v="16594.8"/>
    <x v="1"/>
  </r>
  <r>
    <x v="5"/>
    <x v="1"/>
    <x v="9"/>
    <x v="1"/>
    <x v="16"/>
    <x v="0"/>
    <x v="1"/>
    <n v="4"/>
    <n v="9573.36"/>
    <n v="31397.59"/>
    <x v="1"/>
  </r>
  <r>
    <x v="5"/>
    <x v="1"/>
    <x v="9"/>
    <x v="1"/>
    <x v="16"/>
    <x v="1"/>
    <x v="0"/>
    <n v="10"/>
    <n v="26524.58"/>
    <n v="56799.34"/>
    <x v="1"/>
  </r>
  <r>
    <x v="5"/>
    <x v="1"/>
    <x v="9"/>
    <x v="1"/>
    <x v="16"/>
    <x v="1"/>
    <x v="1"/>
    <n v="4"/>
    <n v="9130.84"/>
    <n v="19668.23"/>
    <x v="1"/>
  </r>
  <r>
    <x v="5"/>
    <x v="1"/>
    <x v="9"/>
    <x v="1"/>
    <x v="17"/>
    <x v="0"/>
    <x v="1"/>
    <n v="4"/>
    <n v="11836.18"/>
    <n v="39568.230000000003"/>
    <x v="1"/>
  </r>
  <r>
    <x v="5"/>
    <x v="1"/>
    <x v="9"/>
    <x v="1"/>
    <x v="17"/>
    <x v="1"/>
    <x v="0"/>
    <n v="1"/>
    <n v="2049.52"/>
    <n v="4932.8999999999996"/>
    <x v="1"/>
  </r>
  <r>
    <x v="5"/>
    <x v="1"/>
    <x v="9"/>
    <x v="1"/>
    <x v="17"/>
    <x v="1"/>
    <x v="1"/>
    <n v="2"/>
    <n v="4647.28"/>
    <n v="10358.9"/>
    <x v="1"/>
  </r>
  <r>
    <x v="5"/>
    <x v="1"/>
    <x v="9"/>
    <x v="1"/>
    <x v="18"/>
    <x v="0"/>
    <x v="1"/>
    <n v="12"/>
    <n v="36484.99"/>
    <n v="116197.1"/>
    <x v="1"/>
  </r>
  <r>
    <x v="5"/>
    <x v="1"/>
    <x v="9"/>
    <x v="1"/>
    <x v="18"/>
    <x v="1"/>
    <x v="0"/>
    <n v="3"/>
    <n v="6478.41"/>
    <n v="14991.82"/>
    <x v="1"/>
  </r>
  <r>
    <x v="5"/>
    <x v="1"/>
    <x v="9"/>
    <x v="1"/>
    <x v="18"/>
    <x v="1"/>
    <x v="1"/>
    <n v="28"/>
    <n v="85018.03"/>
    <n v="190845.44"/>
    <x v="1"/>
  </r>
  <r>
    <x v="5"/>
    <x v="1"/>
    <x v="9"/>
    <x v="1"/>
    <x v="19"/>
    <x v="0"/>
    <x v="1"/>
    <n v="1"/>
    <n v="2156.2199999999998"/>
    <n v="7611.79"/>
    <x v="1"/>
  </r>
  <r>
    <x v="5"/>
    <x v="1"/>
    <x v="9"/>
    <x v="1"/>
    <x v="19"/>
    <x v="1"/>
    <x v="0"/>
    <n v="6"/>
    <n v="14335.73"/>
    <n v="31976.14"/>
    <x v="1"/>
  </r>
  <r>
    <x v="5"/>
    <x v="1"/>
    <x v="9"/>
    <x v="1"/>
    <x v="19"/>
    <x v="1"/>
    <x v="1"/>
    <n v="13"/>
    <n v="34012.33"/>
    <n v="75211.86"/>
    <x v="1"/>
  </r>
  <r>
    <x v="5"/>
    <x v="1"/>
    <x v="9"/>
    <x v="1"/>
    <x v="20"/>
    <x v="0"/>
    <x v="0"/>
    <n v="1"/>
    <n v="2065.21"/>
    <n v="7523.9"/>
    <x v="1"/>
  </r>
  <r>
    <x v="5"/>
    <x v="1"/>
    <x v="9"/>
    <x v="1"/>
    <x v="20"/>
    <x v="0"/>
    <x v="1"/>
    <n v="4"/>
    <n v="11831.86"/>
    <n v="39000.01"/>
    <x v="1"/>
  </r>
  <r>
    <x v="5"/>
    <x v="1"/>
    <x v="9"/>
    <x v="1"/>
    <x v="20"/>
    <x v="1"/>
    <x v="0"/>
    <n v="7"/>
    <n v="26299.3"/>
    <n v="55599"/>
    <x v="1"/>
  </r>
  <r>
    <x v="5"/>
    <x v="1"/>
    <x v="9"/>
    <x v="1"/>
    <x v="20"/>
    <x v="1"/>
    <x v="1"/>
    <n v="22"/>
    <n v="50282.61"/>
    <n v="116355.84"/>
    <x v="1"/>
  </r>
  <r>
    <x v="5"/>
    <x v="1"/>
    <x v="9"/>
    <x v="2"/>
    <x v="21"/>
    <x v="0"/>
    <x v="0"/>
    <n v="1"/>
    <n v="2175.12"/>
    <n v="7608.71"/>
    <x v="1"/>
  </r>
  <r>
    <x v="5"/>
    <x v="1"/>
    <x v="9"/>
    <x v="2"/>
    <x v="21"/>
    <x v="1"/>
    <x v="1"/>
    <n v="7"/>
    <n v="22974.03"/>
    <n v="44875.92"/>
    <x v="1"/>
  </r>
  <r>
    <x v="5"/>
    <x v="1"/>
    <x v="9"/>
    <x v="2"/>
    <x v="22"/>
    <x v="0"/>
    <x v="1"/>
    <n v="1"/>
    <n v="3654.41"/>
    <n v="11475.84"/>
    <x v="1"/>
  </r>
  <r>
    <x v="5"/>
    <x v="1"/>
    <x v="9"/>
    <x v="2"/>
    <x v="22"/>
    <x v="1"/>
    <x v="0"/>
    <n v="11"/>
    <n v="29269.82"/>
    <n v="59075.7"/>
    <x v="1"/>
  </r>
  <r>
    <x v="5"/>
    <x v="1"/>
    <x v="9"/>
    <x v="2"/>
    <x v="22"/>
    <x v="1"/>
    <x v="1"/>
    <n v="15"/>
    <n v="47140.82"/>
    <n v="91146.92"/>
    <x v="1"/>
  </r>
  <r>
    <x v="5"/>
    <x v="1"/>
    <x v="9"/>
    <x v="2"/>
    <x v="29"/>
    <x v="0"/>
    <x v="1"/>
    <n v="4"/>
    <n v="8868.68"/>
    <n v="29588.12"/>
    <x v="1"/>
  </r>
  <r>
    <x v="5"/>
    <x v="1"/>
    <x v="9"/>
    <x v="2"/>
    <x v="29"/>
    <x v="1"/>
    <x v="1"/>
    <n v="3"/>
    <n v="9478.67"/>
    <n v="19645.240000000002"/>
    <x v="1"/>
  </r>
  <r>
    <x v="5"/>
    <x v="1"/>
    <x v="9"/>
    <x v="2"/>
    <x v="24"/>
    <x v="0"/>
    <x v="1"/>
    <n v="2"/>
    <n v="6263.38"/>
    <n v="19867.53"/>
    <x v="1"/>
  </r>
  <r>
    <x v="5"/>
    <x v="1"/>
    <x v="9"/>
    <x v="3"/>
    <x v="25"/>
    <x v="0"/>
    <x v="1"/>
    <n v="1"/>
    <n v="2233.3200000000002"/>
    <n v="7260.98"/>
    <x v="1"/>
  </r>
  <r>
    <x v="5"/>
    <x v="1"/>
    <x v="9"/>
    <x v="3"/>
    <x v="25"/>
    <x v="1"/>
    <x v="0"/>
    <n v="9"/>
    <n v="27624.95"/>
    <n v="60402.36"/>
    <x v="1"/>
  </r>
  <r>
    <x v="5"/>
    <x v="1"/>
    <x v="9"/>
    <x v="3"/>
    <x v="25"/>
    <x v="1"/>
    <x v="1"/>
    <n v="16"/>
    <n v="50162.95"/>
    <n v="111557.49"/>
    <x v="1"/>
  </r>
  <r>
    <x v="5"/>
    <x v="1"/>
    <x v="9"/>
    <x v="3"/>
    <x v="26"/>
    <x v="1"/>
    <x v="0"/>
    <n v="9"/>
    <n v="23761.39"/>
    <n v="52196.22"/>
    <x v="1"/>
  </r>
  <r>
    <x v="5"/>
    <x v="1"/>
    <x v="9"/>
    <x v="3"/>
    <x v="26"/>
    <x v="1"/>
    <x v="1"/>
    <n v="17"/>
    <n v="43502.9"/>
    <n v="99424.53"/>
    <x v="1"/>
  </r>
  <r>
    <x v="5"/>
    <x v="1"/>
    <x v="9"/>
    <x v="3"/>
    <x v="27"/>
    <x v="0"/>
    <x v="0"/>
    <n v="3"/>
    <n v="6176.76"/>
    <n v="22082.27"/>
    <x v="1"/>
  </r>
  <r>
    <x v="5"/>
    <x v="1"/>
    <x v="9"/>
    <x v="3"/>
    <x v="27"/>
    <x v="0"/>
    <x v="1"/>
    <n v="4"/>
    <n v="12800.5"/>
    <n v="42398.36"/>
    <x v="1"/>
  </r>
  <r>
    <x v="5"/>
    <x v="1"/>
    <x v="9"/>
    <x v="3"/>
    <x v="27"/>
    <x v="1"/>
    <x v="0"/>
    <n v="6"/>
    <n v="14597.82"/>
    <n v="32248.69"/>
    <x v="1"/>
  </r>
  <r>
    <x v="5"/>
    <x v="1"/>
    <x v="9"/>
    <x v="3"/>
    <x v="27"/>
    <x v="1"/>
    <x v="1"/>
    <n v="27"/>
    <n v="64065.49"/>
    <n v="144141.51999999999"/>
    <x v="1"/>
  </r>
  <r>
    <x v="6"/>
    <x v="0"/>
    <x v="0"/>
    <x v="0"/>
    <x v="0"/>
    <x v="0"/>
    <x v="1"/>
    <n v="3"/>
    <n v="19690.310000000001"/>
    <n v="87286.59"/>
    <x v="0"/>
  </r>
  <r>
    <x v="6"/>
    <x v="0"/>
    <x v="0"/>
    <x v="0"/>
    <x v="0"/>
    <x v="1"/>
    <x v="0"/>
    <n v="5"/>
    <n v="36462.25"/>
    <n v="104984.69"/>
    <x v="0"/>
  </r>
  <r>
    <x v="6"/>
    <x v="0"/>
    <x v="0"/>
    <x v="0"/>
    <x v="0"/>
    <x v="1"/>
    <x v="1"/>
    <n v="10"/>
    <n v="73058.990000000005"/>
    <n v="209969.38"/>
    <x v="0"/>
  </r>
  <r>
    <x v="6"/>
    <x v="0"/>
    <x v="0"/>
    <x v="0"/>
    <x v="1"/>
    <x v="0"/>
    <x v="0"/>
    <n v="2"/>
    <n v="12178.68"/>
    <n v="53174.59"/>
    <x v="0"/>
  </r>
  <r>
    <x v="6"/>
    <x v="0"/>
    <x v="0"/>
    <x v="0"/>
    <x v="1"/>
    <x v="0"/>
    <x v="1"/>
    <n v="2"/>
    <n v="12529.11"/>
    <n v="55181.18"/>
    <x v="0"/>
  </r>
  <r>
    <x v="6"/>
    <x v="0"/>
    <x v="0"/>
    <x v="0"/>
    <x v="1"/>
    <x v="1"/>
    <x v="0"/>
    <n v="9"/>
    <n v="54964.480000000003"/>
    <n v="149518.06"/>
    <x v="0"/>
  </r>
  <r>
    <x v="6"/>
    <x v="0"/>
    <x v="0"/>
    <x v="0"/>
    <x v="1"/>
    <x v="1"/>
    <x v="1"/>
    <n v="21"/>
    <n v="138622.69"/>
    <n v="385653.7"/>
    <x v="0"/>
  </r>
  <r>
    <x v="6"/>
    <x v="0"/>
    <x v="0"/>
    <x v="0"/>
    <x v="2"/>
    <x v="0"/>
    <x v="1"/>
    <n v="3"/>
    <n v="18171.02"/>
    <n v="78256.95"/>
    <x v="0"/>
  </r>
  <r>
    <x v="6"/>
    <x v="0"/>
    <x v="0"/>
    <x v="0"/>
    <x v="2"/>
    <x v="1"/>
    <x v="0"/>
    <n v="5"/>
    <n v="35224.33"/>
    <n v="94079.89"/>
    <x v="0"/>
  </r>
  <r>
    <x v="6"/>
    <x v="0"/>
    <x v="0"/>
    <x v="0"/>
    <x v="2"/>
    <x v="1"/>
    <x v="1"/>
    <n v="26"/>
    <n v="169123.79"/>
    <n v="460037.96"/>
    <x v="0"/>
  </r>
  <r>
    <x v="6"/>
    <x v="0"/>
    <x v="0"/>
    <x v="0"/>
    <x v="3"/>
    <x v="0"/>
    <x v="0"/>
    <n v="1"/>
    <n v="5419.35"/>
    <n v="23075.77"/>
    <x v="0"/>
  </r>
  <r>
    <x v="6"/>
    <x v="0"/>
    <x v="0"/>
    <x v="0"/>
    <x v="3"/>
    <x v="0"/>
    <x v="1"/>
    <n v="6"/>
    <n v="41010.25"/>
    <n v="174573.18"/>
    <x v="0"/>
  </r>
  <r>
    <x v="6"/>
    <x v="0"/>
    <x v="0"/>
    <x v="0"/>
    <x v="3"/>
    <x v="1"/>
    <x v="0"/>
    <n v="12"/>
    <n v="85535.82"/>
    <n v="232351.12"/>
    <x v="0"/>
  </r>
  <r>
    <x v="6"/>
    <x v="0"/>
    <x v="0"/>
    <x v="0"/>
    <x v="3"/>
    <x v="1"/>
    <x v="1"/>
    <n v="39"/>
    <n v="236964.61"/>
    <n v="665610.9"/>
    <x v="0"/>
  </r>
  <r>
    <x v="6"/>
    <x v="0"/>
    <x v="0"/>
    <x v="0"/>
    <x v="28"/>
    <x v="1"/>
    <x v="1"/>
    <n v="1"/>
    <n v="5413.58"/>
    <n v="15091.55"/>
    <x v="0"/>
  </r>
  <r>
    <x v="6"/>
    <x v="0"/>
    <x v="0"/>
    <x v="0"/>
    <x v="4"/>
    <x v="0"/>
    <x v="1"/>
    <n v="1"/>
    <n v="5452.95"/>
    <n v="23075.77"/>
    <x v="0"/>
  </r>
  <r>
    <x v="6"/>
    <x v="0"/>
    <x v="0"/>
    <x v="0"/>
    <x v="4"/>
    <x v="1"/>
    <x v="0"/>
    <n v="11"/>
    <n v="70994.44"/>
    <n v="195707.22"/>
    <x v="0"/>
  </r>
  <r>
    <x v="6"/>
    <x v="0"/>
    <x v="0"/>
    <x v="0"/>
    <x v="4"/>
    <x v="1"/>
    <x v="1"/>
    <n v="10"/>
    <n v="61999.59"/>
    <n v="171442.9"/>
    <x v="0"/>
  </r>
  <r>
    <x v="6"/>
    <x v="0"/>
    <x v="0"/>
    <x v="0"/>
    <x v="5"/>
    <x v="0"/>
    <x v="1"/>
    <n v="7"/>
    <n v="49429.82"/>
    <n v="213701.64"/>
    <x v="0"/>
  </r>
  <r>
    <x v="6"/>
    <x v="0"/>
    <x v="0"/>
    <x v="0"/>
    <x v="5"/>
    <x v="1"/>
    <x v="1"/>
    <n v="20"/>
    <n v="141086.97"/>
    <n v="402653.03"/>
    <x v="0"/>
  </r>
  <r>
    <x v="6"/>
    <x v="0"/>
    <x v="0"/>
    <x v="0"/>
    <x v="6"/>
    <x v="0"/>
    <x v="1"/>
    <n v="5"/>
    <n v="30643.95"/>
    <n v="131431.54"/>
    <x v="0"/>
  </r>
  <r>
    <x v="6"/>
    <x v="0"/>
    <x v="0"/>
    <x v="0"/>
    <x v="6"/>
    <x v="1"/>
    <x v="1"/>
    <n v="3"/>
    <n v="23283.93"/>
    <n v="63279.76"/>
    <x v="0"/>
  </r>
  <r>
    <x v="6"/>
    <x v="0"/>
    <x v="0"/>
    <x v="0"/>
    <x v="8"/>
    <x v="0"/>
    <x v="1"/>
    <n v="1"/>
    <n v="7407.09"/>
    <n v="32105.41"/>
    <x v="0"/>
  </r>
  <r>
    <x v="6"/>
    <x v="0"/>
    <x v="0"/>
    <x v="0"/>
    <x v="8"/>
    <x v="1"/>
    <x v="1"/>
    <n v="3"/>
    <n v="18184.89"/>
    <n v="49849.69"/>
    <x v="0"/>
  </r>
  <r>
    <x v="6"/>
    <x v="0"/>
    <x v="0"/>
    <x v="1"/>
    <x v="30"/>
    <x v="1"/>
    <x v="0"/>
    <n v="2"/>
    <n v="14618.34"/>
    <n v="44241.25"/>
    <x v="0"/>
  </r>
  <r>
    <x v="6"/>
    <x v="0"/>
    <x v="0"/>
    <x v="1"/>
    <x v="9"/>
    <x v="1"/>
    <x v="1"/>
    <n v="6"/>
    <n v="40384.080000000002"/>
    <n v="120106.34"/>
    <x v="0"/>
  </r>
  <r>
    <x v="6"/>
    <x v="0"/>
    <x v="0"/>
    <x v="1"/>
    <x v="31"/>
    <x v="1"/>
    <x v="0"/>
    <n v="7"/>
    <n v="41101.07"/>
    <n v="123991.65"/>
    <x v="0"/>
  </r>
  <r>
    <x v="6"/>
    <x v="0"/>
    <x v="0"/>
    <x v="1"/>
    <x v="10"/>
    <x v="0"/>
    <x v="0"/>
    <n v="3"/>
    <n v="18111.099999999999"/>
    <n v="78256.95"/>
    <x v="0"/>
  </r>
  <r>
    <x v="6"/>
    <x v="0"/>
    <x v="0"/>
    <x v="1"/>
    <x v="10"/>
    <x v="0"/>
    <x v="1"/>
    <n v="3"/>
    <n v="20179.23"/>
    <n v="87286.59"/>
    <x v="0"/>
  </r>
  <r>
    <x v="6"/>
    <x v="0"/>
    <x v="0"/>
    <x v="1"/>
    <x v="10"/>
    <x v="1"/>
    <x v="0"/>
    <n v="5"/>
    <n v="36355.620000000003"/>
    <n v="109479.45"/>
    <x v="0"/>
  </r>
  <r>
    <x v="6"/>
    <x v="0"/>
    <x v="0"/>
    <x v="1"/>
    <x v="10"/>
    <x v="1"/>
    <x v="1"/>
    <n v="24"/>
    <n v="162431.74"/>
    <n v="468211.78"/>
    <x v="0"/>
  </r>
  <r>
    <x v="6"/>
    <x v="0"/>
    <x v="0"/>
    <x v="1"/>
    <x v="11"/>
    <x v="0"/>
    <x v="1"/>
    <n v="12"/>
    <n v="76031.78"/>
    <n v="334096.95"/>
    <x v="0"/>
  </r>
  <r>
    <x v="6"/>
    <x v="0"/>
    <x v="0"/>
    <x v="1"/>
    <x v="11"/>
    <x v="1"/>
    <x v="0"/>
    <n v="11"/>
    <n v="76420.539999999994"/>
    <n v="211945.88"/>
    <x v="0"/>
  </r>
  <r>
    <x v="6"/>
    <x v="0"/>
    <x v="0"/>
    <x v="1"/>
    <x v="11"/>
    <x v="1"/>
    <x v="1"/>
    <n v="30"/>
    <n v="193722.15"/>
    <n v="539972.91"/>
    <x v="0"/>
  </r>
  <r>
    <x v="6"/>
    <x v="0"/>
    <x v="0"/>
    <x v="1"/>
    <x v="12"/>
    <x v="1"/>
    <x v="1"/>
    <n v="2"/>
    <n v="10660.3"/>
    <n v="31567.65"/>
    <x v="0"/>
  </r>
  <r>
    <x v="6"/>
    <x v="0"/>
    <x v="0"/>
    <x v="1"/>
    <x v="13"/>
    <x v="0"/>
    <x v="1"/>
    <n v="6"/>
    <n v="38078.620000000003"/>
    <n v="165543.54"/>
    <x v="0"/>
  </r>
  <r>
    <x v="6"/>
    <x v="0"/>
    <x v="0"/>
    <x v="1"/>
    <x v="13"/>
    <x v="1"/>
    <x v="1"/>
    <n v="4"/>
    <n v="27435.06"/>
    <n v="81305.95"/>
    <x v="0"/>
  </r>
  <r>
    <x v="6"/>
    <x v="0"/>
    <x v="0"/>
    <x v="1"/>
    <x v="14"/>
    <x v="0"/>
    <x v="1"/>
    <n v="2"/>
    <n v="14579.09"/>
    <n v="64210.82"/>
    <x v="0"/>
  </r>
  <r>
    <x v="6"/>
    <x v="0"/>
    <x v="0"/>
    <x v="1"/>
    <x v="14"/>
    <x v="1"/>
    <x v="0"/>
    <n v="19"/>
    <n v="125479.82"/>
    <n v="365259.25"/>
    <x v="0"/>
  </r>
  <r>
    <x v="6"/>
    <x v="0"/>
    <x v="0"/>
    <x v="1"/>
    <x v="14"/>
    <x v="1"/>
    <x v="1"/>
    <n v="10"/>
    <n v="68710.59"/>
    <n v="196368.74"/>
    <x v="0"/>
  </r>
  <r>
    <x v="6"/>
    <x v="0"/>
    <x v="0"/>
    <x v="1"/>
    <x v="15"/>
    <x v="1"/>
    <x v="1"/>
    <n v="2"/>
    <n v="10499.1"/>
    <n v="31890.71"/>
    <x v="0"/>
  </r>
  <r>
    <x v="6"/>
    <x v="0"/>
    <x v="0"/>
    <x v="1"/>
    <x v="16"/>
    <x v="0"/>
    <x v="1"/>
    <n v="1"/>
    <n v="7233.04"/>
    <n v="32105.41"/>
    <x v="0"/>
  </r>
  <r>
    <x v="6"/>
    <x v="0"/>
    <x v="0"/>
    <x v="1"/>
    <x v="16"/>
    <x v="1"/>
    <x v="0"/>
    <n v="7"/>
    <n v="46576.14"/>
    <n v="130674.4"/>
    <x v="0"/>
  </r>
  <r>
    <x v="6"/>
    <x v="0"/>
    <x v="0"/>
    <x v="1"/>
    <x v="16"/>
    <x v="1"/>
    <x v="1"/>
    <n v="11"/>
    <n v="77085.42"/>
    <n v="220495.96"/>
    <x v="0"/>
  </r>
  <r>
    <x v="6"/>
    <x v="0"/>
    <x v="0"/>
    <x v="1"/>
    <x v="17"/>
    <x v="0"/>
    <x v="1"/>
    <n v="2"/>
    <n v="10538.83"/>
    <n v="46151.54"/>
    <x v="0"/>
  </r>
  <r>
    <x v="6"/>
    <x v="0"/>
    <x v="0"/>
    <x v="1"/>
    <x v="17"/>
    <x v="1"/>
    <x v="0"/>
    <n v="14"/>
    <n v="85794.19"/>
    <n v="243158.39"/>
    <x v="0"/>
  </r>
  <r>
    <x v="6"/>
    <x v="0"/>
    <x v="0"/>
    <x v="1"/>
    <x v="17"/>
    <x v="1"/>
    <x v="1"/>
    <n v="5"/>
    <n v="25634.13"/>
    <n v="75279.179999999993"/>
    <x v="0"/>
  </r>
  <r>
    <x v="6"/>
    <x v="0"/>
    <x v="0"/>
    <x v="1"/>
    <x v="18"/>
    <x v="0"/>
    <x v="1"/>
    <n v="14"/>
    <n v="90123.75"/>
    <n v="393291.31"/>
    <x v="0"/>
  </r>
  <r>
    <x v="6"/>
    <x v="0"/>
    <x v="0"/>
    <x v="1"/>
    <x v="18"/>
    <x v="1"/>
    <x v="0"/>
    <n v="5"/>
    <n v="26961.9"/>
    <n v="77895.990000000005"/>
    <x v="0"/>
  </r>
  <r>
    <x v="6"/>
    <x v="0"/>
    <x v="0"/>
    <x v="1"/>
    <x v="18"/>
    <x v="1"/>
    <x v="1"/>
    <n v="28"/>
    <n v="189098.53"/>
    <n v="568290.88"/>
    <x v="0"/>
  </r>
  <r>
    <x v="6"/>
    <x v="0"/>
    <x v="0"/>
    <x v="1"/>
    <x v="19"/>
    <x v="0"/>
    <x v="1"/>
    <n v="1"/>
    <n v="7366.38"/>
    <n v="32105.41"/>
    <x v="0"/>
  </r>
  <r>
    <x v="6"/>
    <x v="0"/>
    <x v="0"/>
    <x v="1"/>
    <x v="19"/>
    <x v="1"/>
    <x v="0"/>
    <n v="6"/>
    <n v="41386.699999999997"/>
    <n v="123307.84"/>
    <x v="0"/>
  </r>
  <r>
    <x v="6"/>
    <x v="0"/>
    <x v="0"/>
    <x v="1"/>
    <x v="19"/>
    <x v="1"/>
    <x v="1"/>
    <n v="9"/>
    <n v="54228.68"/>
    <n v="157496.32000000001"/>
    <x v="0"/>
  </r>
  <r>
    <x v="6"/>
    <x v="0"/>
    <x v="0"/>
    <x v="1"/>
    <x v="20"/>
    <x v="0"/>
    <x v="0"/>
    <n v="4"/>
    <n v="24981.89"/>
    <n v="108355.77"/>
    <x v="0"/>
  </r>
  <r>
    <x v="6"/>
    <x v="0"/>
    <x v="0"/>
    <x v="1"/>
    <x v="20"/>
    <x v="0"/>
    <x v="1"/>
    <n v="21"/>
    <n v="134123.45000000001"/>
    <n v="584920.49"/>
    <x v="0"/>
  </r>
  <r>
    <x v="6"/>
    <x v="0"/>
    <x v="0"/>
    <x v="1"/>
    <x v="20"/>
    <x v="1"/>
    <x v="0"/>
    <n v="4"/>
    <n v="28565.02"/>
    <n v="85143.55"/>
    <x v="0"/>
  </r>
  <r>
    <x v="6"/>
    <x v="0"/>
    <x v="0"/>
    <x v="1"/>
    <x v="20"/>
    <x v="1"/>
    <x v="1"/>
    <n v="26"/>
    <n v="165454.97"/>
    <n v="472016.92"/>
    <x v="0"/>
  </r>
  <r>
    <x v="6"/>
    <x v="0"/>
    <x v="0"/>
    <x v="2"/>
    <x v="21"/>
    <x v="0"/>
    <x v="0"/>
    <n v="1"/>
    <n v="7480.44"/>
    <n v="32105.41"/>
    <x v="0"/>
  </r>
  <r>
    <x v="6"/>
    <x v="0"/>
    <x v="0"/>
    <x v="2"/>
    <x v="22"/>
    <x v="0"/>
    <x v="1"/>
    <n v="1"/>
    <n v="5408.73"/>
    <n v="23075.77"/>
    <x v="0"/>
  </r>
  <r>
    <x v="6"/>
    <x v="0"/>
    <x v="0"/>
    <x v="2"/>
    <x v="22"/>
    <x v="1"/>
    <x v="0"/>
    <n v="7"/>
    <n v="44889.27"/>
    <n v="120368.21"/>
    <x v="0"/>
  </r>
  <r>
    <x v="6"/>
    <x v="0"/>
    <x v="0"/>
    <x v="2"/>
    <x v="22"/>
    <x v="1"/>
    <x v="1"/>
    <n v="11"/>
    <n v="78998.850000000006"/>
    <n v="208544.33"/>
    <x v="0"/>
  </r>
  <r>
    <x v="6"/>
    <x v="0"/>
    <x v="0"/>
    <x v="2"/>
    <x v="29"/>
    <x v="0"/>
    <x v="1"/>
    <n v="2"/>
    <n v="10721.85"/>
    <n v="46151.54"/>
    <x v="0"/>
  </r>
  <r>
    <x v="6"/>
    <x v="0"/>
    <x v="0"/>
    <x v="2"/>
    <x v="23"/>
    <x v="1"/>
    <x v="1"/>
    <n v="1"/>
    <n v="7326.73"/>
    <n v="20354.830000000002"/>
    <x v="0"/>
  </r>
  <r>
    <x v="6"/>
    <x v="0"/>
    <x v="0"/>
    <x v="2"/>
    <x v="24"/>
    <x v="0"/>
    <x v="1"/>
    <n v="1"/>
    <n v="7292.21"/>
    <n v="32105.41"/>
    <x v="0"/>
  </r>
  <r>
    <x v="6"/>
    <x v="0"/>
    <x v="0"/>
    <x v="3"/>
    <x v="25"/>
    <x v="0"/>
    <x v="1"/>
    <n v="1"/>
    <n v="7546.2"/>
    <n v="32105.41"/>
    <x v="0"/>
  </r>
  <r>
    <x v="6"/>
    <x v="0"/>
    <x v="0"/>
    <x v="3"/>
    <x v="25"/>
    <x v="1"/>
    <x v="0"/>
    <n v="11"/>
    <n v="69508.990000000005"/>
    <n v="208238.73"/>
    <x v="0"/>
  </r>
  <r>
    <x v="6"/>
    <x v="0"/>
    <x v="0"/>
    <x v="3"/>
    <x v="25"/>
    <x v="1"/>
    <x v="1"/>
    <n v="11"/>
    <n v="70071.47"/>
    <n v="207291.68"/>
    <x v="0"/>
  </r>
  <r>
    <x v="6"/>
    <x v="0"/>
    <x v="0"/>
    <x v="3"/>
    <x v="26"/>
    <x v="0"/>
    <x v="0"/>
    <n v="2"/>
    <n v="9372.68"/>
    <n v="42138.36"/>
    <x v="0"/>
  </r>
  <r>
    <x v="6"/>
    <x v="0"/>
    <x v="0"/>
    <x v="3"/>
    <x v="26"/>
    <x v="0"/>
    <x v="1"/>
    <n v="4"/>
    <n v="29652.21"/>
    <n v="128421.64"/>
    <x v="0"/>
  </r>
  <r>
    <x v="6"/>
    <x v="0"/>
    <x v="0"/>
    <x v="3"/>
    <x v="26"/>
    <x v="1"/>
    <x v="0"/>
    <n v="10"/>
    <n v="57873.45"/>
    <n v="171683.72"/>
    <x v="0"/>
  </r>
  <r>
    <x v="6"/>
    <x v="0"/>
    <x v="0"/>
    <x v="3"/>
    <x v="26"/>
    <x v="1"/>
    <x v="1"/>
    <n v="8"/>
    <n v="53891.43"/>
    <n v="163246.76999999999"/>
    <x v="0"/>
  </r>
  <r>
    <x v="6"/>
    <x v="0"/>
    <x v="0"/>
    <x v="3"/>
    <x v="27"/>
    <x v="0"/>
    <x v="0"/>
    <n v="4"/>
    <n v="25738.38"/>
    <n v="110362.36"/>
    <x v="0"/>
  </r>
  <r>
    <x v="6"/>
    <x v="0"/>
    <x v="0"/>
    <x v="3"/>
    <x v="27"/>
    <x v="0"/>
    <x v="1"/>
    <n v="9"/>
    <n v="57441.42"/>
    <n v="243800.49"/>
    <x v="0"/>
  </r>
  <r>
    <x v="6"/>
    <x v="0"/>
    <x v="0"/>
    <x v="3"/>
    <x v="27"/>
    <x v="1"/>
    <x v="0"/>
    <n v="23"/>
    <n v="150982.97"/>
    <n v="446933.42"/>
    <x v="0"/>
  </r>
  <r>
    <x v="6"/>
    <x v="0"/>
    <x v="0"/>
    <x v="3"/>
    <x v="27"/>
    <x v="1"/>
    <x v="1"/>
    <n v="36"/>
    <n v="224119.69"/>
    <n v="661570.16"/>
    <x v="0"/>
  </r>
  <r>
    <x v="6"/>
    <x v="0"/>
    <x v="1"/>
    <x v="0"/>
    <x v="0"/>
    <x v="0"/>
    <x v="1"/>
    <n v="1"/>
    <n v="3233.18"/>
    <n v="11175.26"/>
    <x v="0"/>
  </r>
  <r>
    <x v="6"/>
    <x v="0"/>
    <x v="1"/>
    <x v="0"/>
    <x v="0"/>
    <x v="1"/>
    <x v="0"/>
    <n v="2"/>
    <n v="3883.8"/>
    <n v="8779.2900000000009"/>
    <x v="0"/>
  </r>
  <r>
    <x v="6"/>
    <x v="0"/>
    <x v="1"/>
    <x v="0"/>
    <x v="0"/>
    <x v="1"/>
    <x v="1"/>
    <n v="11"/>
    <n v="28942.97"/>
    <n v="67175.16"/>
    <x v="0"/>
  </r>
  <r>
    <x v="6"/>
    <x v="0"/>
    <x v="1"/>
    <x v="0"/>
    <x v="1"/>
    <x v="0"/>
    <x v="0"/>
    <n v="1"/>
    <n v="3111.48"/>
    <n v="11175.26"/>
    <x v="0"/>
  </r>
  <r>
    <x v="6"/>
    <x v="0"/>
    <x v="1"/>
    <x v="0"/>
    <x v="1"/>
    <x v="0"/>
    <x v="1"/>
    <n v="1"/>
    <n v="2030.96"/>
    <n v="7333.76"/>
    <x v="0"/>
  </r>
  <r>
    <x v="6"/>
    <x v="0"/>
    <x v="1"/>
    <x v="0"/>
    <x v="1"/>
    <x v="1"/>
    <x v="0"/>
    <n v="2"/>
    <n v="6578.98"/>
    <n v="14371.38"/>
    <x v="0"/>
  </r>
  <r>
    <x v="6"/>
    <x v="0"/>
    <x v="1"/>
    <x v="0"/>
    <x v="1"/>
    <x v="1"/>
    <x v="1"/>
    <n v="9"/>
    <n v="24696.54"/>
    <n v="54790.879999999997"/>
    <x v="0"/>
  </r>
  <r>
    <x v="6"/>
    <x v="0"/>
    <x v="1"/>
    <x v="0"/>
    <x v="2"/>
    <x v="0"/>
    <x v="1"/>
    <n v="1"/>
    <n v="3057.69"/>
    <n v="11175.26"/>
    <x v="0"/>
  </r>
  <r>
    <x v="6"/>
    <x v="0"/>
    <x v="1"/>
    <x v="0"/>
    <x v="2"/>
    <x v="1"/>
    <x v="1"/>
    <n v="8"/>
    <n v="23303.57"/>
    <n v="48969"/>
    <x v="0"/>
  </r>
  <r>
    <x v="6"/>
    <x v="0"/>
    <x v="1"/>
    <x v="0"/>
    <x v="3"/>
    <x v="0"/>
    <x v="0"/>
    <n v="1"/>
    <n v="2203.21"/>
    <n v="7333.76"/>
    <x v="0"/>
  </r>
  <r>
    <x v="6"/>
    <x v="0"/>
    <x v="1"/>
    <x v="0"/>
    <x v="3"/>
    <x v="0"/>
    <x v="1"/>
    <n v="2"/>
    <n v="5297.13"/>
    <n v="18509.02"/>
    <x v="0"/>
  </r>
  <r>
    <x v="6"/>
    <x v="0"/>
    <x v="1"/>
    <x v="0"/>
    <x v="3"/>
    <x v="1"/>
    <x v="0"/>
    <n v="7"/>
    <n v="14655.55"/>
    <n v="33163.26"/>
    <x v="0"/>
  </r>
  <r>
    <x v="6"/>
    <x v="0"/>
    <x v="1"/>
    <x v="0"/>
    <x v="3"/>
    <x v="1"/>
    <x v="1"/>
    <n v="26"/>
    <n v="76343.45"/>
    <n v="168579.8"/>
    <x v="0"/>
  </r>
  <r>
    <x v="6"/>
    <x v="0"/>
    <x v="1"/>
    <x v="0"/>
    <x v="4"/>
    <x v="1"/>
    <x v="0"/>
    <n v="3"/>
    <n v="6541.62"/>
    <n v="14080.82"/>
    <x v="0"/>
  </r>
  <r>
    <x v="6"/>
    <x v="0"/>
    <x v="1"/>
    <x v="0"/>
    <x v="4"/>
    <x v="1"/>
    <x v="1"/>
    <n v="6"/>
    <n v="13334.85"/>
    <n v="30620.2"/>
    <x v="0"/>
  </r>
  <r>
    <x v="6"/>
    <x v="0"/>
    <x v="1"/>
    <x v="0"/>
    <x v="5"/>
    <x v="0"/>
    <x v="1"/>
    <n v="3"/>
    <n v="9696.86"/>
    <n v="33525.78"/>
    <x v="0"/>
  </r>
  <r>
    <x v="6"/>
    <x v="0"/>
    <x v="1"/>
    <x v="0"/>
    <x v="5"/>
    <x v="1"/>
    <x v="0"/>
    <n v="2"/>
    <n v="4149.3599999999997"/>
    <n v="9102.68"/>
    <x v="0"/>
  </r>
  <r>
    <x v="6"/>
    <x v="0"/>
    <x v="1"/>
    <x v="0"/>
    <x v="5"/>
    <x v="1"/>
    <x v="1"/>
    <n v="10"/>
    <n v="23922.11"/>
    <n v="55924.13"/>
    <x v="0"/>
  </r>
  <r>
    <x v="6"/>
    <x v="0"/>
    <x v="1"/>
    <x v="0"/>
    <x v="6"/>
    <x v="1"/>
    <x v="1"/>
    <n v="2"/>
    <n v="6253.86"/>
    <n v="14684.29"/>
    <x v="0"/>
  </r>
  <r>
    <x v="6"/>
    <x v="0"/>
    <x v="1"/>
    <x v="0"/>
    <x v="7"/>
    <x v="1"/>
    <x v="1"/>
    <n v="3"/>
    <n v="9368.07"/>
    <n v="22395.22"/>
    <x v="0"/>
  </r>
  <r>
    <x v="6"/>
    <x v="0"/>
    <x v="1"/>
    <x v="0"/>
    <x v="8"/>
    <x v="1"/>
    <x v="1"/>
    <n v="5"/>
    <n v="12318.34"/>
    <n v="28252.1"/>
    <x v="0"/>
  </r>
  <r>
    <x v="6"/>
    <x v="0"/>
    <x v="1"/>
    <x v="1"/>
    <x v="9"/>
    <x v="1"/>
    <x v="1"/>
    <n v="1"/>
    <n v="3122.23"/>
    <n v="7688.58"/>
    <x v="0"/>
  </r>
  <r>
    <x v="6"/>
    <x v="0"/>
    <x v="1"/>
    <x v="1"/>
    <x v="31"/>
    <x v="1"/>
    <x v="0"/>
    <n v="5"/>
    <n v="10389.5"/>
    <n v="25484.82"/>
    <x v="0"/>
  </r>
  <r>
    <x v="6"/>
    <x v="0"/>
    <x v="1"/>
    <x v="1"/>
    <x v="10"/>
    <x v="0"/>
    <x v="1"/>
    <n v="2"/>
    <n v="5472.47"/>
    <n v="18509.02"/>
    <x v="0"/>
  </r>
  <r>
    <x v="6"/>
    <x v="0"/>
    <x v="1"/>
    <x v="1"/>
    <x v="10"/>
    <x v="1"/>
    <x v="0"/>
    <n v="4"/>
    <n v="9369.56"/>
    <n v="22451.9"/>
    <x v="0"/>
  </r>
  <r>
    <x v="6"/>
    <x v="0"/>
    <x v="1"/>
    <x v="1"/>
    <x v="10"/>
    <x v="1"/>
    <x v="1"/>
    <n v="14"/>
    <n v="36648.400000000001"/>
    <n v="86348.38"/>
    <x v="0"/>
  </r>
  <r>
    <x v="6"/>
    <x v="0"/>
    <x v="1"/>
    <x v="1"/>
    <x v="11"/>
    <x v="0"/>
    <x v="1"/>
    <n v="6"/>
    <n v="17136.09"/>
    <n v="59019.34"/>
    <x v="0"/>
  </r>
  <r>
    <x v="6"/>
    <x v="0"/>
    <x v="1"/>
    <x v="1"/>
    <x v="11"/>
    <x v="1"/>
    <x v="0"/>
    <n v="9"/>
    <n v="23463.99"/>
    <n v="52890.400000000001"/>
    <x v="0"/>
  </r>
  <r>
    <x v="6"/>
    <x v="0"/>
    <x v="1"/>
    <x v="1"/>
    <x v="11"/>
    <x v="1"/>
    <x v="1"/>
    <n v="16"/>
    <n v="45788.92"/>
    <n v="103457.64"/>
    <x v="0"/>
  </r>
  <r>
    <x v="6"/>
    <x v="0"/>
    <x v="1"/>
    <x v="1"/>
    <x v="12"/>
    <x v="1"/>
    <x v="0"/>
    <n v="5"/>
    <n v="15995.1"/>
    <n v="38219.39"/>
    <x v="0"/>
  </r>
  <r>
    <x v="6"/>
    <x v="0"/>
    <x v="1"/>
    <x v="1"/>
    <x v="12"/>
    <x v="1"/>
    <x v="1"/>
    <n v="1"/>
    <n v="2061.75"/>
    <n v="5016.29"/>
    <x v="0"/>
  </r>
  <r>
    <x v="6"/>
    <x v="0"/>
    <x v="1"/>
    <x v="1"/>
    <x v="13"/>
    <x v="0"/>
    <x v="1"/>
    <n v="3"/>
    <n v="7132.04"/>
    <n v="25493.56"/>
    <x v="0"/>
  </r>
  <r>
    <x v="6"/>
    <x v="0"/>
    <x v="1"/>
    <x v="1"/>
    <x v="13"/>
    <x v="1"/>
    <x v="0"/>
    <n v="3"/>
    <n v="9381.09"/>
    <n v="22831.06"/>
    <x v="0"/>
  </r>
  <r>
    <x v="6"/>
    <x v="0"/>
    <x v="1"/>
    <x v="1"/>
    <x v="14"/>
    <x v="0"/>
    <x v="1"/>
    <n v="1"/>
    <n v="3269.52"/>
    <n v="11175.26"/>
    <x v="0"/>
  </r>
  <r>
    <x v="6"/>
    <x v="0"/>
    <x v="1"/>
    <x v="1"/>
    <x v="14"/>
    <x v="1"/>
    <x v="0"/>
    <n v="10"/>
    <n v="26110.13"/>
    <n v="61353.58"/>
    <x v="0"/>
  </r>
  <r>
    <x v="6"/>
    <x v="0"/>
    <x v="1"/>
    <x v="1"/>
    <x v="14"/>
    <x v="1"/>
    <x v="1"/>
    <n v="11"/>
    <n v="29226.44"/>
    <n v="69285.2"/>
    <x v="0"/>
  </r>
  <r>
    <x v="6"/>
    <x v="0"/>
    <x v="1"/>
    <x v="1"/>
    <x v="15"/>
    <x v="1"/>
    <x v="0"/>
    <n v="3"/>
    <n v="8394.84"/>
    <n v="20511.84"/>
    <x v="0"/>
  </r>
  <r>
    <x v="6"/>
    <x v="0"/>
    <x v="1"/>
    <x v="1"/>
    <x v="16"/>
    <x v="1"/>
    <x v="0"/>
    <n v="4"/>
    <n v="12624.71"/>
    <n v="29413.279999999999"/>
    <x v="0"/>
  </r>
  <r>
    <x v="6"/>
    <x v="0"/>
    <x v="1"/>
    <x v="1"/>
    <x v="16"/>
    <x v="1"/>
    <x v="1"/>
    <n v="9"/>
    <n v="28250.400000000001"/>
    <n v="63652.18"/>
    <x v="0"/>
  </r>
  <r>
    <x v="6"/>
    <x v="0"/>
    <x v="1"/>
    <x v="1"/>
    <x v="17"/>
    <x v="0"/>
    <x v="1"/>
    <n v="2"/>
    <n v="4086.73"/>
    <n v="14318.3"/>
    <x v="0"/>
  </r>
  <r>
    <x v="6"/>
    <x v="0"/>
    <x v="1"/>
    <x v="1"/>
    <x v="17"/>
    <x v="1"/>
    <x v="1"/>
    <n v="2"/>
    <n v="4334.8999999999996"/>
    <n v="9739.24"/>
    <x v="0"/>
  </r>
  <r>
    <x v="6"/>
    <x v="0"/>
    <x v="1"/>
    <x v="1"/>
    <x v="18"/>
    <x v="0"/>
    <x v="1"/>
    <n v="8"/>
    <n v="20162.03"/>
    <n v="69845.36"/>
    <x v="0"/>
  </r>
  <r>
    <x v="6"/>
    <x v="0"/>
    <x v="1"/>
    <x v="1"/>
    <x v="18"/>
    <x v="1"/>
    <x v="0"/>
    <n v="5"/>
    <n v="10818.05"/>
    <n v="25484.82"/>
    <x v="0"/>
  </r>
  <r>
    <x v="6"/>
    <x v="0"/>
    <x v="1"/>
    <x v="1"/>
    <x v="18"/>
    <x v="1"/>
    <x v="1"/>
    <n v="6"/>
    <n v="17289"/>
    <n v="40238.26"/>
    <x v="0"/>
  </r>
  <r>
    <x v="6"/>
    <x v="0"/>
    <x v="1"/>
    <x v="1"/>
    <x v="19"/>
    <x v="0"/>
    <x v="1"/>
    <n v="1"/>
    <n v="3131.92"/>
    <n v="11175.26"/>
    <x v="0"/>
  </r>
  <r>
    <x v="6"/>
    <x v="0"/>
    <x v="1"/>
    <x v="1"/>
    <x v="19"/>
    <x v="1"/>
    <x v="0"/>
    <n v="4"/>
    <n v="12544.23"/>
    <n v="30128.51"/>
    <x v="0"/>
  </r>
  <r>
    <x v="6"/>
    <x v="0"/>
    <x v="1"/>
    <x v="1"/>
    <x v="19"/>
    <x v="1"/>
    <x v="1"/>
    <n v="9"/>
    <n v="24899.02"/>
    <n v="57197.07"/>
    <x v="0"/>
  </r>
  <r>
    <x v="6"/>
    <x v="0"/>
    <x v="1"/>
    <x v="1"/>
    <x v="20"/>
    <x v="0"/>
    <x v="1"/>
    <n v="9"/>
    <n v="22963.87"/>
    <n v="80322.179999999993"/>
    <x v="0"/>
  </r>
  <r>
    <x v="6"/>
    <x v="0"/>
    <x v="1"/>
    <x v="1"/>
    <x v="20"/>
    <x v="1"/>
    <x v="0"/>
    <n v="4"/>
    <n v="9752.75"/>
    <n v="21996.05"/>
    <x v="0"/>
  </r>
  <r>
    <x v="6"/>
    <x v="0"/>
    <x v="1"/>
    <x v="1"/>
    <x v="20"/>
    <x v="1"/>
    <x v="1"/>
    <n v="11"/>
    <n v="28555.97"/>
    <n v="64251.73"/>
    <x v="0"/>
  </r>
  <r>
    <x v="6"/>
    <x v="0"/>
    <x v="1"/>
    <x v="2"/>
    <x v="21"/>
    <x v="0"/>
    <x v="0"/>
    <n v="1"/>
    <n v="2163.13"/>
    <n v="7333.76"/>
    <x v="0"/>
  </r>
  <r>
    <x v="6"/>
    <x v="0"/>
    <x v="1"/>
    <x v="2"/>
    <x v="21"/>
    <x v="1"/>
    <x v="1"/>
    <n v="5"/>
    <n v="9899.6"/>
    <n v="21267.919999999998"/>
    <x v="0"/>
  </r>
  <r>
    <x v="6"/>
    <x v="0"/>
    <x v="1"/>
    <x v="2"/>
    <x v="22"/>
    <x v="1"/>
    <x v="1"/>
    <n v="13"/>
    <n v="26126.51"/>
    <n v="56998"/>
    <x v="0"/>
  </r>
  <r>
    <x v="6"/>
    <x v="0"/>
    <x v="1"/>
    <x v="2"/>
    <x v="29"/>
    <x v="0"/>
    <x v="1"/>
    <n v="1"/>
    <n v="2200.6"/>
    <n v="7333.76"/>
    <x v="0"/>
  </r>
  <r>
    <x v="6"/>
    <x v="0"/>
    <x v="1"/>
    <x v="2"/>
    <x v="23"/>
    <x v="1"/>
    <x v="1"/>
    <n v="5"/>
    <n v="16500"/>
    <n v="35425.57"/>
    <x v="0"/>
  </r>
  <r>
    <x v="6"/>
    <x v="0"/>
    <x v="1"/>
    <x v="2"/>
    <x v="24"/>
    <x v="0"/>
    <x v="1"/>
    <n v="2"/>
    <n v="4136.1499999999996"/>
    <n v="14318.3"/>
    <x v="0"/>
  </r>
  <r>
    <x v="6"/>
    <x v="0"/>
    <x v="1"/>
    <x v="2"/>
    <x v="24"/>
    <x v="1"/>
    <x v="1"/>
    <n v="2"/>
    <n v="6695.1"/>
    <n v="13857.32"/>
    <x v="0"/>
  </r>
  <r>
    <x v="6"/>
    <x v="0"/>
    <x v="1"/>
    <x v="3"/>
    <x v="25"/>
    <x v="1"/>
    <x v="0"/>
    <n v="3"/>
    <n v="9643.17"/>
    <n v="22965.16"/>
    <x v="0"/>
  </r>
  <r>
    <x v="6"/>
    <x v="0"/>
    <x v="1"/>
    <x v="3"/>
    <x v="25"/>
    <x v="1"/>
    <x v="1"/>
    <n v="2"/>
    <n v="6147.56"/>
    <n v="15310.11"/>
    <x v="0"/>
  </r>
  <r>
    <x v="6"/>
    <x v="0"/>
    <x v="1"/>
    <x v="3"/>
    <x v="26"/>
    <x v="0"/>
    <x v="0"/>
    <n v="4"/>
    <n v="10733.73"/>
    <n v="37018.04"/>
    <x v="0"/>
  </r>
  <r>
    <x v="6"/>
    <x v="0"/>
    <x v="1"/>
    <x v="3"/>
    <x v="26"/>
    <x v="1"/>
    <x v="0"/>
    <n v="2"/>
    <n v="6148.32"/>
    <n v="15421.86"/>
    <x v="0"/>
  </r>
  <r>
    <x v="6"/>
    <x v="0"/>
    <x v="1"/>
    <x v="3"/>
    <x v="26"/>
    <x v="1"/>
    <x v="1"/>
    <n v="6"/>
    <n v="17450.5"/>
    <n v="40769.879999999997"/>
    <x v="0"/>
  </r>
  <r>
    <x v="6"/>
    <x v="0"/>
    <x v="1"/>
    <x v="3"/>
    <x v="27"/>
    <x v="0"/>
    <x v="0"/>
    <n v="1"/>
    <n v="3323.08"/>
    <n v="11175.26"/>
    <x v="0"/>
  </r>
  <r>
    <x v="6"/>
    <x v="0"/>
    <x v="1"/>
    <x v="3"/>
    <x v="27"/>
    <x v="0"/>
    <x v="1"/>
    <n v="5"/>
    <n v="12310.92"/>
    <n v="43653.36"/>
    <x v="0"/>
  </r>
  <r>
    <x v="6"/>
    <x v="0"/>
    <x v="1"/>
    <x v="3"/>
    <x v="27"/>
    <x v="1"/>
    <x v="0"/>
    <n v="13"/>
    <n v="41824.31"/>
    <n v="98353.46"/>
    <x v="0"/>
  </r>
  <r>
    <x v="6"/>
    <x v="0"/>
    <x v="1"/>
    <x v="3"/>
    <x v="27"/>
    <x v="1"/>
    <x v="1"/>
    <n v="22"/>
    <n v="65115.37"/>
    <n v="153189.73000000001"/>
    <x v="0"/>
  </r>
  <r>
    <x v="6"/>
    <x v="0"/>
    <x v="2"/>
    <x v="0"/>
    <x v="0"/>
    <x v="0"/>
    <x v="0"/>
    <n v="1"/>
    <n v="4523.3100000000004"/>
    <n v="19953.169999999998"/>
    <x v="0"/>
  </r>
  <r>
    <x v="6"/>
    <x v="0"/>
    <x v="2"/>
    <x v="0"/>
    <x v="0"/>
    <x v="0"/>
    <x v="1"/>
    <n v="3"/>
    <n v="13656.12"/>
    <n v="57009.06"/>
    <x v="0"/>
  </r>
  <r>
    <x v="6"/>
    <x v="0"/>
    <x v="2"/>
    <x v="0"/>
    <x v="0"/>
    <x v="1"/>
    <x v="0"/>
    <n v="1"/>
    <n v="5326.05"/>
    <n v="14292.17"/>
    <x v="0"/>
  </r>
  <r>
    <x v="6"/>
    <x v="0"/>
    <x v="2"/>
    <x v="0"/>
    <x v="0"/>
    <x v="1"/>
    <x v="1"/>
    <n v="7"/>
    <n v="34964.67"/>
    <n v="100045.19"/>
    <x v="0"/>
  </r>
  <r>
    <x v="6"/>
    <x v="0"/>
    <x v="2"/>
    <x v="0"/>
    <x v="1"/>
    <x v="0"/>
    <x v="0"/>
    <n v="2"/>
    <n v="8955.9"/>
    <n v="38006.04"/>
    <x v="0"/>
  </r>
  <r>
    <x v="6"/>
    <x v="0"/>
    <x v="2"/>
    <x v="0"/>
    <x v="1"/>
    <x v="0"/>
    <x v="1"/>
    <n v="3"/>
    <n v="13439"/>
    <n v="57959.21"/>
    <x v="0"/>
  </r>
  <r>
    <x v="6"/>
    <x v="0"/>
    <x v="2"/>
    <x v="0"/>
    <x v="1"/>
    <x v="1"/>
    <x v="0"/>
    <n v="12"/>
    <n v="58957.440000000002"/>
    <n v="162728.34"/>
    <x v="0"/>
  </r>
  <r>
    <x v="6"/>
    <x v="0"/>
    <x v="2"/>
    <x v="0"/>
    <x v="1"/>
    <x v="1"/>
    <x v="1"/>
    <n v="16"/>
    <n v="90908.71"/>
    <n v="249266.39"/>
    <x v="0"/>
  </r>
  <r>
    <x v="6"/>
    <x v="0"/>
    <x v="2"/>
    <x v="0"/>
    <x v="2"/>
    <x v="0"/>
    <x v="1"/>
    <n v="9"/>
    <n v="46548.71"/>
    <n v="199531.7"/>
    <x v="0"/>
  </r>
  <r>
    <x v="6"/>
    <x v="0"/>
    <x v="2"/>
    <x v="0"/>
    <x v="2"/>
    <x v="1"/>
    <x v="0"/>
    <n v="1"/>
    <n v="4488.71"/>
    <n v="12390.92"/>
    <x v="0"/>
  </r>
  <r>
    <x v="6"/>
    <x v="0"/>
    <x v="2"/>
    <x v="0"/>
    <x v="2"/>
    <x v="1"/>
    <x v="1"/>
    <n v="16"/>
    <n v="93831.62"/>
    <n v="246638.27"/>
    <x v="0"/>
  </r>
  <r>
    <x v="6"/>
    <x v="0"/>
    <x v="2"/>
    <x v="0"/>
    <x v="3"/>
    <x v="0"/>
    <x v="0"/>
    <n v="1"/>
    <n v="4469.63"/>
    <n v="19953.169999999998"/>
    <x v="0"/>
  </r>
  <r>
    <x v="6"/>
    <x v="0"/>
    <x v="2"/>
    <x v="0"/>
    <x v="3"/>
    <x v="0"/>
    <x v="1"/>
    <n v="8"/>
    <n v="44813.34"/>
    <n v="191930.49"/>
    <x v="0"/>
  </r>
  <r>
    <x v="6"/>
    <x v="0"/>
    <x v="2"/>
    <x v="0"/>
    <x v="3"/>
    <x v="1"/>
    <x v="0"/>
    <n v="9"/>
    <n v="45276.45"/>
    <n v="123269.99"/>
    <x v="0"/>
  </r>
  <r>
    <x v="6"/>
    <x v="0"/>
    <x v="2"/>
    <x v="0"/>
    <x v="3"/>
    <x v="1"/>
    <x v="1"/>
    <n v="42"/>
    <n v="211833.1"/>
    <n v="584360.35"/>
    <x v="0"/>
  </r>
  <r>
    <x v="6"/>
    <x v="0"/>
    <x v="2"/>
    <x v="0"/>
    <x v="28"/>
    <x v="1"/>
    <x v="1"/>
    <n v="1"/>
    <n v="5222.79"/>
    <n v="13922.36"/>
    <x v="0"/>
  </r>
  <r>
    <x v="6"/>
    <x v="0"/>
    <x v="2"/>
    <x v="0"/>
    <x v="4"/>
    <x v="0"/>
    <x v="1"/>
    <n v="1"/>
    <n v="5030.6899999999996"/>
    <n v="21853.47"/>
    <x v="0"/>
  </r>
  <r>
    <x v="6"/>
    <x v="0"/>
    <x v="2"/>
    <x v="0"/>
    <x v="4"/>
    <x v="1"/>
    <x v="0"/>
    <n v="7"/>
    <n v="45902.19"/>
    <n v="125267.89"/>
    <x v="0"/>
  </r>
  <r>
    <x v="6"/>
    <x v="0"/>
    <x v="2"/>
    <x v="0"/>
    <x v="4"/>
    <x v="1"/>
    <x v="1"/>
    <n v="5"/>
    <n v="22560.77"/>
    <n v="60549.7"/>
    <x v="0"/>
  </r>
  <r>
    <x v="6"/>
    <x v="0"/>
    <x v="2"/>
    <x v="0"/>
    <x v="5"/>
    <x v="0"/>
    <x v="1"/>
    <n v="5"/>
    <n v="30403.279999999999"/>
    <n v="129220.53"/>
    <x v="0"/>
  </r>
  <r>
    <x v="6"/>
    <x v="0"/>
    <x v="2"/>
    <x v="0"/>
    <x v="5"/>
    <x v="1"/>
    <x v="0"/>
    <n v="1"/>
    <n v="5306.09"/>
    <n v="13763.73"/>
    <x v="0"/>
  </r>
  <r>
    <x v="6"/>
    <x v="0"/>
    <x v="2"/>
    <x v="0"/>
    <x v="5"/>
    <x v="1"/>
    <x v="1"/>
    <n v="18"/>
    <n v="90315.1"/>
    <n v="254928.56"/>
    <x v="0"/>
  </r>
  <r>
    <x v="6"/>
    <x v="0"/>
    <x v="2"/>
    <x v="0"/>
    <x v="6"/>
    <x v="0"/>
    <x v="1"/>
    <n v="1"/>
    <n v="4493.22"/>
    <n v="19003.02"/>
    <x v="0"/>
  </r>
  <r>
    <x v="6"/>
    <x v="0"/>
    <x v="2"/>
    <x v="0"/>
    <x v="6"/>
    <x v="1"/>
    <x v="1"/>
    <n v="4"/>
    <n v="23242.34"/>
    <n v="66170.42"/>
    <x v="0"/>
  </r>
  <r>
    <x v="6"/>
    <x v="0"/>
    <x v="2"/>
    <x v="0"/>
    <x v="7"/>
    <x v="1"/>
    <x v="1"/>
    <n v="2"/>
    <n v="12245.56"/>
    <n v="34908.550000000003"/>
    <x v="0"/>
  </r>
  <r>
    <x v="6"/>
    <x v="0"/>
    <x v="2"/>
    <x v="0"/>
    <x v="8"/>
    <x v="0"/>
    <x v="1"/>
    <n v="1"/>
    <n v="7091.32"/>
    <n v="30404.83"/>
    <x v="0"/>
  </r>
  <r>
    <x v="6"/>
    <x v="0"/>
    <x v="2"/>
    <x v="0"/>
    <x v="8"/>
    <x v="1"/>
    <x v="1"/>
    <n v="10"/>
    <n v="61891.96"/>
    <n v="171889.9"/>
    <x v="0"/>
  </r>
  <r>
    <x v="6"/>
    <x v="0"/>
    <x v="2"/>
    <x v="1"/>
    <x v="30"/>
    <x v="1"/>
    <x v="0"/>
    <n v="1"/>
    <n v="6798.67"/>
    <n v="20948.93"/>
    <x v="0"/>
  </r>
  <r>
    <x v="6"/>
    <x v="0"/>
    <x v="2"/>
    <x v="1"/>
    <x v="9"/>
    <x v="1"/>
    <x v="1"/>
    <n v="3"/>
    <n v="15236.75"/>
    <n v="43798.15"/>
    <x v="0"/>
  </r>
  <r>
    <x v="6"/>
    <x v="0"/>
    <x v="2"/>
    <x v="1"/>
    <x v="31"/>
    <x v="1"/>
    <x v="0"/>
    <n v="5"/>
    <n v="24663.05"/>
    <n v="75940.81"/>
    <x v="0"/>
  </r>
  <r>
    <x v="6"/>
    <x v="0"/>
    <x v="2"/>
    <x v="1"/>
    <x v="10"/>
    <x v="0"/>
    <x v="0"/>
    <n v="2"/>
    <n v="11813.21"/>
    <n v="50358"/>
    <x v="0"/>
  </r>
  <r>
    <x v="6"/>
    <x v="0"/>
    <x v="2"/>
    <x v="1"/>
    <x v="10"/>
    <x v="0"/>
    <x v="1"/>
    <n v="1"/>
    <n v="4305.2"/>
    <n v="19003.02"/>
    <x v="0"/>
  </r>
  <r>
    <x v="6"/>
    <x v="0"/>
    <x v="2"/>
    <x v="1"/>
    <x v="10"/>
    <x v="1"/>
    <x v="0"/>
    <n v="8"/>
    <n v="44173.21"/>
    <n v="125976.99"/>
    <x v="0"/>
  </r>
  <r>
    <x v="6"/>
    <x v="0"/>
    <x v="2"/>
    <x v="1"/>
    <x v="10"/>
    <x v="1"/>
    <x v="1"/>
    <n v="20"/>
    <n v="102325.37"/>
    <n v="296042.82"/>
    <x v="0"/>
  </r>
  <r>
    <x v="6"/>
    <x v="0"/>
    <x v="2"/>
    <x v="1"/>
    <x v="11"/>
    <x v="0"/>
    <x v="1"/>
    <n v="5"/>
    <n v="26297.03"/>
    <n v="112117.81"/>
    <x v="0"/>
  </r>
  <r>
    <x v="6"/>
    <x v="0"/>
    <x v="2"/>
    <x v="1"/>
    <x v="11"/>
    <x v="1"/>
    <x v="0"/>
    <n v="10"/>
    <n v="56934.46"/>
    <n v="158722.72"/>
    <x v="0"/>
  </r>
  <r>
    <x v="6"/>
    <x v="0"/>
    <x v="2"/>
    <x v="1"/>
    <x v="11"/>
    <x v="1"/>
    <x v="1"/>
    <n v="36"/>
    <n v="205425.47"/>
    <n v="571913.57999999996"/>
    <x v="0"/>
  </r>
  <r>
    <x v="6"/>
    <x v="0"/>
    <x v="2"/>
    <x v="1"/>
    <x v="12"/>
    <x v="1"/>
    <x v="0"/>
    <n v="1"/>
    <n v="6995.82"/>
    <n v="20796.900000000001"/>
    <x v="0"/>
  </r>
  <r>
    <x v="6"/>
    <x v="0"/>
    <x v="2"/>
    <x v="1"/>
    <x v="12"/>
    <x v="1"/>
    <x v="1"/>
    <n v="2"/>
    <n v="9638.69"/>
    <n v="27945.84"/>
    <x v="0"/>
  </r>
  <r>
    <x v="6"/>
    <x v="0"/>
    <x v="2"/>
    <x v="1"/>
    <x v="13"/>
    <x v="0"/>
    <x v="1"/>
    <n v="2"/>
    <n v="11233.34"/>
    <n v="49407.85"/>
    <x v="0"/>
  </r>
  <r>
    <x v="6"/>
    <x v="0"/>
    <x v="2"/>
    <x v="1"/>
    <x v="13"/>
    <x v="1"/>
    <x v="1"/>
    <n v="6"/>
    <n v="39484.71"/>
    <n v="116469.51"/>
    <x v="0"/>
  </r>
  <r>
    <x v="6"/>
    <x v="0"/>
    <x v="2"/>
    <x v="1"/>
    <x v="14"/>
    <x v="0"/>
    <x v="1"/>
    <n v="2"/>
    <n v="14247.29"/>
    <n v="60809.66"/>
    <x v="0"/>
  </r>
  <r>
    <x v="6"/>
    <x v="0"/>
    <x v="2"/>
    <x v="1"/>
    <x v="14"/>
    <x v="1"/>
    <x v="0"/>
    <n v="8"/>
    <n v="37485.800000000003"/>
    <n v="107264.44"/>
    <x v="0"/>
  </r>
  <r>
    <x v="6"/>
    <x v="0"/>
    <x v="2"/>
    <x v="1"/>
    <x v="14"/>
    <x v="1"/>
    <x v="1"/>
    <n v="20"/>
    <n v="99002.71"/>
    <n v="278438.15999999997"/>
    <x v="0"/>
  </r>
  <r>
    <x v="6"/>
    <x v="0"/>
    <x v="2"/>
    <x v="1"/>
    <x v="15"/>
    <x v="1"/>
    <x v="0"/>
    <n v="3"/>
    <n v="20522.52"/>
    <n v="63029.21"/>
    <x v="0"/>
  </r>
  <r>
    <x v="6"/>
    <x v="0"/>
    <x v="2"/>
    <x v="1"/>
    <x v="16"/>
    <x v="0"/>
    <x v="1"/>
    <n v="3"/>
    <n v="12927.77"/>
    <n v="57009.06"/>
    <x v="0"/>
  </r>
  <r>
    <x v="6"/>
    <x v="0"/>
    <x v="2"/>
    <x v="1"/>
    <x v="16"/>
    <x v="1"/>
    <x v="0"/>
    <n v="3"/>
    <n v="14274.5"/>
    <n v="40637.949999999997"/>
    <x v="0"/>
  </r>
  <r>
    <x v="6"/>
    <x v="0"/>
    <x v="2"/>
    <x v="1"/>
    <x v="16"/>
    <x v="1"/>
    <x v="1"/>
    <n v="12"/>
    <n v="70922.960000000006"/>
    <n v="199064.82"/>
    <x v="0"/>
  </r>
  <r>
    <x v="6"/>
    <x v="0"/>
    <x v="2"/>
    <x v="1"/>
    <x v="17"/>
    <x v="1"/>
    <x v="0"/>
    <n v="7"/>
    <n v="31109.040000000001"/>
    <n v="89587.839999999997"/>
    <x v="0"/>
  </r>
  <r>
    <x v="6"/>
    <x v="0"/>
    <x v="2"/>
    <x v="1"/>
    <x v="18"/>
    <x v="0"/>
    <x v="1"/>
    <n v="7"/>
    <n v="44058.47"/>
    <n v="190030.19"/>
    <x v="0"/>
  </r>
  <r>
    <x v="6"/>
    <x v="0"/>
    <x v="2"/>
    <x v="1"/>
    <x v="18"/>
    <x v="1"/>
    <x v="0"/>
    <n v="7"/>
    <n v="33533.72"/>
    <n v="99713.59"/>
    <x v="0"/>
  </r>
  <r>
    <x v="6"/>
    <x v="0"/>
    <x v="2"/>
    <x v="1"/>
    <x v="18"/>
    <x v="1"/>
    <x v="1"/>
    <n v="19"/>
    <n v="106941.38"/>
    <n v="313872.15000000002"/>
    <x v="0"/>
  </r>
  <r>
    <x v="6"/>
    <x v="0"/>
    <x v="2"/>
    <x v="1"/>
    <x v="19"/>
    <x v="0"/>
    <x v="1"/>
    <n v="3"/>
    <n v="14327.29"/>
    <n v="60809.66"/>
    <x v="0"/>
  </r>
  <r>
    <x v="6"/>
    <x v="0"/>
    <x v="2"/>
    <x v="1"/>
    <x v="19"/>
    <x v="1"/>
    <x v="0"/>
    <n v="19"/>
    <n v="88166.53"/>
    <n v="255333.66"/>
    <x v="0"/>
  </r>
  <r>
    <x v="6"/>
    <x v="0"/>
    <x v="2"/>
    <x v="1"/>
    <x v="19"/>
    <x v="1"/>
    <x v="1"/>
    <n v="11"/>
    <n v="49581.42"/>
    <n v="141934.63"/>
    <x v="0"/>
  </r>
  <r>
    <x v="6"/>
    <x v="0"/>
    <x v="2"/>
    <x v="1"/>
    <x v="20"/>
    <x v="0"/>
    <x v="0"/>
    <n v="2"/>
    <n v="11379.25"/>
    <n v="49407.85"/>
    <x v="0"/>
  </r>
  <r>
    <x v="6"/>
    <x v="0"/>
    <x v="2"/>
    <x v="1"/>
    <x v="20"/>
    <x v="0"/>
    <x v="1"/>
    <n v="11"/>
    <n v="53850.61"/>
    <n v="230886.68"/>
    <x v="0"/>
  </r>
  <r>
    <x v="6"/>
    <x v="0"/>
    <x v="2"/>
    <x v="1"/>
    <x v="20"/>
    <x v="1"/>
    <x v="0"/>
    <n v="16"/>
    <n v="79239.649999999994"/>
    <n v="220482.51"/>
    <x v="0"/>
  </r>
  <r>
    <x v="6"/>
    <x v="0"/>
    <x v="2"/>
    <x v="1"/>
    <x v="20"/>
    <x v="1"/>
    <x v="1"/>
    <n v="25"/>
    <n v="144476.82"/>
    <n v="410112.31"/>
    <x v="0"/>
  </r>
  <r>
    <x v="6"/>
    <x v="0"/>
    <x v="2"/>
    <x v="2"/>
    <x v="21"/>
    <x v="0"/>
    <x v="0"/>
    <n v="1"/>
    <n v="5240.8500000000004"/>
    <n v="21853.47"/>
    <x v="0"/>
  </r>
  <r>
    <x v="6"/>
    <x v="0"/>
    <x v="2"/>
    <x v="2"/>
    <x v="21"/>
    <x v="1"/>
    <x v="1"/>
    <n v="5"/>
    <n v="23754.95"/>
    <n v="59246.32"/>
    <x v="0"/>
  </r>
  <r>
    <x v="6"/>
    <x v="0"/>
    <x v="2"/>
    <x v="2"/>
    <x v="22"/>
    <x v="0"/>
    <x v="1"/>
    <n v="1"/>
    <n v="4508.87"/>
    <n v="19953.169999999998"/>
    <x v="0"/>
  </r>
  <r>
    <x v="6"/>
    <x v="0"/>
    <x v="2"/>
    <x v="2"/>
    <x v="22"/>
    <x v="1"/>
    <x v="0"/>
    <n v="9"/>
    <n v="48384.87"/>
    <n v="128458.5"/>
    <x v="0"/>
  </r>
  <r>
    <x v="6"/>
    <x v="0"/>
    <x v="2"/>
    <x v="2"/>
    <x v="22"/>
    <x v="1"/>
    <x v="1"/>
    <n v="25"/>
    <n v="115984.06"/>
    <n v="303208.37"/>
    <x v="0"/>
  </r>
  <r>
    <x v="6"/>
    <x v="0"/>
    <x v="2"/>
    <x v="2"/>
    <x v="29"/>
    <x v="0"/>
    <x v="1"/>
    <n v="2"/>
    <n v="11954.72"/>
    <n v="50358"/>
    <x v="0"/>
  </r>
  <r>
    <x v="6"/>
    <x v="0"/>
    <x v="2"/>
    <x v="2"/>
    <x v="24"/>
    <x v="0"/>
    <x v="1"/>
    <n v="1"/>
    <n v="4526.38"/>
    <n v="19003.02"/>
    <x v="0"/>
  </r>
  <r>
    <x v="6"/>
    <x v="0"/>
    <x v="2"/>
    <x v="2"/>
    <x v="24"/>
    <x v="1"/>
    <x v="0"/>
    <n v="3"/>
    <n v="13755.52"/>
    <n v="34771.17"/>
    <x v="0"/>
  </r>
  <r>
    <x v="6"/>
    <x v="0"/>
    <x v="2"/>
    <x v="2"/>
    <x v="24"/>
    <x v="1"/>
    <x v="1"/>
    <n v="9"/>
    <n v="54459.199999999997"/>
    <n v="146684.29"/>
    <x v="0"/>
  </r>
  <r>
    <x v="6"/>
    <x v="0"/>
    <x v="2"/>
    <x v="3"/>
    <x v="25"/>
    <x v="0"/>
    <x v="1"/>
    <n v="1"/>
    <n v="5070.33"/>
    <n v="21853.47"/>
    <x v="0"/>
  </r>
  <r>
    <x v="6"/>
    <x v="0"/>
    <x v="2"/>
    <x v="3"/>
    <x v="25"/>
    <x v="1"/>
    <x v="0"/>
    <n v="14"/>
    <n v="67414.44"/>
    <n v="197859.44"/>
    <x v="0"/>
  </r>
  <r>
    <x v="6"/>
    <x v="0"/>
    <x v="2"/>
    <x v="3"/>
    <x v="25"/>
    <x v="1"/>
    <x v="1"/>
    <n v="17"/>
    <n v="86741.93"/>
    <n v="245765.57"/>
    <x v="0"/>
  </r>
  <r>
    <x v="6"/>
    <x v="0"/>
    <x v="2"/>
    <x v="3"/>
    <x v="26"/>
    <x v="0"/>
    <x v="1"/>
    <n v="2"/>
    <n v="9180.9"/>
    <n v="38956.19"/>
    <x v="0"/>
  </r>
  <r>
    <x v="6"/>
    <x v="0"/>
    <x v="2"/>
    <x v="3"/>
    <x v="26"/>
    <x v="1"/>
    <x v="0"/>
    <n v="5"/>
    <n v="34037.35"/>
    <n v="104896.66"/>
    <x v="0"/>
  </r>
  <r>
    <x v="6"/>
    <x v="0"/>
    <x v="2"/>
    <x v="3"/>
    <x v="26"/>
    <x v="1"/>
    <x v="1"/>
    <n v="13"/>
    <n v="62533.11"/>
    <n v="178669.63"/>
    <x v="0"/>
  </r>
  <r>
    <x v="6"/>
    <x v="0"/>
    <x v="2"/>
    <x v="3"/>
    <x v="27"/>
    <x v="0"/>
    <x v="1"/>
    <n v="7"/>
    <n v="36603.64"/>
    <n v="153924.45000000001"/>
    <x v="0"/>
  </r>
  <r>
    <x v="6"/>
    <x v="0"/>
    <x v="2"/>
    <x v="3"/>
    <x v="27"/>
    <x v="1"/>
    <x v="0"/>
    <n v="8"/>
    <n v="38716.43"/>
    <n v="110822.56"/>
    <x v="0"/>
  </r>
  <r>
    <x v="6"/>
    <x v="0"/>
    <x v="2"/>
    <x v="3"/>
    <x v="27"/>
    <x v="1"/>
    <x v="1"/>
    <n v="35"/>
    <n v="172598.9"/>
    <n v="497078.63"/>
    <x v="0"/>
  </r>
  <r>
    <x v="6"/>
    <x v="0"/>
    <x v="3"/>
    <x v="0"/>
    <x v="0"/>
    <x v="0"/>
    <x v="0"/>
    <n v="3"/>
    <n v="15891.44"/>
    <n v="71911.820000000007"/>
    <x v="0"/>
  </r>
  <r>
    <x v="6"/>
    <x v="0"/>
    <x v="3"/>
    <x v="0"/>
    <x v="0"/>
    <x v="0"/>
    <x v="1"/>
    <n v="3"/>
    <n v="19995.37"/>
    <n v="92349.04"/>
    <x v="0"/>
  </r>
  <r>
    <x v="6"/>
    <x v="0"/>
    <x v="3"/>
    <x v="0"/>
    <x v="0"/>
    <x v="1"/>
    <x v="1"/>
    <n v="16"/>
    <n v="95659.1"/>
    <n v="290300.23"/>
    <x v="0"/>
  </r>
  <r>
    <x v="6"/>
    <x v="0"/>
    <x v="3"/>
    <x v="0"/>
    <x v="1"/>
    <x v="0"/>
    <x v="0"/>
    <n v="1"/>
    <n v="7261.42"/>
    <n v="33644.43"/>
    <x v="0"/>
  </r>
  <r>
    <x v="6"/>
    <x v="0"/>
    <x v="3"/>
    <x v="0"/>
    <x v="1"/>
    <x v="0"/>
    <x v="1"/>
    <n v="3"/>
    <n v="18045.560000000001"/>
    <n v="80496.070000000007"/>
    <x v="0"/>
  </r>
  <r>
    <x v="6"/>
    <x v="0"/>
    <x v="3"/>
    <x v="0"/>
    <x v="1"/>
    <x v="1"/>
    <x v="0"/>
    <n v="12"/>
    <n v="83778.14"/>
    <n v="245912.11"/>
    <x v="0"/>
  </r>
  <r>
    <x v="6"/>
    <x v="0"/>
    <x v="3"/>
    <x v="0"/>
    <x v="1"/>
    <x v="1"/>
    <x v="1"/>
    <n v="17"/>
    <n v="90095.74"/>
    <n v="259920.9"/>
    <x v="0"/>
  </r>
  <r>
    <x v="6"/>
    <x v="0"/>
    <x v="3"/>
    <x v="0"/>
    <x v="2"/>
    <x v="0"/>
    <x v="1"/>
    <n v="6"/>
    <n v="36500.879999999997"/>
    <n v="164260.85999999999"/>
    <x v="0"/>
  </r>
  <r>
    <x v="6"/>
    <x v="0"/>
    <x v="3"/>
    <x v="0"/>
    <x v="2"/>
    <x v="1"/>
    <x v="0"/>
    <n v="16"/>
    <n v="92722.79"/>
    <n v="258224.14"/>
    <x v="0"/>
  </r>
  <r>
    <x v="6"/>
    <x v="0"/>
    <x v="3"/>
    <x v="0"/>
    <x v="2"/>
    <x v="1"/>
    <x v="1"/>
    <n v="24"/>
    <n v="131648.76999999999"/>
    <n v="367282.86"/>
    <x v="0"/>
  </r>
  <r>
    <x v="6"/>
    <x v="0"/>
    <x v="3"/>
    <x v="0"/>
    <x v="3"/>
    <x v="0"/>
    <x v="0"/>
    <n v="2"/>
    <n v="12762.64"/>
    <n v="58704.61"/>
    <x v="0"/>
  </r>
  <r>
    <x v="6"/>
    <x v="0"/>
    <x v="3"/>
    <x v="0"/>
    <x v="3"/>
    <x v="0"/>
    <x v="1"/>
    <n v="6"/>
    <n v="36251.72"/>
    <n v="163171.28"/>
    <x v="0"/>
  </r>
  <r>
    <x v="6"/>
    <x v="0"/>
    <x v="3"/>
    <x v="0"/>
    <x v="3"/>
    <x v="1"/>
    <x v="0"/>
    <n v="16"/>
    <n v="99989.42"/>
    <n v="283899.58"/>
    <x v="0"/>
  </r>
  <r>
    <x v="6"/>
    <x v="0"/>
    <x v="3"/>
    <x v="0"/>
    <x v="3"/>
    <x v="1"/>
    <x v="1"/>
    <n v="18"/>
    <n v="102837.21"/>
    <n v="302041.11"/>
    <x v="0"/>
  </r>
  <r>
    <x v="6"/>
    <x v="0"/>
    <x v="3"/>
    <x v="0"/>
    <x v="28"/>
    <x v="1"/>
    <x v="1"/>
    <n v="2"/>
    <n v="9531.16"/>
    <n v="28503.23"/>
    <x v="0"/>
  </r>
  <r>
    <x v="6"/>
    <x v="0"/>
    <x v="3"/>
    <x v="0"/>
    <x v="4"/>
    <x v="0"/>
    <x v="1"/>
    <n v="5"/>
    <n v="32826.06"/>
    <n v="147784.93"/>
    <x v="0"/>
  </r>
  <r>
    <x v="6"/>
    <x v="0"/>
    <x v="3"/>
    <x v="0"/>
    <x v="4"/>
    <x v="1"/>
    <x v="1"/>
    <n v="16"/>
    <n v="88620.800000000003"/>
    <n v="254678.76"/>
    <x v="0"/>
  </r>
  <r>
    <x v="6"/>
    <x v="0"/>
    <x v="3"/>
    <x v="0"/>
    <x v="5"/>
    <x v="1"/>
    <x v="0"/>
    <n v="5"/>
    <n v="23691.4"/>
    <n v="71802.86"/>
    <x v="0"/>
  </r>
  <r>
    <x v="6"/>
    <x v="0"/>
    <x v="3"/>
    <x v="0"/>
    <x v="5"/>
    <x v="1"/>
    <x v="1"/>
    <n v="30"/>
    <n v="177542.74"/>
    <n v="527482.31999999995"/>
    <x v="0"/>
  </r>
  <r>
    <x v="6"/>
    <x v="0"/>
    <x v="3"/>
    <x v="0"/>
    <x v="6"/>
    <x v="0"/>
    <x v="1"/>
    <n v="1"/>
    <n v="4852.03"/>
    <n v="21791.46"/>
    <x v="0"/>
  </r>
  <r>
    <x v="6"/>
    <x v="0"/>
    <x v="3"/>
    <x v="0"/>
    <x v="6"/>
    <x v="1"/>
    <x v="1"/>
    <n v="2"/>
    <n v="14778.82"/>
    <n v="44208.78"/>
    <x v="0"/>
  </r>
  <r>
    <x v="6"/>
    <x v="0"/>
    <x v="3"/>
    <x v="1"/>
    <x v="31"/>
    <x v="1"/>
    <x v="0"/>
    <n v="2"/>
    <n v="11160.14"/>
    <n v="34833.65"/>
    <x v="0"/>
  </r>
  <r>
    <x v="6"/>
    <x v="0"/>
    <x v="3"/>
    <x v="1"/>
    <x v="10"/>
    <x v="0"/>
    <x v="1"/>
    <n v="6"/>
    <n v="38811.68"/>
    <n v="176113.83"/>
    <x v="0"/>
  </r>
  <r>
    <x v="6"/>
    <x v="0"/>
    <x v="3"/>
    <x v="1"/>
    <x v="10"/>
    <x v="1"/>
    <x v="0"/>
    <n v="5"/>
    <n v="28288.9"/>
    <n v="85455.21"/>
    <x v="0"/>
  </r>
  <r>
    <x v="6"/>
    <x v="0"/>
    <x v="3"/>
    <x v="1"/>
    <x v="10"/>
    <x v="1"/>
    <x v="1"/>
    <n v="22"/>
    <n v="133213.14000000001"/>
    <n v="402070.94"/>
    <x v="0"/>
  </r>
  <r>
    <x v="6"/>
    <x v="0"/>
    <x v="3"/>
    <x v="1"/>
    <x v="11"/>
    <x v="0"/>
    <x v="1"/>
    <n v="12"/>
    <n v="67758.09"/>
    <n v="303726.2"/>
    <x v="0"/>
  </r>
  <r>
    <x v="6"/>
    <x v="0"/>
    <x v="3"/>
    <x v="1"/>
    <x v="11"/>
    <x v="1"/>
    <x v="0"/>
    <n v="19"/>
    <n v="118148.92"/>
    <n v="348127.41"/>
    <x v="0"/>
  </r>
  <r>
    <x v="6"/>
    <x v="0"/>
    <x v="3"/>
    <x v="1"/>
    <x v="11"/>
    <x v="1"/>
    <x v="1"/>
    <n v="26"/>
    <n v="151984.9"/>
    <n v="443377.02"/>
    <x v="0"/>
  </r>
  <r>
    <x v="6"/>
    <x v="0"/>
    <x v="3"/>
    <x v="1"/>
    <x v="12"/>
    <x v="1"/>
    <x v="1"/>
    <n v="4"/>
    <n v="22203.78"/>
    <n v="68564.649999999994"/>
    <x v="0"/>
  </r>
  <r>
    <x v="6"/>
    <x v="0"/>
    <x v="3"/>
    <x v="1"/>
    <x v="13"/>
    <x v="0"/>
    <x v="1"/>
    <n v="1"/>
    <n v="5587.36"/>
    <n v="25060.18"/>
    <x v="0"/>
  </r>
  <r>
    <x v="6"/>
    <x v="0"/>
    <x v="3"/>
    <x v="1"/>
    <x v="13"/>
    <x v="1"/>
    <x v="0"/>
    <n v="5"/>
    <n v="28480.92"/>
    <n v="86723.8"/>
    <x v="0"/>
  </r>
  <r>
    <x v="6"/>
    <x v="0"/>
    <x v="3"/>
    <x v="1"/>
    <x v="14"/>
    <x v="1"/>
    <x v="0"/>
    <n v="3"/>
    <n v="16953.8"/>
    <n v="50220.6"/>
    <x v="0"/>
  </r>
  <r>
    <x v="6"/>
    <x v="0"/>
    <x v="3"/>
    <x v="1"/>
    <x v="14"/>
    <x v="1"/>
    <x v="1"/>
    <n v="13"/>
    <n v="78291.38"/>
    <n v="235012.29"/>
    <x v="0"/>
  </r>
  <r>
    <x v="6"/>
    <x v="0"/>
    <x v="3"/>
    <x v="1"/>
    <x v="15"/>
    <x v="1"/>
    <x v="1"/>
    <n v="7"/>
    <n v="37808.730000000003"/>
    <n v="115932.17"/>
    <x v="0"/>
  </r>
  <r>
    <x v="6"/>
    <x v="0"/>
    <x v="3"/>
    <x v="1"/>
    <x v="16"/>
    <x v="0"/>
    <x v="1"/>
    <n v="2"/>
    <n v="14493.48"/>
    <n v="67288.86"/>
    <x v="0"/>
  </r>
  <r>
    <x v="6"/>
    <x v="0"/>
    <x v="3"/>
    <x v="1"/>
    <x v="16"/>
    <x v="1"/>
    <x v="0"/>
    <n v="4"/>
    <n v="22239.51"/>
    <n v="65604.12"/>
    <x v="0"/>
  </r>
  <r>
    <x v="6"/>
    <x v="0"/>
    <x v="3"/>
    <x v="1"/>
    <x v="16"/>
    <x v="1"/>
    <x v="1"/>
    <n v="9"/>
    <n v="53380.25"/>
    <n v="158985.42000000001"/>
    <x v="0"/>
  </r>
  <r>
    <x v="6"/>
    <x v="0"/>
    <x v="3"/>
    <x v="1"/>
    <x v="17"/>
    <x v="0"/>
    <x v="1"/>
    <n v="1"/>
    <n v="7503.37"/>
    <n v="33644.43"/>
    <x v="0"/>
  </r>
  <r>
    <x v="6"/>
    <x v="0"/>
    <x v="3"/>
    <x v="1"/>
    <x v="17"/>
    <x v="1"/>
    <x v="0"/>
    <n v="2"/>
    <n v="11235.92"/>
    <n v="33279.919999999998"/>
    <x v="0"/>
  </r>
  <r>
    <x v="6"/>
    <x v="0"/>
    <x v="3"/>
    <x v="1"/>
    <x v="17"/>
    <x v="1"/>
    <x v="1"/>
    <n v="4"/>
    <n v="25160.240000000002"/>
    <n v="73004.710000000006"/>
    <x v="0"/>
  </r>
  <r>
    <x v="6"/>
    <x v="0"/>
    <x v="3"/>
    <x v="1"/>
    <x v="18"/>
    <x v="0"/>
    <x v="1"/>
    <n v="19"/>
    <n v="119240.24"/>
    <n v="539369.55000000005"/>
    <x v="0"/>
  </r>
  <r>
    <x v="6"/>
    <x v="0"/>
    <x v="3"/>
    <x v="1"/>
    <x v="18"/>
    <x v="1"/>
    <x v="0"/>
    <n v="7"/>
    <n v="49243.58"/>
    <n v="151748.04"/>
    <x v="0"/>
  </r>
  <r>
    <x v="6"/>
    <x v="0"/>
    <x v="3"/>
    <x v="1"/>
    <x v="18"/>
    <x v="1"/>
    <x v="1"/>
    <n v="34"/>
    <n v="204993.31"/>
    <n v="635909.76"/>
    <x v="0"/>
  </r>
  <r>
    <x v="6"/>
    <x v="0"/>
    <x v="3"/>
    <x v="1"/>
    <x v="19"/>
    <x v="0"/>
    <x v="1"/>
    <n v="3"/>
    <n v="15448.45"/>
    <n v="69732.67"/>
    <x v="0"/>
  </r>
  <r>
    <x v="6"/>
    <x v="0"/>
    <x v="3"/>
    <x v="1"/>
    <x v="19"/>
    <x v="1"/>
    <x v="0"/>
    <n v="13"/>
    <n v="69977.350000000006"/>
    <n v="214347.5"/>
    <x v="0"/>
  </r>
  <r>
    <x v="6"/>
    <x v="0"/>
    <x v="3"/>
    <x v="1"/>
    <x v="19"/>
    <x v="1"/>
    <x v="1"/>
    <n v="9"/>
    <n v="52773.64"/>
    <n v="160649.13"/>
    <x v="0"/>
  </r>
  <r>
    <x v="6"/>
    <x v="0"/>
    <x v="3"/>
    <x v="1"/>
    <x v="20"/>
    <x v="0"/>
    <x v="1"/>
    <n v="16"/>
    <n v="94359.07"/>
    <n v="425361.38"/>
    <x v="0"/>
  </r>
  <r>
    <x v="6"/>
    <x v="0"/>
    <x v="3"/>
    <x v="1"/>
    <x v="20"/>
    <x v="1"/>
    <x v="0"/>
    <n v="9"/>
    <n v="50428.12"/>
    <n v="147572.35"/>
    <x v="0"/>
  </r>
  <r>
    <x v="6"/>
    <x v="0"/>
    <x v="3"/>
    <x v="1"/>
    <x v="20"/>
    <x v="1"/>
    <x v="1"/>
    <n v="40"/>
    <n v="233763.89"/>
    <n v="695291.29"/>
    <x v="0"/>
  </r>
  <r>
    <x v="6"/>
    <x v="0"/>
    <x v="3"/>
    <x v="2"/>
    <x v="21"/>
    <x v="0"/>
    <x v="0"/>
    <n v="3"/>
    <n v="16031.59"/>
    <n v="70822.240000000005"/>
    <x v="0"/>
  </r>
  <r>
    <x v="6"/>
    <x v="0"/>
    <x v="3"/>
    <x v="2"/>
    <x v="22"/>
    <x v="0"/>
    <x v="1"/>
    <n v="1"/>
    <n v="5527.05"/>
    <n v="25060.18"/>
    <x v="0"/>
  </r>
  <r>
    <x v="6"/>
    <x v="0"/>
    <x v="3"/>
    <x v="2"/>
    <x v="22"/>
    <x v="1"/>
    <x v="0"/>
    <n v="4"/>
    <n v="20860.099999999999"/>
    <n v="57065.3"/>
    <x v="0"/>
  </r>
  <r>
    <x v="6"/>
    <x v="0"/>
    <x v="3"/>
    <x v="2"/>
    <x v="22"/>
    <x v="1"/>
    <x v="1"/>
    <n v="11"/>
    <n v="66276.12"/>
    <n v="181782.73"/>
    <x v="0"/>
  </r>
  <r>
    <x v="6"/>
    <x v="0"/>
    <x v="3"/>
    <x v="2"/>
    <x v="29"/>
    <x v="0"/>
    <x v="1"/>
    <n v="1"/>
    <n v="5877.61"/>
    <n v="25060.18"/>
    <x v="0"/>
  </r>
  <r>
    <x v="6"/>
    <x v="0"/>
    <x v="3"/>
    <x v="2"/>
    <x v="23"/>
    <x v="1"/>
    <x v="1"/>
    <n v="3"/>
    <n v="16346.9"/>
    <n v="45592.1"/>
    <x v="0"/>
  </r>
  <r>
    <x v="6"/>
    <x v="0"/>
    <x v="3"/>
    <x v="2"/>
    <x v="24"/>
    <x v="0"/>
    <x v="1"/>
    <n v="3"/>
    <n v="20090.98"/>
    <n v="89080.320000000007"/>
    <x v="0"/>
  </r>
  <r>
    <x v="6"/>
    <x v="0"/>
    <x v="3"/>
    <x v="2"/>
    <x v="24"/>
    <x v="1"/>
    <x v="1"/>
    <n v="3"/>
    <n v="16639.84"/>
    <n v="46611.93"/>
    <x v="0"/>
  </r>
  <r>
    <x v="6"/>
    <x v="0"/>
    <x v="3"/>
    <x v="3"/>
    <x v="25"/>
    <x v="0"/>
    <x v="1"/>
    <n v="3"/>
    <n v="16416.79"/>
    <n v="75180.539999999994"/>
    <x v="0"/>
  </r>
  <r>
    <x v="6"/>
    <x v="0"/>
    <x v="3"/>
    <x v="3"/>
    <x v="25"/>
    <x v="1"/>
    <x v="0"/>
    <n v="3"/>
    <n v="16712.73"/>
    <n v="50868.36"/>
    <x v="0"/>
  </r>
  <r>
    <x v="6"/>
    <x v="0"/>
    <x v="3"/>
    <x v="3"/>
    <x v="25"/>
    <x v="1"/>
    <x v="1"/>
    <n v="4"/>
    <n v="29970.639999999999"/>
    <n v="91202.85"/>
    <x v="0"/>
  </r>
  <r>
    <x v="6"/>
    <x v="0"/>
    <x v="3"/>
    <x v="3"/>
    <x v="26"/>
    <x v="0"/>
    <x v="0"/>
    <n v="2"/>
    <n v="11204.59"/>
    <n v="50120.36"/>
    <x v="0"/>
  </r>
  <r>
    <x v="6"/>
    <x v="0"/>
    <x v="3"/>
    <x v="3"/>
    <x v="26"/>
    <x v="0"/>
    <x v="1"/>
    <n v="2"/>
    <n v="10981.23"/>
    <n v="50120.36"/>
    <x v="0"/>
  </r>
  <r>
    <x v="6"/>
    <x v="0"/>
    <x v="3"/>
    <x v="3"/>
    <x v="26"/>
    <x v="1"/>
    <x v="0"/>
    <n v="5"/>
    <n v="32106.86"/>
    <n v="99716.18"/>
    <x v="0"/>
  </r>
  <r>
    <x v="6"/>
    <x v="0"/>
    <x v="3"/>
    <x v="3"/>
    <x v="26"/>
    <x v="1"/>
    <x v="1"/>
    <n v="17"/>
    <n v="108047.95"/>
    <n v="328944.19"/>
    <x v="0"/>
  </r>
  <r>
    <x v="6"/>
    <x v="0"/>
    <x v="3"/>
    <x v="3"/>
    <x v="27"/>
    <x v="0"/>
    <x v="1"/>
    <n v="3"/>
    <n v="19782.59"/>
    <n v="92349.04"/>
    <x v="0"/>
  </r>
  <r>
    <x v="6"/>
    <x v="0"/>
    <x v="3"/>
    <x v="3"/>
    <x v="27"/>
    <x v="1"/>
    <x v="0"/>
    <n v="17"/>
    <n v="95738.33"/>
    <n v="294139.53000000003"/>
    <x v="0"/>
  </r>
  <r>
    <x v="6"/>
    <x v="0"/>
    <x v="3"/>
    <x v="3"/>
    <x v="27"/>
    <x v="1"/>
    <x v="1"/>
    <n v="21"/>
    <n v="116146.82"/>
    <n v="353888.48"/>
    <x v="0"/>
  </r>
  <r>
    <x v="6"/>
    <x v="0"/>
    <x v="4"/>
    <x v="0"/>
    <x v="0"/>
    <x v="0"/>
    <x v="0"/>
    <n v="2"/>
    <n v="9714.84"/>
    <n v="43318.720000000001"/>
    <x v="0"/>
  </r>
  <r>
    <x v="6"/>
    <x v="0"/>
    <x v="4"/>
    <x v="0"/>
    <x v="0"/>
    <x v="0"/>
    <x v="1"/>
    <n v="1"/>
    <n v="5531.79"/>
    <n v="24908.27"/>
    <x v="0"/>
  </r>
  <r>
    <x v="6"/>
    <x v="0"/>
    <x v="4"/>
    <x v="0"/>
    <x v="0"/>
    <x v="1"/>
    <x v="0"/>
    <n v="2"/>
    <n v="9494.58"/>
    <n v="27126.79"/>
    <x v="0"/>
  </r>
  <r>
    <x v="6"/>
    <x v="0"/>
    <x v="4"/>
    <x v="0"/>
    <x v="0"/>
    <x v="1"/>
    <x v="1"/>
    <n v="12"/>
    <n v="58386.55"/>
    <n v="176357.02"/>
    <x v="0"/>
  </r>
  <r>
    <x v="6"/>
    <x v="0"/>
    <x v="4"/>
    <x v="0"/>
    <x v="1"/>
    <x v="0"/>
    <x v="0"/>
    <n v="2"/>
    <n v="10230.44"/>
    <n v="46567.63"/>
    <x v="0"/>
  </r>
  <r>
    <x v="6"/>
    <x v="0"/>
    <x v="4"/>
    <x v="0"/>
    <x v="1"/>
    <x v="0"/>
    <x v="1"/>
    <n v="2"/>
    <n v="10146.06"/>
    <n v="47650.6"/>
    <x v="0"/>
  </r>
  <r>
    <x v="6"/>
    <x v="0"/>
    <x v="4"/>
    <x v="0"/>
    <x v="1"/>
    <x v="1"/>
    <x v="0"/>
    <n v="11"/>
    <n v="56035.07"/>
    <n v="165034.60999999999"/>
    <x v="0"/>
  </r>
  <r>
    <x v="6"/>
    <x v="0"/>
    <x v="4"/>
    <x v="0"/>
    <x v="1"/>
    <x v="1"/>
    <x v="1"/>
    <n v="34"/>
    <n v="173185.56"/>
    <n v="512572.18"/>
    <x v="0"/>
  </r>
  <r>
    <x v="6"/>
    <x v="0"/>
    <x v="4"/>
    <x v="0"/>
    <x v="2"/>
    <x v="0"/>
    <x v="1"/>
    <n v="2"/>
    <n v="11804.16"/>
    <n v="54194.78"/>
    <x v="0"/>
  </r>
  <r>
    <x v="6"/>
    <x v="0"/>
    <x v="4"/>
    <x v="0"/>
    <x v="2"/>
    <x v="1"/>
    <x v="0"/>
    <n v="6"/>
    <n v="28264.91"/>
    <n v="78393.009999999995"/>
    <x v="0"/>
  </r>
  <r>
    <x v="6"/>
    <x v="0"/>
    <x v="4"/>
    <x v="0"/>
    <x v="2"/>
    <x v="1"/>
    <x v="1"/>
    <n v="30"/>
    <n v="154781.89000000001"/>
    <n v="440266.86"/>
    <x v="0"/>
  </r>
  <r>
    <x v="6"/>
    <x v="0"/>
    <x v="4"/>
    <x v="0"/>
    <x v="3"/>
    <x v="0"/>
    <x v="0"/>
    <n v="3"/>
    <n v="14104.81"/>
    <n v="64978.080000000002"/>
    <x v="0"/>
  </r>
  <r>
    <x v="6"/>
    <x v="0"/>
    <x v="4"/>
    <x v="0"/>
    <x v="3"/>
    <x v="0"/>
    <x v="1"/>
    <n v="4"/>
    <n v="20404.62"/>
    <n v="93135.26"/>
    <x v="0"/>
  </r>
  <r>
    <x v="6"/>
    <x v="0"/>
    <x v="4"/>
    <x v="0"/>
    <x v="3"/>
    <x v="1"/>
    <x v="0"/>
    <n v="8"/>
    <n v="40483.919999999998"/>
    <n v="117312.46"/>
    <x v="0"/>
  </r>
  <r>
    <x v="6"/>
    <x v="0"/>
    <x v="4"/>
    <x v="0"/>
    <x v="3"/>
    <x v="1"/>
    <x v="1"/>
    <n v="19"/>
    <n v="92882.16"/>
    <n v="277770.13"/>
    <x v="0"/>
  </r>
  <r>
    <x v="6"/>
    <x v="0"/>
    <x v="4"/>
    <x v="0"/>
    <x v="4"/>
    <x v="0"/>
    <x v="1"/>
    <n v="2"/>
    <n v="9409.98"/>
    <n v="44401.69"/>
    <x v="0"/>
  </r>
  <r>
    <x v="6"/>
    <x v="0"/>
    <x v="4"/>
    <x v="0"/>
    <x v="4"/>
    <x v="1"/>
    <x v="0"/>
    <n v="20"/>
    <n v="98444.33"/>
    <n v="287636.31"/>
    <x v="0"/>
  </r>
  <r>
    <x v="6"/>
    <x v="0"/>
    <x v="4"/>
    <x v="0"/>
    <x v="4"/>
    <x v="1"/>
    <x v="1"/>
    <n v="11"/>
    <n v="55933.81"/>
    <n v="159442.57"/>
    <x v="0"/>
  </r>
  <r>
    <x v="6"/>
    <x v="0"/>
    <x v="4"/>
    <x v="0"/>
    <x v="5"/>
    <x v="0"/>
    <x v="1"/>
    <n v="1"/>
    <n v="5276.93"/>
    <n v="24908.27"/>
    <x v="0"/>
  </r>
  <r>
    <x v="6"/>
    <x v="0"/>
    <x v="4"/>
    <x v="0"/>
    <x v="5"/>
    <x v="1"/>
    <x v="0"/>
    <n v="7"/>
    <n v="36863.339999999997"/>
    <n v="110619.79"/>
    <x v="0"/>
  </r>
  <r>
    <x v="6"/>
    <x v="0"/>
    <x v="4"/>
    <x v="0"/>
    <x v="5"/>
    <x v="1"/>
    <x v="1"/>
    <n v="27"/>
    <n v="140880.85999999999"/>
    <n v="430601.16"/>
    <x v="0"/>
  </r>
  <r>
    <x v="6"/>
    <x v="0"/>
    <x v="4"/>
    <x v="0"/>
    <x v="6"/>
    <x v="0"/>
    <x v="1"/>
    <n v="3"/>
    <n v="13993.37"/>
    <n v="64978.080000000002"/>
    <x v="0"/>
  </r>
  <r>
    <x v="6"/>
    <x v="0"/>
    <x v="4"/>
    <x v="0"/>
    <x v="6"/>
    <x v="1"/>
    <x v="1"/>
    <n v="5"/>
    <n v="25605.61"/>
    <n v="75420.070000000007"/>
    <x v="0"/>
  </r>
  <r>
    <x v="6"/>
    <x v="0"/>
    <x v="4"/>
    <x v="0"/>
    <x v="7"/>
    <x v="1"/>
    <x v="1"/>
    <n v="3"/>
    <n v="16192.74"/>
    <n v="49916.17"/>
    <x v="0"/>
  </r>
  <r>
    <x v="6"/>
    <x v="0"/>
    <x v="4"/>
    <x v="0"/>
    <x v="8"/>
    <x v="0"/>
    <x v="1"/>
    <n v="3"/>
    <n v="14857.42"/>
    <n v="68226.990000000005"/>
    <x v="0"/>
  </r>
  <r>
    <x v="6"/>
    <x v="0"/>
    <x v="4"/>
    <x v="1"/>
    <x v="30"/>
    <x v="1"/>
    <x v="0"/>
    <n v="2"/>
    <n v="10745.22"/>
    <n v="32329.98"/>
    <x v="0"/>
  </r>
  <r>
    <x v="6"/>
    <x v="0"/>
    <x v="4"/>
    <x v="1"/>
    <x v="9"/>
    <x v="1"/>
    <x v="1"/>
    <n v="4"/>
    <n v="19860.36"/>
    <n v="59139.71"/>
    <x v="0"/>
  </r>
  <r>
    <x v="6"/>
    <x v="0"/>
    <x v="4"/>
    <x v="1"/>
    <x v="10"/>
    <x v="0"/>
    <x v="1"/>
    <n v="1"/>
    <n v="4670.16"/>
    <n v="21659.360000000001"/>
    <x v="0"/>
  </r>
  <r>
    <x v="6"/>
    <x v="0"/>
    <x v="4"/>
    <x v="1"/>
    <x v="10"/>
    <x v="1"/>
    <x v="0"/>
    <n v="16"/>
    <n v="89854.92"/>
    <n v="288206.01"/>
    <x v="0"/>
  </r>
  <r>
    <x v="6"/>
    <x v="0"/>
    <x v="4"/>
    <x v="1"/>
    <x v="10"/>
    <x v="1"/>
    <x v="1"/>
    <n v="24"/>
    <n v="133358.84"/>
    <n v="413860.18"/>
    <x v="0"/>
  </r>
  <r>
    <x v="6"/>
    <x v="0"/>
    <x v="4"/>
    <x v="1"/>
    <x v="11"/>
    <x v="0"/>
    <x v="1"/>
    <n v="8"/>
    <n v="38760.14"/>
    <n v="176523.79"/>
    <x v="0"/>
  </r>
  <r>
    <x v="6"/>
    <x v="0"/>
    <x v="4"/>
    <x v="1"/>
    <x v="11"/>
    <x v="1"/>
    <x v="0"/>
    <n v="13"/>
    <n v="73342.880000000005"/>
    <n v="214788.87"/>
    <x v="0"/>
  </r>
  <r>
    <x v="6"/>
    <x v="0"/>
    <x v="4"/>
    <x v="1"/>
    <x v="11"/>
    <x v="1"/>
    <x v="1"/>
    <n v="31"/>
    <n v="155439.91"/>
    <n v="456856.86"/>
    <x v="0"/>
  </r>
  <r>
    <x v="6"/>
    <x v="0"/>
    <x v="4"/>
    <x v="1"/>
    <x v="13"/>
    <x v="0"/>
    <x v="1"/>
    <n v="2"/>
    <n v="11940.62"/>
    <n v="54194.78"/>
    <x v="0"/>
  </r>
  <r>
    <x v="6"/>
    <x v="0"/>
    <x v="4"/>
    <x v="1"/>
    <x v="13"/>
    <x v="1"/>
    <x v="1"/>
    <n v="1"/>
    <n v="4980.6400000000003"/>
    <n v="14750.02"/>
    <x v="0"/>
  </r>
  <r>
    <x v="6"/>
    <x v="0"/>
    <x v="4"/>
    <x v="1"/>
    <x v="14"/>
    <x v="1"/>
    <x v="0"/>
    <n v="5"/>
    <n v="30834.62"/>
    <n v="94137.88"/>
    <x v="0"/>
  </r>
  <r>
    <x v="6"/>
    <x v="0"/>
    <x v="4"/>
    <x v="1"/>
    <x v="14"/>
    <x v="1"/>
    <x v="1"/>
    <n v="8"/>
    <n v="45698.95"/>
    <n v="143299.66"/>
    <x v="0"/>
  </r>
  <r>
    <x v="6"/>
    <x v="0"/>
    <x v="4"/>
    <x v="1"/>
    <x v="15"/>
    <x v="1"/>
    <x v="0"/>
    <n v="2"/>
    <n v="9587.7199999999993"/>
    <n v="29933.24"/>
    <x v="0"/>
  </r>
  <r>
    <x v="6"/>
    <x v="0"/>
    <x v="4"/>
    <x v="1"/>
    <x v="16"/>
    <x v="0"/>
    <x v="1"/>
    <n v="3"/>
    <n v="14925.07"/>
    <n v="64978.080000000002"/>
    <x v="0"/>
  </r>
  <r>
    <x v="6"/>
    <x v="0"/>
    <x v="4"/>
    <x v="1"/>
    <x v="16"/>
    <x v="1"/>
    <x v="0"/>
    <n v="4"/>
    <n v="19685.759999999998"/>
    <n v="55943.74"/>
    <x v="0"/>
  </r>
  <r>
    <x v="6"/>
    <x v="0"/>
    <x v="4"/>
    <x v="1"/>
    <x v="16"/>
    <x v="1"/>
    <x v="1"/>
    <n v="1"/>
    <n v="4752.8999999999996"/>
    <n v="14251.86"/>
    <x v="0"/>
  </r>
  <r>
    <x v="6"/>
    <x v="0"/>
    <x v="4"/>
    <x v="1"/>
    <x v="17"/>
    <x v="0"/>
    <x v="1"/>
    <n v="1"/>
    <n v="4709.34"/>
    <n v="22742.33"/>
    <x v="0"/>
  </r>
  <r>
    <x v="6"/>
    <x v="0"/>
    <x v="4"/>
    <x v="1"/>
    <x v="17"/>
    <x v="1"/>
    <x v="0"/>
    <n v="1"/>
    <n v="4781.0200000000004"/>
    <n v="14381.82"/>
    <x v="0"/>
  </r>
  <r>
    <x v="6"/>
    <x v="0"/>
    <x v="4"/>
    <x v="1"/>
    <x v="17"/>
    <x v="1"/>
    <x v="1"/>
    <n v="1"/>
    <n v="4673.4399999999996"/>
    <n v="14381.82"/>
    <x v="0"/>
  </r>
  <r>
    <x v="6"/>
    <x v="0"/>
    <x v="4"/>
    <x v="1"/>
    <x v="18"/>
    <x v="0"/>
    <x v="1"/>
    <n v="8"/>
    <n v="39970.879999999997"/>
    <n v="180855.67"/>
    <x v="0"/>
  </r>
  <r>
    <x v="6"/>
    <x v="0"/>
    <x v="4"/>
    <x v="1"/>
    <x v="18"/>
    <x v="1"/>
    <x v="0"/>
    <n v="14"/>
    <n v="67976.23"/>
    <n v="218272.23"/>
    <x v="0"/>
  </r>
  <r>
    <x v="6"/>
    <x v="0"/>
    <x v="4"/>
    <x v="1"/>
    <x v="18"/>
    <x v="1"/>
    <x v="1"/>
    <n v="32"/>
    <n v="166893.69"/>
    <n v="534148.04"/>
    <x v="0"/>
  </r>
  <r>
    <x v="6"/>
    <x v="0"/>
    <x v="4"/>
    <x v="1"/>
    <x v="19"/>
    <x v="1"/>
    <x v="0"/>
    <n v="12"/>
    <n v="61754.09"/>
    <n v="193491.44"/>
    <x v="0"/>
  </r>
  <r>
    <x v="6"/>
    <x v="0"/>
    <x v="4"/>
    <x v="1"/>
    <x v="19"/>
    <x v="1"/>
    <x v="1"/>
    <n v="12"/>
    <n v="67793.7"/>
    <n v="207257.38"/>
    <x v="0"/>
  </r>
  <r>
    <x v="6"/>
    <x v="0"/>
    <x v="4"/>
    <x v="1"/>
    <x v="20"/>
    <x v="0"/>
    <x v="0"/>
    <n v="1"/>
    <n v="5363.94"/>
    <n v="24908.27"/>
    <x v="0"/>
  </r>
  <r>
    <x v="6"/>
    <x v="0"/>
    <x v="4"/>
    <x v="1"/>
    <x v="20"/>
    <x v="0"/>
    <x v="1"/>
    <n v="4"/>
    <n v="21073.65"/>
    <n v="97513.5"/>
    <x v="0"/>
  </r>
  <r>
    <x v="6"/>
    <x v="0"/>
    <x v="4"/>
    <x v="1"/>
    <x v="20"/>
    <x v="1"/>
    <x v="0"/>
    <n v="13"/>
    <n v="68408.039999999994"/>
    <n v="211944.57"/>
    <x v="0"/>
  </r>
  <r>
    <x v="6"/>
    <x v="0"/>
    <x v="4"/>
    <x v="1"/>
    <x v="20"/>
    <x v="1"/>
    <x v="1"/>
    <n v="10"/>
    <n v="48369.38"/>
    <n v="143601.56"/>
    <x v="0"/>
  </r>
  <r>
    <x v="6"/>
    <x v="0"/>
    <x v="4"/>
    <x v="2"/>
    <x v="21"/>
    <x v="0"/>
    <x v="0"/>
    <n v="1"/>
    <n v="4662.6000000000004"/>
    <n v="21659.360000000001"/>
    <x v="0"/>
  </r>
  <r>
    <x v="6"/>
    <x v="0"/>
    <x v="4"/>
    <x v="2"/>
    <x v="22"/>
    <x v="0"/>
    <x v="1"/>
    <n v="3"/>
    <n v="15099.06"/>
    <n v="68226.990000000005"/>
    <x v="0"/>
  </r>
  <r>
    <x v="6"/>
    <x v="0"/>
    <x v="4"/>
    <x v="2"/>
    <x v="22"/>
    <x v="1"/>
    <x v="0"/>
    <n v="4"/>
    <n v="20756.25"/>
    <n v="57866.71"/>
    <x v="0"/>
  </r>
  <r>
    <x v="6"/>
    <x v="0"/>
    <x v="4"/>
    <x v="2"/>
    <x v="22"/>
    <x v="1"/>
    <x v="1"/>
    <n v="2"/>
    <n v="9761.9699999999993"/>
    <n v="27040.63"/>
    <x v="0"/>
  </r>
  <r>
    <x v="6"/>
    <x v="0"/>
    <x v="4"/>
    <x v="2"/>
    <x v="29"/>
    <x v="0"/>
    <x v="1"/>
    <n v="1"/>
    <n v="4838.2"/>
    <n v="21659.360000000001"/>
    <x v="0"/>
  </r>
  <r>
    <x v="6"/>
    <x v="0"/>
    <x v="4"/>
    <x v="2"/>
    <x v="24"/>
    <x v="0"/>
    <x v="1"/>
    <n v="2"/>
    <n v="10031.530000000001"/>
    <n v="46567.63"/>
    <x v="0"/>
  </r>
  <r>
    <x v="6"/>
    <x v="0"/>
    <x v="4"/>
    <x v="2"/>
    <x v="24"/>
    <x v="1"/>
    <x v="1"/>
    <n v="4"/>
    <n v="19726.740000000002"/>
    <n v="55266.58"/>
    <x v="0"/>
  </r>
  <r>
    <x v="6"/>
    <x v="0"/>
    <x v="4"/>
    <x v="3"/>
    <x v="25"/>
    <x v="0"/>
    <x v="1"/>
    <n v="1"/>
    <n v="4928.3999999999996"/>
    <n v="21659.360000000001"/>
    <x v="0"/>
  </r>
  <r>
    <x v="6"/>
    <x v="0"/>
    <x v="4"/>
    <x v="3"/>
    <x v="25"/>
    <x v="1"/>
    <x v="0"/>
    <n v="17"/>
    <n v="85223.95"/>
    <n v="267801.75"/>
    <x v="0"/>
  </r>
  <r>
    <x v="6"/>
    <x v="0"/>
    <x v="4"/>
    <x v="3"/>
    <x v="25"/>
    <x v="1"/>
    <x v="1"/>
    <n v="7"/>
    <n v="35019.86"/>
    <n v="106082.13"/>
    <x v="0"/>
  </r>
  <r>
    <x v="6"/>
    <x v="0"/>
    <x v="4"/>
    <x v="3"/>
    <x v="26"/>
    <x v="1"/>
    <x v="0"/>
    <n v="1"/>
    <n v="4859.0600000000004"/>
    <n v="14944.96"/>
    <x v="0"/>
  </r>
  <r>
    <x v="6"/>
    <x v="0"/>
    <x v="4"/>
    <x v="3"/>
    <x v="26"/>
    <x v="1"/>
    <x v="1"/>
    <n v="8"/>
    <n v="42390.2"/>
    <n v="130768.41"/>
    <x v="0"/>
  </r>
  <r>
    <x v="6"/>
    <x v="0"/>
    <x v="4"/>
    <x v="3"/>
    <x v="27"/>
    <x v="1"/>
    <x v="0"/>
    <n v="4"/>
    <n v="19286.47"/>
    <n v="60119.89"/>
    <x v="0"/>
  </r>
  <r>
    <x v="6"/>
    <x v="0"/>
    <x v="4"/>
    <x v="3"/>
    <x v="27"/>
    <x v="1"/>
    <x v="1"/>
    <n v="30"/>
    <n v="165562.51"/>
    <n v="518109.66"/>
    <x v="0"/>
  </r>
  <r>
    <x v="6"/>
    <x v="0"/>
    <x v="5"/>
    <x v="0"/>
    <x v="0"/>
    <x v="0"/>
    <x v="0"/>
    <n v="1"/>
    <n v="4771.8900000000003"/>
    <n v="18951.310000000001"/>
    <x v="0"/>
  </r>
  <r>
    <x v="6"/>
    <x v="0"/>
    <x v="5"/>
    <x v="0"/>
    <x v="0"/>
    <x v="0"/>
    <x v="1"/>
    <n v="4"/>
    <n v="25926.77"/>
    <n v="105468.16"/>
    <x v="0"/>
  </r>
  <r>
    <x v="6"/>
    <x v="0"/>
    <x v="5"/>
    <x v="0"/>
    <x v="0"/>
    <x v="1"/>
    <x v="0"/>
    <n v="9"/>
    <n v="52502.31"/>
    <n v="140646.73000000001"/>
    <x v="0"/>
  </r>
  <r>
    <x v="6"/>
    <x v="0"/>
    <x v="5"/>
    <x v="0"/>
    <x v="0"/>
    <x v="1"/>
    <x v="1"/>
    <n v="9"/>
    <n v="48028"/>
    <n v="125558.19"/>
    <x v="0"/>
  </r>
  <r>
    <x v="6"/>
    <x v="0"/>
    <x v="5"/>
    <x v="0"/>
    <x v="1"/>
    <x v="0"/>
    <x v="0"/>
    <n v="3"/>
    <n v="17616.8"/>
    <n v="70037.45"/>
    <x v="0"/>
  </r>
  <r>
    <x v="6"/>
    <x v="0"/>
    <x v="5"/>
    <x v="0"/>
    <x v="1"/>
    <x v="1"/>
    <x v="1"/>
    <n v="8"/>
    <n v="41634.19"/>
    <n v="105962.54"/>
    <x v="0"/>
  </r>
  <r>
    <x v="6"/>
    <x v="0"/>
    <x v="5"/>
    <x v="0"/>
    <x v="2"/>
    <x v="0"/>
    <x v="1"/>
    <n v="5"/>
    <n v="26490.28"/>
    <n v="107940.07"/>
    <x v="0"/>
  </r>
  <r>
    <x v="6"/>
    <x v="0"/>
    <x v="5"/>
    <x v="0"/>
    <x v="2"/>
    <x v="1"/>
    <x v="0"/>
    <n v="7"/>
    <n v="33145.620000000003"/>
    <n v="80005.42"/>
    <x v="0"/>
  </r>
  <r>
    <x v="6"/>
    <x v="0"/>
    <x v="5"/>
    <x v="0"/>
    <x v="2"/>
    <x v="1"/>
    <x v="1"/>
    <n v="11"/>
    <n v="63446.239999999998"/>
    <n v="160669.20000000001"/>
    <x v="0"/>
  </r>
  <r>
    <x v="6"/>
    <x v="0"/>
    <x v="5"/>
    <x v="0"/>
    <x v="3"/>
    <x v="0"/>
    <x v="0"/>
    <n v="3"/>
    <n v="19134.79"/>
    <n v="79101.119999999995"/>
    <x v="0"/>
  </r>
  <r>
    <x v="6"/>
    <x v="0"/>
    <x v="5"/>
    <x v="0"/>
    <x v="3"/>
    <x v="0"/>
    <x v="1"/>
    <n v="4"/>
    <n v="21879.7"/>
    <n v="88988.76"/>
    <x v="0"/>
  </r>
  <r>
    <x v="6"/>
    <x v="0"/>
    <x v="5"/>
    <x v="0"/>
    <x v="3"/>
    <x v="1"/>
    <x v="0"/>
    <n v="11"/>
    <n v="54688.69"/>
    <n v="141562.35"/>
    <x v="0"/>
  </r>
  <r>
    <x v="6"/>
    <x v="0"/>
    <x v="5"/>
    <x v="0"/>
    <x v="3"/>
    <x v="1"/>
    <x v="1"/>
    <n v="26"/>
    <n v="143880.49"/>
    <n v="375307.11"/>
    <x v="0"/>
  </r>
  <r>
    <x v="6"/>
    <x v="0"/>
    <x v="5"/>
    <x v="0"/>
    <x v="4"/>
    <x v="0"/>
    <x v="1"/>
    <n v="1"/>
    <n v="6540.27"/>
    <n v="26367.040000000001"/>
    <x v="0"/>
  </r>
  <r>
    <x v="6"/>
    <x v="0"/>
    <x v="5"/>
    <x v="0"/>
    <x v="4"/>
    <x v="1"/>
    <x v="0"/>
    <n v="2"/>
    <n v="8322.7800000000007"/>
    <n v="22148.31"/>
    <x v="0"/>
  </r>
  <r>
    <x v="6"/>
    <x v="0"/>
    <x v="5"/>
    <x v="0"/>
    <x v="4"/>
    <x v="1"/>
    <x v="1"/>
    <n v="4"/>
    <n v="19637.830000000002"/>
    <n v="50867.24"/>
    <x v="0"/>
  </r>
  <r>
    <x v="6"/>
    <x v="0"/>
    <x v="5"/>
    <x v="0"/>
    <x v="5"/>
    <x v="1"/>
    <x v="0"/>
    <n v="7"/>
    <n v="43227.69"/>
    <n v="111857.23"/>
    <x v="0"/>
  </r>
  <r>
    <x v="6"/>
    <x v="0"/>
    <x v="5"/>
    <x v="0"/>
    <x v="5"/>
    <x v="1"/>
    <x v="1"/>
    <n v="22"/>
    <n v="126780.34"/>
    <n v="341895.99"/>
    <x v="0"/>
  </r>
  <r>
    <x v="6"/>
    <x v="0"/>
    <x v="5"/>
    <x v="0"/>
    <x v="6"/>
    <x v="0"/>
    <x v="1"/>
    <n v="1"/>
    <n v="4827"/>
    <n v="18951.310000000001"/>
    <x v="0"/>
  </r>
  <r>
    <x v="6"/>
    <x v="0"/>
    <x v="5"/>
    <x v="0"/>
    <x v="6"/>
    <x v="1"/>
    <x v="1"/>
    <n v="2"/>
    <n v="13329.4"/>
    <n v="34646.29"/>
    <x v="0"/>
  </r>
  <r>
    <x v="6"/>
    <x v="0"/>
    <x v="5"/>
    <x v="0"/>
    <x v="7"/>
    <x v="1"/>
    <x v="1"/>
    <n v="1"/>
    <n v="4637.96"/>
    <n v="12659.48"/>
    <x v="0"/>
  </r>
  <r>
    <x v="6"/>
    <x v="0"/>
    <x v="5"/>
    <x v="0"/>
    <x v="8"/>
    <x v="1"/>
    <x v="1"/>
    <n v="6"/>
    <n v="30352.57"/>
    <n v="76610.649999999994"/>
    <x v="0"/>
  </r>
  <r>
    <x v="6"/>
    <x v="0"/>
    <x v="5"/>
    <x v="1"/>
    <x v="9"/>
    <x v="1"/>
    <x v="1"/>
    <n v="1"/>
    <n v="6417.07"/>
    <n v="18140.52"/>
    <x v="0"/>
  </r>
  <r>
    <x v="6"/>
    <x v="0"/>
    <x v="5"/>
    <x v="1"/>
    <x v="31"/>
    <x v="1"/>
    <x v="0"/>
    <n v="5"/>
    <n v="33745.4"/>
    <n v="91625.46"/>
    <x v="0"/>
  </r>
  <r>
    <x v="6"/>
    <x v="0"/>
    <x v="5"/>
    <x v="1"/>
    <x v="10"/>
    <x v="0"/>
    <x v="0"/>
    <n v="1"/>
    <n v="4233.01"/>
    <n v="17303.37"/>
    <x v="0"/>
  </r>
  <r>
    <x v="6"/>
    <x v="0"/>
    <x v="5"/>
    <x v="1"/>
    <x v="10"/>
    <x v="0"/>
    <x v="1"/>
    <n v="5"/>
    <n v="28897.93"/>
    <n v="115355.8"/>
    <x v="0"/>
  </r>
  <r>
    <x v="6"/>
    <x v="0"/>
    <x v="5"/>
    <x v="1"/>
    <x v="10"/>
    <x v="1"/>
    <x v="0"/>
    <n v="15"/>
    <n v="88788.71"/>
    <n v="251305.46"/>
    <x v="0"/>
  </r>
  <r>
    <x v="6"/>
    <x v="0"/>
    <x v="5"/>
    <x v="1"/>
    <x v="10"/>
    <x v="1"/>
    <x v="1"/>
    <n v="27"/>
    <n v="144426.67000000001"/>
    <n v="394865.54"/>
    <x v="0"/>
  </r>
  <r>
    <x v="6"/>
    <x v="0"/>
    <x v="5"/>
    <x v="1"/>
    <x v="11"/>
    <x v="0"/>
    <x v="1"/>
    <n v="4"/>
    <n v="19638.64"/>
    <n v="81573.03"/>
    <x v="0"/>
  </r>
  <r>
    <x v="6"/>
    <x v="0"/>
    <x v="5"/>
    <x v="1"/>
    <x v="11"/>
    <x v="1"/>
    <x v="0"/>
    <n v="4"/>
    <n v="25176.27"/>
    <n v="67990.83"/>
    <x v="0"/>
  </r>
  <r>
    <x v="6"/>
    <x v="0"/>
    <x v="5"/>
    <x v="1"/>
    <x v="11"/>
    <x v="1"/>
    <x v="1"/>
    <n v="17"/>
    <n v="79417.94"/>
    <n v="208340.8"/>
    <x v="0"/>
  </r>
  <r>
    <x v="6"/>
    <x v="0"/>
    <x v="5"/>
    <x v="1"/>
    <x v="12"/>
    <x v="1"/>
    <x v="1"/>
    <n v="5"/>
    <n v="22678.13"/>
    <n v="61431.91"/>
    <x v="0"/>
  </r>
  <r>
    <x v="6"/>
    <x v="0"/>
    <x v="5"/>
    <x v="1"/>
    <x v="13"/>
    <x v="0"/>
    <x v="1"/>
    <n v="2"/>
    <n v="11015.08"/>
    <n v="45318.35"/>
    <x v="0"/>
  </r>
  <r>
    <x v="6"/>
    <x v="0"/>
    <x v="5"/>
    <x v="1"/>
    <x v="13"/>
    <x v="1"/>
    <x v="0"/>
    <n v="9"/>
    <n v="41066.15"/>
    <n v="112785.83"/>
    <x v="0"/>
  </r>
  <r>
    <x v="6"/>
    <x v="0"/>
    <x v="5"/>
    <x v="1"/>
    <x v="13"/>
    <x v="1"/>
    <x v="1"/>
    <n v="9"/>
    <n v="55474.46"/>
    <n v="151503.35999999999"/>
    <x v="0"/>
  </r>
  <r>
    <x v="6"/>
    <x v="0"/>
    <x v="5"/>
    <x v="1"/>
    <x v="14"/>
    <x v="0"/>
    <x v="1"/>
    <n v="3"/>
    <n v="15237.66"/>
    <n v="62621.72"/>
    <x v="0"/>
  </r>
  <r>
    <x v="6"/>
    <x v="0"/>
    <x v="5"/>
    <x v="1"/>
    <x v="14"/>
    <x v="1"/>
    <x v="0"/>
    <n v="9"/>
    <n v="49301.54"/>
    <n v="134300.51999999999"/>
    <x v="0"/>
  </r>
  <r>
    <x v="6"/>
    <x v="0"/>
    <x v="5"/>
    <x v="1"/>
    <x v="14"/>
    <x v="1"/>
    <x v="1"/>
    <n v="2"/>
    <n v="11170.1"/>
    <n v="29437.03"/>
    <x v="0"/>
  </r>
  <r>
    <x v="6"/>
    <x v="0"/>
    <x v="5"/>
    <x v="1"/>
    <x v="15"/>
    <x v="1"/>
    <x v="0"/>
    <n v="3"/>
    <n v="13979.94"/>
    <n v="39286.07"/>
    <x v="0"/>
  </r>
  <r>
    <x v="6"/>
    <x v="0"/>
    <x v="5"/>
    <x v="1"/>
    <x v="16"/>
    <x v="0"/>
    <x v="1"/>
    <n v="1"/>
    <n v="4735.53"/>
    <n v="18951.310000000001"/>
    <x v="0"/>
  </r>
  <r>
    <x v="6"/>
    <x v="0"/>
    <x v="5"/>
    <x v="1"/>
    <x v="16"/>
    <x v="1"/>
    <x v="0"/>
    <n v="7"/>
    <n v="30651.23"/>
    <n v="79699.320000000007"/>
    <x v="0"/>
  </r>
  <r>
    <x v="6"/>
    <x v="0"/>
    <x v="5"/>
    <x v="1"/>
    <x v="16"/>
    <x v="1"/>
    <x v="1"/>
    <n v="10"/>
    <n v="51515.519999999997"/>
    <n v="133916.54"/>
    <x v="0"/>
  </r>
  <r>
    <x v="6"/>
    <x v="0"/>
    <x v="5"/>
    <x v="1"/>
    <x v="17"/>
    <x v="0"/>
    <x v="1"/>
    <n v="4"/>
    <n v="19312.75"/>
    <n v="78277.149999999994"/>
    <x v="0"/>
  </r>
  <r>
    <x v="6"/>
    <x v="0"/>
    <x v="5"/>
    <x v="1"/>
    <x v="17"/>
    <x v="1"/>
    <x v="0"/>
    <n v="3"/>
    <n v="19982.88"/>
    <n v="52523.14"/>
    <x v="0"/>
  </r>
  <r>
    <x v="6"/>
    <x v="0"/>
    <x v="5"/>
    <x v="1"/>
    <x v="17"/>
    <x v="1"/>
    <x v="1"/>
    <n v="1"/>
    <n v="4627.38"/>
    <n v="12583.67"/>
    <x v="0"/>
  </r>
  <r>
    <x v="6"/>
    <x v="0"/>
    <x v="5"/>
    <x v="1"/>
    <x v="18"/>
    <x v="0"/>
    <x v="1"/>
    <n v="6"/>
    <n v="32799.53"/>
    <n v="135955.04999999999"/>
    <x v="0"/>
  </r>
  <r>
    <x v="6"/>
    <x v="0"/>
    <x v="5"/>
    <x v="1"/>
    <x v="18"/>
    <x v="1"/>
    <x v="0"/>
    <n v="13"/>
    <n v="71122.92"/>
    <n v="193519.29"/>
    <x v="0"/>
  </r>
  <r>
    <x v="6"/>
    <x v="0"/>
    <x v="5"/>
    <x v="1"/>
    <x v="18"/>
    <x v="1"/>
    <x v="1"/>
    <n v="43"/>
    <n v="223557.37"/>
    <n v="628634.01"/>
    <x v="0"/>
  </r>
  <r>
    <x v="6"/>
    <x v="0"/>
    <x v="5"/>
    <x v="1"/>
    <x v="19"/>
    <x v="1"/>
    <x v="0"/>
    <n v="7"/>
    <n v="46006.41"/>
    <n v="124399.69"/>
    <x v="0"/>
  </r>
  <r>
    <x v="6"/>
    <x v="0"/>
    <x v="5"/>
    <x v="1"/>
    <x v="19"/>
    <x v="1"/>
    <x v="1"/>
    <n v="11"/>
    <n v="54305.69"/>
    <n v="143424.79"/>
    <x v="0"/>
  </r>
  <r>
    <x v="6"/>
    <x v="0"/>
    <x v="5"/>
    <x v="1"/>
    <x v="20"/>
    <x v="0"/>
    <x v="0"/>
    <n v="2"/>
    <n v="13113.04"/>
    <n v="52734.080000000002"/>
    <x v="0"/>
  </r>
  <r>
    <x v="6"/>
    <x v="0"/>
    <x v="5"/>
    <x v="1"/>
    <x v="20"/>
    <x v="0"/>
    <x v="1"/>
    <n v="11"/>
    <n v="60227.58"/>
    <n v="245543.06"/>
    <x v="0"/>
  </r>
  <r>
    <x v="6"/>
    <x v="0"/>
    <x v="5"/>
    <x v="1"/>
    <x v="20"/>
    <x v="1"/>
    <x v="0"/>
    <n v="4"/>
    <n v="17947.8"/>
    <n v="48073.71"/>
    <x v="0"/>
  </r>
  <r>
    <x v="6"/>
    <x v="0"/>
    <x v="5"/>
    <x v="1"/>
    <x v="20"/>
    <x v="1"/>
    <x v="1"/>
    <n v="29"/>
    <n v="160066.66"/>
    <n v="430690.52"/>
    <x v="0"/>
  </r>
  <r>
    <x v="6"/>
    <x v="0"/>
    <x v="5"/>
    <x v="2"/>
    <x v="21"/>
    <x v="1"/>
    <x v="1"/>
    <n v="3"/>
    <n v="13971.6"/>
    <n v="34624.04"/>
    <x v="0"/>
  </r>
  <r>
    <x v="6"/>
    <x v="0"/>
    <x v="5"/>
    <x v="2"/>
    <x v="22"/>
    <x v="1"/>
    <x v="0"/>
    <n v="4"/>
    <n v="19462.75"/>
    <n v="47670.78"/>
    <x v="0"/>
  </r>
  <r>
    <x v="6"/>
    <x v="0"/>
    <x v="5"/>
    <x v="2"/>
    <x v="22"/>
    <x v="1"/>
    <x v="1"/>
    <n v="4"/>
    <n v="20170"/>
    <n v="49677.98"/>
    <x v="0"/>
  </r>
  <r>
    <x v="6"/>
    <x v="0"/>
    <x v="5"/>
    <x v="2"/>
    <x v="29"/>
    <x v="0"/>
    <x v="1"/>
    <n v="2"/>
    <n v="10626.59"/>
    <n v="43670.41"/>
    <x v="0"/>
  </r>
  <r>
    <x v="6"/>
    <x v="0"/>
    <x v="5"/>
    <x v="2"/>
    <x v="24"/>
    <x v="0"/>
    <x v="1"/>
    <n v="4"/>
    <n v="25901.52"/>
    <n v="105468.16"/>
    <x v="0"/>
  </r>
  <r>
    <x v="6"/>
    <x v="0"/>
    <x v="5"/>
    <x v="2"/>
    <x v="24"/>
    <x v="1"/>
    <x v="1"/>
    <n v="5"/>
    <n v="32639.15"/>
    <n v="81737.820000000007"/>
    <x v="0"/>
  </r>
  <r>
    <x v="6"/>
    <x v="0"/>
    <x v="5"/>
    <x v="3"/>
    <x v="25"/>
    <x v="1"/>
    <x v="1"/>
    <n v="5"/>
    <n v="20815.5"/>
    <n v="59264.04"/>
    <x v="0"/>
  </r>
  <r>
    <x v="6"/>
    <x v="0"/>
    <x v="5"/>
    <x v="3"/>
    <x v="26"/>
    <x v="0"/>
    <x v="0"/>
    <n v="1"/>
    <n v="4104.67"/>
    <n v="17303.37"/>
    <x v="0"/>
  </r>
  <r>
    <x v="6"/>
    <x v="0"/>
    <x v="5"/>
    <x v="3"/>
    <x v="26"/>
    <x v="0"/>
    <x v="1"/>
    <n v="3"/>
    <n v="15524.84"/>
    <n v="62621.72"/>
    <x v="0"/>
  </r>
  <r>
    <x v="6"/>
    <x v="0"/>
    <x v="5"/>
    <x v="3"/>
    <x v="26"/>
    <x v="1"/>
    <x v="0"/>
    <n v="6"/>
    <n v="38141.599999999999"/>
    <n v="109159.55"/>
    <x v="0"/>
  </r>
  <r>
    <x v="6"/>
    <x v="0"/>
    <x v="5"/>
    <x v="3"/>
    <x v="26"/>
    <x v="1"/>
    <x v="1"/>
    <n v="8"/>
    <n v="49626.45"/>
    <n v="140429.21"/>
    <x v="0"/>
  </r>
  <r>
    <x v="6"/>
    <x v="0"/>
    <x v="5"/>
    <x v="3"/>
    <x v="27"/>
    <x v="0"/>
    <x v="0"/>
    <n v="3"/>
    <n v="17212.55"/>
    <n v="70037.45"/>
    <x v="0"/>
  </r>
  <r>
    <x v="6"/>
    <x v="0"/>
    <x v="5"/>
    <x v="3"/>
    <x v="27"/>
    <x v="0"/>
    <x v="1"/>
    <n v="5"/>
    <n v="26737.88"/>
    <n v="109588.01"/>
    <x v="0"/>
  </r>
  <r>
    <x v="6"/>
    <x v="0"/>
    <x v="5"/>
    <x v="3"/>
    <x v="27"/>
    <x v="1"/>
    <x v="0"/>
    <n v="7"/>
    <n v="39229.46"/>
    <n v="106545.09"/>
    <x v="0"/>
  </r>
  <r>
    <x v="6"/>
    <x v="0"/>
    <x v="5"/>
    <x v="3"/>
    <x v="27"/>
    <x v="1"/>
    <x v="1"/>
    <n v="32"/>
    <n v="178997.7"/>
    <n v="487200.06"/>
    <x v="0"/>
  </r>
  <r>
    <x v="6"/>
    <x v="0"/>
    <x v="6"/>
    <x v="0"/>
    <x v="0"/>
    <x v="0"/>
    <x v="0"/>
    <n v="2"/>
    <n v="4945.26"/>
    <n v="17730.080000000002"/>
    <x v="0"/>
  </r>
  <r>
    <x v="6"/>
    <x v="0"/>
    <x v="6"/>
    <x v="0"/>
    <x v="0"/>
    <x v="0"/>
    <x v="1"/>
    <n v="2"/>
    <n v="5971.33"/>
    <n v="20631.36"/>
    <x v="0"/>
  </r>
  <r>
    <x v="6"/>
    <x v="0"/>
    <x v="6"/>
    <x v="0"/>
    <x v="0"/>
    <x v="1"/>
    <x v="0"/>
    <n v="2"/>
    <n v="4205.26"/>
    <n v="9698.0400000000009"/>
    <x v="0"/>
  </r>
  <r>
    <x v="6"/>
    <x v="0"/>
    <x v="6"/>
    <x v="0"/>
    <x v="1"/>
    <x v="0"/>
    <x v="0"/>
    <n v="4"/>
    <n v="10209.25"/>
    <n v="35460.160000000003"/>
    <x v="0"/>
  </r>
  <r>
    <x v="6"/>
    <x v="0"/>
    <x v="6"/>
    <x v="0"/>
    <x v="1"/>
    <x v="0"/>
    <x v="1"/>
    <n v="4"/>
    <n v="12090.26"/>
    <n v="41262.720000000001"/>
    <x v="0"/>
  </r>
  <r>
    <x v="6"/>
    <x v="0"/>
    <x v="6"/>
    <x v="0"/>
    <x v="1"/>
    <x v="1"/>
    <x v="0"/>
    <n v="10"/>
    <n v="27273.24"/>
    <n v="60395.21"/>
    <x v="0"/>
  </r>
  <r>
    <x v="6"/>
    <x v="0"/>
    <x v="6"/>
    <x v="0"/>
    <x v="1"/>
    <x v="1"/>
    <x v="1"/>
    <n v="13"/>
    <n v="31593.32"/>
    <n v="71304.59"/>
    <x v="0"/>
  </r>
  <r>
    <x v="6"/>
    <x v="0"/>
    <x v="6"/>
    <x v="0"/>
    <x v="2"/>
    <x v="0"/>
    <x v="1"/>
    <n v="6"/>
    <n v="12850.39"/>
    <n v="45453.48"/>
    <x v="0"/>
  </r>
  <r>
    <x v="6"/>
    <x v="0"/>
    <x v="6"/>
    <x v="0"/>
    <x v="2"/>
    <x v="1"/>
    <x v="0"/>
    <n v="8"/>
    <n v="22241.63"/>
    <n v="47148.79"/>
    <x v="0"/>
  </r>
  <r>
    <x v="6"/>
    <x v="0"/>
    <x v="6"/>
    <x v="0"/>
    <x v="2"/>
    <x v="1"/>
    <x v="1"/>
    <n v="5"/>
    <n v="15027.36"/>
    <n v="32030.18"/>
    <x v="0"/>
  </r>
  <r>
    <x v="6"/>
    <x v="0"/>
    <x v="6"/>
    <x v="0"/>
    <x v="3"/>
    <x v="0"/>
    <x v="1"/>
    <n v="8"/>
    <n v="21684.67"/>
    <n v="75755.78"/>
    <x v="0"/>
  </r>
  <r>
    <x v="6"/>
    <x v="0"/>
    <x v="6"/>
    <x v="0"/>
    <x v="3"/>
    <x v="1"/>
    <x v="0"/>
    <n v="3"/>
    <n v="8860.9"/>
    <n v="19991.79"/>
    <x v="0"/>
  </r>
  <r>
    <x v="6"/>
    <x v="0"/>
    <x v="6"/>
    <x v="0"/>
    <x v="3"/>
    <x v="1"/>
    <x v="1"/>
    <n v="24"/>
    <n v="61268.39"/>
    <n v="137749.9"/>
    <x v="0"/>
  </r>
  <r>
    <x v="6"/>
    <x v="0"/>
    <x v="6"/>
    <x v="0"/>
    <x v="28"/>
    <x v="1"/>
    <x v="1"/>
    <n v="1"/>
    <n v="2955.59"/>
    <n v="6746.45"/>
    <x v="0"/>
  </r>
  <r>
    <x v="6"/>
    <x v="0"/>
    <x v="6"/>
    <x v="0"/>
    <x v="4"/>
    <x v="0"/>
    <x v="1"/>
    <n v="1"/>
    <n v="2118.9899999999998"/>
    <n v="7414.4"/>
    <x v="0"/>
  </r>
  <r>
    <x v="6"/>
    <x v="0"/>
    <x v="6"/>
    <x v="0"/>
    <x v="4"/>
    <x v="1"/>
    <x v="1"/>
    <n v="8"/>
    <n v="23951.57"/>
    <n v="52816.29"/>
    <x v="0"/>
  </r>
  <r>
    <x v="6"/>
    <x v="0"/>
    <x v="6"/>
    <x v="0"/>
    <x v="5"/>
    <x v="0"/>
    <x v="1"/>
    <n v="2"/>
    <n v="5981.31"/>
    <n v="20631.36"/>
    <x v="0"/>
  </r>
  <r>
    <x v="6"/>
    <x v="0"/>
    <x v="6"/>
    <x v="0"/>
    <x v="5"/>
    <x v="1"/>
    <x v="1"/>
    <n v="10"/>
    <n v="21432.11"/>
    <n v="48969.42"/>
    <x v="0"/>
  </r>
  <r>
    <x v="6"/>
    <x v="0"/>
    <x v="6"/>
    <x v="0"/>
    <x v="6"/>
    <x v="1"/>
    <x v="1"/>
    <n v="1"/>
    <n v="2947.94"/>
    <n v="6777.4"/>
    <x v="0"/>
  </r>
  <r>
    <x v="6"/>
    <x v="0"/>
    <x v="6"/>
    <x v="0"/>
    <x v="7"/>
    <x v="1"/>
    <x v="1"/>
    <n v="3"/>
    <n v="7178.85"/>
    <n v="16796.509999999998"/>
    <x v="0"/>
  </r>
  <r>
    <x v="6"/>
    <x v="0"/>
    <x v="6"/>
    <x v="0"/>
    <x v="8"/>
    <x v="0"/>
    <x v="1"/>
    <n v="3"/>
    <n v="8080.92"/>
    <n v="28045.759999999998"/>
    <x v="0"/>
  </r>
  <r>
    <x v="6"/>
    <x v="0"/>
    <x v="6"/>
    <x v="0"/>
    <x v="8"/>
    <x v="1"/>
    <x v="1"/>
    <n v="6"/>
    <n v="16302.5"/>
    <n v="35524.6"/>
    <x v="0"/>
  </r>
  <r>
    <x v="6"/>
    <x v="0"/>
    <x v="6"/>
    <x v="1"/>
    <x v="9"/>
    <x v="1"/>
    <x v="1"/>
    <n v="6"/>
    <n v="17997.439999999999"/>
    <n v="42583.13"/>
    <x v="0"/>
  </r>
  <r>
    <x v="6"/>
    <x v="0"/>
    <x v="6"/>
    <x v="1"/>
    <x v="10"/>
    <x v="0"/>
    <x v="0"/>
    <n v="4"/>
    <n v="9060.41"/>
    <n v="31591.78"/>
    <x v="0"/>
  </r>
  <r>
    <x v="6"/>
    <x v="0"/>
    <x v="6"/>
    <x v="1"/>
    <x v="10"/>
    <x v="0"/>
    <x v="1"/>
    <n v="1"/>
    <n v="3050.91"/>
    <n v="10315.68"/>
    <x v="0"/>
  </r>
  <r>
    <x v="6"/>
    <x v="0"/>
    <x v="6"/>
    <x v="1"/>
    <x v="10"/>
    <x v="1"/>
    <x v="0"/>
    <n v="13"/>
    <n v="33213.129999999997"/>
    <n v="79437.570000000007"/>
    <x v="0"/>
  </r>
  <r>
    <x v="6"/>
    <x v="0"/>
    <x v="6"/>
    <x v="1"/>
    <x v="10"/>
    <x v="1"/>
    <x v="1"/>
    <n v="15"/>
    <n v="33925.17"/>
    <n v="80168.149999999994"/>
    <x v="0"/>
  </r>
  <r>
    <x v="6"/>
    <x v="0"/>
    <x v="6"/>
    <x v="1"/>
    <x v="11"/>
    <x v="0"/>
    <x v="1"/>
    <n v="14"/>
    <n v="38129.050000000003"/>
    <n v="132814.39999999999"/>
    <x v="0"/>
  </r>
  <r>
    <x v="6"/>
    <x v="0"/>
    <x v="6"/>
    <x v="1"/>
    <x v="11"/>
    <x v="1"/>
    <x v="0"/>
    <n v="5"/>
    <n v="12831.95"/>
    <n v="28497.07"/>
    <x v="0"/>
  </r>
  <r>
    <x v="6"/>
    <x v="0"/>
    <x v="6"/>
    <x v="1"/>
    <x v="11"/>
    <x v="1"/>
    <x v="1"/>
    <n v="28"/>
    <n v="71737.320000000007"/>
    <n v="162844.68"/>
    <x v="0"/>
  </r>
  <r>
    <x v="6"/>
    <x v="0"/>
    <x v="6"/>
    <x v="1"/>
    <x v="13"/>
    <x v="0"/>
    <x v="1"/>
    <n v="2"/>
    <n v="4718.6000000000004"/>
    <n v="16762.98"/>
    <x v="0"/>
  </r>
  <r>
    <x v="6"/>
    <x v="0"/>
    <x v="6"/>
    <x v="1"/>
    <x v="13"/>
    <x v="1"/>
    <x v="1"/>
    <n v="15"/>
    <n v="42401.53"/>
    <n v="100105.93"/>
    <x v="0"/>
  </r>
  <r>
    <x v="6"/>
    <x v="0"/>
    <x v="6"/>
    <x v="1"/>
    <x v="14"/>
    <x v="0"/>
    <x v="1"/>
    <n v="3"/>
    <n v="8684.7000000000007"/>
    <n v="30947.040000000001"/>
    <x v="0"/>
  </r>
  <r>
    <x v="6"/>
    <x v="0"/>
    <x v="6"/>
    <x v="1"/>
    <x v="14"/>
    <x v="1"/>
    <x v="0"/>
    <n v="9"/>
    <n v="20584.150000000001"/>
    <n v="48451.48"/>
    <x v="0"/>
  </r>
  <r>
    <x v="6"/>
    <x v="0"/>
    <x v="6"/>
    <x v="1"/>
    <x v="14"/>
    <x v="1"/>
    <x v="1"/>
    <n v="11"/>
    <n v="28145.68"/>
    <n v="64817.29"/>
    <x v="0"/>
  </r>
  <r>
    <x v="6"/>
    <x v="0"/>
    <x v="6"/>
    <x v="1"/>
    <x v="15"/>
    <x v="1"/>
    <x v="0"/>
    <n v="1"/>
    <n v="3000.31"/>
    <n v="7128.13"/>
    <x v="0"/>
  </r>
  <r>
    <x v="6"/>
    <x v="0"/>
    <x v="6"/>
    <x v="1"/>
    <x v="16"/>
    <x v="0"/>
    <x v="1"/>
    <n v="1"/>
    <n v="2844.55"/>
    <n v="10315.68"/>
    <x v="0"/>
  </r>
  <r>
    <x v="6"/>
    <x v="0"/>
    <x v="6"/>
    <x v="1"/>
    <x v="16"/>
    <x v="1"/>
    <x v="1"/>
    <n v="11"/>
    <n v="25418.58"/>
    <n v="56968.73"/>
    <x v="0"/>
  </r>
  <r>
    <x v="6"/>
    <x v="0"/>
    <x v="6"/>
    <x v="1"/>
    <x v="17"/>
    <x v="0"/>
    <x v="1"/>
    <n v="2"/>
    <n v="5991.2"/>
    <n v="20631.36"/>
    <x v="0"/>
  </r>
  <r>
    <x v="6"/>
    <x v="0"/>
    <x v="6"/>
    <x v="1"/>
    <x v="17"/>
    <x v="1"/>
    <x v="0"/>
    <n v="1"/>
    <n v="2120.39"/>
    <n v="4923.16"/>
    <x v="0"/>
  </r>
  <r>
    <x v="6"/>
    <x v="0"/>
    <x v="6"/>
    <x v="1"/>
    <x v="17"/>
    <x v="1"/>
    <x v="1"/>
    <n v="8"/>
    <n v="23409.38"/>
    <n v="54796.89"/>
    <x v="0"/>
  </r>
  <r>
    <x v="6"/>
    <x v="0"/>
    <x v="6"/>
    <x v="1"/>
    <x v="18"/>
    <x v="0"/>
    <x v="1"/>
    <n v="8"/>
    <n v="22917.71"/>
    <n v="79624.160000000003"/>
    <x v="0"/>
  </r>
  <r>
    <x v="6"/>
    <x v="0"/>
    <x v="6"/>
    <x v="1"/>
    <x v="18"/>
    <x v="1"/>
    <x v="0"/>
    <n v="2"/>
    <n v="5843.58"/>
    <n v="14338.8"/>
    <x v="0"/>
  </r>
  <r>
    <x v="6"/>
    <x v="0"/>
    <x v="6"/>
    <x v="1"/>
    <x v="18"/>
    <x v="1"/>
    <x v="1"/>
    <n v="23"/>
    <n v="52863.02"/>
    <n v="129942.15"/>
    <x v="0"/>
  </r>
  <r>
    <x v="6"/>
    <x v="0"/>
    <x v="6"/>
    <x v="1"/>
    <x v="19"/>
    <x v="0"/>
    <x v="1"/>
    <n v="6"/>
    <n v="17090.759999999998"/>
    <n v="58992.800000000003"/>
    <x v="0"/>
  </r>
  <r>
    <x v="6"/>
    <x v="0"/>
    <x v="6"/>
    <x v="1"/>
    <x v="19"/>
    <x v="1"/>
    <x v="0"/>
    <n v="4"/>
    <n v="7273.07"/>
    <n v="17381.919999999998"/>
    <x v="0"/>
  </r>
  <r>
    <x v="6"/>
    <x v="0"/>
    <x v="6"/>
    <x v="1"/>
    <x v="19"/>
    <x v="1"/>
    <x v="1"/>
    <n v="29"/>
    <n v="75525.710000000006"/>
    <n v="180120.19"/>
    <x v="0"/>
  </r>
  <r>
    <x v="6"/>
    <x v="0"/>
    <x v="6"/>
    <x v="1"/>
    <x v="20"/>
    <x v="0"/>
    <x v="1"/>
    <n v="4"/>
    <n v="10041.94"/>
    <n v="34493.06"/>
    <x v="0"/>
  </r>
  <r>
    <x v="6"/>
    <x v="0"/>
    <x v="6"/>
    <x v="1"/>
    <x v="20"/>
    <x v="1"/>
    <x v="0"/>
    <n v="2"/>
    <n v="5816.31"/>
    <n v="13678.6"/>
    <x v="0"/>
  </r>
  <r>
    <x v="6"/>
    <x v="0"/>
    <x v="6"/>
    <x v="1"/>
    <x v="20"/>
    <x v="1"/>
    <x v="1"/>
    <n v="19"/>
    <n v="51637.27"/>
    <n v="119338.43"/>
    <x v="0"/>
  </r>
  <r>
    <x v="6"/>
    <x v="0"/>
    <x v="6"/>
    <x v="2"/>
    <x v="22"/>
    <x v="0"/>
    <x v="1"/>
    <n v="1"/>
    <n v="1802.3"/>
    <n v="6447.3"/>
    <x v="0"/>
  </r>
  <r>
    <x v="6"/>
    <x v="0"/>
    <x v="6"/>
    <x v="2"/>
    <x v="22"/>
    <x v="1"/>
    <x v="0"/>
    <n v="5"/>
    <n v="14717.06"/>
    <n v="30978.7"/>
    <x v="0"/>
  </r>
  <r>
    <x v="6"/>
    <x v="0"/>
    <x v="6"/>
    <x v="2"/>
    <x v="22"/>
    <x v="1"/>
    <x v="1"/>
    <n v="10"/>
    <n v="22424.22"/>
    <n v="47509.52"/>
    <x v="0"/>
  </r>
  <r>
    <x v="6"/>
    <x v="0"/>
    <x v="6"/>
    <x v="2"/>
    <x v="23"/>
    <x v="1"/>
    <x v="1"/>
    <n v="2"/>
    <n v="4770.0200000000004"/>
    <n v="10627.73"/>
    <x v="0"/>
  </r>
  <r>
    <x v="6"/>
    <x v="0"/>
    <x v="6"/>
    <x v="2"/>
    <x v="24"/>
    <x v="0"/>
    <x v="1"/>
    <n v="1"/>
    <n v="3024.56"/>
    <n v="10315.68"/>
    <x v="0"/>
  </r>
  <r>
    <x v="6"/>
    <x v="0"/>
    <x v="6"/>
    <x v="2"/>
    <x v="24"/>
    <x v="1"/>
    <x v="0"/>
    <n v="1"/>
    <n v="2105.5"/>
    <n v="4596.93"/>
    <x v="0"/>
  </r>
  <r>
    <x v="6"/>
    <x v="0"/>
    <x v="6"/>
    <x v="2"/>
    <x v="24"/>
    <x v="1"/>
    <x v="1"/>
    <n v="5"/>
    <n v="10374.92"/>
    <n v="22984.65"/>
    <x v="0"/>
  </r>
  <r>
    <x v="6"/>
    <x v="0"/>
    <x v="6"/>
    <x v="3"/>
    <x v="25"/>
    <x v="0"/>
    <x v="1"/>
    <n v="1"/>
    <n v="2060.71"/>
    <n v="7414.4"/>
    <x v="0"/>
  </r>
  <r>
    <x v="6"/>
    <x v="0"/>
    <x v="6"/>
    <x v="3"/>
    <x v="25"/>
    <x v="1"/>
    <x v="0"/>
    <n v="10"/>
    <n v="25409.43"/>
    <n v="58659.09"/>
    <x v="0"/>
  </r>
  <r>
    <x v="6"/>
    <x v="0"/>
    <x v="6"/>
    <x v="3"/>
    <x v="25"/>
    <x v="1"/>
    <x v="1"/>
    <n v="7"/>
    <n v="19703.95"/>
    <n v="45488.93"/>
    <x v="0"/>
  </r>
  <r>
    <x v="6"/>
    <x v="0"/>
    <x v="6"/>
    <x v="3"/>
    <x v="26"/>
    <x v="0"/>
    <x v="0"/>
    <n v="1"/>
    <n v="2979.37"/>
    <n v="10315.68"/>
    <x v="0"/>
  </r>
  <r>
    <x v="6"/>
    <x v="0"/>
    <x v="6"/>
    <x v="3"/>
    <x v="26"/>
    <x v="1"/>
    <x v="1"/>
    <n v="11"/>
    <n v="24895.07"/>
    <n v="60162.63"/>
    <x v="0"/>
  </r>
  <r>
    <x v="6"/>
    <x v="0"/>
    <x v="6"/>
    <x v="3"/>
    <x v="27"/>
    <x v="0"/>
    <x v="0"/>
    <n v="4"/>
    <n v="7755.26"/>
    <n v="27723.4"/>
    <x v="0"/>
  </r>
  <r>
    <x v="6"/>
    <x v="0"/>
    <x v="6"/>
    <x v="3"/>
    <x v="27"/>
    <x v="0"/>
    <x v="1"/>
    <n v="5"/>
    <n v="13763.41"/>
    <n v="47710.02"/>
    <x v="0"/>
  </r>
  <r>
    <x v="6"/>
    <x v="0"/>
    <x v="6"/>
    <x v="3"/>
    <x v="27"/>
    <x v="1"/>
    <x v="0"/>
    <n v="6"/>
    <n v="13686.87"/>
    <n v="32736.18"/>
    <x v="0"/>
  </r>
  <r>
    <x v="6"/>
    <x v="0"/>
    <x v="6"/>
    <x v="3"/>
    <x v="27"/>
    <x v="1"/>
    <x v="1"/>
    <n v="26"/>
    <n v="74643.89"/>
    <n v="172624.14"/>
    <x v="0"/>
  </r>
  <r>
    <x v="6"/>
    <x v="0"/>
    <x v="7"/>
    <x v="0"/>
    <x v="0"/>
    <x v="0"/>
    <x v="1"/>
    <n v="2"/>
    <n v="9270.9699999999993"/>
    <n v="35885.54"/>
    <x v="0"/>
  </r>
  <r>
    <x v="6"/>
    <x v="0"/>
    <x v="7"/>
    <x v="0"/>
    <x v="0"/>
    <x v="1"/>
    <x v="1"/>
    <n v="7"/>
    <n v="37701.839999999997"/>
    <n v="93670.48"/>
    <x v="0"/>
  </r>
  <r>
    <x v="6"/>
    <x v="0"/>
    <x v="7"/>
    <x v="0"/>
    <x v="1"/>
    <x v="0"/>
    <x v="1"/>
    <n v="4"/>
    <n v="23206.78"/>
    <n v="86666.96"/>
    <x v="0"/>
  </r>
  <r>
    <x v="6"/>
    <x v="0"/>
    <x v="7"/>
    <x v="0"/>
    <x v="1"/>
    <x v="1"/>
    <x v="0"/>
    <n v="4"/>
    <n v="21192.9"/>
    <n v="50937.83"/>
    <x v="0"/>
  </r>
  <r>
    <x v="6"/>
    <x v="0"/>
    <x v="7"/>
    <x v="0"/>
    <x v="1"/>
    <x v="1"/>
    <x v="1"/>
    <n v="17"/>
    <n v="77426.91"/>
    <n v="195479.35"/>
    <x v="0"/>
  </r>
  <r>
    <x v="6"/>
    <x v="0"/>
    <x v="7"/>
    <x v="0"/>
    <x v="2"/>
    <x v="0"/>
    <x v="1"/>
    <n v="6"/>
    <n v="28318.26"/>
    <n v="107656.62"/>
    <x v="0"/>
  </r>
  <r>
    <x v="6"/>
    <x v="0"/>
    <x v="7"/>
    <x v="0"/>
    <x v="2"/>
    <x v="1"/>
    <x v="1"/>
    <n v="12"/>
    <n v="46298.46"/>
    <n v="110583.66"/>
    <x v="0"/>
  </r>
  <r>
    <x v="6"/>
    <x v="0"/>
    <x v="7"/>
    <x v="0"/>
    <x v="3"/>
    <x v="0"/>
    <x v="1"/>
    <n v="7"/>
    <n v="30437.73"/>
    <n v="117135.82"/>
    <x v="0"/>
  </r>
  <r>
    <x v="6"/>
    <x v="0"/>
    <x v="7"/>
    <x v="0"/>
    <x v="3"/>
    <x v="1"/>
    <x v="0"/>
    <n v="12"/>
    <n v="49695.6"/>
    <n v="123811.59"/>
    <x v="0"/>
  </r>
  <r>
    <x v="6"/>
    <x v="0"/>
    <x v="7"/>
    <x v="0"/>
    <x v="3"/>
    <x v="1"/>
    <x v="1"/>
    <n v="21"/>
    <n v="105001.42"/>
    <n v="257189.62"/>
    <x v="0"/>
  </r>
  <r>
    <x v="6"/>
    <x v="0"/>
    <x v="7"/>
    <x v="0"/>
    <x v="28"/>
    <x v="1"/>
    <x v="1"/>
    <n v="5"/>
    <n v="18606.150000000001"/>
    <n v="46495.48"/>
    <x v="0"/>
  </r>
  <r>
    <x v="6"/>
    <x v="0"/>
    <x v="7"/>
    <x v="0"/>
    <x v="4"/>
    <x v="1"/>
    <x v="0"/>
    <n v="8"/>
    <n v="29211.72"/>
    <n v="72800.259999999995"/>
    <x v="0"/>
  </r>
  <r>
    <x v="6"/>
    <x v="0"/>
    <x v="7"/>
    <x v="0"/>
    <x v="4"/>
    <x v="1"/>
    <x v="1"/>
    <n v="12"/>
    <n v="43507.65"/>
    <n v="110067.01"/>
    <x v="0"/>
  </r>
  <r>
    <x v="6"/>
    <x v="0"/>
    <x v="7"/>
    <x v="0"/>
    <x v="5"/>
    <x v="0"/>
    <x v="1"/>
    <n v="3"/>
    <n v="12984.02"/>
    <n v="50104.34"/>
    <x v="0"/>
  </r>
  <r>
    <x v="6"/>
    <x v="0"/>
    <x v="7"/>
    <x v="0"/>
    <x v="5"/>
    <x v="1"/>
    <x v="1"/>
    <n v="12"/>
    <n v="59069.11"/>
    <n v="151707.79999999999"/>
    <x v="0"/>
  </r>
  <r>
    <x v="6"/>
    <x v="0"/>
    <x v="7"/>
    <x v="0"/>
    <x v="6"/>
    <x v="0"/>
    <x v="1"/>
    <n v="1"/>
    <n v="5772.19"/>
    <n v="21666.74"/>
    <x v="0"/>
  </r>
  <r>
    <x v="6"/>
    <x v="0"/>
    <x v="7"/>
    <x v="0"/>
    <x v="6"/>
    <x v="1"/>
    <x v="1"/>
    <n v="1"/>
    <n v="3683.98"/>
    <n v="9113.89"/>
    <x v="0"/>
  </r>
  <r>
    <x v="6"/>
    <x v="0"/>
    <x v="7"/>
    <x v="0"/>
    <x v="7"/>
    <x v="1"/>
    <x v="1"/>
    <n v="2"/>
    <n v="9153.27"/>
    <n v="23971.54"/>
    <x v="0"/>
  </r>
  <r>
    <x v="6"/>
    <x v="0"/>
    <x v="7"/>
    <x v="0"/>
    <x v="8"/>
    <x v="0"/>
    <x v="1"/>
    <n v="2"/>
    <n v="9334.93"/>
    <n v="35885.54"/>
    <x v="0"/>
  </r>
  <r>
    <x v="6"/>
    <x v="0"/>
    <x v="7"/>
    <x v="1"/>
    <x v="10"/>
    <x v="0"/>
    <x v="1"/>
    <n v="6"/>
    <n v="30345.67"/>
    <n v="116458.73"/>
    <x v="0"/>
  </r>
  <r>
    <x v="6"/>
    <x v="0"/>
    <x v="7"/>
    <x v="1"/>
    <x v="10"/>
    <x v="1"/>
    <x v="0"/>
    <n v="2"/>
    <n v="7526.18"/>
    <n v="19394.439999999999"/>
    <x v="0"/>
  </r>
  <r>
    <x v="6"/>
    <x v="0"/>
    <x v="7"/>
    <x v="1"/>
    <x v="10"/>
    <x v="1"/>
    <x v="1"/>
    <n v="22"/>
    <n v="114854.39999999999"/>
    <n v="304769.77"/>
    <x v="0"/>
  </r>
  <r>
    <x v="6"/>
    <x v="0"/>
    <x v="7"/>
    <x v="1"/>
    <x v="11"/>
    <x v="0"/>
    <x v="1"/>
    <n v="2"/>
    <n v="7358.89"/>
    <n v="28437.599999999999"/>
    <x v="0"/>
  </r>
  <r>
    <x v="6"/>
    <x v="0"/>
    <x v="7"/>
    <x v="1"/>
    <x v="11"/>
    <x v="1"/>
    <x v="0"/>
    <n v="10"/>
    <n v="45304.05"/>
    <n v="112667.05"/>
    <x v="0"/>
  </r>
  <r>
    <x v="6"/>
    <x v="0"/>
    <x v="7"/>
    <x v="1"/>
    <x v="11"/>
    <x v="1"/>
    <x v="1"/>
    <n v="14"/>
    <n v="60659.45"/>
    <n v="152716.66"/>
    <x v="0"/>
  </r>
  <r>
    <x v="6"/>
    <x v="0"/>
    <x v="7"/>
    <x v="1"/>
    <x v="12"/>
    <x v="1"/>
    <x v="0"/>
    <n v="3"/>
    <n v="10791.87"/>
    <n v="29176.98"/>
    <x v="0"/>
  </r>
  <r>
    <x v="6"/>
    <x v="0"/>
    <x v="7"/>
    <x v="1"/>
    <x v="12"/>
    <x v="1"/>
    <x v="1"/>
    <n v="3"/>
    <n v="10637.13"/>
    <n v="29176.98"/>
    <x v="0"/>
  </r>
  <r>
    <x v="6"/>
    <x v="0"/>
    <x v="7"/>
    <x v="1"/>
    <x v="13"/>
    <x v="0"/>
    <x v="1"/>
    <n v="1"/>
    <n v="3586.94"/>
    <n v="14218.8"/>
    <x v="0"/>
  </r>
  <r>
    <x v="6"/>
    <x v="0"/>
    <x v="7"/>
    <x v="1"/>
    <x v="13"/>
    <x v="1"/>
    <x v="1"/>
    <n v="3"/>
    <n v="11796.13"/>
    <n v="30431.360000000001"/>
    <x v="0"/>
  </r>
  <r>
    <x v="6"/>
    <x v="0"/>
    <x v="7"/>
    <x v="1"/>
    <x v="14"/>
    <x v="1"/>
    <x v="0"/>
    <n v="13"/>
    <n v="64077.47"/>
    <n v="162206.01999999999"/>
    <x v="0"/>
  </r>
  <r>
    <x v="6"/>
    <x v="0"/>
    <x v="7"/>
    <x v="1"/>
    <x v="14"/>
    <x v="1"/>
    <x v="1"/>
    <n v="9"/>
    <n v="48536.44"/>
    <n v="124933.07"/>
    <x v="0"/>
  </r>
  <r>
    <x v="6"/>
    <x v="0"/>
    <x v="7"/>
    <x v="1"/>
    <x v="15"/>
    <x v="1"/>
    <x v="0"/>
    <n v="10"/>
    <n v="37635.300000000003"/>
    <n v="101059.1"/>
    <x v="0"/>
  </r>
  <r>
    <x v="6"/>
    <x v="0"/>
    <x v="7"/>
    <x v="1"/>
    <x v="15"/>
    <x v="1"/>
    <x v="1"/>
    <n v="1"/>
    <n v="5772.49"/>
    <n v="14971.72"/>
    <x v="0"/>
  </r>
  <r>
    <x v="6"/>
    <x v="0"/>
    <x v="7"/>
    <x v="1"/>
    <x v="16"/>
    <x v="0"/>
    <x v="1"/>
    <n v="2"/>
    <n v="8951.6299999999992"/>
    <n v="35208.449999999997"/>
    <x v="0"/>
  </r>
  <r>
    <x v="6"/>
    <x v="0"/>
    <x v="7"/>
    <x v="1"/>
    <x v="16"/>
    <x v="1"/>
    <x v="0"/>
    <n v="3"/>
    <n v="16697.96"/>
    <n v="42770.14"/>
    <x v="0"/>
  </r>
  <r>
    <x v="6"/>
    <x v="0"/>
    <x v="7"/>
    <x v="1"/>
    <x v="16"/>
    <x v="1"/>
    <x v="1"/>
    <n v="13"/>
    <n v="64884.99"/>
    <n v="160648.76999999999"/>
    <x v="0"/>
  </r>
  <r>
    <x v="6"/>
    <x v="0"/>
    <x v="7"/>
    <x v="1"/>
    <x v="17"/>
    <x v="0"/>
    <x v="1"/>
    <n v="2"/>
    <n v="9127.2800000000007"/>
    <n v="35885.54"/>
    <x v="0"/>
  </r>
  <r>
    <x v="6"/>
    <x v="0"/>
    <x v="7"/>
    <x v="1"/>
    <x v="17"/>
    <x v="1"/>
    <x v="0"/>
    <n v="6"/>
    <n v="29856.04"/>
    <n v="76429.429999999993"/>
    <x v="0"/>
  </r>
  <r>
    <x v="6"/>
    <x v="0"/>
    <x v="7"/>
    <x v="1"/>
    <x v="17"/>
    <x v="1"/>
    <x v="1"/>
    <n v="6"/>
    <n v="33016.300000000003"/>
    <n v="81374.86"/>
    <x v="0"/>
  </r>
  <r>
    <x v="6"/>
    <x v="0"/>
    <x v="7"/>
    <x v="1"/>
    <x v="18"/>
    <x v="0"/>
    <x v="1"/>
    <n v="8"/>
    <n v="39501.760000000002"/>
    <n v="152344.26999999999"/>
    <x v="0"/>
  </r>
  <r>
    <x v="6"/>
    <x v="0"/>
    <x v="7"/>
    <x v="1"/>
    <x v="18"/>
    <x v="1"/>
    <x v="0"/>
    <n v="2"/>
    <n v="6880.76"/>
    <n v="18269.689999999999"/>
    <x v="0"/>
  </r>
  <r>
    <x v="6"/>
    <x v="0"/>
    <x v="7"/>
    <x v="1"/>
    <x v="18"/>
    <x v="1"/>
    <x v="1"/>
    <n v="16"/>
    <n v="80322.350000000006"/>
    <n v="214913.32"/>
    <x v="0"/>
  </r>
  <r>
    <x v="6"/>
    <x v="0"/>
    <x v="7"/>
    <x v="1"/>
    <x v="19"/>
    <x v="0"/>
    <x v="1"/>
    <n v="4"/>
    <n v="16869.29"/>
    <n v="64323.14"/>
    <x v="0"/>
  </r>
  <r>
    <x v="6"/>
    <x v="0"/>
    <x v="7"/>
    <x v="1"/>
    <x v="19"/>
    <x v="1"/>
    <x v="1"/>
    <n v="8"/>
    <n v="43936.89"/>
    <n v="111807.15"/>
    <x v="0"/>
  </r>
  <r>
    <x v="6"/>
    <x v="0"/>
    <x v="7"/>
    <x v="1"/>
    <x v="20"/>
    <x v="0"/>
    <x v="0"/>
    <n v="2"/>
    <n v="7381.22"/>
    <n v="28437.599999999999"/>
    <x v="0"/>
  </r>
  <r>
    <x v="6"/>
    <x v="0"/>
    <x v="7"/>
    <x v="1"/>
    <x v="20"/>
    <x v="0"/>
    <x v="1"/>
    <n v="7"/>
    <n v="33081.269999999997"/>
    <n v="128646.27"/>
    <x v="0"/>
  </r>
  <r>
    <x v="6"/>
    <x v="0"/>
    <x v="7"/>
    <x v="1"/>
    <x v="20"/>
    <x v="1"/>
    <x v="0"/>
    <n v="5"/>
    <n v="20049.62"/>
    <n v="50117.5"/>
    <x v="0"/>
  </r>
  <r>
    <x v="6"/>
    <x v="0"/>
    <x v="7"/>
    <x v="1"/>
    <x v="20"/>
    <x v="1"/>
    <x v="1"/>
    <n v="18"/>
    <n v="87782.79"/>
    <n v="227383.37"/>
    <x v="0"/>
  </r>
  <r>
    <x v="6"/>
    <x v="0"/>
    <x v="7"/>
    <x v="2"/>
    <x v="21"/>
    <x v="0"/>
    <x v="0"/>
    <n v="1"/>
    <n v="5584.2"/>
    <n v="21666.74"/>
    <x v="0"/>
  </r>
  <r>
    <x v="6"/>
    <x v="0"/>
    <x v="7"/>
    <x v="2"/>
    <x v="22"/>
    <x v="1"/>
    <x v="0"/>
    <n v="8"/>
    <n v="41471.019999999997"/>
    <n v="98138.14"/>
    <x v="0"/>
  </r>
  <r>
    <x v="6"/>
    <x v="0"/>
    <x v="7"/>
    <x v="2"/>
    <x v="22"/>
    <x v="1"/>
    <x v="1"/>
    <n v="5"/>
    <n v="17962.45"/>
    <n v="43296.25"/>
    <x v="0"/>
  </r>
  <r>
    <x v="6"/>
    <x v="0"/>
    <x v="7"/>
    <x v="2"/>
    <x v="23"/>
    <x v="1"/>
    <x v="1"/>
    <n v="3"/>
    <n v="10366.32"/>
    <n v="26185.61"/>
    <x v="0"/>
  </r>
  <r>
    <x v="6"/>
    <x v="0"/>
    <x v="7"/>
    <x v="2"/>
    <x v="24"/>
    <x v="1"/>
    <x v="1"/>
    <n v="15"/>
    <n v="70755.91"/>
    <n v="169176.62"/>
    <x v="0"/>
  </r>
  <r>
    <x v="6"/>
    <x v="0"/>
    <x v="7"/>
    <x v="3"/>
    <x v="25"/>
    <x v="0"/>
    <x v="1"/>
    <n v="2"/>
    <n v="9197.57"/>
    <n v="35885.54"/>
    <x v="0"/>
  </r>
  <r>
    <x v="6"/>
    <x v="0"/>
    <x v="7"/>
    <x v="3"/>
    <x v="25"/>
    <x v="1"/>
    <x v="0"/>
    <n v="2"/>
    <n v="7165.76"/>
    <n v="19479.759999999998"/>
    <x v="0"/>
  </r>
  <r>
    <x v="6"/>
    <x v="0"/>
    <x v="7"/>
    <x v="3"/>
    <x v="25"/>
    <x v="1"/>
    <x v="1"/>
    <n v="1"/>
    <n v="3578.19"/>
    <n v="9739.8799999999992"/>
    <x v="0"/>
  </r>
  <r>
    <x v="6"/>
    <x v="0"/>
    <x v="7"/>
    <x v="3"/>
    <x v="26"/>
    <x v="0"/>
    <x v="1"/>
    <n v="1"/>
    <n v="5715.13"/>
    <n v="21666.74"/>
    <x v="0"/>
  </r>
  <r>
    <x v="6"/>
    <x v="0"/>
    <x v="7"/>
    <x v="3"/>
    <x v="26"/>
    <x v="1"/>
    <x v="0"/>
    <n v="14"/>
    <n v="57778.080000000002"/>
    <n v="152180.54"/>
    <x v="0"/>
  </r>
  <r>
    <x v="6"/>
    <x v="0"/>
    <x v="7"/>
    <x v="3"/>
    <x v="26"/>
    <x v="1"/>
    <x v="1"/>
    <n v="16"/>
    <n v="77978.27"/>
    <n v="199965.98"/>
    <x v="0"/>
  </r>
  <r>
    <x v="6"/>
    <x v="0"/>
    <x v="7"/>
    <x v="3"/>
    <x v="27"/>
    <x v="0"/>
    <x v="0"/>
    <n v="2"/>
    <n v="7461.92"/>
    <n v="28437.599999999999"/>
    <x v="0"/>
  </r>
  <r>
    <x v="6"/>
    <x v="0"/>
    <x v="7"/>
    <x v="3"/>
    <x v="27"/>
    <x v="0"/>
    <x v="1"/>
    <n v="6"/>
    <n v="28814.1"/>
    <n v="114427.47"/>
    <x v="0"/>
  </r>
  <r>
    <x v="6"/>
    <x v="0"/>
    <x v="7"/>
    <x v="3"/>
    <x v="27"/>
    <x v="1"/>
    <x v="1"/>
    <n v="30"/>
    <n v="121139.31"/>
    <n v="316090.76"/>
    <x v="0"/>
  </r>
  <r>
    <x v="6"/>
    <x v="0"/>
    <x v="8"/>
    <x v="0"/>
    <x v="0"/>
    <x v="0"/>
    <x v="0"/>
    <n v="1"/>
    <n v="2870.14"/>
    <n v="9845.6200000000008"/>
    <x v="0"/>
  </r>
  <r>
    <x v="6"/>
    <x v="0"/>
    <x v="8"/>
    <x v="0"/>
    <x v="0"/>
    <x v="0"/>
    <x v="1"/>
    <n v="3"/>
    <n v="9215.9699999999993"/>
    <n v="32533.35"/>
    <x v="0"/>
  </r>
  <r>
    <x v="6"/>
    <x v="0"/>
    <x v="8"/>
    <x v="0"/>
    <x v="0"/>
    <x v="1"/>
    <x v="0"/>
    <n v="2"/>
    <n v="4916.12"/>
    <n v="11758.24"/>
    <x v="0"/>
  </r>
  <r>
    <x v="6"/>
    <x v="0"/>
    <x v="8"/>
    <x v="0"/>
    <x v="0"/>
    <x v="1"/>
    <x v="1"/>
    <n v="9"/>
    <n v="32195.09"/>
    <n v="74073.95"/>
    <x v="0"/>
  </r>
  <r>
    <x v="6"/>
    <x v="0"/>
    <x v="8"/>
    <x v="0"/>
    <x v="1"/>
    <x v="0"/>
    <x v="0"/>
    <n v="4"/>
    <n v="10538.7"/>
    <n v="38098.269999999997"/>
    <x v="0"/>
  </r>
  <r>
    <x v="6"/>
    <x v="0"/>
    <x v="8"/>
    <x v="0"/>
    <x v="1"/>
    <x v="0"/>
    <x v="1"/>
    <n v="3"/>
    <n v="11578.55"/>
    <n v="41094.75"/>
    <x v="0"/>
  </r>
  <r>
    <x v="6"/>
    <x v="0"/>
    <x v="8"/>
    <x v="0"/>
    <x v="1"/>
    <x v="1"/>
    <x v="0"/>
    <n v="16"/>
    <n v="52994.9"/>
    <n v="121109.65"/>
    <x v="0"/>
  </r>
  <r>
    <x v="6"/>
    <x v="0"/>
    <x v="8"/>
    <x v="0"/>
    <x v="1"/>
    <x v="1"/>
    <x v="1"/>
    <n v="14"/>
    <n v="46515.07"/>
    <n v="106796.69"/>
    <x v="0"/>
  </r>
  <r>
    <x v="6"/>
    <x v="0"/>
    <x v="8"/>
    <x v="0"/>
    <x v="2"/>
    <x v="0"/>
    <x v="1"/>
    <n v="7"/>
    <n v="19665.939999999999"/>
    <n v="68063.199999999997"/>
    <x v="0"/>
  </r>
  <r>
    <x v="6"/>
    <x v="0"/>
    <x v="8"/>
    <x v="0"/>
    <x v="2"/>
    <x v="1"/>
    <x v="0"/>
    <n v="11"/>
    <n v="40245.279999999999"/>
    <n v="91180.27"/>
    <x v="0"/>
  </r>
  <r>
    <x v="6"/>
    <x v="0"/>
    <x v="8"/>
    <x v="0"/>
    <x v="2"/>
    <x v="1"/>
    <x v="1"/>
    <n v="13"/>
    <n v="39413.519999999997"/>
    <n v="86926.98"/>
    <x v="0"/>
  </r>
  <r>
    <x v="6"/>
    <x v="0"/>
    <x v="8"/>
    <x v="0"/>
    <x v="3"/>
    <x v="0"/>
    <x v="0"/>
    <n v="2"/>
    <n v="6676.62"/>
    <n v="23543.87"/>
    <x v="0"/>
  </r>
  <r>
    <x v="6"/>
    <x v="0"/>
    <x v="8"/>
    <x v="0"/>
    <x v="3"/>
    <x v="0"/>
    <x v="1"/>
    <n v="16"/>
    <n v="49889.66"/>
    <n v="178933.42"/>
    <x v="0"/>
  </r>
  <r>
    <x v="6"/>
    <x v="0"/>
    <x v="8"/>
    <x v="0"/>
    <x v="3"/>
    <x v="1"/>
    <x v="0"/>
    <n v="24"/>
    <n v="80137.289999999994"/>
    <n v="183341.68"/>
    <x v="0"/>
  </r>
  <r>
    <x v="6"/>
    <x v="0"/>
    <x v="8"/>
    <x v="0"/>
    <x v="3"/>
    <x v="1"/>
    <x v="1"/>
    <n v="36"/>
    <n v="126669.61"/>
    <n v="287041.71999999997"/>
    <x v="0"/>
  </r>
  <r>
    <x v="6"/>
    <x v="0"/>
    <x v="8"/>
    <x v="0"/>
    <x v="28"/>
    <x v="1"/>
    <x v="1"/>
    <n v="1"/>
    <n v="2658.4"/>
    <n v="6439.04"/>
    <x v="0"/>
  </r>
  <r>
    <x v="6"/>
    <x v="0"/>
    <x v="8"/>
    <x v="0"/>
    <x v="4"/>
    <x v="0"/>
    <x v="1"/>
    <n v="3"/>
    <n v="11661.03"/>
    <n v="41094.75"/>
    <x v="0"/>
  </r>
  <r>
    <x v="6"/>
    <x v="0"/>
    <x v="8"/>
    <x v="0"/>
    <x v="4"/>
    <x v="1"/>
    <x v="0"/>
    <n v="18"/>
    <n v="65402.11"/>
    <n v="143625.68"/>
    <x v="0"/>
  </r>
  <r>
    <x v="6"/>
    <x v="0"/>
    <x v="8"/>
    <x v="0"/>
    <x v="5"/>
    <x v="0"/>
    <x v="1"/>
    <n v="4"/>
    <n v="11758.03"/>
    <n v="43235.11"/>
    <x v="0"/>
  </r>
  <r>
    <x v="6"/>
    <x v="0"/>
    <x v="8"/>
    <x v="0"/>
    <x v="5"/>
    <x v="1"/>
    <x v="1"/>
    <n v="27"/>
    <n v="88232.07"/>
    <n v="208188.59"/>
    <x v="0"/>
  </r>
  <r>
    <x v="6"/>
    <x v="0"/>
    <x v="8"/>
    <x v="0"/>
    <x v="6"/>
    <x v="0"/>
    <x v="1"/>
    <n v="1"/>
    <n v="3883.37"/>
    <n v="13698.25"/>
    <x v="0"/>
  </r>
  <r>
    <x v="6"/>
    <x v="0"/>
    <x v="8"/>
    <x v="0"/>
    <x v="7"/>
    <x v="1"/>
    <x v="1"/>
    <n v="1"/>
    <n v="2515.1799999999998"/>
    <n v="5719.02"/>
    <x v="0"/>
  </r>
  <r>
    <x v="6"/>
    <x v="0"/>
    <x v="8"/>
    <x v="1"/>
    <x v="30"/>
    <x v="1"/>
    <x v="0"/>
    <n v="6"/>
    <n v="15836.55"/>
    <n v="40701.800000000003"/>
    <x v="0"/>
  </r>
  <r>
    <x v="6"/>
    <x v="0"/>
    <x v="8"/>
    <x v="1"/>
    <x v="9"/>
    <x v="1"/>
    <x v="1"/>
    <n v="6"/>
    <n v="15708.5"/>
    <n v="36628.879999999997"/>
    <x v="0"/>
  </r>
  <r>
    <x v="6"/>
    <x v="0"/>
    <x v="8"/>
    <x v="1"/>
    <x v="31"/>
    <x v="1"/>
    <x v="0"/>
    <n v="6"/>
    <n v="23120.54"/>
    <n v="57121.7"/>
    <x v="0"/>
  </r>
  <r>
    <x v="6"/>
    <x v="0"/>
    <x v="8"/>
    <x v="1"/>
    <x v="10"/>
    <x v="0"/>
    <x v="0"/>
    <n v="2"/>
    <n v="6406.88"/>
    <n v="23543.87"/>
    <x v="0"/>
  </r>
  <r>
    <x v="6"/>
    <x v="0"/>
    <x v="8"/>
    <x v="1"/>
    <x v="10"/>
    <x v="0"/>
    <x v="1"/>
    <n v="3"/>
    <n v="7801.47"/>
    <n v="28252.65"/>
    <x v="0"/>
  </r>
  <r>
    <x v="6"/>
    <x v="0"/>
    <x v="8"/>
    <x v="1"/>
    <x v="10"/>
    <x v="1"/>
    <x v="0"/>
    <n v="14"/>
    <n v="41465.56"/>
    <n v="100720.68"/>
    <x v="0"/>
  </r>
  <r>
    <x v="6"/>
    <x v="0"/>
    <x v="8"/>
    <x v="1"/>
    <x v="10"/>
    <x v="1"/>
    <x v="1"/>
    <n v="23"/>
    <n v="84944.73"/>
    <n v="203106.11"/>
    <x v="0"/>
  </r>
  <r>
    <x v="6"/>
    <x v="0"/>
    <x v="8"/>
    <x v="1"/>
    <x v="11"/>
    <x v="0"/>
    <x v="1"/>
    <n v="10"/>
    <n v="30118.75"/>
    <n v="108301.81"/>
    <x v="0"/>
  </r>
  <r>
    <x v="6"/>
    <x v="0"/>
    <x v="8"/>
    <x v="1"/>
    <x v="11"/>
    <x v="1"/>
    <x v="0"/>
    <n v="8"/>
    <n v="29900.34"/>
    <n v="67985.11"/>
    <x v="0"/>
  </r>
  <r>
    <x v="6"/>
    <x v="0"/>
    <x v="8"/>
    <x v="1"/>
    <x v="11"/>
    <x v="1"/>
    <x v="1"/>
    <n v="12"/>
    <n v="37053.01"/>
    <n v="85950.27"/>
    <x v="0"/>
  </r>
  <r>
    <x v="6"/>
    <x v="0"/>
    <x v="8"/>
    <x v="1"/>
    <x v="12"/>
    <x v="1"/>
    <x v="1"/>
    <n v="2"/>
    <n v="7918.8"/>
    <n v="18739.2"/>
    <x v="0"/>
  </r>
  <r>
    <x v="6"/>
    <x v="0"/>
    <x v="8"/>
    <x v="1"/>
    <x v="13"/>
    <x v="0"/>
    <x v="1"/>
    <n v="7"/>
    <n v="24453.72"/>
    <n v="86898.28"/>
    <x v="0"/>
  </r>
  <r>
    <x v="6"/>
    <x v="0"/>
    <x v="8"/>
    <x v="1"/>
    <x v="13"/>
    <x v="1"/>
    <x v="0"/>
    <n v="2"/>
    <n v="5421.04"/>
    <n v="13409.73"/>
    <x v="0"/>
  </r>
  <r>
    <x v="6"/>
    <x v="0"/>
    <x v="8"/>
    <x v="1"/>
    <x v="14"/>
    <x v="0"/>
    <x v="1"/>
    <n v="2"/>
    <n v="7932.04"/>
    <n v="27396.5"/>
    <x v="0"/>
  </r>
  <r>
    <x v="6"/>
    <x v="0"/>
    <x v="8"/>
    <x v="1"/>
    <x v="14"/>
    <x v="1"/>
    <x v="0"/>
    <n v="22"/>
    <n v="70240.759999999995"/>
    <n v="168997.03"/>
    <x v="0"/>
  </r>
  <r>
    <x v="6"/>
    <x v="0"/>
    <x v="8"/>
    <x v="1"/>
    <x v="14"/>
    <x v="1"/>
    <x v="1"/>
    <n v="20"/>
    <n v="70946.600000000006"/>
    <n v="167567.26"/>
    <x v="0"/>
  </r>
  <r>
    <x v="6"/>
    <x v="0"/>
    <x v="8"/>
    <x v="1"/>
    <x v="16"/>
    <x v="0"/>
    <x v="1"/>
    <n v="1"/>
    <n v="2437.89"/>
    <n v="8989.48"/>
    <x v="0"/>
  </r>
  <r>
    <x v="6"/>
    <x v="0"/>
    <x v="8"/>
    <x v="1"/>
    <x v="16"/>
    <x v="1"/>
    <x v="0"/>
    <n v="3"/>
    <n v="10302.98"/>
    <n v="24505.32"/>
    <x v="0"/>
  </r>
  <r>
    <x v="6"/>
    <x v="0"/>
    <x v="8"/>
    <x v="1"/>
    <x v="16"/>
    <x v="1"/>
    <x v="1"/>
    <n v="3"/>
    <n v="7476.15"/>
    <n v="16900.22"/>
    <x v="0"/>
  </r>
  <r>
    <x v="6"/>
    <x v="0"/>
    <x v="8"/>
    <x v="1"/>
    <x v="17"/>
    <x v="0"/>
    <x v="1"/>
    <n v="3"/>
    <n v="8224.7999999999993"/>
    <n v="29536.86"/>
    <x v="0"/>
  </r>
  <r>
    <x v="6"/>
    <x v="0"/>
    <x v="8"/>
    <x v="1"/>
    <x v="17"/>
    <x v="1"/>
    <x v="0"/>
    <n v="6"/>
    <n v="17005.95"/>
    <n v="41783.1"/>
    <x v="0"/>
  </r>
  <r>
    <x v="6"/>
    <x v="0"/>
    <x v="8"/>
    <x v="1"/>
    <x v="17"/>
    <x v="1"/>
    <x v="1"/>
    <n v="6"/>
    <n v="17902.5"/>
    <n v="41783.1"/>
    <x v="0"/>
  </r>
  <r>
    <x v="6"/>
    <x v="0"/>
    <x v="8"/>
    <x v="1"/>
    <x v="18"/>
    <x v="0"/>
    <x v="1"/>
    <n v="21"/>
    <n v="68165.78"/>
    <n v="242287.83"/>
    <x v="0"/>
  </r>
  <r>
    <x v="6"/>
    <x v="0"/>
    <x v="8"/>
    <x v="1"/>
    <x v="18"/>
    <x v="1"/>
    <x v="0"/>
    <n v="13"/>
    <n v="43106.59"/>
    <n v="107400.71"/>
    <x v="0"/>
  </r>
  <r>
    <x v="6"/>
    <x v="0"/>
    <x v="8"/>
    <x v="1"/>
    <x v="18"/>
    <x v="1"/>
    <x v="1"/>
    <n v="15"/>
    <n v="45393.24"/>
    <n v="110379.8"/>
    <x v="0"/>
  </r>
  <r>
    <x v="6"/>
    <x v="0"/>
    <x v="8"/>
    <x v="1"/>
    <x v="19"/>
    <x v="0"/>
    <x v="1"/>
    <n v="4"/>
    <n v="10681.12"/>
    <n v="38098.269999999997"/>
    <x v="0"/>
  </r>
  <r>
    <x v="6"/>
    <x v="0"/>
    <x v="8"/>
    <x v="1"/>
    <x v="19"/>
    <x v="1"/>
    <x v="0"/>
    <n v="8"/>
    <n v="23070.47"/>
    <n v="55684.25"/>
    <x v="0"/>
  </r>
  <r>
    <x v="6"/>
    <x v="0"/>
    <x v="8"/>
    <x v="1"/>
    <x v="19"/>
    <x v="1"/>
    <x v="1"/>
    <n v="16"/>
    <n v="54332.44"/>
    <n v="128968.18"/>
    <x v="0"/>
  </r>
  <r>
    <x v="6"/>
    <x v="0"/>
    <x v="8"/>
    <x v="1"/>
    <x v="20"/>
    <x v="0"/>
    <x v="1"/>
    <n v="14"/>
    <n v="50693.86"/>
    <n v="179361.47"/>
    <x v="0"/>
  </r>
  <r>
    <x v="6"/>
    <x v="0"/>
    <x v="8"/>
    <x v="1"/>
    <x v="20"/>
    <x v="1"/>
    <x v="0"/>
    <n v="6"/>
    <n v="17534.919999999998"/>
    <n v="39523.300000000003"/>
    <x v="0"/>
  </r>
  <r>
    <x v="6"/>
    <x v="0"/>
    <x v="8"/>
    <x v="1"/>
    <x v="20"/>
    <x v="1"/>
    <x v="1"/>
    <n v="13"/>
    <n v="42844.97"/>
    <n v="101228.83"/>
    <x v="0"/>
  </r>
  <r>
    <x v="6"/>
    <x v="0"/>
    <x v="8"/>
    <x v="2"/>
    <x v="21"/>
    <x v="0"/>
    <x v="0"/>
    <n v="3"/>
    <n v="11614.34"/>
    <n v="41094.75"/>
    <x v="0"/>
  </r>
  <r>
    <x v="6"/>
    <x v="0"/>
    <x v="8"/>
    <x v="2"/>
    <x v="21"/>
    <x v="1"/>
    <x v="1"/>
    <n v="1"/>
    <n v="2499.89"/>
    <n v="5474.59"/>
    <x v="0"/>
  </r>
  <r>
    <x v="6"/>
    <x v="0"/>
    <x v="8"/>
    <x v="2"/>
    <x v="22"/>
    <x v="0"/>
    <x v="1"/>
    <n v="3"/>
    <n v="7354.03"/>
    <n v="25684.23"/>
    <x v="0"/>
  </r>
  <r>
    <x v="6"/>
    <x v="0"/>
    <x v="8"/>
    <x v="2"/>
    <x v="22"/>
    <x v="1"/>
    <x v="0"/>
    <n v="5"/>
    <n v="15904.51"/>
    <n v="35454.5"/>
    <x v="0"/>
  </r>
  <r>
    <x v="6"/>
    <x v="0"/>
    <x v="8"/>
    <x v="2"/>
    <x v="22"/>
    <x v="1"/>
    <x v="1"/>
    <n v="11"/>
    <n v="40957.69"/>
    <n v="88636.23"/>
    <x v="0"/>
  </r>
  <r>
    <x v="6"/>
    <x v="0"/>
    <x v="8"/>
    <x v="2"/>
    <x v="29"/>
    <x v="0"/>
    <x v="1"/>
    <n v="2"/>
    <n v="6886.43"/>
    <n v="23543.87"/>
    <x v="0"/>
  </r>
  <r>
    <x v="6"/>
    <x v="0"/>
    <x v="8"/>
    <x v="2"/>
    <x v="29"/>
    <x v="1"/>
    <x v="1"/>
    <n v="1"/>
    <n v="3849.61"/>
    <n v="8862.77"/>
    <x v="0"/>
  </r>
  <r>
    <x v="6"/>
    <x v="0"/>
    <x v="8"/>
    <x v="2"/>
    <x v="23"/>
    <x v="1"/>
    <x v="1"/>
    <n v="3"/>
    <n v="7932.98"/>
    <n v="18726.37"/>
    <x v="0"/>
  </r>
  <r>
    <x v="6"/>
    <x v="0"/>
    <x v="8"/>
    <x v="2"/>
    <x v="24"/>
    <x v="0"/>
    <x v="1"/>
    <n v="7"/>
    <n v="23540.2"/>
    <n v="82617.58"/>
    <x v="0"/>
  </r>
  <r>
    <x v="6"/>
    <x v="0"/>
    <x v="8"/>
    <x v="2"/>
    <x v="24"/>
    <x v="1"/>
    <x v="1"/>
    <n v="15"/>
    <n v="56926.16"/>
    <n v="127393.71"/>
    <x v="0"/>
  </r>
  <r>
    <x v="6"/>
    <x v="0"/>
    <x v="8"/>
    <x v="3"/>
    <x v="25"/>
    <x v="0"/>
    <x v="1"/>
    <n v="1"/>
    <n v="2521.4499999999998"/>
    <n v="8989.48"/>
    <x v="0"/>
  </r>
  <r>
    <x v="6"/>
    <x v="0"/>
    <x v="8"/>
    <x v="3"/>
    <x v="25"/>
    <x v="1"/>
    <x v="0"/>
    <n v="4"/>
    <n v="15708.24"/>
    <n v="36189.410000000003"/>
    <x v="0"/>
  </r>
  <r>
    <x v="6"/>
    <x v="0"/>
    <x v="8"/>
    <x v="3"/>
    <x v="25"/>
    <x v="1"/>
    <x v="1"/>
    <n v="1"/>
    <n v="3940.74"/>
    <n v="8945.56"/>
    <x v="0"/>
  </r>
  <r>
    <x v="6"/>
    <x v="0"/>
    <x v="8"/>
    <x v="3"/>
    <x v="26"/>
    <x v="0"/>
    <x v="0"/>
    <n v="4"/>
    <n v="15449.78"/>
    <n v="54793"/>
    <x v="0"/>
  </r>
  <r>
    <x v="6"/>
    <x v="0"/>
    <x v="8"/>
    <x v="3"/>
    <x v="26"/>
    <x v="0"/>
    <x v="1"/>
    <n v="2"/>
    <n v="7494.13"/>
    <n v="27396.5"/>
    <x v="0"/>
  </r>
  <r>
    <x v="6"/>
    <x v="0"/>
    <x v="8"/>
    <x v="3"/>
    <x v="26"/>
    <x v="1"/>
    <x v="0"/>
    <n v="11"/>
    <n v="40696.44"/>
    <n v="98653.08"/>
    <x v="0"/>
  </r>
  <r>
    <x v="6"/>
    <x v="0"/>
    <x v="8"/>
    <x v="3"/>
    <x v="26"/>
    <x v="1"/>
    <x v="1"/>
    <n v="10"/>
    <n v="31164.98"/>
    <n v="74168.55"/>
    <x v="0"/>
  </r>
  <r>
    <x v="6"/>
    <x v="0"/>
    <x v="8"/>
    <x v="3"/>
    <x v="27"/>
    <x v="0"/>
    <x v="0"/>
    <n v="3"/>
    <n v="9017.11"/>
    <n v="32533.35"/>
    <x v="0"/>
  </r>
  <r>
    <x v="6"/>
    <x v="0"/>
    <x v="8"/>
    <x v="3"/>
    <x v="27"/>
    <x v="0"/>
    <x v="1"/>
    <n v="6"/>
    <n v="17855.650000000001"/>
    <n v="64638.63"/>
    <x v="0"/>
  </r>
  <r>
    <x v="6"/>
    <x v="0"/>
    <x v="8"/>
    <x v="3"/>
    <x v="27"/>
    <x v="1"/>
    <x v="0"/>
    <n v="6"/>
    <n v="21338.35"/>
    <n v="52454.47"/>
    <x v="0"/>
  </r>
  <r>
    <x v="6"/>
    <x v="0"/>
    <x v="8"/>
    <x v="3"/>
    <x v="27"/>
    <x v="1"/>
    <x v="1"/>
    <n v="56"/>
    <n v="190894.22"/>
    <n v="461367.4"/>
    <x v="0"/>
  </r>
  <r>
    <x v="6"/>
    <x v="0"/>
    <x v="9"/>
    <x v="0"/>
    <x v="0"/>
    <x v="0"/>
    <x v="1"/>
    <n v="5"/>
    <n v="12230.13"/>
    <n v="41947.64"/>
    <x v="0"/>
  </r>
  <r>
    <x v="6"/>
    <x v="0"/>
    <x v="9"/>
    <x v="0"/>
    <x v="0"/>
    <x v="1"/>
    <x v="0"/>
    <n v="1"/>
    <n v="3349.01"/>
    <n v="7503.25"/>
    <x v="0"/>
  </r>
  <r>
    <x v="6"/>
    <x v="0"/>
    <x v="9"/>
    <x v="0"/>
    <x v="0"/>
    <x v="1"/>
    <x v="1"/>
    <n v="10"/>
    <n v="23538.44"/>
    <n v="53383.82"/>
    <x v="0"/>
  </r>
  <r>
    <x v="6"/>
    <x v="0"/>
    <x v="9"/>
    <x v="0"/>
    <x v="1"/>
    <x v="0"/>
    <x v="1"/>
    <n v="4"/>
    <n v="10569.71"/>
    <n v="36211.22"/>
    <x v="0"/>
  </r>
  <r>
    <x v="6"/>
    <x v="0"/>
    <x v="9"/>
    <x v="0"/>
    <x v="1"/>
    <x v="1"/>
    <x v="0"/>
    <n v="18"/>
    <n v="48743.85"/>
    <n v="106506.17"/>
    <x v="0"/>
  </r>
  <r>
    <x v="6"/>
    <x v="0"/>
    <x v="9"/>
    <x v="0"/>
    <x v="1"/>
    <x v="1"/>
    <x v="1"/>
    <n v="17"/>
    <n v="48631.93"/>
    <n v="107428.28"/>
    <x v="0"/>
  </r>
  <r>
    <x v="6"/>
    <x v="0"/>
    <x v="9"/>
    <x v="0"/>
    <x v="2"/>
    <x v="0"/>
    <x v="1"/>
    <n v="1"/>
    <n v="3310.19"/>
    <n v="11472.86"/>
    <x v="0"/>
  </r>
  <r>
    <x v="6"/>
    <x v="0"/>
    <x v="9"/>
    <x v="0"/>
    <x v="2"/>
    <x v="1"/>
    <x v="0"/>
    <n v="11"/>
    <n v="23763.61"/>
    <n v="51653.71"/>
    <x v="0"/>
  </r>
  <r>
    <x v="6"/>
    <x v="0"/>
    <x v="9"/>
    <x v="0"/>
    <x v="2"/>
    <x v="1"/>
    <x v="1"/>
    <n v="7"/>
    <n v="16186.33"/>
    <n v="34732.660000000003"/>
    <x v="0"/>
  </r>
  <r>
    <x v="6"/>
    <x v="0"/>
    <x v="9"/>
    <x v="0"/>
    <x v="3"/>
    <x v="0"/>
    <x v="1"/>
    <n v="4"/>
    <n v="10270.17"/>
    <n v="35494.160000000003"/>
    <x v="0"/>
  </r>
  <r>
    <x v="6"/>
    <x v="0"/>
    <x v="9"/>
    <x v="0"/>
    <x v="3"/>
    <x v="1"/>
    <x v="0"/>
    <n v="15"/>
    <n v="39226.449999999997"/>
    <n v="85695.11"/>
    <x v="0"/>
  </r>
  <r>
    <x v="6"/>
    <x v="0"/>
    <x v="9"/>
    <x v="0"/>
    <x v="3"/>
    <x v="1"/>
    <x v="1"/>
    <n v="30"/>
    <n v="76610.42"/>
    <n v="168290.86"/>
    <x v="0"/>
  </r>
  <r>
    <x v="6"/>
    <x v="0"/>
    <x v="9"/>
    <x v="0"/>
    <x v="4"/>
    <x v="1"/>
    <x v="0"/>
    <n v="14"/>
    <n v="36597.18"/>
    <n v="80998.39"/>
    <x v="0"/>
  </r>
  <r>
    <x v="6"/>
    <x v="0"/>
    <x v="9"/>
    <x v="0"/>
    <x v="4"/>
    <x v="1"/>
    <x v="1"/>
    <n v="21"/>
    <n v="47956.24"/>
    <n v="106509.47"/>
    <x v="0"/>
  </r>
  <r>
    <x v="6"/>
    <x v="0"/>
    <x v="9"/>
    <x v="0"/>
    <x v="5"/>
    <x v="1"/>
    <x v="1"/>
    <n v="19"/>
    <n v="58452.46"/>
    <n v="131601.93"/>
    <x v="0"/>
  </r>
  <r>
    <x v="6"/>
    <x v="0"/>
    <x v="9"/>
    <x v="0"/>
    <x v="7"/>
    <x v="1"/>
    <x v="1"/>
    <n v="10"/>
    <n v="21393.9"/>
    <n v="50294.12"/>
    <x v="0"/>
  </r>
  <r>
    <x v="6"/>
    <x v="0"/>
    <x v="9"/>
    <x v="0"/>
    <x v="8"/>
    <x v="0"/>
    <x v="1"/>
    <n v="1"/>
    <n v="3436.3"/>
    <n v="11472.86"/>
    <x v="0"/>
  </r>
  <r>
    <x v="6"/>
    <x v="0"/>
    <x v="9"/>
    <x v="0"/>
    <x v="8"/>
    <x v="1"/>
    <x v="1"/>
    <n v="3"/>
    <n v="10311.06"/>
    <n v="21327.06"/>
    <x v="0"/>
  </r>
  <r>
    <x v="6"/>
    <x v="0"/>
    <x v="9"/>
    <x v="1"/>
    <x v="30"/>
    <x v="1"/>
    <x v="0"/>
    <n v="1"/>
    <n v="2397.14"/>
    <n v="5681.58"/>
    <x v="0"/>
  </r>
  <r>
    <x v="6"/>
    <x v="0"/>
    <x v="9"/>
    <x v="1"/>
    <x v="31"/>
    <x v="1"/>
    <x v="0"/>
    <n v="1"/>
    <n v="3390.84"/>
    <n v="7973.64"/>
    <x v="0"/>
  </r>
  <r>
    <x v="6"/>
    <x v="0"/>
    <x v="9"/>
    <x v="1"/>
    <x v="10"/>
    <x v="0"/>
    <x v="0"/>
    <n v="1"/>
    <n v="2211.16"/>
    <n v="7529.06"/>
    <x v="0"/>
  </r>
  <r>
    <x v="6"/>
    <x v="0"/>
    <x v="9"/>
    <x v="1"/>
    <x v="10"/>
    <x v="0"/>
    <x v="1"/>
    <n v="7"/>
    <n v="21169.08"/>
    <n v="72063.899999999994"/>
    <x v="0"/>
  </r>
  <r>
    <x v="6"/>
    <x v="0"/>
    <x v="9"/>
    <x v="1"/>
    <x v="10"/>
    <x v="1"/>
    <x v="1"/>
    <n v="20"/>
    <n v="49821.22"/>
    <n v="117367.35"/>
    <x v="0"/>
  </r>
  <r>
    <x v="6"/>
    <x v="0"/>
    <x v="9"/>
    <x v="1"/>
    <x v="11"/>
    <x v="0"/>
    <x v="1"/>
    <n v="4"/>
    <n v="12033.97"/>
    <n v="41589.120000000003"/>
    <x v="0"/>
  </r>
  <r>
    <x v="6"/>
    <x v="0"/>
    <x v="9"/>
    <x v="1"/>
    <x v="11"/>
    <x v="1"/>
    <x v="0"/>
    <n v="13"/>
    <n v="30516.43"/>
    <n v="68514.460000000006"/>
    <x v="0"/>
  </r>
  <r>
    <x v="6"/>
    <x v="0"/>
    <x v="9"/>
    <x v="1"/>
    <x v="11"/>
    <x v="1"/>
    <x v="1"/>
    <n v="32"/>
    <n v="79464.160000000003"/>
    <n v="177768.54"/>
    <x v="0"/>
  </r>
  <r>
    <x v="6"/>
    <x v="0"/>
    <x v="9"/>
    <x v="1"/>
    <x v="12"/>
    <x v="1"/>
    <x v="0"/>
    <n v="5"/>
    <n v="10654.2"/>
    <n v="25749.39"/>
    <x v="0"/>
  </r>
  <r>
    <x v="6"/>
    <x v="0"/>
    <x v="9"/>
    <x v="1"/>
    <x v="12"/>
    <x v="1"/>
    <x v="1"/>
    <n v="9"/>
    <n v="26080.14"/>
    <n v="60817.62"/>
    <x v="0"/>
  </r>
  <r>
    <x v="6"/>
    <x v="0"/>
    <x v="9"/>
    <x v="1"/>
    <x v="13"/>
    <x v="1"/>
    <x v="1"/>
    <n v="3"/>
    <n v="8669.2000000000007"/>
    <n v="20509.18"/>
    <x v="0"/>
  </r>
  <r>
    <x v="6"/>
    <x v="0"/>
    <x v="9"/>
    <x v="1"/>
    <x v="14"/>
    <x v="0"/>
    <x v="1"/>
    <n v="1"/>
    <n v="3292.07"/>
    <n v="11472.86"/>
    <x v="0"/>
  </r>
  <r>
    <x v="6"/>
    <x v="0"/>
    <x v="9"/>
    <x v="1"/>
    <x v="14"/>
    <x v="1"/>
    <x v="0"/>
    <n v="15"/>
    <n v="44857.41"/>
    <n v="102025.28"/>
    <x v="0"/>
  </r>
  <r>
    <x v="6"/>
    <x v="0"/>
    <x v="9"/>
    <x v="1"/>
    <x v="14"/>
    <x v="1"/>
    <x v="1"/>
    <n v="13"/>
    <n v="29127.54"/>
    <n v="65861.399999999994"/>
    <x v="0"/>
  </r>
  <r>
    <x v="6"/>
    <x v="0"/>
    <x v="9"/>
    <x v="1"/>
    <x v="15"/>
    <x v="1"/>
    <x v="0"/>
    <n v="3"/>
    <n v="10010.27"/>
    <n v="23783.24"/>
    <x v="0"/>
  </r>
  <r>
    <x v="6"/>
    <x v="0"/>
    <x v="9"/>
    <x v="1"/>
    <x v="16"/>
    <x v="1"/>
    <x v="0"/>
    <n v="4"/>
    <n v="10798.4"/>
    <n v="24534.71"/>
    <x v="0"/>
  </r>
  <r>
    <x v="6"/>
    <x v="0"/>
    <x v="9"/>
    <x v="1"/>
    <x v="16"/>
    <x v="1"/>
    <x v="1"/>
    <n v="10"/>
    <n v="27296.03"/>
    <n v="61336.79"/>
    <x v="0"/>
  </r>
  <r>
    <x v="6"/>
    <x v="0"/>
    <x v="9"/>
    <x v="1"/>
    <x v="17"/>
    <x v="0"/>
    <x v="1"/>
    <n v="3"/>
    <n v="8658.7199999999993"/>
    <n v="30116.26"/>
    <x v="0"/>
  </r>
  <r>
    <x v="6"/>
    <x v="0"/>
    <x v="9"/>
    <x v="1"/>
    <x v="17"/>
    <x v="1"/>
    <x v="0"/>
    <n v="5"/>
    <n v="13206.4"/>
    <n v="29199.58"/>
    <x v="0"/>
  </r>
  <r>
    <x v="6"/>
    <x v="0"/>
    <x v="9"/>
    <x v="1"/>
    <x v="17"/>
    <x v="1"/>
    <x v="1"/>
    <n v="3"/>
    <n v="9982.14"/>
    <n v="22853.94"/>
    <x v="0"/>
  </r>
  <r>
    <x v="6"/>
    <x v="0"/>
    <x v="9"/>
    <x v="1"/>
    <x v="18"/>
    <x v="0"/>
    <x v="1"/>
    <n v="7"/>
    <n v="20578.88"/>
    <n v="69912.740000000005"/>
    <x v="0"/>
  </r>
  <r>
    <x v="6"/>
    <x v="0"/>
    <x v="9"/>
    <x v="1"/>
    <x v="18"/>
    <x v="1"/>
    <x v="0"/>
    <n v="8"/>
    <n v="17616.38"/>
    <n v="42858.32"/>
    <x v="0"/>
  </r>
  <r>
    <x v="6"/>
    <x v="0"/>
    <x v="9"/>
    <x v="1"/>
    <x v="18"/>
    <x v="1"/>
    <x v="1"/>
    <n v="22"/>
    <n v="56296.77"/>
    <n v="133361.56"/>
    <x v="0"/>
  </r>
  <r>
    <x v="6"/>
    <x v="0"/>
    <x v="9"/>
    <x v="1"/>
    <x v="19"/>
    <x v="0"/>
    <x v="1"/>
    <n v="3"/>
    <n v="8721.4"/>
    <n v="30116.26"/>
    <x v="0"/>
  </r>
  <r>
    <x v="6"/>
    <x v="0"/>
    <x v="9"/>
    <x v="1"/>
    <x v="19"/>
    <x v="1"/>
    <x v="0"/>
    <n v="5"/>
    <n v="13330.16"/>
    <n v="30567.16"/>
    <x v="0"/>
  </r>
  <r>
    <x v="6"/>
    <x v="0"/>
    <x v="9"/>
    <x v="1"/>
    <x v="19"/>
    <x v="1"/>
    <x v="1"/>
    <n v="9"/>
    <n v="28274.77"/>
    <n v="63863.3"/>
    <x v="0"/>
  </r>
  <r>
    <x v="6"/>
    <x v="0"/>
    <x v="9"/>
    <x v="1"/>
    <x v="20"/>
    <x v="0"/>
    <x v="0"/>
    <n v="3"/>
    <n v="8950.42"/>
    <n v="30116.26"/>
    <x v="0"/>
  </r>
  <r>
    <x v="6"/>
    <x v="0"/>
    <x v="9"/>
    <x v="1"/>
    <x v="20"/>
    <x v="0"/>
    <x v="1"/>
    <n v="7"/>
    <n v="15564.78"/>
    <n v="54854.62"/>
    <x v="0"/>
  </r>
  <r>
    <x v="6"/>
    <x v="0"/>
    <x v="9"/>
    <x v="1"/>
    <x v="20"/>
    <x v="1"/>
    <x v="0"/>
    <n v="2"/>
    <n v="6756.16"/>
    <n v="15213.01"/>
    <x v="0"/>
  </r>
  <r>
    <x v="6"/>
    <x v="0"/>
    <x v="9"/>
    <x v="1"/>
    <x v="20"/>
    <x v="1"/>
    <x v="1"/>
    <n v="27"/>
    <n v="70240.570000000007"/>
    <n v="159498.94"/>
    <x v="0"/>
  </r>
  <r>
    <x v="6"/>
    <x v="0"/>
    <x v="9"/>
    <x v="2"/>
    <x v="21"/>
    <x v="0"/>
    <x v="0"/>
    <n v="2"/>
    <n v="4021.86"/>
    <n v="14341.08"/>
    <x v="0"/>
  </r>
  <r>
    <x v="6"/>
    <x v="0"/>
    <x v="9"/>
    <x v="2"/>
    <x v="21"/>
    <x v="1"/>
    <x v="1"/>
    <n v="1"/>
    <n v="2019.42"/>
    <n v="4366.8599999999997"/>
    <x v="0"/>
  </r>
  <r>
    <x v="6"/>
    <x v="0"/>
    <x v="9"/>
    <x v="2"/>
    <x v="22"/>
    <x v="0"/>
    <x v="1"/>
    <n v="2"/>
    <n v="5547.35"/>
    <n v="19001.919999999998"/>
    <x v="0"/>
  </r>
  <r>
    <x v="6"/>
    <x v="0"/>
    <x v="9"/>
    <x v="2"/>
    <x v="22"/>
    <x v="1"/>
    <x v="0"/>
    <n v="4"/>
    <n v="13558.73"/>
    <n v="27947.88"/>
    <x v="0"/>
  </r>
  <r>
    <x v="6"/>
    <x v="0"/>
    <x v="9"/>
    <x v="2"/>
    <x v="22"/>
    <x v="1"/>
    <x v="1"/>
    <n v="4"/>
    <n v="10734.5"/>
    <n v="23144.34"/>
    <x v="0"/>
  </r>
  <r>
    <x v="6"/>
    <x v="0"/>
    <x v="9"/>
    <x v="2"/>
    <x v="29"/>
    <x v="0"/>
    <x v="1"/>
    <n v="1"/>
    <n v="2093.9699999999998"/>
    <n v="7529.06"/>
    <x v="0"/>
  </r>
  <r>
    <x v="6"/>
    <x v="0"/>
    <x v="9"/>
    <x v="2"/>
    <x v="24"/>
    <x v="0"/>
    <x v="1"/>
    <n v="2"/>
    <n v="4144.1099999999997"/>
    <n v="14699.6"/>
    <x v="0"/>
  </r>
  <r>
    <x v="6"/>
    <x v="0"/>
    <x v="9"/>
    <x v="2"/>
    <x v="24"/>
    <x v="1"/>
    <x v="0"/>
    <n v="2"/>
    <n v="3956.76"/>
    <n v="8891.4699999999993"/>
    <x v="0"/>
  </r>
  <r>
    <x v="6"/>
    <x v="0"/>
    <x v="9"/>
    <x v="3"/>
    <x v="25"/>
    <x v="1"/>
    <x v="0"/>
    <n v="5"/>
    <n v="10855.06"/>
    <n v="24623.9"/>
    <x v="0"/>
  </r>
  <r>
    <x v="6"/>
    <x v="0"/>
    <x v="9"/>
    <x v="3"/>
    <x v="26"/>
    <x v="0"/>
    <x v="0"/>
    <n v="2"/>
    <n v="5474.83"/>
    <n v="18643.400000000001"/>
    <x v="0"/>
  </r>
  <r>
    <x v="6"/>
    <x v="0"/>
    <x v="9"/>
    <x v="3"/>
    <x v="26"/>
    <x v="0"/>
    <x v="1"/>
    <n v="1"/>
    <n v="2461.7600000000002"/>
    <n v="8246.1200000000008"/>
    <x v="0"/>
  </r>
  <r>
    <x v="6"/>
    <x v="0"/>
    <x v="9"/>
    <x v="3"/>
    <x v="26"/>
    <x v="1"/>
    <x v="0"/>
    <n v="10"/>
    <n v="26033.67"/>
    <n v="61351.12"/>
    <x v="0"/>
  </r>
  <r>
    <x v="6"/>
    <x v="0"/>
    <x v="9"/>
    <x v="3"/>
    <x v="26"/>
    <x v="1"/>
    <x v="1"/>
    <n v="30"/>
    <n v="83768.929999999993"/>
    <n v="197906.84"/>
    <x v="0"/>
  </r>
  <r>
    <x v="6"/>
    <x v="0"/>
    <x v="9"/>
    <x v="3"/>
    <x v="27"/>
    <x v="0"/>
    <x v="0"/>
    <n v="1"/>
    <n v="2032.54"/>
    <n v="7170.54"/>
    <x v="0"/>
  </r>
  <r>
    <x v="6"/>
    <x v="0"/>
    <x v="9"/>
    <x v="3"/>
    <x v="27"/>
    <x v="0"/>
    <x v="1"/>
    <n v="7"/>
    <n v="21230.31"/>
    <n v="72780.960000000006"/>
    <x v="0"/>
  </r>
  <r>
    <x v="6"/>
    <x v="0"/>
    <x v="9"/>
    <x v="3"/>
    <x v="27"/>
    <x v="1"/>
    <x v="0"/>
    <n v="4"/>
    <n v="9542.31"/>
    <n v="22330.5"/>
    <x v="0"/>
  </r>
  <r>
    <x v="6"/>
    <x v="0"/>
    <x v="9"/>
    <x v="3"/>
    <x v="27"/>
    <x v="1"/>
    <x v="1"/>
    <n v="19"/>
    <n v="50183.199999999997"/>
    <n v="117477.79"/>
    <x v="0"/>
  </r>
  <r>
    <x v="7"/>
    <x v="0"/>
    <x v="0"/>
    <x v="0"/>
    <x v="0"/>
    <x v="0"/>
    <x v="0"/>
    <n v="3"/>
    <n v="18240.16"/>
    <n v="78256.95"/>
    <x v="0"/>
  </r>
  <r>
    <x v="7"/>
    <x v="0"/>
    <x v="0"/>
    <x v="0"/>
    <x v="0"/>
    <x v="0"/>
    <x v="1"/>
    <n v="1"/>
    <n v="7245.04"/>
    <n v="32105.41"/>
    <x v="0"/>
  </r>
  <r>
    <x v="7"/>
    <x v="0"/>
    <x v="0"/>
    <x v="0"/>
    <x v="0"/>
    <x v="1"/>
    <x v="1"/>
    <n v="11"/>
    <n v="78749.100000000006"/>
    <n v="222035.08"/>
    <x v="0"/>
  </r>
  <r>
    <x v="7"/>
    <x v="0"/>
    <x v="0"/>
    <x v="0"/>
    <x v="1"/>
    <x v="0"/>
    <x v="0"/>
    <n v="12"/>
    <n v="73496.23"/>
    <n v="320050.84999999998"/>
    <x v="0"/>
  </r>
  <r>
    <x v="7"/>
    <x v="0"/>
    <x v="0"/>
    <x v="0"/>
    <x v="1"/>
    <x v="0"/>
    <x v="1"/>
    <n v="4"/>
    <n v="29721.68"/>
    <n v="128421.64"/>
    <x v="0"/>
  </r>
  <r>
    <x v="7"/>
    <x v="0"/>
    <x v="0"/>
    <x v="0"/>
    <x v="1"/>
    <x v="1"/>
    <x v="0"/>
    <n v="7"/>
    <n v="40119.269999999997"/>
    <n v="109670.1"/>
    <x v="0"/>
  </r>
  <r>
    <x v="7"/>
    <x v="0"/>
    <x v="0"/>
    <x v="0"/>
    <x v="1"/>
    <x v="1"/>
    <x v="1"/>
    <n v="14"/>
    <n v="88332.89"/>
    <n v="244499.78"/>
    <x v="0"/>
  </r>
  <r>
    <x v="7"/>
    <x v="0"/>
    <x v="0"/>
    <x v="0"/>
    <x v="2"/>
    <x v="0"/>
    <x v="1"/>
    <n v="4"/>
    <n v="25952.7"/>
    <n v="110362.36"/>
    <x v="0"/>
  </r>
  <r>
    <x v="7"/>
    <x v="0"/>
    <x v="0"/>
    <x v="0"/>
    <x v="2"/>
    <x v="1"/>
    <x v="0"/>
    <n v="3"/>
    <n v="21993.52"/>
    <n v="59145.25"/>
    <x v="0"/>
  </r>
  <r>
    <x v="7"/>
    <x v="0"/>
    <x v="0"/>
    <x v="0"/>
    <x v="2"/>
    <x v="1"/>
    <x v="1"/>
    <n v="11"/>
    <n v="64858.61"/>
    <n v="179437.15"/>
    <x v="0"/>
  </r>
  <r>
    <x v="7"/>
    <x v="0"/>
    <x v="0"/>
    <x v="0"/>
    <x v="3"/>
    <x v="0"/>
    <x v="0"/>
    <n v="3"/>
    <n v="19726.740000000002"/>
    <n v="87286.59"/>
    <x v="0"/>
  </r>
  <r>
    <x v="7"/>
    <x v="0"/>
    <x v="0"/>
    <x v="0"/>
    <x v="3"/>
    <x v="0"/>
    <x v="1"/>
    <n v="6"/>
    <n v="38836.28"/>
    <n v="165543.54"/>
    <x v="0"/>
  </r>
  <r>
    <x v="7"/>
    <x v="0"/>
    <x v="0"/>
    <x v="0"/>
    <x v="3"/>
    <x v="1"/>
    <x v="0"/>
    <n v="4"/>
    <n v="24338.13"/>
    <n v="65460.93"/>
    <x v="0"/>
  </r>
  <r>
    <x v="7"/>
    <x v="0"/>
    <x v="0"/>
    <x v="0"/>
    <x v="3"/>
    <x v="1"/>
    <x v="1"/>
    <n v="35"/>
    <n v="240817.9"/>
    <n v="673862.02"/>
    <x v="0"/>
  </r>
  <r>
    <x v="7"/>
    <x v="0"/>
    <x v="0"/>
    <x v="0"/>
    <x v="4"/>
    <x v="0"/>
    <x v="1"/>
    <n v="2"/>
    <n v="11886.96"/>
    <n v="53174.59"/>
    <x v="0"/>
  </r>
  <r>
    <x v="7"/>
    <x v="0"/>
    <x v="0"/>
    <x v="0"/>
    <x v="4"/>
    <x v="1"/>
    <x v="0"/>
    <n v="5"/>
    <n v="33586.94"/>
    <n v="91179.38"/>
    <x v="0"/>
  </r>
  <r>
    <x v="7"/>
    <x v="0"/>
    <x v="0"/>
    <x v="0"/>
    <x v="4"/>
    <x v="1"/>
    <x v="1"/>
    <n v="13"/>
    <n v="91918.62"/>
    <n v="255559.07"/>
    <x v="0"/>
  </r>
  <r>
    <x v="7"/>
    <x v="0"/>
    <x v="0"/>
    <x v="0"/>
    <x v="5"/>
    <x v="0"/>
    <x v="1"/>
    <n v="6"/>
    <n v="39108.129999999997"/>
    <n v="165543.54"/>
    <x v="0"/>
  </r>
  <r>
    <x v="7"/>
    <x v="0"/>
    <x v="0"/>
    <x v="0"/>
    <x v="5"/>
    <x v="1"/>
    <x v="0"/>
    <n v="5"/>
    <n v="23433.3"/>
    <n v="69422.95"/>
    <x v="0"/>
  </r>
  <r>
    <x v="7"/>
    <x v="0"/>
    <x v="0"/>
    <x v="0"/>
    <x v="5"/>
    <x v="1"/>
    <x v="1"/>
    <n v="20"/>
    <n v="127182.19"/>
    <n v="362321.63"/>
    <x v="0"/>
  </r>
  <r>
    <x v="7"/>
    <x v="0"/>
    <x v="0"/>
    <x v="0"/>
    <x v="6"/>
    <x v="0"/>
    <x v="1"/>
    <n v="3"/>
    <n v="20744.310000000001"/>
    <n v="87286.59"/>
    <x v="0"/>
  </r>
  <r>
    <x v="7"/>
    <x v="0"/>
    <x v="0"/>
    <x v="0"/>
    <x v="7"/>
    <x v="1"/>
    <x v="1"/>
    <n v="1"/>
    <n v="5585.49"/>
    <n v="15414.61"/>
    <x v="0"/>
  </r>
  <r>
    <x v="7"/>
    <x v="0"/>
    <x v="0"/>
    <x v="0"/>
    <x v="8"/>
    <x v="0"/>
    <x v="1"/>
    <n v="5"/>
    <n v="26957.73"/>
    <n v="120395.31"/>
    <x v="0"/>
  </r>
  <r>
    <x v="7"/>
    <x v="0"/>
    <x v="0"/>
    <x v="0"/>
    <x v="8"/>
    <x v="1"/>
    <x v="1"/>
    <n v="3"/>
    <n v="15649.56"/>
    <n v="44097.8"/>
    <x v="0"/>
  </r>
  <r>
    <x v="7"/>
    <x v="0"/>
    <x v="0"/>
    <x v="1"/>
    <x v="30"/>
    <x v="1"/>
    <x v="0"/>
    <n v="1"/>
    <n v="7625"/>
    <n v="22120.63"/>
    <x v="0"/>
  </r>
  <r>
    <x v="7"/>
    <x v="0"/>
    <x v="0"/>
    <x v="1"/>
    <x v="31"/>
    <x v="1"/>
    <x v="0"/>
    <n v="6"/>
    <n v="33916.35"/>
    <n v="102501.56"/>
    <x v="0"/>
  </r>
  <r>
    <x v="7"/>
    <x v="0"/>
    <x v="0"/>
    <x v="1"/>
    <x v="10"/>
    <x v="0"/>
    <x v="0"/>
    <n v="1"/>
    <n v="7293.13"/>
    <n v="32105.41"/>
    <x v="0"/>
  </r>
  <r>
    <x v="7"/>
    <x v="0"/>
    <x v="0"/>
    <x v="1"/>
    <x v="10"/>
    <x v="0"/>
    <x v="1"/>
    <n v="4"/>
    <n v="25864.03"/>
    <n v="110362.36"/>
    <x v="0"/>
  </r>
  <r>
    <x v="7"/>
    <x v="0"/>
    <x v="0"/>
    <x v="1"/>
    <x v="10"/>
    <x v="1"/>
    <x v="0"/>
    <n v="11"/>
    <n v="69308.53"/>
    <n v="204039.69"/>
    <x v="0"/>
  </r>
  <r>
    <x v="7"/>
    <x v="0"/>
    <x v="0"/>
    <x v="1"/>
    <x v="10"/>
    <x v="1"/>
    <x v="1"/>
    <n v="30"/>
    <n v="176819.17"/>
    <n v="526869.96"/>
    <x v="0"/>
  </r>
  <r>
    <x v="7"/>
    <x v="0"/>
    <x v="0"/>
    <x v="1"/>
    <x v="11"/>
    <x v="0"/>
    <x v="1"/>
    <n v="18"/>
    <n v="121033.7"/>
    <n v="523719.54"/>
    <x v="0"/>
  </r>
  <r>
    <x v="7"/>
    <x v="0"/>
    <x v="0"/>
    <x v="1"/>
    <x v="11"/>
    <x v="1"/>
    <x v="0"/>
    <n v="12"/>
    <n v="58724.62"/>
    <n v="166489.54"/>
    <x v="0"/>
  </r>
  <r>
    <x v="7"/>
    <x v="0"/>
    <x v="0"/>
    <x v="1"/>
    <x v="11"/>
    <x v="1"/>
    <x v="1"/>
    <n v="34"/>
    <n v="201166.66"/>
    <n v="563075.6"/>
    <x v="0"/>
  </r>
  <r>
    <x v="7"/>
    <x v="0"/>
    <x v="0"/>
    <x v="1"/>
    <x v="12"/>
    <x v="1"/>
    <x v="0"/>
    <n v="10"/>
    <n v="63793.3"/>
    <n v="186032.72"/>
    <x v="0"/>
  </r>
  <r>
    <x v="7"/>
    <x v="0"/>
    <x v="0"/>
    <x v="1"/>
    <x v="13"/>
    <x v="0"/>
    <x v="1"/>
    <n v="5"/>
    <n v="32206.33"/>
    <n v="140461.18"/>
    <x v="0"/>
  </r>
  <r>
    <x v="7"/>
    <x v="0"/>
    <x v="0"/>
    <x v="1"/>
    <x v="13"/>
    <x v="1"/>
    <x v="1"/>
    <n v="5"/>
    <n v="35904.85"/>
    <n v="109318.92"/>
    <x v="0"/>
  </r>
  <r>
    <x v="7"/>
    <x v="0"/>
    <x v="0"/>
    <x v="1"/>
    <x v="14"/>
    <x v="0"/>
    <x v="1"/>
    <n v="2"/>
    <n v="14827.4"/>
    <n v="64210.82"/>
    <x v="0"/>
  </r>
  <r>
    <x v="7"/>
    <x v="0"/>
    <x v="0"/>
    <x v="1"/>
    <x v="14"/>
    <x v="1"/>
    <x v="0"/>
    <n v="11"/>
    <n v="82542.100000000006"/>
    <n v="233464.24"/>
    <x v="0"/>
  </r>
  <r>
    <x v="7"/>
    <x v="0"/>
    <x v="0"/>
    <x v="1"/>
    <x v="14"/>
    <x v="1"/>
    <x v="1"/>
    <n v="12"/>
    <n v="76471.850000000006"/>
    <n v="220317.03"/>
    <x v="0"/>
  </r>
  <r>
    <x v="7"/>
    <x v="0"/>
    <x v="0"/>
    <x v="1"/>
    <x v="16"/>
    <x v="1"/>
    <x v="0"/>
    <n v="5"/>
    <n v="31430.61"/>
    <n v="90126.66"/>
    <x v="0"/>
  </r>
  <r>
    <x v="7"/>
    <x v="0"/>
    <x v="0"/>
    <x v="1"/>
    <x v="16"/>
    <x v="1"/>
    <x v="1"/>
    <n v="4"/>
    <n v="29364.89"/>
    <n v="84501.440000000002"/>
    <x v="0"/>
  </r>
  <r>
    <x v="7"/>
    <x v="0"/>
    <x v="0"/>
    <x v="1"/>
    <x v="17"/>
    <x v="0"/>
    <x v="1"/>
    <n v="2"/>
    <n v="12458.11"/>
    <n v="55181.18"/>
    <x v="0"/>
  </r>
  <r>
    <x v="7"/>
    <x v="0"/>
    <x v="0"/>
    <x v="1"/>
    <x v="17"/>
    <x v="1"/>
    <x v="0"/>
    <n v="3"/>
    <n v="15667.83"/>
    <n v="45966.93"/>
    <x v="0"/>
  </r>
  <r>
    <x v="7"/>
    <x v="0"/>
    <x v="0"/>
    <x v="1"/>
    <x v="17"/>
    <x v="1"/>
    <x v="1"/>
    <n v="2"/>
    <n v="15451.02"/>
    <n v="42635.98"/>
    <x v="0"/>
  </r>
  <r>
    <x v="7"/>
    <x v="0"/>
    <x v="0"/>
    <x v="1"/>
    <x v="18"/>
    <x v="0"/>
    <x v="1"/>
    <n v="8"/>
    <n v="51104.800000000003"/>
    <n v="220724.72"/>
    <x v="0"/>
  </r>
  <r>
    <x v="7"/>
    <x v="0"/>
    <x v="0"/>
    <x v="1"/>
    <x v="18"/>
    <x v="1"/>
    <x v="0"/>
    <n v="9"/>
    <n v="54367.18"/>
    <n v="164748.04999999999"/>
    <x v="0"/>
  </r>
  <r>
    <x v="7"/>
    <x v="0"/>
    <x v="0"/>
    <x v="1"/>
    <x v="18"/>
    <x v="1"/>
    <x v="1"/>
    <n v="15"/>
    <n v="93783.679999999993"/>
    <n v="278256.12"/>
    <x v="0"/>
  </r>
  <r>
    <x v="7"/>
    <x v="0"/>
    <x v="0"/>
    <x v="1"/>
    <x v="19"/>
    <x v="0"/>
    <x v="1"/>
    <n v="2"/>
    <n v="12068.31"/>
    <n v="53174.59"/>
    <x v="0"/>
  </r>
  <r>
    <x v="7"/>
    <x v="0"/>
    <x v="0"/>
    <x v="1"/>
    <x v="19"/>
    <x v="1"/>
    <x v="0"/>
    <n v="1"/>
    <n v="7502.57"/>
    <n v="21639.05"/>
    <x v="0"/>
  </r>
  <r>
    <x v="7"/>
    <x v="0"/>
    <x v="0"/>
    <x v="1"/>
    <x v="19"/>
    <x v="1"/>
    <x v="1"/>
    <n v="20"/>
    <n v="128009.3"/>
    <n v="370640.7"/>
    <x v="0"/>
  </r>
  <r>
    <x v="7"/>
    <x v="0"/>
    <x v="0"/>
    <x v="1"/>
    <x v="20"/>
    <x v="0"/>
    <x v="0"/>
    <n v="1"/>
    <n v="4699.7299999999996"/>
    <n v="21069.18"/>
    <x v="0"/>
  </r>
  <r>
    <x v="7"/>
    <x v="0"/>
    <x v="0"/>
    <x v="1"/>
    <x v="20"/>
    <x v="0"/>
    <x v="1"/>
    <n v="7"/>
    <n v="47928.01"/>
    <n v="206678.59"/>
    <x v="0"/>
  </r>
  <r>
    <x v="7"/>
    <x v="0"/>
    <x v="0"/>
    <x v="1"/>
    <x v="20"/>
    <x v="1"/>
    <x v="0"/>
    <n v="7"/>
    <n v="48254.15"/>
    <n v="136200.75"/>
    <x v="0"/>
  </r>
  <r>
    <x v="7"/>
    <x v="0"/>
    <x v="0"/>
    <x v="1"/>
    <x v="20"/>
    <x v="1"/>
    <x v="1"/>
    <n v="17"/>
    <n v="98366.65"/>
    <n v="281372.88"/>
    <x v="0"/>
  </r>
  <r>
    <x v="7"/>
    <x v="0"/>
    <x v="0"/>
    <x v="2"/>
    <x v="21"/>
    <x v="0"/>
    <x v="0"/>
    <n v="3"/>
    <n v="22748.93"/>
    <n v="96316.23"/>
    <x v="0"/>
  </r>
  <r>
    <x v="7"/>
    <x v="0"/>
    <x v="0"/>
    <x v="2"/>
    <x v="22"/>
    <x v="0"/>
    <x v="1"/>
    <n v="1"/>
    <n v="5295.28"/>
    <n v="23075.77"/>
    <x v="0"/>
  </r>
  <r>
    <x v="7"/>
    <x v="0"/>
    <x v="0"/>
    <x v="2"/>
    <x v="22"/>
    <x v="1"/>
    <x v="0"/>
    <n v="1"/>
    <n v="4745.33"/>
    <n v="12831.13"/>
    <x v="0"/>
  </r>
  <r>
    <x v="7"/>
    <x v="0"/>
    <x v="0"/>
    <x v="2"/>
    <x v="22"/>
    <x v="1"/>
    <x v="1"/>
    <n v="19"/>
    <n v="137619.65"/>
    <n v="371491.69"/>
    <x v="0"/>
  </r>
  <r>
    <x v="7"/>
    <x v="0"/>
    <x v="0"/>
    <x v="2"/>
    <x v="29"/>
    <x v="0"/>
    <x v="1"/>
    <n v="1"/>
    <n v="7630.09"/>
    <n v="32105.41"/>
    <x v="0"/>
  </r>
  <r>
    <x v="7"/>
    <x v="0"/>
    <x v="0"/>
    <x v="2"/>
    <x v="29"/>
    <x v="1"/>
    <x v="1"/>
    <n v="7"/>
    <n v="50300.09"/>
    <n v="138418.91"/>
    <x v="0"/>
  </r>
  <r>
    <x v="7"/>
    <x v="0"/>
    <x v="0"/>
    <x v="2"/>
    <x v="24"/>
    <x v="0"/>
    <x v="1"/>
    <n v="2"/>
    <n v="14553"/>
    <n v="64210.82"/>
    <x v="0"/>
  </r>
  <r>
    <x v="7"/>
    <x v="0"/>
    <x v="0"/>
    <x v="2"/>
    <x v="24"/>
    <x v="1"/>
    <x v="0"/>
    <n v="4"/>
    <n v="24228.34"/>
    <n v="65936.490000000005"/>
    <x v="0"/>
  </r>
  <r>
    <x v="7"/>
    <x v="0"/>
    <x v="0"/>
    <x v="3"/>
    <x v="25"/>
    <x v="0"/>
    <x v="1"/>
    <n v="3"/>
    <n v="21677.54"/>
    <n v="96316.23"/>
    <x v="0"/>
  </r>
  <r>
    <x v="7"/>
    <x v="0"/>
    <x v="0"/>
    <x v="3"/>
    <x v="25"/>
    <x v="1"/>
    <x v="0"/>
    <n v="1"/>
    <n v="4739.84"/>
    <n v="14432.39"/>
    <x v="0"/>
  </r>
  <r>
    <x v="7"/>
    <x v="0"/>
    <x v="0"/>
    <x v="3"/>
    <x v="25"/>
    <x v="1"/>
    <x v="1"/>
    <n v="8"/>
    <n v="46547.3"/>
    <n v="138825.82999999999"/>
    <x v="0"/>
  </r>
  <r>
    <x v="7"/>
    <x v="0"/>
    <x v="0"/>
    <x v="3"/>
    <x v="26"/>
    <x v="0"/>
    <x v="0"/>
    <n v="5"/>
    <n v="34503.81"/>
    <n v="151497.41"/>
    <x v="0"/>
  </r>
  <r>
    <x v="7"/>
    <x v="0"/>
    <x v="0"/>
    <x v="3"/>
    <x v="26"/>
    <x v="1"/>
    <x v="0"/>
    <n v="16"/>
    <n v="108804.06"/>
    <n v="329521.90999999997"/>
    <x v="0"/>
  </r>
  <r>
    <x v="7"/>
    <x v="0"/>
    <x v="0"/>
    <x v="3"/>
    <x v="26"/>
    <x v="1"/>
    <x v="1"/>
    <n v="37"/>
    <n v="250716.71"/>
    <n v="753992.4"/>
    <x v="0"/>
  </r>
  <r>
    <x v="7"/>
    <x v="0"/>
    <x v="0"/>
    <x v="3"/>
    <x v="27"/>
    <x v="0"/>
    <x v="0"/>
    <n v="2"/>
    <n v="12967.17"/>
    <n v="55181.18"/>
    <x v="0"/>
  </r>
  <r>
    <x v="7"/>
    <x v="0"/>
    <x v="0"/>
    <x v="3"/>
    <x v="27"/>
    <x v="0"/>
    <x v="1"/>
    <n v="7"/>
    <n v="38791.53"/>
    <n v="168553.44"/>
    <x v="0"/>
  </r>
  <r>
    <x v="7"/>
    <x v="0"/>
    <x v="0"/>
    <x v="3"/>
    <x v="27"/>
    <x v="1"/>
    <x v="0"/>
    <n v="14"/>
    <n v="93752.45"/>
    <n v="282630.43"/>
    <x v="0"/>
  </r>
  <r>
    <x v="7"/>
    <x v="0"/>
    <x v="0"/>
    <x v="3"/>
    <x v="27"/>
    <x v="1"/>
    <x v="1"/>
    <n v="43"/>
    <n v="285127.25"/>
    <n v="826859.32"/>
    <x v="0"/>
  </r>
  <r>
    <x v="7"/>
    <x v="0"/>
    <x v="1"/>
    <x v="0"/>
    <x v="0"/>
    <x v="0"/>
    <x v="1"/>
    <n v="2"/>
    <n v="5219.63"/>
    <n v="18509.02"/>
    <x v="0"/>
  </r>
  <r>
    <x v="7"/>
    <x v="0"/>
    <x v="1"/>
    <x v="0"/>
    <x v="0"/>
    <x v="1"/>
    <x v="1"/>
    <n v="17"/>
    <n v="39124.949999999997"/>
    <n v="90672.56"/>
    <x v="0"/>
  </r>
  <r>
    <x v="7"/>
    <x v="0"/>
    <x v="1"/>
    <x v="0"/>
    <x v="1"/>
    <x v="0"/>
    <x v="0"/>
    <n v="3"/>
    <n v="8641.31"/>
    <n v="29684.28"/>
    <x v="0"/>
  </r>
  <r>
    <x v="7"/>
    <x v="0"/>
    <x v="1"/>
    <x v="0"/>
    <x v="1"/>
    <x v="0"/>
    <x v="1"/>
    <n v="8"/>
    <n v="24858.12"/>
    <n v="85560.58"/>
    <x v="0"/>
  </r>
  <r>
    <x v="7"/>
    <x v="0"/>
    <x v="1"/>
    <x v="0"/>
    <x v="1"/>
    <x v="1"/>
    <x v="0"/>
    <n v="24"/>
    <n v="62997.03"/>
    <n v="140670.18"/>
    <x v="0"/>
  </r>
  <r>
    <x v="7"/>
    <x v="0"/>
    <x v="1"/>
    <x v="0"/>
    <x v="1"/>
    <x v="1"/>
    <x v="1"/>
    <n v="9"/>
    <n v="18576.009999999998"/>
    <n v="42440.480000000003"/>
    <x v="0"/>
  </r>
  <r>
    <x v="7"/>
    <x v="0"/>
    <x v="1"/>
    <x v="0"/>
    <x v="2"/>
    <x v="0"/>
    <x v="1"/>
    <n v="1"/>
    <n v="3242.09"/>
    <n v="11175.26"/>
    <x v="0"/>
  </r>
  <r>
    <x v="7"/>
    <x v="0"/>
    <x v="1"/>
    <x v="0"/>
    <x v="2"/>
    <x v="1"/>
    <x v="0"/>
    <n v="2"/>
    <n v="6556.02"/>
    <n v="13879.67"/>
    <x v="0"/>
  </r>
  <r>
    <x v="7"/>
    <x v="0"/>
    <x v="1"/>
    <x v="0"/>
    <x v="2"/>
    <x v="1"/>
    <x v="1"/>
    <n v="7"/>
    <n v="21129.27"/>
    <n v="46193.279999999999"/>
    <x v="0"/>
  </r>
  <r>
    <x v="7"/>
    <x v="0"/>
    <x v="1"/>
    <x v="0"/>
    <x v="3"/>
    <x v="0"/>
    <x v="0"/>
    <n v="1"/>
    <n v="1965.64"/>
    <n v="6984.54"/>
    <x v="0"/>
  </r>
  <r>
    <x v="7"/>
    <x v="0"/>
    <x v="1"/>
    <x v="0"/>
    <x v="3"/>
    <x v="0"/>
    <x v="1"/>
    <n v="3"/>
    <n v="7334.56"/>
    <n v="25842.78"/>
    <x v="0"/>
  </r>
  <r>
    <x v="7"/>
    <x v="0"/>
    <x v="1"/>
    <x v="0"/>
    <x v="3"/>
    <x v="1"/>
    <x v="1"/>
    <n v="13"/>
    <n v="40206.33"/>
    <n v="90836.82"/>
    <x v="0"/>
  </r>
  <r>
    <x v="7"/>
    <x v="0"/>
    <x v="1"/>
    <x v="0"/>
    <x v="4"/>
    <x v="0"/>
    <x v="1"/>
    <n v="1"/>
    <n v="3056.25"/>
    <n v="11175.26"/>
    <x v="0"/>
  </r>
  <r>
    <x v="7"/>
    <x v="0"/>
    <x v="1"/>
    <x v="0"/>
    <x v="4"/>
    <x v="1"/>
    <x v="0"/>
    <n v="8"/>
    <n v="16398.560000000001"/>
    <n v="36878.35"/>
    <x v="0"/>
  </r>
  <r>
    <x v="7"/>
    <x v="0"/>
    <x v="1"/>
    <x v="0"/>
    <x v="4"/>
    <x v="1"/>
    <x v="1"/>
    <n v="2"/>
    <n v="4408.3999999999996"/>
    <n v="9387.2099999999991"/>
    <x v="0"/>
  </r>
  <r>
    <x v="7"/>
    <x v="0"/>
    <x v="1"/>
    <x v="0"/>
    <x v="5"/>
    <x v="0"/>
    <x v="1"/>
    <n v="6"/>
    <n v="18061.43"/>
    <n v="62860.84"/>
    <x v="0"/>
  </r>
  <r>
    <x v="7"/>
    <x v="0"/>
    <x v="1"/>
    <x v="0"/>
    <x v="5"/>
    <x v="1"/>
    <x v="0"/>
    <n v="2"/>
    <n v="4123.7"/>
    <n v="9665.9"/>
    <x v="0"/>
  </r>
  <r>
    <x v="7"/>
    <x v="0"/>
    <x v="1"/>
    <x v="0"/>
    <x v="5"/>
    <x v="1"/>
    <x v="1"/>
    <n v="16"/>
    <n v="40859.29"/>
    <n v="95048"/>
    <x v="0"/>
  </r>
  <r>
    <x v="7"/>
    <x v="0"/>
    <x v="1"/>
    <x v="0"/>
    <x v="6"/>
    <x v="0"/>
    <x v="1"/>
    <n v="2"/>
    <n v="5307.07"/>
    <n v="18509.02"/>
    <x v="0"/>
  </r>
  <r>
    <x v="7"/>
    <x v="0"/>
    <x v="1"/>
    <x v="0"/>
    <x v="6"/>
    <x v="1"/>
    <x v="1"/>
    <n v="8"/>
    <n v="22807.26"/>
    <n v="53230.57"/>
    <x v="0"/>
  </r>
  <r>
    <x v="7"/>
    <x v="0"/>
    <x v="1"/>
    <x v="0"/>
    <x v="7"/>
    <x v="1"/>
    <x v="1"/>
    <n v="5"/>
    <n v="9946.2999999999993"/>
    <n v="23328.36"/>
    <x v="0"/>
  </r>
  <r>
    <x v="7"/>
    <x v="0"/>
    <x v="1"/>
    <x v="0"/>
    <x v="8"/>
    <x v="1"/>
    <x v="1"/>
    <n v="1"/>
    <n v="3106.83"/>
    <n v="7118.64"/>
    <x v="0"/>
  </r>
  <r>
    <x v="7"/>
    <x v="0"/>
    <x v="1"/>
    <x v="1"/>
    <x v="9"/>
    <x v="1"/>
    <x v="1"/>
    <n v="4"/>
    <n v="9742.0300000000007"/>
    <n v="22825.46"/>
    <x v="0"/>
  </r>
  <r>
    <x v="7"/>
    <x v="0"/>
    <x v="1"/>
    <x v="1"/>
    <x v="10"/>
    <x v="0"/>
    <x v="0"/>
    <n v="2"/>
    <n v="5211.78"/>
    <n v="18159.8"/>
    <x v="0"/>
  </r>
  <r>
    <x v="7"/>
    <x v="0"/>
    <x v="1"/>
    <x v="1"/>
    <x v="10"/>
    <x v="0"/>
    <x v="1"/>
    <n v="5"/>
    <n v="13960.63"/>
    <n v="47494.86"/>
    <x v="0"/>
  </r>
  <r>
    <x v="7"/>
    <x v="0"/>
    <x v="1"/>
    <x v="1"/>
    <x v="10"/>
    <x v="1"/>
    <x v="0"/>
    <n v="4"/>
    <n v="10220.42"/>
    <n v="24769.96"/>
    <x v="0"/>
  </r>
  <r>
    <x v="7"/>
    <x v="0"/>
    <x v="1"/>
    <x v="1"/>
    <x v="10"/>
    <x v="1"/>
    <x v="1"/>
    <n v="8"/>
    <n v="21294.54"/>
    <n v="50492.59"/>
    <x v="0"/>
  </r>
  <r>
    <x v="7"/>
    <x v="0"/>
    <x v="1"/>
    <x v="1"/>
    <x v="11"/>
    <x v="0"/>
    <x v="1"/>
    <n v="3"/>
    <n v="7340.17"/>
    <n v="25842.78"/>
    <x v="0"/>
  </r>
  <r>
    <x v="7"/>
    <x v="0"/>
    <x v="1"/>
    <x v="1"/>
    <x v="11"/>
    <x v="1"/>
    <x v="0"/>
    <n v="6"/>
    <n v="14897.06"/>
    <n v="33595.620000000003"/>
    <x v="0"/>
  </r>
  <r>
    <x v="7"/>
    <x v="0"/>
    <x v="1"/>
    <x v="1"/>
    <x v="11"/>
    <x v="1"/>
    <x v="1"/>
    <n v="13"/>
    <n v="35589.29"/>
    <n v="79449.100000000006"/>
    <x v="0"/>
  </r>
  <r>
    <x v="7"/>
    <x v="0"/>
    <x v="1"/>
    <x v="1"/>
    <x v="12"/>
    <x v="1"/>
    <x v="0"/>
    <n v="1"/>
    <n v="2079.71"/>
    <n v="5016.29"/>
    <x v="0"/>
  </r>
  <r>
    <x v="7"/>
    <x v="0"/>
    <x v="1"/>
    <x v="1"/>
    <x v="13"/>
    <x v="0"/>
    <x v="1"/>
    <n v="2"/>
    <n v="5354.26"/>
    <n v="18509.02"/>
    <x v="0"/>
  </r>
  <r>
    <x v="7"/>
    <x v="0"/>
    <x v="1"/>
    <x v="1"/>
    <x v="13"/>
    <x v="1"/>
    <x v="1"/>
    <n v="5"/>
    <n v="11361"/>
    <n v="27447.49"/>
    <x v="0"/>
  </r>
  <r>
    <x v="7"/>
    <x v="0"/>
    <x v="1"/>
    <x v="1"/>
    <x v="14"/>
    <x v="0"/>
    <x v="1"/>
    <n v="1"/>
    <n v="2067.48"/>
    <n v="7333.76"/>
    <x v="0"/>
  </r>
  <r>
    <x v="7"/>
    <x v="0"/>
    <x v="1"/>
    <x v="1"/>
    <x v="14"/>
    <x v="1"/>
    <x v="0"/>
    <n v="5"/>
    <n v="10681.45"/>
    <n v="24494.76"/>
    <x v="0"/>
  </r>
  <r>
    <x v="7"/>
    <x v="0"/>
    <x v="1"/>
    <x v="1"/>
    <x v="14"/>
    <x v="1"/>
    <x v="1"/>
    <n v="2"/>
    <n v="6483.96"/>
    <n v="14930.15"/>
    <x v="0"/>
  </r>
  <r>
    <x v="7"/>
    <x v="0"/>
    <x v="1"/>
    <x v="1"/>
    <x v="16"/>
    <x v="1"/>
    <x v="0"/>
    <n v="4"/>
    <n v="11669"/>
    <n v="26655.79"/>
    <x v="0"/>
  </r>
  <r>
    <x v="7"/>
    <x v="0"/>
    <x v="1"/>
    <x v="1"/>
    <x v="16"/>
    <x v="1"/>
    <x v="1"/>
    <n v="14"/>
    <n v="37707.14"/>
    <n v="87550.47"/>
    <x v="0"/>
  </r>
  <r>
    <x v="7"/>
    <x v="0"/>
    <x v="1"/>
    <x v="1"/>
    <x v="17"/>
    <x v="1"/>
    <x v="0"/>
    <n v="2"/>
    <n v="4084.2"/>
    <n v="9739.23"/>
    <x v="0"/>
  </r>
  <r>
    <x v="7"/>
    <x v="0"/>
    <x v="1"/>
    <x v="1"/>
    <x v="17"/>
    <x v="1"/>
    <x v="1"/>
    <n v="3"/>
    <n v="6057.62"/>
    <n v="14145.09"/>
    <x v="0"/>
  </r>
  <r>
    <x v="7"/>
    <x v="0"/>
    <x v="1"/>
    <x v="1"/>
    <x v="18"/>
    <x v="0"/>
    <x v="1"/>
    <n v="2"/>
    <n v="5232.1499999999996"/>
    <n v="18159.8"/>
    <x v="0"/>
  </r>
  <r>
    <x v="7"/>
    <x v="0"/>
    <x v="1"/>
    <x v="1"/>
    <x v="18"/>
    <x v="1"/>
    <x v="0"/>
    <n v="9"/>
    <n v="18529.45"/>
    <n v="45387.26"/>
    <x v="0"/>
  </r>
  <r>
    <x v="7"/>
    <x v="0"/>
    <x v="1"/>
    <x v="1"/>
    <x v="18"/>
    <x v="1"/>
    <x v="1"/>
    <n v="10"/>
    <n v="27291.439999999999"/>
    <n v="66789.2"/>
    <x v="0"/>
  </r>
  <r>
    <x v="7"/>
    <x v="0"/>
    <x v="1"/>
    <x v="1"/>
    <x v="19"/>
    <x v="0"/>
    <x v="1"/>
    <n v="6"/>
    <n v="19303.12"/>
    <n v="67051.56"/>
    <x v="0"/>
  </r>
  <r>
    <x v="7"/>
    <x v="0"/>
    <x v="1"/>
    <x v="1"/>
    <x v="19"/>
    <x v="1"/>
    <x v="0"/>
    <n v="2"/>
    <n v="4141.34"/>
    <n v="9650.5300000000007"/>
    <x v="0"/>
  </r>
  <r>
    <x v="7"/>
    <x v="0"/>
    <x v="1"/>
    <x v="1"/>
    <x v="19"/>
    <x v="1"/>
    <x v="1"/>
    <n v="20"/>
    <n v="63876.21"/>
    <n v="146263.16"/>
    <x v="0"/>
  </r>
  <r>
    <x v="7"/>
    <x v="0"/>
    <x v="1"/>
    <x v="1"/>
    <x v="20"/>
    <x v="0"/>
    <x v="0"/>
    <n v="1"/>
    <n v="2084.23"/>
    <n v="7333.76"/>
    <x v="0"/>
  </r>
  <r>
    <x v="7"/>
    <x v="0"/>
    <x v="1"/>
    <x v="1"/>
    <x v="20"/>
    <x v="0"/>
    <x v="1"/>
    <n v="7"/>
    <n v="19289.28"/>
    <n v="66702.320000000007"/>
    <x v="0"/>
  </r>
  <r>
    <x v="7"/>
    <x v="0"/>
    <x v="1"/>
    <x v="1"/>
    <x v="20"/>
    <x v="1"/>
    <x v="0"/>
    <n v="9"/>
    <n v="27096.92"/>
    <n v="63904.33"/>
    <x v="0"/>
  </r>
  <r>
    <x v="7"/>
    <x v="0"/>
    <x v="1"/>
    <x v="1"/>
    <x v="20"/>
    <x v="1"/>
    <x v="1"/>
    <n v="17"/>
    <n v="35553.51"/>
    <n v="84048.07"/>
    <x v="0"/>
  </r>
  <r>
    <x v="7"/>
    <x v="0"/>
    <x v="1"/>
    <x v="2"/>
    <x v="21"/>
    <x v="0"/>
    <x v="0"/>
    <n v="1"/>
    <n v="2026.76"/>
    <n v="7333.76"/>
    <x v="0"/>
  </r>
  <r>
    <x v="7"/>
    <x v="0"/>
    <x v="1"/>
    <x v="2"/>
    <x v="22"/>
    <x v="0"/>
    <x v="1"/>
    <n v="1"/>
    <n v="2075.86"/>
    <n v="7333.76"/>
    <x v="0"/>
  </r>
  <r>
    <x v="7"/>
    <x v="0"/>
    <x v="1"/>
    <x v="2"/>
    <x v="22"/>
    <x v="1"/>
    <x v="1"/>
    <n v="8"/>
    <n v="21476.84"/>
    <n v="45087.98"/>
    <x v="0"/>
  </r>
  <r>
    <x v="7"/>
    <x v="0"/>
    <x v="1"/>
    <x v="2"/>
    <x v="29"/>
    <x v="0"/>
    <x v="1"/>
    <n v="5"/>
    <n v="15266.56"/>
    <n v="52034.8"/>
    <x v="0"/>
  </r>
  <r>
    <x v="7"/>
    <x v="0"/>
    <x v="1"/>
    <x v="2"/>
    <x v="24"/>
    <x v="0"/>
    <x v="1"/>
    <n v="1"/>
    <n v="2068.8200000000002"/>
    <n v="7333.76"/>
    <x v="0"/>
  </r>
  <r>
    <x v="7"/>
    <x v="0"/>
    <x v="1"/>
    <x v="2"/>
    <x v="24"/>
    <x v="1"/>
    <x v="1"/>
    <n v="5"/>
    <n v="15839.75"/>
    <n v="33887.35"/>
    <x v="0"/>
  </r>
  <r>
    <x v="7"/>
    <x v="0"/>
    <x v="1"/>
    <x v="3"/>
    <x v="25"/>
    <x v="1"/>
    <x v="0"/>
    <n v="4"/>
    <n v="8551.32"/>
    <n v="19855.29"/>
    <x v="0"/>
  </r>
  <r>
    <x v="7"/>
    <x v="0"/>
    <x v="1"/>
    <x v="3"/>
    <x v="26"/>
    <x v="0"/>
    <x v="0"/>
    <n v="3"/>
    <n v="7425.48"/>
    <n v="25842.78"/>
    <x v="0"/>
  </r>
  <r>
    <x v="7"/>
    <x v="0"/>
    <x v="1"/>
    <x v="3"/>
    <x v="26"/>
    <x v="1"/>
    <x v="0"/>
    <n v="5"/>
    <n v="15809.65"/>
    <n v="38554.65"/>
    <x v="0"/>
  </r>
  <r>
    <x v="7"/>
    <x v="0"/>
    <x v="1"/>
    <x v="3"/>
    <x v="26"/>
    <x v="1"/>
    <x v="1"/>
    <n v="7"/>
    <n v="19075.21"/>
    <n v="45835.23"/>
    <x v="0"/>
  </r>
  <r>
    <x v="7"/>
    <x v="0"/>
    <x v="1"/>
    <x v="3"/>
    <x v="27"/>
    <x v="0"/>
    <x v="1"/>
    <n v="9"/>
    <n v="23417.33"/>
    <n v="81369.84"/>
    <x v="0"/>
  </r>
  <r>
    <x v="7"/>
    <x v="0"/>
    <x v="1"/>
    <x v="3"/>
    <x v="27"/>
    <x v="1"/>
    <x v="0"/>
    <n v="2"/>
    <n v="4056.22"/>
    <n v="9929.91"/>
    <x v="0"/>
  </r>
  <r>
    <x v="7"/>
    <x v="0"/>
    <x v="1"/>
    <x v="3"/>
    <x v="27"/>
    <x v="1"/>
    <x v="1"/>
    <n v="7"/>
    <n v="16710.47"/>
    <n v="39246.82"/>
    <x v="0"/>
  </r>
  <r>
    <x v="7"/>
    <x v="0"/>
    <x v="2"/>
    <x v="0"/>
    <x v="0"/>
    <x v="0"/>
    <x v="0"/>
    <n v="1"/>
    <n v="4492.1099999999997"/>
    <n v="19003.02"/>
    <x v="0"/>
  </r>
  <r>
    <x v="7"/>
    <x v="0"/>
    <x v="2"/>
    <x v="0"/>
    <x v="0"/>
    <x v="0"/>
    <x v="1"/>
    <n v="2"/>
    <n v="9870.91"/>
    <n v="40856.49"/>
    <x v="0"/>
  </r>
  <r>
    <x v="7"/>
    <x v="0"/>
    <x v="2"/>
    <x v="0"/>
    <x v="0"/>
    <x v="1"/>
    <x v="0"/>
    <n v="4"/>
    <n v="25300.79"/>
    <n v="72082.259999999995"/>
    <x v="0"/>
  </r>
  <r>
    <x v="7"/>
    <x v="0"/>
    <x v="2"/>
    <x v="0"/>
    <x v="0"/>
    <x v="1"/>
    <x v="1"/>
    <n v="9"/>
    <n v="45495.17"/>
    <n v="123658.34"/>
    <x v="0"/>
  </r>
  <r>
    <x v="7"/>
    <x v="0"/>
    <x v="2"/>
    <x v="0"/>
    <x v="1"/>
    <x v="0"/>
    <x v="0"/>
    <n v="2"/>
    <n v="9019.94"/>
    <n v="38006.04"/>
    <x v="0"/>
  </r>
  <r>
    <x v="7"/>
    <x v="0"/>
    <x v="2"/>
    <x v="0"/>
    <x v="1"/>
    <x v="0"/>
    <x v="1"/>
    <n v="7"/>
    <n v="33962.29"/>
    <n v="142522.64000000001"/>
    <x v="0"/>
  </r>
  <r>
    <x v="7"/>
    <x v="0"/>
    <x v="2"/>
    <x v="0"/>
    <x v="1"/>
    <x v="1"/>
    <x v="0"/>
    <n v="9"/>
    <n v="44032.51"/>
    <n v="119745.62"/>
    <x v="0"/>
  </r>
  <r>
    <x v="7"/>
    <x v="0"/>
    <x v="2"/>
    <x v="0"/>
    <x v="1"/>
    <x v="1"/>
    <x v="1"/>
    <n v="10"/>
    <n v="64217.09"/>
    <n v="169926.65"/>
    <x v="0"/>
  </r>
  <r>
    <x v="7"/>
    <x v="0"/>
    <x v="2"/>
    <x v="0"/>
    <x v="2"/>
    <x v="0"/>
    <x v="1"/>
    <n v="5"/>
    <n v="26725"/>
    <n v="112117.81"/>
    <x v="0"/>
  </r>
  <r>
    <x v="7"/>
    <x v="0"/>
    <x v="2"/>
    <x v="0"/>
    <x v="2"/>
    <x v="1"/>
    <x v="1"/>
    <n v="9"/>
    <n v="50592.97"/>
    <n v="134846.31"/>
    <x v="0"/>
  </r>
  <r>
    <x v="7"/>
    <x v="0"/>
    <x v="2"/>
    <x v="0"/>
    <x v="3"/>
    <x v="0"/>
    <x v="0"/>
    <n v="2"/>
    <n v="9733.9500000000007"/>
    <n v="41806.639999999999"/>
    <x v="0"/>
  </r>
  <r>
    <x v="7"/>
    <x v="0"/>
    <x v="2"/>
    <x v="0"/>
    <x v="3"/>
    <x v="0"/>
    <x v="1"/>
    <n v="4"/>
    <n v="23209.4"/>
    <n v="98815.7"/>
    <x v="0"/>
  </r>
  <r>
    <x v="7"/>
    <x v="0"/>
    <x v="2"/>
    <x v="0"/>
    <x v="3"/>
    <x v="1"/>
    <x v="0"/>
    <n v="1"/>
    <n v="4571.33"/>
    <n v="12275.95"/>
    <x v="0"/>
  </r>
  <r>
    <x v="7"/>
    <x v="0"/>
    <x v="2"/>
    <x v="0"/>
    <x v="3"/>
    <x v="1"/>
    <x v="1"/>
    <n v="39"/>
    <n v="209039.75"/>
    <n v="579162.06999999995"/>
    <x v="0"/>
  </r>
  <r>
    <x v="7"/>
    <x v="0"/>
    <x v="2"/>
    <x v="0"/>
    <x v="28"/>
    <x v="1"/>
    <x v="1"/>
    <n v="6"/>
    <n v="27936.05"/>
    <n v="78296.240000000005"/>
    <x v="0"/>
  </r>
  <r>
    <x v="7"/>
    <x v="0"/>
    <x v="2"/>
    <x v="0"/>
    <x v="4"/>
    <x v="1"/>
    <x v="0"/>
    <n v="11"/>
    <n v="69165.89"/>
    <n v="188509.95"/>
    <x v="0"/>
  </r>
  <r>
    <x v="7"/>
    <x v="0"/>
    <x v="2"/>
    <x v="0"/>
    <x v="4"/>
    <x v="1"/>
    <x v="1"/>
    <n v="9"/>
    <n v="46926.78"/>
    <n v="128308.39"/>
    <x v="0"/>
  </r>
  <r>
    <x v="7"/>
    <x v="0"/>
    <x v="2"/>
    <x v="0"/>
    <x v="5"/>
    <x v="0"/>
    <x v="1"/>
    <n v="2"/>
    <n v="9917.2999999999993"/>
    <n v="40856.49"/>
    <x v="0"/>
  </r>
  <r>
    <x v="7"/>
    <x v="0"/>
    <x v="2"/>
    <x v="0"/>
    <x v="5"/>
    <x v="1"/>
    <x v="1"/>
    <n v="16"/>
    <n v="82644.7"/>
    <n v="232301.45"/>
    <x v="0"/>
  </r>
  <r>
    <x v="7"/>
    <x v="0"/>
    <x v="2"/>
    <x v="0"/>
    <x v="6"/>
    <x v="0"/>
    <x v="1"/>
    <n v="1"/>
    <n v="7088.16"/>
    <n v="30404.83"/>
    <x v="0"/>
  </r>
  <r>
    <x v="7"/>
    <x v="0"/>
    <x v="2"/>
    <x v="0"/>
    <x v="6"/>
    <x v="1"/>
    <x v="1"/>
    <n v="3"/>
    <n v="20942.82"/>
    <n v="59927.92"/>
    <x v="0"/>
  </r>
  <r>
    <x v="7"/>
    <x v="0"/>
    <x v="2"/>
    <x v="0"/>
    <x v="7"/>
    <x v="1"/>
    <x v="1"/>
    <n v="5"/>
    <n v="22479.35"/>
    <n v="65374.18"/>
    <x v="0"/>
  </r>
  <r>
    <x v="7"/>
    <x v="0"/>
    <x v="2"/>
    <x v="0"/>
    <x v="8"/>
    <x v="0"/>
    <x v="1"/>
    <n v="1"/>
    <n v="5052.3"/>
    <n v="21853.47"/>
    <x v="0"/>
  </r>
  <r>
    <x v="7"/>
    <x v="0"/>
    <x v="2"/>
    <x v="0"/>
    <x v="8"/>
    <x v="1"/>
    <x v="1"/>
    <n v="2"/>
    <n v="9872.8799999999992"/>
    <n v="27841.32"/>
    <x v="0"/>
  </r>
  <r>
    <x v="7"/>
    <x v="0"/>
    <x v="2"/>
    <x v="1"/>
    <x v="30"/>
    <x v="1"/>
    <x v="0"/>
    <n v="1"/>
    <n v="7124.36"/>
    <n v="20948.93"/>
    <x v="0"/>
  </r>
  <r>
    <x v="7"/>
    <x v="0"/>
    <x v="2"/>
    <x v="1"/>
    <x v="9"/>
    <x v="1"/>
    <x v="1"/>
    <n v="10"/>
    <n v="69322.75"/>
    <n v="207852.37"/>
    <x v="0"/>
  </r>
  <r>
    <x v="7"/>
    <x v="0"/>
    <x v="2"/>
    <x v="1"/>
    <x v="31"/>
    <x v="1"/>
    <x v="0"/>
    <n v="1"/>
    <n v="7023.59"/>
    <n v="21131.360000000001"/>
    <x v="0"/>
  </r>
  <r>
    <x v="7"/>
    <x v="0"/>
    <x v="2"/>
    <x v="1"/>
    <x v="10"/>
    <x v="0"/>
    <x v="1"/>
    <n v="2"/>
    <n v="12119.13"/>
    <n v="52258.3"/>
    <x v="0"/>
  </r>
  <r>
    <x v="7"/>
    <x v="0"/>
    <x v="2"/>
    <x v="1"/>
    <x v="10"/>
    <x v="1"/>
    <x v="0"/>
    <n v="2"/>
    <n v="11280.11"/>
    <n v="33696.15"/>
    <x v="0"/>
  </r>
  <r>
    <x v="7"/>
    <x v="0"/>
    <x v="2"/>
    <x v="1"/>
    <x v="10"/>
    <x v="1"/>
    <x v="1"/>
    <n v="29"/>
    <n v="144169.46"/>
    <n v="419176.85"/>
    <x v="0"/>
  </r>
  <r>
    <x v="7"/>
    <x v="0"/>
    <x v="2"/>
    <x v="1"/>
    <x v="11"/>
    <x v="0"/>
    <x v="1"/>
    <n v="16"/>
    <n v="86613.95"/>
    <n v="368658.56"/>
    <x v="0"/>
  </r>
  <r>
    <x v="7"/>
    <x v="0"/>
    <x v="2"/>
    <x v="1"/>
    <x v="11"/>
    <x v="1"/>
    <x v="0"/>
    <n v="14"/>
    <n v="90201.98"/>
    <n v="250744.84"/>
    <x v="0"/>
  </r>
  <r>
    <x v="7"/>
    <x v="0"/>
    <x v="2"/>
    <x v="1"/>
    <x v="11"/>
    <x v="1"/>
    <x v="1"/>
    <n v="15"/>
    <n v="80704.039999999994"/>
    <n v="220967.13"/>
    <x v="0"/>
  </r>
  <r>
    <x v="7"/>
    <x v="0"/>
    <x v="2"/>
    <x v="1"/>
    <x v="12"/>
    <x v="1"/>
    <x v="1"/>
    <n v="5"/>
    <n v="30113.88"/>
    <n v="88386.84"/>
    <x v="0"/>
  </r>
  <r>
    <x v="7"/>
    <x v="0"/>
    <x v="2"/>
    <x v="1"/>
    <x v="13"/>
    <x v="1"/>
    <x v="1"/>
    <n v="13"/>
    <n v="64087.41"/>
    <n v="186998.25"/>
    <x v="0"/>
  </r>
  <r>
    <x v="7"/>
    <x v="0"/>
    <x v="2"/>
    <x v="1"/>
    <x v="14"/>
    <x v="0"/>
    <x v="1"/>
    <n v="1"/>
    <n v="7000.86"/>
    <n v="30404.83"/>
    <x v="0"/>
  </r>
  <r>
    <x v="7"/>
    <x v="0"/>
    <x v="2"/>
    <x v="1"/>
    <x v="14"/>
    <x v="1"/>
    <x v="0"/>
    <n v="18"/>
    <n v="96961.86"/>
    <n v="279957.78999999998"/>
    <x v="0"/>
  </r>
  <r>
    <x v="7"/>
    <x v="0"/>
    <x v="2"/>
    <x v="1"/>
    <x v="14"/>
    <x v="1"/>
    <x v="1"/>
    <n v="9"/>
    <n v="57354.54"/>
    <n v="164387.51999999999"/>
    <x v="0"/>
  </r>
  <r>
    <x v="7"/>
    <x v="0"/>
    <x v="2"/>
    <x v="1"/>
    <x v="15"/>
    <x v="1"/>
    <x v="1"/>
    <n v="3"/>
    <n v="13830.21"/>
    <n v="39866.410000000003"/>
    <x v="0"/>
  </r>
  <r>
    <x v="7"/>
    <x v="0"/>
    <x v="2"/>
    <x v="1"/>
    <x v="16"/>
    <x v="0"/>
    <x v="1"/>
    <n v="1"/>
    <n v="4766.37"/>
    <n v="19953.169999999998"/>
    <x v="0"/>
  </r>
  <r>
    <x v="7"/>
    <x v="0"/>
    <x v="2"/>
    <x v="1"/>
    <x v="16"/>
    <x v="1"/>
    <x v="0"/>
    <n v="1"/>
    <n v="4601.43"/>
    <n v="12503.99"/>
    <x v="0"/>
  </r>
  <r>
    <x v="7"/>
    <x v="0"/>
    <x v="2"/>
    <x v="1"/>
    <x v="16"/>
    <x v="1"/>
    <x v="1"/>
    <n v="13"/>
    <n v="66799.48"/>
    <n v="186464.25"/>
    <x v="0"/>
  </r>
  <r>
    <x v="7"/>
    <x v="0"/>
    <x v="2"/>
    <x v="1"/>
    <x v="17"/>
    <x v="1"/>
    <x v="0"/>
    <n v="10"/>
    <n v="50510.92"/>
    <n v="146368.84"/>
    <x v="0"/>
  </r>
  <r>
    <x v="7"/>
    <x v="0"/>
    <x v="2"/>
    <x v="1"/>
    <x v="17"/>
    <x v="1"/>
    <x v="1"/>
    <n v="1"/>
    <n v="5341.13"/>
    <n v="14510.7"/>
    <x v="0"/>
  </r>
  <r>
    <x v="7"/>
    <x v="0"/>
    <x v="2"/>
    <x v="1"/>
    <x v="18"/>
    <x v="0"/>
    <x v="1"/>
    <n v="9"/>
    <n v="45475.43"/>
    <n v="193830.79"/>
    <x v="0"/>
  </r>
  <r>
    <x v="7"/>
    <x v="0"/>
    <x v="2"/>
    <x v="1"/>
    <x v="18"/>
    <x v="1"/>
    <x v="0"/>
    <n v="3"/>
    <n v="13416.13"/>
    <n v="40942.01"/>
    <x v="0"/>
  </r>
  <r>
    <x v="7"/>
    <x v="0"/>
    <x v="2"/>
    <x v="1"/>
    <x v="18"/>
    <x v="1"/>
    <x v="1"/>
    <n v="28"/>
    <n v="137931.19"/>
    <n v="412910.75"/>
    <x v="0"/>
  </r>
  <r>
    <x v="7"/>
    <x v="0"/>
    <x v="2"/>
    <x v="1"/>
    <x v="19"/>
    <x v="1"/>
    <x v="0"/>
    <n v="7"/>
    <n v="34800.78"/>
    <n v="98654.93"/>
    <x v="0"/>
  </r>
  <r>
    <x v="7"/>
    <x v="0"/>
    <x v="2"/>
    <x v="1"/>
    <x v="19"/>
    <x v="1"/>
    <x v="1"/>
    <n v="20"/>
    <n v="99555.28"/>
    <n v="283697.98"/>
    <x v="0"/>
  </r>
  <r>
    <x v="7"/>
    <x v="0"/>
    <x v="2"/>
    <x v="1"/>
    <x v="20"/>
    <x v="0"/>
    <x v="1"/>
    <n v="16"/>
    <n v="82333.759999999995"/>
    <n v="351555.85"/>
    <x v="0"/>
  </r>
  <r>
    <x v="7"/>
    <x v="0"/>
    <x v="2"/>
    <x v="1"/>
    <x v="20"/>
    <x v="1"/>
    <x v="0"/>
    <n v="14"/>
    <n v="64916.73"/>
    <n v="188985.01"/>
    <x v="0"/>
  </r>
  <r>
    <x v="7"/>
    <x v="0"/>
    <x v="2"/>
    <x v="1"/>
    <x v="20"/>
    <x v="1"/>
    <x v="1"/>
    <n v="27"/>
    <n v="131990.48000000001"/>
    <n v="368761.48"/>
    <x v="0"/>
  </r>
  <r>
    <x v="7"/>
    <x v="0"/>
    <x v="2"/>
    <x v="2"/>
    <x v="21"/>
    <x v="0"/>
    <x v="0"/>
    <n v="1"/>
    <n v="4663.22"/>
    <n v="19953.169999999998"/>
    <x v="0"/>
  </r>
  <r>
    <x v="7"/>
    <x v="0"/>
    <x v="2"/>
    <x v="2"/>
    <x v="21"/>
    <x v="1"/>
    <x v="1"/>
    <n v="3"/>
    <n v="14381.11"/>
    <n v="37611.72"/>
    <x v="0"/>
  </r>
  <r>
    <x v="7"/>
    <x v="0"/>
    <x v="2"/>
    <x v="2"/>
    <x v="22"/>
    <x v="1"/>
    <x v="0"/>
    <n v="5"/>
    <n v="28041.38"/>
    <n v="73487.520000000004"/>
    <x v="0"/>
  </r>
  <r>
    <x v="7"/>
    <x v="0"/>
    <x v="2"/>
    <x v="2"/>
    <x v="22"/>
    <x v="1"/>
    <x v="1"/>
    <n v="4"/>
    <n v="28291.8"/>
    <n v="71363"/>
    <x v="0"/>
  </r>
  <r>
    <x v="7"/>
    <x v="0"/>
    <x v="2"/>
    <x v="2"/>
    <x v="29"/>
    <x v="0"/>
    <x v="1"/>
    <n v="1"/>
    <n v="4483.09"/>
    <n v="19953.169999999998"/>
    <x v="0"/>
  </r>
  <r>
    <x v="7"/>
    <x v="0"/>
    <x v="2"/>
    <x v="2"/>
    <x v="23"/>
    <x v="1"/>
    <x v="1"/>
    <n v="3"/>
    <n v="18310.82"/>
    <n v="51203.63"/>
    <x v="0"/>
  </r>
  <r>
    <x v="7"/>
    <x v="0"/>
    <x v="2"/>
    <x v="2"/>
    <x v="24"/>
    <x v="0"/>
    <x v="1"/>
    <n v="1"/>
    <n v="7050.89"/>
    <n v="30404.83"/>
    <x v="0"/>
  </r>
  <r>
    <x v="7"/>
    <x v="0"/>
    <x v="2"/>
    <x v="2"/>
    <x v="24"/>
    <x v="1"/>
    <x v="0"/>
    <n v="3"/>
    <n v="15136.75"/>
    <n v="39469.269999999997"/>
    <x v="0"/>
  </r>
  <r>
    <x v="7"/>
    <x v="0"/>
    <x v="2"/>
    <x v="2"/>
    <x v="24"/>
    <x v="1"/>
    <x v="1"/>
    <n v="3"/>
    <n v="13934.97"/>
    <n v="35345.620000000003"/>
    <x v="0"/>
  </r>
  <r>
    <x v="7"/>
    <x v="0"/>
    <x v="2"/>
    <x v="3"/>
    <x v="25"/>
    <x v="0"/>
    <x v="1"/>
    <n v="2"/>
    <n v="11513.34"/>
    <n v="49407.85"/>
    <x v="0"/>
  </r>
  <r>
    <x v="7"/>
    <x v="0"/>
    <x v="2"/>
    <x v="3"/>
    <x v="25"/>
    <x v="1"/>
    <x v="0"/>
    <n v="10"/>
    <n v="58622.45"/>
    <n v="172476.15"/>
    <x v="0"/>
  </r>
  <r>
    <x v="7"/>
    <x v="0"/>
    <x v="2"/>
    <x v="3"/>
    <x v="25"/>
    <x v="1"/>
    <x v="1"/>
    <n v="2"/>
    <n v="9772.25"/>
    <n v="28637.55"/>
    <x v="0"/>
  </r>
  <r>
    <x v="7"/>
    <x v="0"/>
    <x v="2"/>
    <x v="3"/>
    <x v="26"/>
    <x v="0"/>
    <x v="0"/>
    <n v="1"/>
    <n v="7214.32"/>
    <n v="30404.83"/>
    <x v="0"/>
  </r>
  <r>
    <x v="7"/>
    <x v="0"/>
    <x v="2"/>
    <x v="3"/>
    <x v="26"/>
    <x v="0"/>
    <x v="1"/>
    <n v="1"/>
    <n v="4461.09"/>
    <n v="19953.169999999998"/>
    <x v="0"/>
  </r>
  <r>
    <x v="7"/>
    <x v="0"/>
    <x v="2"/>
    <x v="3"/>
    <x v="26"/>
    <x v="1"/>
    <x v="0"/>
    <n v="2"/>
    <n v="9862.7800000000007"/>
    <n v="30157.79"/>
    <x v="0"/>
  </r>
  <r>
    <x v="7"/>
    <x v="0"/>
    <x v="2"/>
    <x v="3"/>
    <x v="26"/>
    <x v="1"/>
    <x v="1"/>
    <n v="14"/>
    <n v="65412.49"/>
    <n v="194754.83"/>
    <x v="0"/>
  </r>
  <r>
    <x v="7"/>
    <x v="0"/>
    <x v="2"/>
    <x v="3"/>
    <x v="27"/>
    <x v="0"/>
    <x v="0"/>
    <n v="1"/>
    <n v="4653.1000000000004"/>
    <n v="19003.02"/>
    <x v="0"/>
  </r>
  <r>
    <x v="7"/>
    <x v="0"/>
    <x v="2"/>
    <x v="3"/>
    <x v="27"/>
    <x v="0"/>
    <x v="1"/>
    <n v="9"/>
    <n v="45064.28"/>
    <n v="191930.49"/>
    <x v="0"/>
  </r>
  <r>
    <x v="7"/>
    <x v="0"/>
    <x v="2"/>
    <x v="3"/>
    <x v="27"/>
    <x v="1"/>
    <x v="0"/>
    <n v="8"/>
    <n v="42666.71"/>
    <n v="119116.5"/>
    <x v="0"/>
  </r>
  <r>
    <x v="7"/>
    <x v="0"/>
    <x v="2"/>
    <x v="3"/>
    <x v="27"/>
    <x v="1"/>
    <x v="1"/>
    <n v="41"/>
    <n v="220017.36"/>
    <n v="638374.93000000005"/>
    <x v="0"/>
  </r>
  <r>
    <x v="7"/>
    <x v="0"/>
    <x v="3"/>
    <x v="0"/>
    <x v="0"/>
    <x v="0"/>
    <x v="0"/>
    <n v="2"/>
    <n v="11258.23"/>
    <n v="50120.36"/>
    <x v="0"/>
  </r>
  <r>
    <x v="7"/>
    <x v="0"/>
    <x v="3"/>
    <x v="0"/>
    <x v="0"/>
    <x v="0"/>
    <x v="1"/>
    <n v="4"/>
    <n v="20778.59"/>
    <n v="93703.28"/>
    <x v="0"/>
  </r>
  <r>
    <x v="7"/>
    <x v="0"/>
    <x v="3"/>
    <x v="0"/>
    <x v="0"/>
    <x v="1"/>
    <x v="0"/>
    <n v="4"/>
    <n v="20500.12"/>
    <n v="61281.94"/>
    <x v="0"/>
  </r>
  <r>
    <x v="7"/>
    <x v="0"/>
    <x v="3"/>
    <x v="0"/>
    <x v="0"/>
    <x v="1"/>
    <x v="1"/>
    <n v="7"/>
    <n v="42585.11"/>
    <n v="125953.71"/>
    <x v="0"/>
  </r>
  <r>
    <x v="7"/>
    <x v="0"/>
    <x v="3"/>
    <x v="0"/>
    <x v="1"/>
    <x v="0"/>
    <x v="0"/>
    <n v="6"/>
    <n v="35422.26"/>
    <n v="160992.13"/>
    <x v="0"/>
  </r>
  <r>
    <x v="7"/>
    <x v="0"/>
    <x v="3"/>
    <x v="0"/>
    <x v="1"/>
    <x v="0"/>
    <x v="1"/>
    <n v="4"/>
    <n v="25276.57"/>
    <n v="114140.5"/>
    <x v="0"/>
  </r>
  <r>
    <x v="7"/>
    <x v="0"/>
    <x v="3"/>
    <x v="0"/>
    <x v="1"/>
    <x v="1"/>
    <x v="0"/>
    <n v="6"/>
    <n v="33366.49"/>
    <n v="97297.67"/>
    <x v="0"/>
  </r>
  <r>
    <x v="7"/>
    <x v="0"/>
    <x v="3"/>
    <x v="0"/>
    <x v="1"/>
    <x v="1"/>
    <x v="1"/>
    <n v="12"/>
    <n v="68433.5"/>
    <n v="193979.85"/>
    <x v="0"/>
  </r>
  <r>
    <x v="7"/>
    <x v="0"/>
    <x v="3"/>
    <x v="0"/>
    <x v="2"/>
    <x v="0"/>
    <x v="1"/>
    <n v="4"/>
    <n v="25042.93"/>
    <n v="114140.5"/>
    <x v="0"/>
  </r>
  <r>
    <x v="7"/>
    <x v="0"/>
    <x v="3"/>
    <x v="0"/>
    <x v="2"/>
    <x v="1"/>
    <x v="0"/>
    <n v="3"/>
    <n v="15671.71"/>
    <n v="44219.199999999997"/>
    <x v="0"/>
  </r>
  <r>
    <x v="7"/>
    <x v="0"/>
    <x v="3"/>
    <x v="0"/>
    <x v="2"/>
    <x v="1"/>
    <x v="1"/>
    <n v="12"/>
    <n v="63871.87"/>
    <n v="177275.7"/>
    <x v="0"/>
  </r>
  <r>
    <x v="7"/>
    <x v="0"/>
    <x v="3"/>
    <x v="0"/>
    <x v="3"/>
    <x v="0"/>
    <x v="0"/>
    <n v="2"/>
    <n v="12111.72"/>
    <n v="55435.89"/>
    <x v="0"/>
  </r>
  <r>
    <x v="7"/>
    <x v="0"/>
    <x v="3"/>
    <x v="0"/>
    <x v="3"/>
    <x v="0"/>
    <x v="1"/>
    <n v="2"/>
    <n v="9883.0300000000007"/>
    <n v="44672.49"/>
    <x v="0"/>
  </r>
  <r>
    <x v="7"/>
    <x v="0"/>
    <x v="3"/>
    <x v="0"/>
    <x v="3"/>
    <x v="1"/>
    <x v="0"/>
    <n v="6"/>
    <n v="35154.94"/>
    <n v="97133.26"/>
    <x v="0"/>
  </r>
  <r>
    <x v="7"/>
    <x v="0"/>
    <x v="3"/>
    <x v="0"/>
    <x v="3"/>
    <x v="1"/>
    <x v="1"/>
    <n v="21"/>
    <n v="117637.09"/>
    <n v="346577.61"/>
    <x v="0"/>
  </r>
  <r>
    <x v="7"/>
    <x v="0"/>
    <x v="3"/>
    <x v="0"/>
    <x v="4"/>
    <x v="1"/>
    <x v="0"/>
    <n v="5"/>
    <n v="37592.74"/>
    <n v="107662.18"/>
    <x v="0"/>
  </r>
  <r>
    <x v="7"/>
    <x v="0"/>
    <x v="3"/>
    <x v="0"/>
    <x v="5"/>
    <x v="0"/>
    <x v="1"/>
    <n v="4"/>
    <n v="24078.54"/>
    <n v="108824.97"/>
    <x v="0"/>
  </r>
  <r>
    <x v="7"/>
    <x v="0"/>
    <x v="3"/>
    <x v="0"/>
    <x v="5"/>
    <x v="1"/>
    <x v="1"/>
    <n v="14"/>
    <n v="78865.899999999994"/>
    <n v="233343.65"/>
    <x v="0"/>
  </r>
  <r>
    <x v="7"/>
    <x v="0"/>
    <x v="3"/>
    <x v="0"/>
    <x v="6"/>
    <x v="0"/>
    <x v="1"/>
    <n v="5"/>
    <n v="29688.42"/>
    <n v="133885.15"/>
    <x v="0"/>
  </r>
  <r>
    <x v="7"/>
    <x v="0"/>
    <x v="3"/>
    <x v="0"/>
    <x v="7"/>
    <x v="1"/>
    <x v="1"/>
    <n v="1"/>
    <n v="5572.41"/>
    <n v="16740.2"/>
    <x v="0"/>
  </r>
  <r>
    <x v="7"/>
    <x v="0"/>
    <x v="3"/>
    <x v="0"/>
    <x v="8"/>
    <x v="0"/>
    <x v="1"/>
    <n v="1"/>
    <n v="5718.1"/>
    <n v="25060.18"/>
    <x v="0"/>
  </r>
  <r>
    <x v="7"/>
    <x v="0"/>
    <x v="3"/>
    <x v="1"/>
    <x v="30"/>
    <x v="1"/>
    <x v="0"/>
    <n v="2"/>
    <n v="11484.04"/>
    <n v="34532.93"/>
    <x v="0"/>
  </r>
  <r>
    <x v="7"/>
    <x v="0"/>
    <x v="3"/>
    <x v="1"/>
    <x v="9"/>
    <x v="1"/>
    <x v="1"/>
    <n v="11"/>
    <n v="63334.89"/>
    <n v="200626.7"/>
    <x v="0"/>
  </r>
  <r>
    <x v="7"/>
    <x v="0"/>
    <x v="3"/>
    <x v="1"/>
    <x v="31"/>
    <x v="1"/>
    <x v="0"/>
    <n v="9"/>
    <n v="50276.1"/>
    <n v="155766.10999999999"/>
    <x v="0"/>
  </r>
  <r>
    <x v="7"/>
    <x v="0"/>
    <x v="3"/>
    <x v="1"/>
    <x v="10"/>
    <x v="0"/>
    <x v="0"/>
    <n v="3"/>
    <n v="20318.560000000001"/>
    <n v="92349.04"/>
    <x v="0"/>
  </r>
  <r>
    <x v="7"/>
    <x v="0"/>
    <x v="3"/>
    <x v="1"/>
    <x v="10"/>
    <x v="0"/>
    <x v="1"/>
    <n v="2"/>
    <n v="10331.51"/>
    <n v="46851.64"/>
    <x v="0"/>
  </r>
  <r>
    <x v="7"/>
    <x v="0"/>
    <x v="3"/>
    <x v="1"/>
    <x v="10"/>
    <x v="1"/>
    <x v="0"/>
    <n v="14"/>
    <n v="81709.649999999994"/>
    <n v="252379.44"/>
    <x v="0"/>
  </r>
  <r>
    <x v="7"/>
    <x v="0"/>
    <x v="3"/>
    <x v="1"/>
    <x v="10"/>
    <x v="1"/>
    <x v="1"/>
    <n v="28"/>
    <n v="160850.94"/>
    <n v="501019.22"/>
    <x v="0"/>
  </r>
  <r>
    <x v="7"/>
    <x v="0"/>
    <x v="3"/>
    <x v="1"/>
    <x v="11"/>
    <x v="0"/>
    <x v="1"/>
    <n v="16"/>
    <n v="92493.04"/>
    <n v="414730.31"/>
    <x v="0"/>
  </r>
  <r>
    <x v="7"/>
    <x v="0"/>
    <x v="3"/>
    <x v="1"/>
    <x v="11"/>
    <x v="1"/>
    <x v="0"/>
    <n v="3"/>
    <n v="14721.03"/>
    <n v="42493.35"/>
    <x v="0"/>
  </r>
  <r>
    <x v="7"/>
    <x v="0"/>
    <x v="3"/>
    <x v="1"/>
    <x v="11"/>
    <x v="1"/>
    <x v="1"/>
    <n v="36"/>
    <n v="204688.7"/>
    <n v="599884.51"/>
    <x v="0"/>
  </r>
  <r>
    <x v="7"/>
    <x v="0"/>
    <x v="3"/>
    <x v="1"/>
    <x v="12"/>
    <x v="1"/>
    <x v="0"/>
    <n v="3"/>
    <n v="22014.57"/>
    <n v="69038.37"/>
    <x v="0"/>
  </r>
  <r>
    <x v="7"/>
    <x v="0"/>
    <x v="3"/>
    <x v="1"/>
    <x v="12"/>
    <x v="1"/>
    <x v="1"/>
    <n v="1"/>
    <n v="4777.43"/>
    <n v="14905.36"/>
    <x v="0"/>
  </r>
  <r>
    <x v="7"/>
    <x v="0"/>
    <x v="3"/>
    <x v="1"/>
    <x v="13"/>
    <x v="0"/>
    <x v="1"/>
    <n v="7"/>
    <n v="40582.43"/>
    <n v="180736.79"/>
    <x v="0"/>
  </r>
  <r>
    <x v="7"/>
    <x v="0"/>
    <x v="3"/>
    <x v="1"/>
    <x v="13"/>
    <x v="1"/>
    <x v="0"/>
    <n v="6"/>
    <n v="30635.55"/>
    <n v="95717.9"/>
    <x v="0"/>
  </r>
  <r>
    <x v="7"/>
    <x v="0"/>
    <x v="3"/>
    <x v="1"/>
    <x v="13"/>
    <x v="1"/>
    <x v="1"/>
    <n v="6"/>
    <n v="30465.32"/>
    <n v="93491.89"/>
    <x v="0"/>
  </r>
  <r>
    <x v="7"/>
    <x v="0"/>
    <x v="3"/>
    <x v="1"/>
    <x v="14"/>
    <x v="0"/>
    <x v="1"/>
    <n v="2"/>
    <n v="12404.72"/>
    <n v="55435.89"/>
    <x v="0"/>
  </r>
  <r>
    <x v="7"/>
    <x v="0"/>
    <x v="3"/>
    <x v="1"/>
    <x v="14"/>
    <x v="1"/>
    <x v="0"/>
    <n v="25"/>
    <n v="150977.57999999999"/>
    <n v="458556.56"/>
    <x v="0"/>
  </r>
  <r>
    <x v="7"/>
    <x v="0"/>
    <x v="3"/>
    <x v="1"/>
    <x v="14"/>
    <x v="1"/>
    <x v="1"/>
    <n v="5"/>
    <n v="28111.53"/>
    <n v="83701"/>
    <x v="0"/>
  </r>
  <r>
    <x v="7"/>
    <x v="0"/>
    <x v="3"/>
    <x v="1"/>
    <x v="15"/>
    <x v="1"/>
    <x v="0"/>
    <n v="2"/>
    <n v="11291.74"/>
    <n v="34633.160000000003"/>
    <x v="0"/>
  </r>
  <r>
    <x v="7"/>
    <x v="0"/>
    <x v="3"/>
    <x v="1"/>
    <x v="16"/>
    <x v="0"/>
    <x v="1"/>
    <n v="3"/>
    <n v="17988.59"/>
    <n v="80496.070000000007"/>
    <x v="0"/>
  </r>
  <r>
    <x v="7"/>
    <x v="0"/>
    <x v="3"/>
    <x v="1"/>
    <x v="16"/>
    <x v="1"/>
    <x v="0"/>
    <n v="4"/>
    <n v="20754.96"/>
    <n v="61656.76"/>
    <x v="0"/>
  </r>
  <r>
    <x v="7"/>
    <x v="0"/>
    <x v="3"/>
    <x v="1"/>
    <x v="16"/>
    <x v="1"/>
    <x v="1"/>
    <n v="5"/>
    <n v="26945.55"/>
    <n v="76357.42"/>
    <x v="0"/>
  </r>
  <r>
    <x v="7"/>
    <x v="0"/>
    <x v="3"/>
    <x v="1"/>
    <x v="17"/>
    <x v="0"/>
    <x v="1"/>
    <n v="1"/>
    <n v="5700.38"/>
    <n v="25060.18"/>
    <x v="0"/>
  </r>
  <r>
    <x v="7"/>
    <x v="0"/>
    <x v="3"/>
    <x v="1"/>
    <x v="17"/>
    <x v="1"/>
    <x v="0"/>
    <n v="5"/>
    <n v="27731.15"/>
    <n v="83199.8"/>
    <x v="0"/>
  </r>
  <r>
    <x v="7"/>
    <x v="0"/>
    <x v="3"/>
    <x v="1"/>
    <x v="17"/>
    <x v="1"/>
    <x v="1"/>
    <n v="3"/>
    <n v="15408.93"/>
    <n v="47025.97"/>
    <x v="0"/>
  </r>
  <r>
    <x v="7"/>
    <x v="0"/>
    <x v="3"/>
    <x v="1"/>
    <x v="18"/>
    <x v="0"/>
    <x v="1"/>
    <n v="13"/>
    <n v="77505.89"/>
    <n v="351402.75"/>
    <x v="0"/>
  </r>
  <r>
    <x v="7"/>
    <x v="0"/>
    <x v="3"/>
    <x v="1"/>
    <x v="18"/>
    <x v="1"/>
    <x v="0"/>
    <n v="2"/>
    <n v="11146.82"/>
    <n v="34833.65"/>
    <x v="0"/>
  </r>
  <r>
    <x v="7"/>
    <x v="0"/>
    <x v="3"/>
    <x v="1"/>
    <x v="18"/>
    <x v="1"/>
    <x v="1"/>
    <n v="21"/>
    <n v="121818.7"/>
    <n v="381382.59"/>
    <x v="0"/>
  </r>
  <r>
    <x v="7"/>
    <x v="0"/>
    <x v="3"/>
    <x v="1"/>
    <x v="19"/>
    <x v="0"/>
    <x v="1"/>
    <n v="3"/>
    <n v="16733.8"/>
    <n v="75180.539999999994"/>
    <x v="0"/>
  </r>
  <r>
    <x v="7"/>
    <x v="0"/>
    <x v="3"/>
    <x v="1"/>
    <x v="19"/>
    <x v="1"/>
    <x v="0"/>
    <n v="15"/>
    <n v="94352.43"/>
    <n v="286515.17"/>
    <x v="0"/>
  </r>
  <r>
    <x v="7"/>
    <x v="0"/>
    <x v="3"/>
    <x v="1"/>
    <x v="19"/>
    <x v="1"/>
    <x v="1"/>
    <n v="16"/>
    <n v="89832.26"/>
    <n v="270463.45"/>
    <x v="0"/>
  </r>
  <r>
    <x v="7"/>
    <x v="0"/>
    <x v="3"/>
    <x v="1"/>
    <x v="20"/>
    <x v="0"/>
    <x v="0"/>
    <n v="2"/>
    <n v="13201.65"/>
    <n v="58704.61"/>
    <x v="0"/>
  </r>
  <r>
    <x v="7"/>
    <x v="0"/>
    <x v="3"/>
    <x v="1"/>
    <x v="20"/>
    <x v="0"/>
    <x v="1"/>
    <n v="12"/>
    <n v="72623.429999999993"/>
    <n v="327432.14"/>
    <x v="0"/>
  </r>
  <r>
    <x v="7"/>
    <x v="0"/>
    <x v="3"/>
    <x v="1"/>
    <x v="20"/>
    <x v="1"/>
    <x v="0"/>
    <n v="13"/>
    <n v="76632.41"/>
    <n v="230836.95"/>
    <x v="0"/>
  </r>
  <r>
    <x v="7"/>
    <x v="0"/>
    <x v="3"/>
    <x v="1"/>
    <x v="20"/>
    <x v="1"/>
    <x v="1"/>
    <n v="15"/>
    <n v="88557.06"/>
    <n v="262326.07"/>
    <x v="0"/>
  </r>
  <r>
    <x v="7"/>
    <x v="0"/>
    <x v="3"/>
    <x v="2"/>
    <x v="21"/>
    <x v="0"/>
    <x v="0"/>
    <n v="3"/>
    <n v="14933.74"/>
    <n v="67553.52"/>
    <x v="0"/>
  </r>
  <r>
    <x v="7"/>
    <x v="0"/>
    <x v="3"/>
    <x v="2"/>
    <x v="21"/>
    <x v="1"/>
    <x v="1"/>
    <n v="1"/>
    <n v="7391.4"/>
    <n v="20489.46"/>
    <x v="0"/>
  </r>
  <r>
    <x v="7"/>
    <x v="0"/>
    <x v="3"/>
    <x v="2"/>
    <x v="22"/>
    <x v="0"/>
    <x v="1"/>
    <n v="2"/>
    <n v="12871.03"/>
    <n v="58704.61"/>
    <x v="0"/>
  </r>
  <r>
    <x v="7"/>
    <x v="0"/>
    <x v="3"/>
    <x v="2"/>
    <x v="22"/>
    <x v="1"/>
    <x v="0"/>
    <n v="2"/>
    <n v="15465.54"/>
    <n v="40978.92"/>
    <x v="0"/>
  </r>
  <r>
    <x v="7"/>
    <x v="0"/>
    <x v="3"/>
    <x v="2"/>
    <x v="22"/>
    <x v="1"/>
    <x v="1"/>
    <n v="7"/>
    <n v="42770.93"/>
    <n v="115963.21"/>
    <x v="0"/>
  </r>
  <r>
    <x v="7"/>
    <x v="0"/>
    <x v="3"/>
    <x v="2"/>
    <x v="29"/>
    <x v="0"/>
    <x v="1"/>
    <n v="3"/>
    <n v="15718.13"/>
    <n v="71911.820000000007"/>
    <x v="0"/>
  </r>
  <r>
    <x v="7"/>
    <x v="0"/>
    <x v="3"/>
    <x v="2"/>
    <x v="23"/>
    <x v="1"/>
    <x v="1"/>
    <n v="6"/>
    <n v="34430.720000000001"/>
    <n v="95328.92"/>
    <x v="0"/>
  </r>
  <r>
    <x v="7"/>
    <x v="0"/>
    <x v="3"/>
    <x v="2"/>
    <x v="24"/>
    <x v="0"/>
    <x v="1"/>
    <n v="2"/>
    <n v="12769.59"/>
    <n v="56525.46"/>
    <x v="0"/>
  </r>
  <r>
    <x v="7"/>
    <x v="0"/>
    <x v="3"/>
    <x v="2"/>
    <x v="24"/>
    <x v="1"/>
    <x v="0"/>
    <n v="14"/>
    <n v="74506.789999999994"/>
    <n v="207389.33"/>
    <x v="0"/>
  </r>
  <r>
    <x v="7"/>
    <x v="0"/>
    <x v="3"/>
    <x v="3"/>
    <x v="25"/>
    <x v="0"/>
    <x v="1"/>
    <n v="3"/>
    <n v="16300.27"/>
    <n v="73001.39"/>
    <x v="0"/>
  </r>
  <r>
    <x v="7"/>
    <x v="0"/>
    <x v="3"/>
    <x v="3"/>
    <x v="25"/>
    <x v="1"/>
    <x v="0"/>
    <n v="2"/>
    <n v="11056.56"/>
    <n v="34332.449999999997"/>
    <x v="0"/>
  </r>
  <r>
    <x v="7"/>
    <x v="0"/>
    <x v="3"/>
    <x v="3"/>
    <x v="25"/>
    <x v="1"/>
    <x v="1"/>
    <n v="3"/>
    <n v="16782.96"/>
    <n v="48647.03"/>
    <x v="0"/>
  </r>
  <r>
    <x v="7"/>
    <x v="0"/>
    <x v="3"/>
    <x v="3"/>
    <x v="26"/>
    <x v="0"/>
    <x v="0"/>
    <n v="5"/>
    <n v="29687.24"/>
    <n v="133885.15"/>
    <x v="0"/>
  </r>
  <r>
    <x v="7"/>
    <x v="0"/>
    <x v="3"/>
    <x v="3"/>
    <x v="26"/>
    <x v="1"/>
    <x v="0"/>
    <n v="2"/>
    <n v="14475.4"/>
    <n v="46429.32"/>
    <x v="0"/>
  </r>
  <r>
    <x v="7"/>
    <x v="0"/>
    <x v="3"/>
    <x v="3"/>
    <x v="26"/>
    <x v="1"/>
    <x v="1"/>
    <n v="18"/>
    <n v="118854.71"/>
    <n v="363052.01"/>
    <x v="0"/>
  </r>
  <r>
    <x v="7"/>
    <x v="0"/>
    <x v="3"/>
    <x v="3"/>
    <x v="27"/>
    <x v="0"/>
    <x v="0"/>
    <n v="3"/>
    <n v="20615.05"/>
    <n v="92349.04"/>
    <x v="0"/>
  </r>
  <r>
    <x v="7"/>
    <x v="0"/>
    <x v="3"/>
    <x v="3"/>
    <x v="27"/>
    <x v="0"/>
    <x v="1"/>
    <n v="7"/>
    <n v="39404.74"/>
    <n v="178557.64"/>
    <x v="0"/>
  </r>
  <r>
    <x v="7"/>
    <x v="0"/>
    <x v="3"/>
    <x v="3"/>
    <x v="27"/>
    <x v="1"/>
    <x v="0"/>
    <n v="6"/>
    <n v="38378.85"/>
    <n v="117016.14"/>
    <x v="0"/>
  </r>
  <r>
    <x v="7"/>
    <x v="0"/>
    <x v="3"/>
    <x v="3"/>
    <x v="27"/>
    <x v="1"/>
    <x v="1"/>
    <n v="33"/>
    <n v="208203.05"/>
    <n v="624077.12"/>
    <x v="0"/>
  </r>
  <r>
    <x v="7"/>
    <x v="0"/>
    <x v="4"/>
    <x v="0"/>
    <x v="0"/>
    <x v="0"/>
    <x v="1"/>
    <n v="1"/>
    <n v="7008.63"/>
    <n v="32535.42"/>
    <x v="0"/>
  </r>
  <r>
    <x v="7"/>
    <x v="0"/>
    <x v="4"/>
    <x v="0"/>
    <x v="0"/>
    <x v="1"/>
    <x v="0"/>
    <n v="1"/>
    <n v="6930.26"/>
    <n v="21278.16"/>
    <x v="0"/>
  </r>
  <r>
    <x v="7"/>
    <x v="0"/>
    <x v="4"/>
    <x v="0"/>
    <x v="0"/>
    <x v="1"/>
    <x v="1"/>
    <n v="12"/>
    <n v="60080.56"/>
    <n v="177250.18"/>
    <x v="0"/>
  </r>
  <r>
    <x v="7"/>
    <x v="0"/>
    <x v="4"/>
    <x v="0"/>
    <x v="1"/>
    <x v="0"/>
    <x v="0"/>
    <n v="1"/>
    <n v="4730.84"/>
    <n v="21659.360000000001"/>
    <x v="0"/>
  </r>
  <r>
    <x v="7"/>
    <x v="0"/>
    <x v="4"/>
    <x v="0"/>
    <x v="1"/>
    <x v="0"/>
    <x v="1"/>
    <n v="3"/>
    <n v="16261.67"/>
    <n v="75854.14"/>
    <x v="0"/>
  </r>
  <r>
    <x v="7"/>
    <x v="0"/>
    <x v="4"/>
    <x v="0"/>
    <x v="1"/>
    <x v="1"/>
    <x v="0"/>
    <n v="7"/>
    <n v="39103.75"/>
    <n v="113470.96"/>
    <x v="0"/>
  </r>
  <r>
    <x v="7"/>
    <x v="0"/>
    <x v="4"/>
    <x v="0"/>
    <x v="1"/>
    <x v="1"/>
    <x v="1"/>
    <n v="12"/>
    <n v="58665.84"/>
    <n v="166232.25"/>
    <x v="0"/>
  </r>
  <r>
    <x v="7"/>
    <x v="0"/>
    <x v="4"/>
    <x v="0"/>
    <x v="2"/>
    <x v="0"/>
    <x v="1"/>
    <n v="3"/>
    <n v="16900.080000000002"/>
    <n v="79103.05"/>
    <x v="0"/>
  </r>
  <r>
    <x v="7"/>
    <x v="0"/>
    <x v="4"/>
    <x v="0"/>
    <x v="2"/>
    <x v="1"/>
    <x v="1"/>
    <n v="13"/>
    <n v="61913.61"/>
    <n v="176873.60000000001"/>
    <x v="0"/>
  </r>
  <r>
    <x v="7"/>
    <x v="0"/>
    <x v="4"/>
    <x v="0"/>
    <x v="3"/>
    <x v="0"/>
    <x v="0"/>
    <n v="1"/>
    <n v="6987.79"/>
    <n v="32535.42"/>
    <x v="0"/>
  </r>
  <r>
    <x v="7"/>
    <x v="0"/>
    <x v="4"/>
    <x v="0"/>
    <x v="3"/>
    <x v="0"/>
    <x v="1"/>
    <n v="2"/>
    <n v="11514.06"/>
    <n v="54194.78"/>
    <x v="0"/>
  </r>
  <r>
    <x v="7"/>
    <x v="0"/>
    <x v="4"/>
    <x v="0"/>
    <x v="3"/>
    <x v="1"/>
    <x v="0"/>
    <n v="9"/>
    <n v="46862.46"/>
    <n v="140619.07999999999"/>
    <x v="0"/>
  </r>
  <r>
    <x v="7"/>
    <x v="0"/>
    <x v="4"/>
    <x v="0"/>
    <x v="3"/>
    <x v="1"/>
    <x v="1"/>
    <n v="28"/>
    <n v="149103.12"/>
    <n v="435998.95"/>
    <x v="0"/>
  </r>
  <r>
    <x v="7"/>
    <x v="0"/>
    <x v="4"/>
    <x v="0"/>
    <x v="28"/>
    <x v="1"/>
    <x v="1"/>
    <n v="3"/>
    <n v="14170.18"/>
    <n v="42495.66"/>
    <x v="0"/>
  </r>
  <r>
    <x v="7"/>
    <x v="0"/>
    <x v="4"/>
    <x v="0"/>
    <x v="4"/>
    <x v="0"/>
    <x v="1"/>
    <n v="1"/>
    <n v="4658.6000000000004"/>
    <n v="21659.360000000001"/>
    <x v="0"/>
  </r>
  <r>
    <x v="7"/>
    <x v="0"/>
    <x v="4"/>
    <x v="0"/>
    <x v="4"/>
    <x v="1"/>
    <x v="0"/>
    <n v="5"/>
    <n v="24052.400000000001"/>
    <n v="69309.95"/>
    <x v="0"/>
  </r>
  <r>
    <x v="7"/>
    <x v="0"/>
    <x v="4"/>
    <x v="0"/>
    <x v="5"/>
    <x v="0"/>
    <x v="1"/>
    <n v="1"/>
    <n v="4844.2700000000004"/>
    <n v="22742.33"/>
    <x v="0"/>
  </r>
  <r>
    <x v="7"/>
    <x v="0"/>
    <x v="4"/>
    <x v="0"/>
    <x v="5"/>
    <x v="1"/>
    <x v="0"/>
    <n v="3"/>
    <n v="14635.77"/>
    <n v="42820.55"/>
    <x v="0"/>
  </r>
  <r>
    <x v="7"/>
    <x v="0"/>
    <x v="4"/>
    <x v="0"/>
    <x v="5"/>
    <x v="1"/>
    <x v="1"/>
    <n v="10"/>
    <n v="48210.559999999998"/>
    <n v="144485.01"/>
    <x v="0"/>
  </r>
  <r>
    <x v="7"/>
    <x v="0"/>
    <x v="4"/>
    <x v="0"/>
    <x v="6"/>
    <x v="0"/>
    <x v="1"/>
    <n v="2"/>
    <n v="9310.8700000000008"/>
    <n v="43318.720000000001"/>
    <x v="0"/>
  </r>
  <r>
    <x v="7"/>
    <x v="0"/>
    <x v="4"/>
    <x v="0"/>
    <x v="6"/>
    <x v="1"/>
    <x v="1"/>
    <n v="3"/>
    <n v="14166.87"/>
    <n v="42690.6"/>
    <x v="0"/>
  </r>
  <r>
    <x v="7"/>
    <x v="0"/>
    <x v="4"/>
    <x v="0"/>
    <x v="7"/>
    <x v="1"/>
    <x v="1"/>
    <n v="3"/>
    <n v="14981.36"/>
    <n v="43405.35"/>
    <x v="0"/>
  </r>
  <r>
    <x v="7"/>
    <x v="0"/>
    <x v="4"/>
    <x v="0"/>
    <x v="8"/>
    <x v="0"/>
    <x v="1"/>
    <n v="2"/>
    <n v="12412.57"/>
    <n v="57443.69"/>
    <x v="0"/>
  </r>
  <r>
    <x v="7"/>
    <x v="0"/>
    <x v="4"/>
    <x v="0"/>
    <x v="8"/>
    <x v="1"/>
    <x v="1"/>
    <n v="7"/>
    <n v="35250.019999999997"/>
    <n v="103507.14"/>
    <x v="0"/>
  </r>
  <r>
    <x v="7"/>
    <x v="0"/>
    <x v="4"/>
    <x v="1"/>
    <x v="30"/>
    <x v="1"/>
    <x v="0"/>
    <n v="12"/>
    <n v="59665.9"/>
    <n v="185795.1"/>
    <x v="0"/>
  </r>
  <r>
    <x v="7"/>
    <x v="0"/>
    <x v="4"/>
    <x v="1"/>
    <x v="9"/>
    <x v="1"/>
    <x v="1"/>
    <n v="1"/>
    <n v="5408"/>
    <n v="17136.89"/>
    <x v="0"/>
  </r>
  <r>
    <x v="7"/>
    <x v="0"/>
    <x v="4"/>
    <x v="1"/>
    <x v="10"/>
    <x v="0"/>
    <x v="0"/>
    <n v="1"/>
    <n v="4722.4799999999996"/>
    <n v="21659.360000000001"/>
    <x v="0"/>
  </r>
  <r>
    <x v="7"/>
    <x v="0"/>
    <x v="4"/>
    <x v="1"/>
    <x v="10"/>
    <x v="1"/>
    <x v="0"/>
    <n v="6"/>
    <n v="28946.3"/>
    <n v="90845.86"/>
    <x v="0"/>
  </r>
  <r>
    <x v="7"/>
    <x v="0"/>
    <x v="4"/>
    <x v="1"/>
    <x v="10"/>
    <x v="1"/>
    <x v="1"/>
    <n v="31"/>
    <n v="165130.32999999999"/>
    <n v="515274.58"/>
    <x v="0"/>
  </r>
  <r>
    <x v="7"/>
    <x v="0"/>
    <x v="4"/>
    <x v="1"/>
    <x v="11"/>
    <x v="0"/>
    <x v="1"/>
    <n v="5"/>
    <n v="25654.5"/>
    <n v="114794.62"/>
    <x v="0"/>
  </r>
  <r>
    <x v="7"/>
    <x v="0"/>
    <x v="4"/>
    <x v="1"/>
    <x v="11"/>
    <x v="1"/>
    <x v="0"/>
    <n v="5"/>
    <n v="26595.65"/>
    <n v="80951.88"/>
    <x v="0"/>
  </r>
  <r>
    <x v="7"/>
    <x v="0"/>
    <x v="4"/>
    <x v="1"/>
    <x v="11"/>
    <x v="1"/>
    <x v="1"/>
    <n v="41"/>
    <n v="217031.09"/>
    <n v="635847.4"/>
    <x v="0"/>
  </r>
  <r>
    <x v="7"/>
    <x v="0"/>
    <x v="4"/>
    <x v="1"/>
    <x v="12"/>
    <x v="1"/>
    <x v="0"/>
    <n v="3"/>
    <n v="15715.47"/>
    <n v="51111.77"/>
    <x v="0"/>
  </r>
  <r>
    <x v="7"/>
    <x v="0"/>
    <x v="4"/>
    <x v="1"/>
    <x v="12"/>
    <x v="1"/>
    <x v="1"/>
    <n v="5"/>
    <n v="24199.200000000001"/>
    <n v="74075.009999999995"/>
    <x v="0"/>
  </r>
  <r>
    <x v="7"/>
    <x v="0"/>
    <x v="4"/>
    <x v="1"/>
    <x v="13"/>
    <x v="0"/>
    <x v="1"/>
    <n v="1"/>
    <n v="4841.91"/>
    <n v="21659.360000000001"/>
    <x v="0"/>
  </r>
  <r>
    <x v="7"/>
    <x v="0"/>
    <x v="4"/>
    <x v="1"/>
    <x v="13"/>
    <x v="1"/>
    <x v="0"/>
    <n v="1"/>
    <n v="4791.5"/>
    <n v="14750.02"/>
    <x v="0"/>
  </r>
  <r>
    <x v="7"/>
    <x v="0"/>
    <x v="4"/>
    <x v="1"/>
    <x v="13"/>
    <x v="1"/>
    <x v="1"/>
    <n v="3"/>
    <n v="16069.83"/>
    <n v="47542.37"/>
    <x v="0"/>
  </r>
  <r>
    <x v="7"/>
    <x v="0"/>
    <x v="4"/>
    <x v="1"/>
    <x v="14"/>
    <x v="0"/>
    <x v="1"/>
    <n v="2"/>
    <n v="13600.94"/>
    <n v="65070.84"/>
    <x v="0"/>
  </r>
  <r>
    <x v="7"/>
    <x v="0"/>
    <x v="4"/>
    <x v="1"/>
    <x v="14"/>
    <x v="1"/>
    <x v="0"/>
    <n v="16"/>
    <n v="82059.12"/>
    <n v="246496.71"/>
    <x v="0"/>
  </r>
  <r>
    <x v="7"/>
    <x v="0"/>
    <x v="4"/>
    <x v="1"/>
    <x v="14"/>
    <x v="1"/>
    <x v="1"/>
    <n v="3"/>
    <n v="14070.39"/>
    <n v="43405.36"/>
    <x v="0"/>
  </r>
  <r>
    <x v="7"/>
    <x v="0"/>
    <x v="4"/>
    <x v="1"/>
    <x v="15"/>
    <x v="1"/>
    <x v="1"/>
    <n v="1"/>
    <n v="4753.76"/>
    <n v="14966.62"/>
    <x v="0"/>
  </r>
  <r>
    <x v="7"/>
    <x v="0"/>
    <x v="4"/>
    <x v="1"/>
    <x v="16"/>
    <x v="0"/>
    <x v="1"/>
    <n v="2"/>
    <n v="10068.799999999999"/>
    <n v="46567.63"/>
    <x v="0"/>
  </r>
  <r>
    <x v="7"/>
    <x v="0"/>
    <x v="4"/>
    <x v="1"/>
    <x v="16"/>
    <x v="1"/>
    <x v="0"/>
    <n v="7"/>
    <n v="40468"/>
    <n v="125507.92"/>
    <x v="0"/>
  </r>
  <r>
    <x v="7"/>
    <x v="0"/>
    <x v="4"/>
    <x v="1"/>
    <x v="16"/>
    <x v="1"/>
    <x v="1"/>
    <n v="1"/>
    <n v="6891.83"/>
    <n v="21408.31"/>
    <x v="0"/>
  </r>
  <r>
    <x v="7"/>
    <x v="0"/>
    <x v="4"/>
    <x v="1"/>
    <x v="17"/>
    <x v="0"/>
    <x v="1"/>
    <n v="1"/>
    <n v="4953.96"/>
    <n v="21659.360000000001"/>
    <x v="0"/>
  </r>
  <r>
    <x v="7"/>
    <x v="0"/>
    <x v="4"/>
    <x v="1"/>
    <x v="17"/>
    <x v="1"/>
    <x v="0"/>
    <n v="5"/>
    <n v="23313.97"/>
    <n v="71909.08"/>
    <x v="0"/>
  </r>
  <r>
    <x v="7"/>
    <x v="0"/>
    <x v="4"/>
    <x v="1"/>
    <x v="17"/>
    <x v="1"/>
    <x v="1"/>
    <n v="2"/>
    <n v="10895.06"/>
    <n v="33078.18"/>
    <x v="0"/>
  </r>
  <r>
    <x v="7"/>
    <x v="0"/>
    <x v="4"/>
    <x v="1"/>
    <x v="18"/>
    <x v="0"/>
    <x v="1"/>
    <n v="2"/>
    <n v="12230.44"/>
    <n v="57443.69"/>
    <x v="0"/>
  </r>
  <r>
    <x v="7"/>
    <x v="0"/>
    <x v="4"/>
    <x v="1"/>
    <x v="18"/>
    <x v="1"/>
    <x v="0"/>
    <n v="5"/>
    <n v="28072.26"/>
    <n v="90384"/>
    <x v="0"/>
  </r>
  <r>
    <x v="7"/>
    <x v="0"/>
    <x v="4"/>
    <x v="1"/>
    <x v="18"/>
    <x v="1"/>
    <x v="1"/>
    <n v="30"/>
    <n v="149349.12"/>
    <n v="468254.37"/>
    <x v="0"/>
  </r>
  <r>
    <x v="7"/>
    <x v="0"/>
    <x v="4"/>
    <x v="1"/>
    <x v="19"/>
    <x v="0"/>
    <x v="1"/>
    <n v="1"/>
    <n v="4863.3900000000003"/>
    <n v="21659.360000000001"/>
    <x v="0"/>
  </r>
  <r>
    <x v="7"/>
    <x v="0"/>
    <x v="4"/>
    <x v="1"/>
    <x v="19"/>
    <x v="1"/>
    <x v="0"/>
    <n v="5"/>
    <n v="25945.14"/>
    <n v="77371.58"/>
    <x v="0"/>
  </r>
  <r>
    <x v="7"/>
    <x v="0"/>
    <x v="4"/>
    <x v="1"/>
    <x v="19"/>
    <x v="1"/>
    <x v="1"/>
    <n v="12"/>
    <n v="62304.34"/>
    <n v="188675.38"/>
    <x v="0"/>
  </r>
  <r>
    <x v="7"/>
    <x v="0"/>
    <x v="4"/>
    <x v="1"/>
    <x v="20"/>
    <x v="0"/>
    <x v="0"/>
    <n v="3"/>
    <n v="14560.39"/>
    <n v="66061.05"/>
    <x v="0"/>
  </r>
  <r>
    <x v="7"/>
    <x v="0"/>
    <x v="4"/>
    <x v="1"/>
    <x v="20"/>
    <x v="1"/>
    <x v="0"/>
    <n v="12"/>
    <n v="62386.89"/>
    <n v="187861.39"/>
    <x v="0"/>
  </r>
  <r>
    <x v="7"/>
    <x v="0"/>
    <x v="4"/>
    <x v="1"/>
    <x v="20"/>
    <x v="1"/>
    <x v="1"/>
    <n v="30"/>
    <n v="157457.01"/>
    <n v="473062.93"/>
    <x v="0"/>
  </r>
  <r>
    <x v="7"/>
    <x v="0"/>
    <x v="4"/>
    <x v="2"/>
    <x v="21"/>
    <x v="0"/>
    <x v="0"/>
    <n v="2"/>
    <n v="9484.69"/>
    <n v="43318.720000000001"/>
    <x v="0"/>
  </r>
  <r>
    <x v="7"/>
    <x v="0"/>
    <x v="4"/>
    <x v="2"/>
    <x v="21"/>
    <x v="1"/>
    <x v="1"/>
    <n v="1"/>
    <n v="4695.6099999999997"/>
    <n v="13190.55"/>
    <x v="0"/>
  </r>
  <r>
    <x v="7"/>
    <x v="0"/>
    <x v="4"/>
    <x v="2"/>
    <x v="22"/>
    <x v="0"/>
    <x v="1"/>
    <n v="1"/>
    <n v="5393.03"/>
    <n v="24908.27"/>
    <x v="0"/>
  </r>
  <r>
    <x v="7"/>
    <x v="0"/>
    <x v="4"/>
    <x v="2"/>
    <x v="22"/>
    <x v="1"/>
    <x v="0"/>
    <n v="5"/>
    <n v="27057.5"/>
    <n v="75845.679999999993"/>
    <x v="0"/>
  </r>
  <r>
    <x v="7"/>
    <x v="0"/>
    <x v="4"/>
    <x v="2"/>
    <x v="22"/>
    <x v="1"/>
    <x v="1"/>
    <n v="16"/>
    <n v="89145.3"/>
    <n v="251449.45"/>
    <x v="0"/>
  </r>
  <r>
    <x v="7"/>
    <x v="0"/>
    <x v="4"/>
    <x v="2"/>
    <x v="29"/>
    <x v="0"/>
    <x v="1"/>
    <n v="4"/>
    <n v="19811.830000000002"/>
    <n v="89886.35"/>
    <x v="0"/>
  </r>
  <r>
    <x v="7"/>
    <x v="0"/>
    <x v="4"/>
    <x v="2"/>
    <x v="29"/>
    <x v="1"/>
    <x v="1"/>
    <n v="3"/>
    <n v="14590.44"/>
    <n v="42040.82"/>
    <x v="0"/>
  </r>
  <r>
    <x v="7"/>
    <x v="0"/>
    <x v="4"/>
    <x v="2"/>
    <x v="23"/>
    <x v="1"/>
    <x v="1"/>
    <n v="1"/>
    <n v="6769.29"/>
    <n v="20627.46"/>
    <x v="0"/>
  </r>
  <r>
    <x v="7"/>
    <x v="0"/>
    <x v="4"/>
    <x v="2"/>
    <x v="24"/>
    <x v="1"/>
    <x v="0"/>
    <n v="6"/>
    <n v="31206.22"/>
    <n v="89330.3"/>
    <x v="0"/>
  </r>
  <r>
    <x v="7"/>
    <x v="0"/>
    <x v="4"/>
    <x v="2"/>
    <x v="24"/>
    <x v="1"/>
    <x v="1"/>
    <n v="7"/>
    <n v="33453.449999999997"/>
    <n v="97358.83"/>
    <x v="0"/>
  </r>
  <r>
    <x v="7"/>
    <x v="0"/>
    <x v="4"/>
    <x v="3"/>
    <x v="25"/>
    <x v="0"/>
    <x v="1"/>
    <n v="2"/>
    <n v="10222.92"/>
    <n v="46567.63"/>
    <x v="0"/>
  </r>
  <r>
    <x v="7"/>
    <x v="0"/>
    <x v="4"/>
    <x v="3"/>
    <x v="25"/>
    <x v="1"/>
    <x v="0"/>
    <n v="1"/>
    <n v="6965.8"/>
    <n v="22286.76"/>
    <x v="0"/>
  </r>
  <r>
    <x v="7"/>
    <x v="0"/>
    <x v="4"/>
    <x v="3"/>
    <x v="25"/>
    <x v="1"/>
    <x v="1"/>
    <n v="11"/>
    <n v="60079.31"/>
    <n v="185553.58"/>
    <x v="0"/>
  </r>
  <r>
    <x v="7"/>
    <x v="0"/>
    <x v="4"/>
    <x v="3"/>
    <x v="26"/>
    <x v="0"/>
    <x v="0"/>
    <n v="1"/>
    <n v="6852.95"/>
    <n v="32535.42"/>
    <x v="0"/>
  </r>
  <r>
    <x v="7"/>
    <x v="0"/>
    <x v="4"/>
    <x v="3"/>
    <x v="26"/>
    <x v="0"/>
    <x v="1"/>
    <n v="1"/>
    <n v="4790.53"/>
    <n v="21659.360000000001"/>
    <x v="0"/>
  </r>
  <r>
    <x v="7"/>
    <x v="0"/>
    <x v="4"/>
    <x v="3"/>
    <x v="26"/>
    <x v="1"/>
    <x v="0"/>
    <n v="1"/>
    <n v="4883.71"/>
    <n v="15692.21"/>
    <x v="0"/>
  </r>
  <r>
    <x v="7"/>
    <x v="0"/>
    <x v="4"/>
    <x v="3"/>
    <x v="26"/>
    <x v="1"/>
    <x v="1"/>
    <n v="14"/>
    <n v="68399.02"/>
    <n v="209710.29"/>
    <x v="0"/>
  </r>
  <r>
    <x v="7"/>
    <x v="0"/>
    <x v="4"/>
    <x v="3"/>
    <x v="27"/>
    <x v="0"/>
    <x v="0"/>
    <n v="4"/>
    <n v="19559.71"/>
    <n v="88803.38"/>
    <x v="0"/>
  </r>
  <r>
    <x v="7"/>
    <x v="0"/>
    <x v="4"/>
    <x v="3"/>
    <x v="27"/>
    <x v="0"/>
    <x v="1"/>
    <n v="7"/>
    <n v="35524.26"/>
    <n v="163574.54999999999"/>
    <x v="0"/>
  </r>
  <r>
    <x v="7"/>
    <x v="0"/>
    <x v="4"/>
    <x v="3"/>
    <x v="27"/>
    <x v="1"/>
    <x v="0"/>
    <n v="15"/>
    <n v="75885.7"/>
    <n v="235347.38"/>
    <x v="0"/>
  </r>
  <r>
    <x v="7"/>
    <x v="0"/>
    <x v="4"/>
    <x v="3"/>
    <x v="27"/>
    <x v="1"/>
    <x v="1"/>
    <n v="33"/>
    <n v="176499.1"/>
    <n v="549114.31999999995"/>
    <x v="0"/>
  </r>
  <r>
    <x v="7"/>
    <x v="0"/>
    <x v="5"/>
    <x v="0"/>
    <x v="0"/>
    <x v="0"/>
    <x v="0"/>
    <n v="4"/>
    <n v="23720.28"/>
    <n v="96404.49"/>
    <x v="0"/>
  </r>
  <r>
    <x v="7"/>
    <x v="0"/>
    <x v="5"/>
    <x v="0"/>
    <x v="0"/>
    <x v="0"/>
    <x v="1"/>
    <n v="2"/>
    <n v="11020.64"/>
    <n v="45318.35"/>
    <x v="0"/>
  </r>
  <r>
    <x v="7"/>
    <x v="0"/>
    <x v="5"/>
    <x v="0"/>
    <x v="0"/>
    <x v="1"/>
    <x v="1"/>
    <n v="6"/>
    <n v="29559.53"/>
    <n v="79214.820000000007"/>
    <x v="0"/>
  </r>
  <r>
    <x v="7"/>
    <x v="0"/>
    <x v="5"/>
    <x v="0"/>
    <x v="1"/>
    <x v="0"/>
    <x v="0"/>
    <n v="3"/>
    <n v="17385.36"/>
    <n v="71685.39"/>
    <x v="0"/>
  </r>
  <r>
    <x v="7"/>
    <x v="0"/>
    <x v="5"/>
    <x v="0"/>
    <x v="1"/>
    <x v="0"/>
    <x v="1"/>
    <n v="3"/>
    <n v="13308.47"/>
    <n v="53558.05"/>
    <x v="0"/>
  </r>
  <r>
    <x v="7"/>
    <x v="0"/>
    <x v="5"/>
    <x v="0"/>
    <x v="1"/>
    <x v="1"/>
    <x v="0"/>
    <n v="14"/>
    <n v="76530.44"/>
    <n v="202856.06"/>
    <x v="0"/>
  </r>
  <r>
    <x v="7"/>
    <x v="0"/>
    <x v="5"/>
    <x v="0"/>
    <x v="1"/>
    <x v="1"/>
    <x v="1"/>
    <n v="19"/>
    <n v="112905.21"/>
    <n v="296677.51"/>
    <x v="0"/>
  </r>
  <r>
    <x v="7"/>
    <x v="0"/>
    <x v="5"/>
    <x v="0"/>
    <x v="2"/>
    <x v="0"/>
    <x v="1"/>
    <n v="5"/>
    <n v="28747.7"/>
    <n v="117003.74"/>
    <x v="0"/>
  </r>
  <r>
    <x v="7"/>
    <x v="0"/>
    <x v="5"/>
    <x v="0"/>
    <x v="2"/>
    <x v="1"/>
    <x v="0"/>
    <n v="5"/>
    <n v="31377.65"/>
    <n v="77259.929999999993"/>
    <x v="0"/>
  </r>
  <r>
    <x v="7"/>
    <x v="0"/>
    <x v="5"/>
    <x v="0"/>
    <x v="2"/>
    <x v="1"/>
    <x v="1"/>
    <n v="21"/>
    <n v="108799.69"/>
    <n v="272216.63"/>
    <x v="0"/>
  </r>
  <r>
    <x v="7"/>
    <x v="0"/>
    <x v="5"/>
    <x v="0"/>
    <x v="3"/>
    <x v="0"/>
    <x v="0"/>
    <n v="3"/>
    <n v="19307.75"/>
    <n v="79101.119999999995"/>
    <x v="0"/>
  </r>
  <r>
    <x v="7"/>
    <x v="0"/>
    <x v="5"/>
    <x v="0"/>
    <x v="3"/>
    <x v="0"/>
    <x v="1"/>
    <n v="1"/>
    <n v="6267.25"/>
    <n v="26367.040000000001"/>
    <x v="0"/>
  </r>
  <r>
    <x v="7"/>
    <x v="0"/>
    <x v="5"/>
    <x v="0"/>
    <x v="3"/>
    <x v="1"/>
    <x v="0"/>
    <n v="10"/>
    <n v="55278.32"/>
    <n v="143179.04999999999"/>
    <x v="0"/>
  </r>
  <r>
    <x v="7"/>
    <x v="0"/>
    <x v="5"/>
    <x v="0"/>
    <x v="3"/>
    <x v="1"/>
    <x v="1"/>
    <n v="21"/>
    <n v="122718.23"/>
    <n v="322314.93"/>
    <x v="0"/>
  </r>
  <r>
    <x v="7"/>
    <x v="0"/>
    <x v="5"/>
    <x v="0"/>
    <x v="4"/>
    <x v="1"/>
    <x v="1"/>
    <n v="7"/>
    <n v="40982.410000000003"/>
    <n v="108632.21"/>
    <x v="0"/>
  </r>
  <r>
    <x v="7"/>
    <x v="0"/>
    <x v="5"/>
    <x v="0"/>
    <x v="5"/>
    <x v="0"/>
    <x v="1"/>
    <n v="3"/>
    <n v="17397.07"/>
    <n v="70037.45"/>
    <x v="0"/>
  </r>
  <r>
    <x v="7"/>
    <x v="0"/>
    <x v="5"/>
    <x v="0"/>
    <x v="5"/>
    <x v="1"/>
    <x v="0"/>
    <n v="2"/>
    <n v="8251.06"/>
    <n v="22805.84"/>
    <x v="0"/>
  </r>
  <r>
    <x v="7"/>
    <x v="0"/>
    <x v="5"/>
    <x v="0"/>
    <x v="5"/>
    <x v="1"/>
    <x v="1"/>
    <n v="31"/>
    <n v="196041.74"/>
    <n v="520583.32"/>
    <x v="0"/>
  </r>
  <r>
    <x v="7"/>
    <x v="0"/>
    <x v="5"/>
    <x v="0"/>
    <x v="6"/>
    <x v="0"/>
    <x v="1"/>
    <n v="2"/>
    <n v="12767.15"/>
    <n v="52734.080000000002"/>
    <x v="0"/>
  </r>
  <r>
    <x v="7"/>
    <x v="0"/>
    <x v="5"/>
    <x v="0"/>
    <x v="7"/>
    <x v="1"/>
    <x v="1"/>
    <n v="5"/>
    <n v="22723.8"/>
    <n v="59994.9"/>
    <x v="0"/>
  </r>
  <r>
    <x v="7"/>
    <x v="0"/>
    <x v="5"/>
    <x v="0"/>
    <x v="8"/>
    <x v="0"/>
    <x v="1"/>
    <n v="1"/>
    <n v="4721.17"/>
    <n v="18951.310000000001"/>
    <x v="0"/>
  </r>
  <r>
    <x v="7"/>
    <x v="0"/>
    <x v="5"/>
    <x v="0"/>
    <x v="8"/>
    <x v="1"/>
    <x v="1"/>
    <n v="4"/>
    <n v="22165.88"/>
    <n v="56826.14"/>
    <x v="0"/>
  </r>
  <r>
    <x v="7"/>
    <x v="0"/>
    <x v="5"/>
    <x v="1"/>
    <x v="10"/>
    <x v="0"/>
    <x v="0"/>
    <n v="2"/>
    <n v="11033.37"/>
    <n v="45318.35"/>
    <x v="0"/>
  </r>
  <r>
    <x v="7"/>
    <x v="0"/>
    <x v="5"/>
    <x v="1"/>
    <x v="10"/>
    <x v="0"/>
    <x v="1"/>
    <n v="2"/>
    <n v="11208.76"/>
    <n v="43670.41"/>
    <x v="0"/>
  </r>
  <r>
    <x v="7"/>
    <x v="0"/>
    <x v="5"/>
    <x v="1"/>
    <x v="10"/>
    <x v="1"/>
    <x v="0"/>
    <n v="7"/>
    <n v="30426.38"/>
    <n v="82606.289999999994"/>
    <x v="0"/>
  </r>
  <r>
    <x v="7"/>
    <x v="0"/>
    <x v="5"/>
    <x v="1"/>
    <x v="10"/>
    <x v="1"/>
    <x v="1"/>
    <n v="15"/>
    <n v="85293.5"/>
    <n v="234894.07"/>
    <x v="0"/>
  </r>
  <r>
    <x v="7"/>
    <x v="0"/>
    <x v="5"/>
    <x v="1"/>
    <x v="11"/>
    <x v="0"/>
    <x v="1"/>
    <n v="4"/>
    <n v="22093.919999999998"/>
    <n v="88988.76"/>
    <x v="0"/>
  </r>
  <r>
    <x v="7"/>
    <x v="0"/>
    <x v="5"/>
    <x v="1"/>
    <x v="11"/>
    <x v="1"/>
    <x v="0"/>
    <n v="5"/>
    <n v="27510.02"/>
    <n v="73910.11"/>
    <x v="0"/>
  </r>
  <r>
    <x v="7"/>
    <x v="0"/>
    <x v="5"/>
    <x v="1"/>
    <x v="11"/>
    <x v="1"/>
    <x v="1"/>
    <n v="9"/>
    <n v="47190.239999999998"/>
    <n v="124778.74"/>
    <x v="0"/>
  </r>
  <r>
    <x v="7"/>
    <x v="0"/>
    <x v="5"/>
    <x v="1"/>
    <x v="12"/>
    <x v="1"/>
    <x v="0"/>
    <n v="2"/>
    <n v="12972.54"/>
    <n v="36070.11"/>
    <x v="0"/>
  </r>
  <r>
    <x v="7"/>
    <x v="0"/>
    <x v="5"/>
    <x v="1"/>
    <x v="12"/>
    <x v="1"/>
    <x v="1"/>
    <n v="3"/>
    <n v="13171.62"/>
    <n v="35506.519999999997"/>
    <x v="0"/>
  </r>
  <r>
    <x v="7"/>
    <x v="0"/>
    <x v="5"/>
    <x v="1"/>
    <x v="13"/>
    <x v="0"/>
    <x v="1"/>
    <n v="4"/>
    <n v="24193.53"/>
    <n v="96404.49"/>
    <x v="0"/>
  </r>
  <r>
    <x v="7"/>
    <x v="0"/>
    <x v="5"/>
    <x v="1"/>
    <x v="13"/>
    <x v="1"/>
    <x v="0"/>
    <n v="6"/>
    <n v="26805.23"/>
    <n v="76873.919999999998"/>
    <x v="0"/>
  </r>
  <r>
    <x v="7"/>
    <x v="0"/>
    <x v="5"/>
    <x v="1"/>
    <x v="13"/>
    <x v="1"/>
    <x v="1"/>
    <n v="11"/>
    <n v="57060.27"/>
    <n v="157675.71"/>
    <x v="0"/>
  </r>
  <r>
    <x v="7"/>
    <x v="0"/>
    <x v="5"/>
    <x v="1"/>
    <x v="14"/>
    <x v="0"/>
    <x v="1"/>
    <n v="2"/>
    <n v="12542"/>
    <n v="52734.080000000002"/>
    <x v="0"/>
  </r>
  <r>
    <x v="7"/>
    <x v="0"/>
    <x v="5"/>
    <x v="1"/>
    <x v="14"/>
    <x v="1"/>
    <x v="0"/>
    <n v="7"/>
    <n v="45066.46"/>
    <n v="123292.29"/>
    <x v="0"/>
  </r>
  <r>
    <x v="7"/>
    <x v="0"/>
    <x v="5"/>
    <x v="1"/>
    <x v="14"/>
    <x v="1"/>
    <x v="1"/>
    <n v="16"/>
    <n v="93000.81"/>
    <n v="251809.43"/>
    <x v="0"/>
  </r>
  <r>
    <x v="7"/>
    <x v="0"/>
    <x v="5"/>
    <x v="1"/>
    <x v="15"/>
    <x v="1"/>
    <x v="0"/>
    <n v="2"/>
    <n v="8747.4599999999991"/>
    <n v="23913.26"/>
    <x v="0"/>
  </r>
  <r>
    <x v="7"/>
    <x v="0"/>
    <x v="5"/>
    <x v="1"/>
    <x v="16"/>
    <x v="1"/>
    <x v="1"/>
    <n v="4"/>
    <n v="24556.66"/>
    <n v="64518.49"/>
    <x v="0"/>
  </r>
  <r>
    <x v="7"/>
    <x v="0"/>
    <x v="5"/>
    <x v="1"/>
    <x v="17"/>
    <x v="0"/>
    <x v="1"/>
    <n v="3"/>
    <n v="16974.95"/>
    <n v="70037.45"/>
    <x v="0"/>
  </r>
  <r>
    <x v="7"/>
    <x v="0"/>
    <x v="5"/>
    <x v="1"/>
    <x v="17"/>
    <x v="1"/>
    <x v="0"/>
    <n v="7"/>
    <n v="38424.94"/>
    <n v="104499.16"/>
    <x v="0"/>
  </r>
  <r>
    <x v="7"/>
    <x v="0"/>
    <x v="5"/>
    <x v="1"/>
    <x v="18"/>
    <x v="0"/>
    <x v="1"/>
    <n v="10"/>
    <n v="47013.39"/>
    <n v="188689.13"/>
    <x v="0"/>
  </r>
  <r>
    <x v="7"/>
    <x v="0"/>
    <x v="5"/>
    <x v="1"/>
    <x v="18"/>
    <x v="1"/>
    <x v="0"/>
    <n v="2"/>
    <n v="12552.56"/>
    <n v="36650.19"/>
    <x v="0"/>
  </r>
  <r>
    <x v="7"/>
    <x v="0"/>
    <x v="5"/>
    <x v="1"/>
    <x v="18"/>
    <x v="1"/>
    <x v="1"/>
    <n v="27"/>
    <n v="136873.59"/>
    <n v="385399.59"/>
    <x v="0"/>
  </r>
  <r>
    <x v="7"/>
    <x v="0"/>
    <x v="5"/>
    <x v="1"/>
    <x v="19"/>
    <x v="0"/>
    <x v="1"/>
    <n v="4"/>
    <n v="21564.71"/>
    <n v="88988.76"/>
    <x v="0"/>
  </r>
  <r>
    <x v="7"/>
    <x v="0"/>
    <x v="5"/>
    <x v="1"/>
    <x v="19"/>
    <x v="1"/>
    <x v="0"/>
    <n v="8"/>
    <n v="40093.379999999997"/>
    <n v="104585.57"/>
    <x v="0"/>
  </r>
  <r>
    <x v="7"/>
    <x v="0"/>
    <x v="5"/>
    <x v="1"/>
    <x v="19"/>
    <x v="1"/>
    <x v="1"/>
    <n v="13"/>
    <n v="70034"/>
    <n v="194470.85"/>
    <x v="0"/>
  </r>
  <r>
    <x v="7"/>
    <x v="0"/>
    <x v="5"/>
    <x v="1"/>
    <x v="20"/>
    <x v="0"/>
    <x v="0"/>
    <n v="3"/>
    <n v="13390.88"/>
    <n v="55205.99"/>
    <x v="0"/>
  </r>
  <r>
    <x v="7"/>
    <x v="0"/>
    <x v="5"/>
    <x v="1"/>
    <x v="20"/>
    <x v="0"/>
    <x v="1"/>
    <n v="6"/>
    <n v="32555.49"/>
    <n v="132659.17000000001"/>
    <x v="0"/>
  </r>
  <r>
    <x v="7"/>
    <x v="0"/>
    <x v="5"/>
    <x v="1"/>
    <x v="20"/>
    <x v="1"/>
    <x v="0"/>
    <n v="4"/>
    <n v="23532.13"/>
    <n v="63486.69"/>
    <x v="0"/>
  </r>
  <r>
    <x v="7"/>
    <x v="0"/>
    <x v="5"/>
    <x v="1"/>
    <x v="20"/>
    <x v="1"/>
    <x v="1"/>
    <n v="12"/>
    <n v="61278.69"/>
    <n v="164980.23000000001"/>
    <x v="0"/>
  </r>
  <r>
    <x v="7"/>
    <x v="0"/>
    <x v="5"/>
    <x v="2"/>
    <x v="21"/>
    <x v="0"/>
    <x v="0"/>
    <n v="1"/>
    <n v="6413.67"/>
    <n v="26367.040000000001"/>
    <x v="0"/>
  </r>
  <r>
    <x v="7"/>
    <x v="0"/>
    <x v="5"/>
    <x v="2"/>
    <x v="22"/>
    <x v="0"/>
    <x v="1"/>
    <n v="1"/>
    <n v="6559.34"/>
    <n v="26367.040000000001"/>
    <x v="0"/>
  </r>
  <r>
    <x v="7"/>
    <x v="0"/>
    <x v="5"/>
    <x v="2"/>
    <x v="22"/>
    <x v="1"/>
    <x v="1"/>
    <n v="16"/>
    <n v="85543.53"/>
    <n v="216776.63"/>
    <x v="0"/>
  </r>
  <r>
    <x v="7"/>
    <x v="0"/>
    <x v="5"/>
    <x v="2"/>
    <x v="29"/>
    <x v="0"/>
    <x v="1"/>
    <n v="3"/>
    <n v="19092.34"/>
    <n v="79101.119999999995"/>
    <x v="0"/>
  </r>
  <r>
    <x v="7"/>
    <x v="0"/>
    <x v="5"/>
    <x v="2"/>
    <x v="29"/>
    <x v="1"/>
    <x v="1"/>
    <n v="5"/>
    <n v="22264.3"/>
    <n v="57934.13"/>
    <x v="0"/>
  </r>
  <r>
    <x v="7"/>
    <x v="0"/>
    <x v="5"/>
    <x v="2"/>
    <x v="24"/>
    <x v="0"/>
    <x v="1"/>
    <n v="1"/>
    <n v="6256.62"/>
    <n v="26367.040000000001"/>
    <x v="0"/>
  </r>
  <r>
    <x v="7"/>
    <x v="0"/>
    <x v="5"/>
    <x v="2"/>
    <x v="24"/>
    <x v="1"/>
    <x v="0"/>
    <n v="1"/>
    <n v="4716.47"/>
    <n v="11359.38"/>
    <x v="0"/>
  </r>
  <r>
    <x v="7"/>
    <x v="0"/>
    <x v="5"/>
    <x v="3"/>
    <x v="25"/>
    <x v="1"/>
    <x v="0"/>
    <n v="6"/>
    <n v="39322.18"/>
    <n v="108368.53"/>
    <x v="0"/>
  </r>
  <r>
    <x v="7"/>
    <x v="0"/>
    <x v="5"/>
    <x v="3"/>
    <x v="25"/>
    <x v="1"/>
    <x v="1"/>
    <n v="7"/>
    <n v="40817.769999999997"/>
    <n v="115141.57"/>
    <x v="0"/>
  </r>
  <r>
    <x v="7"/>
    <x v="0"/>
    <x v="5"/>
    <x v="3"/>
    <x v="26"/>
    <x v="0"/>
    <x v="0"/>
    <n v="2"/>
    <n v="13140.81"/>
    <n v="52734.080000000002"/>
    <x v="0"/>
  </r>
  <r>
    <x v="7"/>
    <x v="0"/>
    <x v="5"/>
    <x v="3"/>
    <x v="26"/>
    <x v="1"/>
    <x v="0"/>
    <n v="1"/>
    <n v="4189.0600000000004"/>
    <n v="11939.33"/>
    <x v="0"/>
  </r>
  <r>
    <x v="7"/>
    <x v="0"/>
    <x v="5"/>
    <x v="3"/>
    <x v="26"/>
    <x v="1"/>
    <x v="1"/>
    <n v="4"/>
    <n v="22147.279999999999"/>
    <n v="62539.33"/>
    <x v="0"/>
  </r>
  <r>
    <x v="7"/>
    <x v="0"/>
    <x v="5"/>
    <x v="3"/>
    <x v="27"/>
    <x v="0"/>
    <x v="1"/>
    <n v="3"/>
    <n v="19471.349999999999"/>
    <n v="79101.119999999995"/>
    <x v="0"/>
  </r>
  <r>
    <x v="7"/>
    <x v="0"/>
    <x v="5"/>
    <x v="3"/>
    <x v="27"/>
    <x v="1"/>
    <x v="0"/>
    <n v="12"/>
    <n v="62081.49"/>
    <n v="172368.76"/>
    <x v="0"/>
  </r>
  <r>
    <x v="7"/>
    <x v="0"/>
    <x v="5"/>
    <x v="3"/>
    <x v="27"/>
    <x v="1"/>
    <x v="1"/>
    <n v="28"/>
    <n v="168094.16"/>
    <n v="458004.9"/>
    <x v="0"/>
  </r>
  <r>
    <x v="7"/>
    <x v="0"/>
    <x v="6"/>
    <x v="0"/>
    <x v="0"/>
    <x v="0"/>
    <x v="0"/>
    <n v="2"/>
    <n v="5904.86"/>
    <n v="20631.36"/>
    <x v="0"/>
  </r>
  <r>
    <x v="7"/>
    <x v="0"/>
    <x v="6"/>
    <x v="0"/>
    <x v="0"/>
    <x v="0"/>
    <x v="1"/>
    <n v="4"/>
    <n v="8931.35"/>
    <n v="31591.78"/>
    <x v="0"/>
  </r>
  <r>
    <x v="7"/>
    <x v="0"/>
    <x v="6"/>
    <x v="0"/>
    <x v="0"/>
    <x v="1"/>
    <x v="0"/>
    <n v="3"/>
    <n v="7900.29"/>
    <n v="17709.439999999999"/>
    <x v="0"/>
  </r>
  <r>
    <x v="7"/>
    <x v="0"/>
    <x v="6"/>
    <x v="0"/>
    <x v="0"/>
    <x v="1"/>
    <x v="1"/>
    <n v="13"/>
    <n v="34212.550000000003"/>
    <n v="78216.710000000006"/>
    <x v="0"/>
  </r>
  <r>
    <x v="7"/>
    <x v="0"/>
    <x v="6"/>
    <x v="0"/>
    <x v="1"/>
    <x v="0"/>
    <x v="0"/>
    <n v="3"/>
    <n v="8972.4"/>
    <n v="30947.040000000001"/>
    <x v="0"/>
  </r>
  <r>
    <x v="7"/>
    <x v="0"/>
    <x v="6"/>
    <x v="0"/>
    <x v="1"/>
    <x v="0"/>
    <x v="1"/>
    <n v="2"/>
    <n v="4779.91"/>
    <n v="16762.98"/>
    <x v="0"/>
  </r>
  <r>
    <x v="7"/>
    <x v="0"/>
    <x v="6"/>
    <x v="0"/>
    <x v="1"/>
    <x v="1"/>
    <x v="0"/>
    <n v="17"/>
    <n v="40340.300000000003"/>
    <n v="88014.21"/>
    <x v="0"/>
  </r>
  <r>
    <x v="7"/>
    <x v="0"/>
    <x v="6"/>
    <x v="0"/>
    <x v="1"/>
    <x v="1"/>
    <x v="1"/>
    <n v="12"/>
    <n v="32867.06"/>
    <n v="72755.53"/>
    <x v="0"/>
  </r>
  <r>
    <x v="7"/>
    <x v="0"/>
    <x v="6"/>
    <x v="0"/>
    <x v="2"/>
    <x v="0"/>
    <x v="1"/>
    <n v="3"/>
    <n v="6905.54"/>
    <n v="24177.38"/>
    <x v="0"/>
  </r>
  <r>
    <x v="7"/>
    <x v="0"/>
    <x v="6"/>
    <x v="0"/>
    <x v="2"/>
    <x v="1"/>
    <x v="1"/>
    <n v="7"/>
    <n v="20241.97"/>
    <n v="43040.56"/>
    <x v="0"/>
  </r>
  <r>
    <x v="7"/>
    <x v="0"/>
    <x v="6"/>
    <x v="0"/>
    <x v="3"/>
    <x v="0"/>
    <x v="0"/>
    <n v="3"/>
    <n v="7120.17"/>
    <n v="25144.48"/>
    <x v="0"/>
  </r>
  <r>
    <x v="7"/>
    <x v="0"/>
    <x v="6"/>
    <x v="0"/>
    <x v="3"/>
    <x v="0"/>
    <x v="1"/>
    <n v="3"/>
    <n v="8084.45"/>
    <n v="28045.759999999998"/>
    <x v="0"/>
  </r>
  <r>
    <x v="7"/>
    <x v="0"/>
    <x v="6"/>
    <x v="0"/>
    <x v="3"/>
    <x v="1"/>
    <x v="0"/>
    <n v="15"/>
    <n v="35801.230000000003"/>
    <n v="79062.81"/>
    <x v="0"/>
  </r>
  <r>
    <x v="7"/>
    <x v="0"/>
    <x v="6"/>
    <x v="0"/>
    <x v="3"/>
    <x v="1"/>
    <x v="1"/>
    <n v="22"/>
    <n v="59310.400000000001"/>
    <n v="131296.82999999999"/>
    <x v="0"/>
  </r>
  <r>
    <x v="7"/>
    <x v="0"/>
    <x v="6"/>
    <x v="0"/>
    <x v="28"/>
    <x v="1"/>
    <x v="1"/>
    <n v="1"/>
    <n v="2947.81"/>
    <n v="6400.46"/>
    <x v="0"/>
  </r>
  <r>
    <x v="7"/>
    <x v="0"/>
    <x v="6"/>
    <x v="0"/>
    <x v="4"/>
    <x v="0"/>
    <x v="1"/>
    <n v="1"/>
    <n v="2911.72"/>
    <n v="10315.68"/>
    <x v="0"/>
  </r>
  <r>
    <x v="7"/>
    <x v="0"/>
    <x v="6"/>
    <x v="0"/>
    <x v="4"/>
    <x v="1"/>
    <x v="0"/>
    <n v="4"/>
    <n v="12123.58"/>
    <n v="26408.14"/>
    <x v="0"/>
  </r>
  <r>
    <x v="7"/>
    <x v="0"/>
    <x v="6"/>
    <x v="0"/>
    <x v="5"/>
    <x v="0"/>
    <x v="1"/>
    <n v="3"/>
    <n v="8184.42"/>
    <n v="28045.759999999998"/>
    <x v="0"/>
  </r>
  <r>
    <x v="7"/>
    <x v="0"/>
    <x v="6"/>
    <x v="0"/>
    <x v="5"/>
    <x v="1"/>
    <x v="1"/>
    <n v="16"/>
    <n v="40384.79"/>
    <n v="93407.12"/>
    <x v="0"/>
  </r>
  <r>
    <x v="7"/>
    <x v="0"/>
    <x v="6"/>
    <x v="0"/>
    <x v="6"/>
    <x v="0"/>
    <x v="1"/>
    <n v="4"/>
    <n v="10935.62"/>
    <n v="38361.440000000002"/>
    <x v="0"/>
  </r>
  <r>
    <x v="7"/>
    <x v="0"/>
    <x v="6"/>
    <x v="0"/>
    <x v="6"/>
    <x v="1"/>
    <x v="1"/>
    <n v="3"/>
    <n v="8931.15"/>
    <n v="20332.2"/>
    <x v="0"/>
  </r>
  <r>
    <x v="7"/>
    <x v="0"/>
    <x v="6"/>
    <x v="0"/>
    <x v="7"/>
    <x v="1"/>
    <x v="1"/>
    <n v="8"/>
    <n v="19624.48"/>
    <n v="45436.72"/>
    <x v="0"/>
  </r>
  <r>
    <x v="7"/>
    <x v="0"/>
    <x v="6"/>
    <x v="0"/>
    <x v="8"/>
    <x v="0"/>
    <x v="1"/>
    <n v="1"/>
    <n v="2046.89"/>
    <n v="7414.4"/>
    <x v="0"/>
  </r>
  <r>
    <x v="7"/>
    <x v="0"/>
    <x v="6"/>
    <x v="0"/>
    <x v="8"/>
    <x v="1"/>
    <x v="1"/>
    <n v="6"/>
    <n v="12499.49"/>
    <n v="28337.83"/>
    <x v="0"/>
  </r>
  <r>
    <x v="7"/>
    <x v="0"/>
    <x v="6"/>
    <x v="1"/>
    <x v="30"/>
    <x v="1"/>
    <x v="0"/>
    <n v="7"/>
    <n v="17374.810000000001"/>
    <n v="41235.29"/>
    <x v="0"/>
  </r>
  <r>
    <x v="7"/>
    <x v="0"/>
    <x v="6"/>
    <x v="1"/>
    <x v="10"/>
    <x v="0"/>
    <x v="0"/>
    <n v="1"/>
    <n v="2051.52"/>
    <n v="7414.4"/>
    <x v="0"/>
  </r>
  <r>
    <x v="7"/>
    <x v="0"/>
    <x v="6"/>
    <x v="1"/>
    <x v="10"/>
    <x v="0"/>
    <x v="1"/>
    <n v="4"/>
    <n v="10547.64"/>
    <n v="37394.339999999997"/>
    <x v="0"/>
  </r>
  <r>
    <x v="7"/>
    <x v="0"/>
    <x v="6"/>
    <x v="1"/>
    <x v="10"/>
    <x v="1"/>
    <x v="0"/>
    <n v="3"/>
    <n v="8876.19"/>
    <n v="19922.419999999998"/>
    <x v="0"/>
  </r>
  <r>
    <x v="7"/>
    <x v="0"/>
    <x v="6"/>
    <x v="1"/>
    <x v="10"/>
    <x v="1"/>
    <x v="1"/>
    <n v="25"/>
    <n v="68399.259999999995"/>
    <n v="162296.29"/>
    <x v="0"/>
  </r>
  <r>
    <x v="7"/>
    <x v="0"/>
    <x v="6"/>
    <x v="1"/>
    <x v="11"/>
    <x v="0"/>
    <x v="1"/>
    <n v="3"/>
    <n v="7072.28"/>
    <n v="25144.48"/>
    <x v="0"/>
  </r>
  <r>
    <x v="7"/>
    <x v="0"/>
    <x v="6"/>
    <x v="1"/>
    <x v="11"/>
    <x v="1"/>
    <x v="0"/>
    <n v="4"/>
    <n v="7749.38"/>
    <n v="18020.21"/>
    <x v="0"/>
  </r>
  <r>
    <x v="7"/>
    <x v="0"/>
    <x v="6"/>
    <x v="1"/>
    <x v="11"/>
    <x v="1"/>
    <x v="1"/>
    <n v="27"/>
    <n v="72097.509999999995"/>
    <n v="164696.26999999999"/>
    <x v="0"/>
  </r>
  <r>
    <x v="7"/>
    <x v="0"/>
    <x v="6"/>
    <x v="1"/>
    <x v="12"/>
    <x v="1"/>
    <x v="0"/>
    <n v="3"/>
    <n v="6268.55"/>
    <n v="15013.01"/>
    <x v="0"/>
  </r>
  <r>
    <x v="7"/>
    <x v="0"/>
    <x v="6"/>
    <x v="1"/>
    <x v="13"/>
    <x v="0"/>
    <x v="1"/>
    <n v="6"/>
    <n v="14867.9"/>
    <n v="52223.14"/>
    <x v="0"/>
  </r>
  <r>
    <x v="7"/>
    <x v="0"/>
    <x v="6"/>
    <x v="1"/>
    <x v="13"/>
    <x v="1"/>
    <x v="1"/>
    <n v="6"/>
    <n v="17931.36"/>
    <n v="42149.87"/>
    <x v="0"/>
  </r>
  <r>
    <x v="7"/>
    <x v="0"/>
    <x v="6"/>
    <x v="1"/>
    <x v="14"/>
    <x v="1"/>
    <x v="0"/>
    <n v="6"/>
    <n v="13719.28"/>
    <n v="31205.59"/>
    <x v="0"/>
  </r>
  <r>
    <x v="7"/>
    <x v="0"/>
    <x v="6"/>
    <x v="1"/>
    <x v="14"/>
    <x v="1"/>
    <x v="1"/>
    <n v="12"/>
    <n v="32064.69"/>
    <n v="75584.28"/>
    <x v="0"/>
  </r>
  <r>
    <x v="7"/>
    <x v="0"/>
    <x v="6"/>
    <x v="1"/>
    <x v="15"/>
    <x v="1"/>
    <x v="1"/>
    <n v="4"/>
    <n v="10084.049999999999"/>
    <n v="24502.959999999999"/>
    <x v="0"/>
  </r>
  <r>
    <x v="7"/>
    <x v="0"/>
    <x v="6"/>
    <x v="1"/>
    <x v="16"/>
    <x v="0"/>
    <x v="1"/>
    <n v="1"/>
    <n v="3022.7"/>
    <n v="10315.68"/>
    <x v="0"/>
  </r>
  <r>
    <x v="7"/>
    <x v="0"/>
    <x v="6"/>
    <x v="1"/>
    <x v="16"/>
    <x v="1"/>
    <x v="0"/>
    <n v="11"/>
    <n v="27792.68"/>
    <n v="65119.69"/>
    <x v="0"/>
  </r>
  <r>
    <x v="7"/>
    <x v="0"/>
    <x v="6"/>
    <x v="1"/>
    <x v="16"/>
    <x v="1"/>
    <x v="1"/>
    <n v="7"/>
    <n v="19632.02"/>
    <n v="45604.98"/>
    <x v="0"/>
  </r>
  <r>
    <x v="7"/>
    <x v="0"/>
    <x v="6"/>
    <x v="1"/>
    <x v="17"/>
    <x v="0"/>
    <x v="1"/>
    <n v="2"/>
    <n v="5071.13"/>
    <n v="17730.080000000002"/>
    <x v="0"/>
  </r>
  <r>
    <x v="7"/>
    <x v="0"/>
    <x v="6"/>
    <x v="1"/>
    <x v="17"/>
    <x v="1"/>
    <x v="1"/>
    <n v="1"/>
    <n v="1784.75"/>
    <n v="4281.01"/>
    <x v="0"/>
  </r>
  <r>
    <x v="7"/>
    <x v="0"/>
    <x v="6"/>
    <x v="1"/>
    <x v="18"/>
    <x v="0"/>
    <x v="1"/>
    <n v="5"/>
    <n v="12794.9"/>
    <n v="44808.74"/>
    <x v="0"/>
  </r>
  <r>
    <x v="7"/>
    <x v="0"/>
    <x v="6"/>
    <x v="1"/>
    <x v="18"/>
    <x v="1"/>
    <x v="0"/>
    <n v="3"/>
    <n v="9072.06"/>
    <n v="21508.2"/>
    <x v="0"/>
  </r>
  <r>
    <x v="7"/>
    <x v="0"/>
    <x v="6"/>
    <x v="1"/>
    <x v="18"/>
    <x v="1"/>
    <x v="1"/>
    <n v="23"/>
    <n v="61497.79"/>
    <n v="150781.41"/>
    <x v="0"/>
  </r>
  <r>
    <x v="7"/>
    <x v="0"/>
    <x v="6"/>
    <x v="1"/>
    <x v="19"/>
    <x v="0"/>
    <x v="1"/>
    <n v="5"/>
    <n v="13811.03"/>
    <n v="48677.120000000003"/>
    <x v="0"/>
  </r>
  <r>
    <x v="7"/>
    <x v="0"/>
    <x v="6"/>
    <x v="1"/>
    <x v="19"/>
    <x v="1"/>
    <x v="0"/>
    <n v="5"/>
    <n v="12330.2"/>
    <n v="28402.5"/>
    <x v="0"/>
  </r>
  <r>
    <x v="7"/>
    <x v="0"/>
    <x v="6"/>
    <x v="1"/>
    <x v="19"/>
    <x v="1"/>
    <x v="1"/>
    <n v="20"/>
    <n v="51950.58"/>
    <n v="121664.42"/>
    <x v="0"/>
  </r>
  <r>
    <x v="7"/>
    <x v="0"/>
    <x v="6"/>
    <x v="1"/>
    <x v="20"/>
    <x v="0"/>
    <x v="1"/>
    <n v="4"/>
    <n v="11671.72"/>
    <n v="41262.720000000001"/>
    <x v="0"/>
  </r>
  <r>
    <x v="7"/>
    <x v="0"/>
    <x v="6"/>
    <x v="1"/>
    <x v="20"/>
    <x v="1"/>
    <x v="0"/>
    <n v="16"/>
    <n v="38909.07"/>
    <n v="90834.41"/>
    <x v="0"/>
  </r>
  <r>
    <x v="7"/>
    <x v="0"/>
    <x v="6"/>
    <x v="1"/>
    <x v="20"/>
    <x v="1"/>
    <x v="1"/>
    <n v="18"/>
    <n v="46929.68"/>
    <n v="107718.95"/>
    <x v="0"/>
  </r>
  <r>
    <x v="7"/>
    <x v="0"/>
    <x v="6"/>
    <x v="2"/>
    <x v="21"/>
    <x v="0"/>
    <x v="0"/>
    <n v="3"/>
    <n v="7989.23"/>
    <n v="28045.759999999998"/>
    <x v="0"/>
  </r>
  <r>
    <x v="7"/>
    <x v="0"/>
    <x v="6"/>
    <x v="2"/>
    <x v="21"/>
    <x v="1"/>
    <x v="1"/>
    <n v="3"/>
    <n v="8008.27"/>
    <n v="17079.87"/>
    <x v="0"/>
  </r>
  <r>
    <x v="7"/>
    <x v="0"/>
    <x v="6"/>
    <x v="2"/>
    <x v="22"/>
    <x v="1"/>
    <x v="0"/>
    <n v="2"/>
    <n v="4179.5200000000004"/>
    <n v="9030.74"/>
    <x v="0"/>
  </r>
  <r>
    <x v="7"/>
    <x v="0"/>
    <x v="6"/>
    <x v="2"/>
    <x v="22"/>
    <x v="1"/>
    <x v="1"/>
    <n v="18"/>
    <n v="50129.86"/>
    <n v="108166.93"/>
    <x v="0"/>
  </r>
  <r>
    <x v="7"/>
    <x v="0"/>
    <x v="6"/>
    <x v="2"/>
    <x v="29"/>
    <x v="1"/>
    <x v="1"/>
    <n v="5"/>
    <n v="14574.7"/>
    <n v="33371.22"/>
    <x v="0"/>
  </r>
  <r>
    <x v="7"/>
    <x v="0"/>
    <x v="6"/>
    <x v="2"/>
    <x v="24"/>
    <x v="0"/>
    <x v="1"/>
    <n v="1"/>
    <n v="2084.2600000000002"/>
    <n v="7414.4"/>
    <x v="0"/>
  </r>
  <r>
    <x v="7"/>
    <x v="0"/>
    <x v="6"/>
    <x v="2"/>
    <x v="24"/>
    <x v="1"/>
    <x v="0"/>
    <n v="3"/>
    <n v="9074.8799999999992"/>
    <n v="19187.16"/>
    <x v="0"/>
  </r>
  <r>
    <x v="7"/>
    <x v="0"/>
    <x v="6"/>
    <x v="2"/>
    <x v="24"/>
    <x v="1"/>
    <x v="1"/>
    <n v="3"/>
    <n v="9201.39"/>
    <n v="18822.849999999999"/>
    <x v="0"/>
  </r>
  <r>
    <x v="7"/>
    <x v="0"/>
    <x v="6"/>
    <x v="3"/>
    <x v="25"/>
    <x v="1"/>
    <x v="0"/>
    <n v="1"/>
    <n v="3034.64"/>
    <n v="7066.24"/>
    <x v="0"/>
  </r>
  <r>
    <x v="7"/>
    <x v="0"/>
    <x v="6"/>
    <x v="3"/>
    <x v="25"/>
    <x v="1"/>
    <x v="1"/>
    <n v="5"/>
    <n v="10471.709999999999"/>
    <n v="24933.79"/>
    <x v="0"/>
  </r>
  <r>
    <x v="7"/>
    <x v="0"/>
    <x v="6"/>
    <x v="3"/>
    <x v="26"/>
    <x v="1"/>
    <x v="0"/>
    <n v="1"/>
    <n v="2945.44"/>
    <n v="7117.82"/>
    <x v="0"/>
  </r>
  <r>
    <x v="7"/>
    <x v="0"/>
    <x v="6"/>
    <x v="3"/>
    <x v="26"/>
    <x v="1"/>
    <x v="1"/>
    <n v="15"/>
    <n v="40393.83"/>
    <n v="96757.88"/>
    <x v="0"/>
  </r>
  <r>
    <x v="7"/>
    <x v="0"/>
    <x v="6"/>
    <x v="3"/>
    <x v="27"/>
    <x v="0"/>
    <x v="0"/>
    <n v="1"/>
    <n v="1808.83"/>
    <n v="6447.3"/>
    <x v="0"/>
  </r>
  <r>
    <x v="7"/>
    <x v="0"/>
    <x v="6"/>
    <x v="3"/>
    <x v="27"/>
    <x v="0"/>
    <x v="1"/>
    <n v="5"/>
    <n v="12613.93"/>
    <n v="44808.74"/>
    <x v="0"/>
  </r>
  <r>
    <x v="7"/>
    <x v="0"/>
    <x v="6"/>
    <x v="3"/>
    <x v="27"/>
    <x v="1"/>
    <x v="0"/>
    <n v="7"/>
    <n v="19835.099999999999"/>
    <n v="46921.84"/>
    <x v="0"/>
  </r>
  <r>
    <x v="7"/>
    <x v="0"/>
    <x v="6"/>
    <x v="3"/>
    <x v="27"/>
    <x v="1"/>
    <x v="1"/>
    <n v="12"/>
    <n v="34552.21"/>
    <n v="80774.87"/>
    <x v="0"/>
  </r>
  <r>
    <x v="7"/>
    <x v="0"/>
    <x v="7"/>
    <x v="0"/>
    <x v="0"/>
    <x v="0"/>
    <x v="0"/>
    <n v="3"/>
    <n v="14997.82"/>
    <n v="57552.28"/>
    <x v="0"/>
  </r>
  <r>
    <x v="7"/>
    <x v="0"/>
    <x v="7"/>
    <x v="0"/>
    <x v="0"/>
    <x v="0"/>
    <x v="1"/>
    <n v="1"/>
    <n v="3623.4"/>
    <n v="14218.8"/>
    <x v="0"/>
  </r>
  <r>
    <x v="7"/>
    <x v="0"/>
    <x v="7"/>
    <x v="0"/>
    <x v="0"/>
    <x v="1"/>
    <x v="0"/>
    <n v="4"/>
    <n v="18830.68"/>
    <n v="46938.29"/>
    <x v="0"/>
  </r>
  <r>
    <x v="7"/>
    <x v="0"/>
    <x v="7"/>
    <x v="0"/>
    <x v="0"/>
    <x v="1"/>
    <x v="1"/>
    <n v="6"/>
    <n v="29603.34"/>
    <n v="71874.81"/>
    <x v="0"/>
  </r>
  <r>
    <x v="7"/>
    <x v="0"/>
    <x v="7"/>
    <x v="0"/>
    <x v="1"/>
    <x v="0"/>
    <x v="0"/>
    <n v="6"/>
    <n v="30483.48"/>
    <n v="115104.56"/>
    <x v="0"/>
  </r>
  <r>
    <x v="7"/>
    <x v="0"/>
    <x v="7"/>
    <x v="0"/>
    <x v="1"/>
    <x v="0"/>
    <x v="1"/>
    <n v="7"/>
    <n v="29146.6"/>
    <n v="112396.21"/>
    <x v="0"/>
  </r>
  <r>
    <x v="7"/>
    <x v="0"/>
    <x v="7"/>
    <x v="0"/>
    <x v="1"/>
    <x v="1"/>
    <x v="0"/>
    <n v="2"/>
    <n v="9274.81"/>
    <n v="22639.03"/>
    <x v="0"/>
  </r>
  <r>
    <x v="7"/>
    <x v="0"/>
    <x v="7"/>
    <x v="0"/>
    <x v="1"/>
    <x v="1"/>
    <x v="1"/>
    <n v="11"/>
    <n v="57293.41"/>
    <n v="136719.81"/>
    <x v="0"/>
  </r>
  <r>
    <x v="7"/>
    <x v="0"/>
    <x v="7"/>
    <x v="0"/>
    <x v="2"/>
    <x v="0"/>
    <x v="1"/>
    <n v="2"/>
    <n v="9911.14"/>
    <n v="37239.71"/>
    <x v="0"/>
  </r>
  <r>
    <x v="7"/>
    <x v="0"/>
    <x v="7"/>
    <x v="0"/>
    <x v="2"/>
    <x v="1"/>
    <x v="0"/>
    <n v="7"/>
    <n v="25021.87"/>
    <n v="61809.120000000003"/>
    <x v="0"/>
  </r>
  <r>
    <x v="7"/>
    <x v="0"/>
    <x v="7"/>
    <x v="0"/>
    <x v="2"/>
    <x v="1"/>
    <x v="1"/>
    <n v="11"/>
    <n v="46980.43"/>
    <n v="112603.37"/>
    <x v="0"/>
  </r>
  <r>
    <x v="7"/>
    <x v="0"/>
    <x v="7"/>
    <x v="0"/>
    <x v="3"/>
    <x v="0"/>
    <x v="0"/>
    <n v="2"/>
    <n v="11122.45"/>
    <n v="43333.48"/>
    <x v="0"/>
  </r>
  <r>
    <x v="7"/>
    <x v="0"/>
    <x v="7"/>
    <x v="0"/>
    <x v="3"/>
    <x v="1"/>
    <x v="0"/>
    <n v="13"/>
    <n v="65986.490000000005"/>
    <n v="162067.67000000001"/>
    <x v="0"/>
  </r>
  <r>
    <x v="7"/>
    <x v="0"/>
    <x v="7"/>
    <x v="0"/>
    <x v="3"/>
    <x v="1"/>
    <x v="1"/>
    <n v="17"/>
    <n v="78228.3"/>
    <n v="193397.49"/>
    <x v="0"/>
  </r>
  <r>
    <x v="7"/>
    <x v="0"/>
    <x v="7"/>
    <x v="0"/>
    <x v="28"/>
    <x v="1"/>
    <x v="1"/>
    <n v="2"/>
    <n v="7443.62"/>
    <n v="18598.2"/>
    <x v="0"/>
  </r>
  <r>
    <x v="7"/>
    <x v="0"/>
    <x v="7"/>
    <x v="0"/>
    <x v="4"/>
    <x v="0"/>
    <x v="1"/>
    <n v="2"/>
    <n v="7132.41"/>
    <n v="27760.51"/>
    <x v="0"/>
  </r>
  <r>
    <x v="7"/>
    <x v="0"/>
    <x v="7"/>
    <x v="0"/>
    <x v="4"/>
    <x v="1"/>
    <x v="0"/>
    <n v="3"/>
    <n v="17286.490000000002"/>
    <n v="40398.42"/>
    <x v="0"/>
  </r>
  <r>
    <x v="7"/>
    <x v="0"/>
    <x v="7"/>
    <x v="0"/>
    <x v="4"/>
    <x v="1"/>
    <x v="1"/>
    <n v="7"/>
    <n v="35836.21"/>
    <n v="87533.63"/>
    <x v="0"/>
  </r>
  <r>
    <x v="7"/>
    <x v="0"/>
    <x v="7"/>
    <x v="0"/>
    <x v="5"/>
    <x v="0"/>
    <x v="1"/>
    <n v="6"/>
    <n v="30575.38"/>
    <n v="115104.56"/>
    <x v="0"/>
  </r>
  <r>
    <x v="7"/>
    <x v="0"/>
    <x v="7"/>
    <x v="0"/>
    <x v="5"/>
    <x v="1"/>
    <x v="1"/>
    <n v="20"/>
    <n v="96756.46"/>
    <n v="245855.89"/>
    <x v="0"/>
  </r>
  <r>
    <x v="7"/>
    <x v="0"/>
    <x v="7"/>
    <x v="0"/>
    <x v="6"/>
    <x v="0"/>
    <x v="1"/>
    <n v="2"/>
    <n v="9499.9500000000007"/>
    <n v="35885.54"/>
    <x v="0"/>
  </r>
  <r>
    <x v="7"/>
    <x v="0"/>
    <x v="7"/>
    <x v="0"/>
    <x v="6"/>
    <x v="1"/>
    <x v="1"/>
    <n v="5"/>
    <n v="17143.099999999999"/>
    <n v="44484.52"/>
    <x v="0"/>
  </r>
  <r>
    <x v="7"/>
    <x v="0"/>
    <x v="7"/>
    <x v="0"/>
    <x v="7"/>
    <x v="1"/>
    <x v="1"/>
    <n v="10"/>
    <n v="52229.96"/>
    <n v="135140.13"/>
    <x v="0"/>
  </r>
  <r>
    <x v="7"/>
    <x v="0"/>
    <x v="7"/>
    <x v="1"/>
    <x v="9"/>
    <x v="1"/>
    <x v="1"/>
    <n v="2"/>
    <n v="11122"/>
    <n v="29813.43"/>
    <x v="0"/>
  </r>
  <r>
    <x v="7"/>
    <x v="0"/>
    <x v="7"/>
    <x v="1"/>
    <x v="10"/>
    <x v="0"/>
    <x v="0"/>
    <n v="1"/>
    <n v="3346.08"/>
    <n v="13541.71"/>
    <x v="0"/>
  </r>
  <r>
    <x v="7"/>
    <x v="0"/>
    <x v="7"/>
    <x v="1"/>
    <x v="10"/>
    <x v="0"/>
    <x v="1"/>
    <n v="3"/>
    <n v="16415.490000000002"/>
    <n v="65000.22"/>
    <x v="0"/>
  </r>
  <r>
    <x v="7"/>
    <x v="0"/>
    <x v="7"/>
    <x v="1"/>
    <x v="10"/>
    <x v="1"/>
    <x v="0"/>
    <n v="6"/>
    <n v="21020.84"/>
    <n v="57259.77"/>
    <x v="0"/>
  </r>
  <r>
    <x v="7"/>
    <x v="0"/>
    <x v="7"/>
    <x v="1"/>
    <x v="10"/>
    <x v="1"/>
    <x v="1"/>
    <n v="40"/>
    <n v="199278.42"/>
    <n v="528018.97"/>
    <x v="0"/>
  </r>
  <r>
    <x v="7"/>
    <x v="0"/>
    <x v="7"/>
    <x v="1"/>
    <x v="11"/>
    <x v="0"/>
    <x v="1"/>
    <n v="6"/>
    <n v="29144.51"/>
    <n v="110364.96"/>
    <x v="0"/>
  </r>
  <r>
    <x v="7"/>
    <x v="0"/>
    <x v="7"/>
    <x v="1"/>
    <x v="11"/>
    <x v="1"/>
    <x v="0"/>
    <n v="2"/>
    <n v="11510.72"/>
    <n v="28166.76"/>
    <x v="0"/>
  </r>
  <r>
    <x v="7"/>
    <x v="0"/>
    <x v="7"/>
    <x v="1"/>
    <x v="11"/>
    <x v="1"/>
    <x v="1"/>
    <n v="21"/>
    <n v="108709.51"/>
    <n v="266704.02"/>
    <x v="0"/>
  </r>
  <r>
    <x v="7"/>
    <x v="0"/>
    <x v="7"/>
    <x v="1"/>
    <x v="12"/>
    <x v="1"/>
    <x v="0"/>
    <n v="2"/>
    <n v="7103.48"/>
    <n v="18528.18"/>
    <x v="0"/>
  </r>
  <r>
    <x v="7"/>
    <x v="0"/>
    <x v="7"/>
    <x v="1"/>
    <x v="13"/>
    <x v="0"/>
    <x v="1"/>
    <n v="4"/>
    <n v="20006.38"/>
    <n v="79219.02"/>
    <x v="0"/>
  </r>
  <r>
    <x v="7"/>
    <x v="0"/>
    <x v="7"/>
    <x v="1"/>
    <x v="13"/>
    <x v="1"/>
    <x v="1"/>
    <n v="9"/>
    <n v="34948.050000000003"/>
    <n v="92219.07"/>
    <x v="0"/>
  </r>
  <r>
    <x v="7"/>
    <x v="0"/>
    <x v="7"/>
    <x v="1"/>
    <x v="14"/>
    <x v="0"/>
    <x v="1"/>
    <n v="3"/>
    <n v="14567.49"/>
    <n v="57552.28"/>
    <x v="0"/>
  </r>
  <r>
    <x v="7"/>
    <x v="0"/>
    <x v="7"/>
    <x v="1"/>
    <x v="14"/>
    <x v="1"/>
    <x v="0"/>
    <n v="3"/>
    <n v="12735.55"/>
    <n v="33469.699999999997"/>
    <x v="0"/>
  </r>
  <r>
    <x v="7"/>
    <x v="0"/>
    <x v="7"/>
    <x v="1"/>
    <x v="14"/>
    <x v="1"/>
    <x v="1"/>
    <n v="15"/>
    <n v="80938.42"/>
    <n v="203865.46"/>
    <x v="0"/>
  </r>
  <r>
    <x v="7"/>
    <x v="0"/>
    <x v="7"/>
    <x v="1"/>
    <x v="16"/>
    <x v="1"/>
    <x v="0"/>
    <n v="2"/>
    <n v="7274.64"/>
    <n v="18711.939999999999"/>
    <x v="0"/>
  </r>
  <r>
    <x v="7"/>
    <x v="0"/>
    <x v="7"/>
    <x v="1"/>
    <x v="16"/>
    <x v="1"/>
    <x v="1"/>
    <n v="14"/>
    <n v="62536.58"/>
    <n v="158160.42000000001"/>
    <x v="0"/>
  </r>
  <r>
    <x v="7"/>
    <x v="0"/>
    <x v="7"/>
    <x v="1"/>
    <x v="17"/>
    <x v="0"/>
    <x v="1"/>
    <n v="2"/>
    <n v="9389.7800000000007"/>
    <n v="35885.54"/>
    <x v="0"/>
  </r>
  <r>
    <x v="7"/>
    <x v="0"/>
    <x v="7"/>
    <x v="1"/>
    <x v="17"/>
    <x v="1"/>
    <x v="1"/>
    <n v="8"/>
    <n v="42767.78"/>
    <n v="109686.88"/>
    <x v="0"/>
  </r>
  <r>
    <x v="7"/>
    <x v="0"/>
    <x v="7"/>
    <x v="1"/>
    <x v="18"/>
    <x v="0"/>
    <x v="1"/>
    <n v="6"/>
    <n v="25217.9"/>
    <n v="98854.5"/>
    <x v="0"/>
  </r>
  <r>
    <x v="7"/>
    <x v="0"/>
    <x v="7"/>
    <x v="1"/>
    <x v="18"/>
    <x v="1"/>
    <x v="0"/>
    <n v="3"/>
    <n v="12121.53"/>
    <n v="32469.64"/>
    <x v="0"/>
  </r>
  <r>
    <x v="7"/>
    <x v="0"/>
    <x v="7"/>
    <x v="1"/>
    <x v="18"/>
    <x v="1"/>
    <x v="1"/>
    <n v="24"/>
    <n v="115776.49"/>
    <n v="308696.89"/>
    <x v="0"/>
  </r>
  <r>
    <x v="7"/>
    <x v="0"/>
    <x v="7"/>
    <x v="1"/>
    <x v="19"/>
    <x v="0"/>
    <x v="1"/>
    <n v="4"/>
    <n v="14609.06"/>
    <n v="56875.199999999997"/>
    <x v="0"/>
  </r>
  <r>
    <x v="7"/>
    <x v="0"/>
    <x v="7"/>
    <x v="1"/>
    <x v="19"/>
    <x v="1"/>
    <x v="0"/>
    <n v="6"/>
    <n v="26269.62"/>
    <n v="67540.639999999999"/>
    <x v="0"/>
  </r>
  <r>
    <x v="7"/>
    <x v="0"/>
    <x v="7"/>
    <x v="1"/>
    <x v="19"/>
    <x v="1"/>
    <x v="1"/>
    <n v="4"/>
    <n v="18835.2"/>
    <n v="48373.71"/>
    <x v="0"/>
  </r>
  <r>
    <x v="7"/>
    <x v="0"/>
    <x v="7"/>
    <x v="1"/>
    <x v="20"/>
    <x v="0"/>
    <x v="0"/>
    <n v="3"/>
    <n v="16843.23"/>
    <n v="65000.22"/>
    <x v="0"/>
  </r>
  <r>
    <x v="7"/>
    <x v="0"/>
    <x v="7"/>
    <x v="1"/>
    <x v="20"/>
    <x v="0"/>
    <x v="1"/>
    <n v="10"/>
    <n v="48025.14"/>
    <n v="186875.64"/>
    <x v="0"/>
  </r>
  <r>
    <x v="7"/>
    <x v="0"/>
    <x v="7"/>
    <x v="1"/>
    <x v="20"/>
    <x v="1"/>
    <x v="0"/>
    <n v="10"/>
    <n v="51230.01"/>
    <n v="128241.23"/>
    <x v="0"/>
  </r>
  <r>
    <x v="7"/>
    <x v="0"/>
    <x v="7"/>
    <x v="1"/>
    <x v="20"/>
    <x v="1"/>
    <x v="1"/>
    <n v="15"/>
    <n v="71108.14"/>
    <n v="184414.76"/>
    <x v="0"/>
  </r>
  <r>
    <x v="7"/>
    <x v="0"/>
    <x v="7"/>
    <x v="2"/>
    <x v="22"/>
    <x v="0"/>
    <x v="1"/>
    <n v="2"/>
    <n v="11595.79"/>
    <n v="43333.48"/>
    <x v="0"/>
  </r>
  <r>
    <x v="7"/>
    <x v="0"/>
    <x v="7"/>
    <x v="2"/>
    <x v="22"/>
    <x v="1"/>
    <x v="0"/>
    <n v="1"/>
    <n v="3396.11"/>
    <n v="8246.9"/>
    <x v="0"/>
  </r>
  <r>
    <x v="7"/>
    <x v="0"/>
    <x v="7"/>
    <x v="2"/>
    <x v="22"/>
    <x v="1"/>
    <x v="1"/>
    <n v="21"/>
    <n v="92282.99"/>
    <n v="219641.8"/>
    <x v="0"/>
  </r>
  <r>
    <x v="7"/>
    <x v="0"/>
    <x v="7"/>
    <x v="2"/>
    <x v="29"/>
    <x v="0"/>
    <x v="1"/>
    <n v="2"/>
    <n v="11408.7"/>
    <n v="43333.48"/>
    <x v="0"/>
  </r>
  <r>
    <x v="7"/>
    <x v="0"/>
    <x v="7"/>
    <x v="2"/>
    <x v="23"/>
    <x v="1"/>
    <x v="1"/>
    <n v="4"/>
    <n v="20627.13"/>
    <n v="50224.86"/>
    <x v="0"/>
  </r>
  <r>
    <x v="7"/>
    <x v="0"/>
    <x v="7"/>
    <x v="2"/>
    <x v="24"/>
    <x v="0"/>
    <x v="1"/>
    <n v="4"/>
    <n v="18859.900000000001"/>
    <n v="71771.08"/>
    <x v="0"/>
  </r>
  <r>
    <x v="7"/>
    <x v="0"/>
    <x v="7"/>
    <x v="2"/>
    <x v="24"/>
    <x v="1"/>
    <x v="0"/>
    <n v="7"/>
    <n v="40730.269999999997"/>
    <n v="94033.65"/>
    <x v="0"/>
  </r>
  <r>
    <x v="7"/>
    <x v="0"/>
    <x v="7"/>
    <x v="2"/>
    <x v="24"/>
    <x v="1"/>
    <x v="1"/>
    <n v="3"/>
    <n v="16928.57"/>
    <n v="39151.050000000003"/>
    <x v="0"/>
  </r>
  <r>
    <x v="7"/>
    <x v="0"/>
    <x v="7"/>
    <x v="3"/>
    <x v="25"/>
    <x v="0"/>
    <x v="1"/>
    <n v="1"/>
    <n v="5693.44"/>
    <n v="21666.74"/>
    <x v="0"/>
  </r>
  <r>
    <x v="7"/>
    <x v="0"/>
    <x v="7"/>
    <x v="3"/>
    <x v="25"/>
    <x v="1"/>
    <x v="0"/>
    <n v="1"/>
    <n v="5459.06"/>
    <n v="14841.72"/>
    <x v="0"/>
  </r>
  <r>
    <x v="7"/>
    <x v="0"/>
    <x v="7"/>
    <x v="3"/>
    <x v="25"/>
    <x v="1"/>
    <x v="1"/>
    <n v="14"/>
    <n v="65430.7"/>
    <n v="169057.88"/>
    <x v="0"/>
  </r>
  <r>
    <x v="7"/>
    <x v="0"/>
    <x v="7"/>
    <x v="3"/>
    <x v="26"/>
    <x v="0"/>
    <x v="0"/>
    <n v="2"/>
    <n v="9482.08"/>
    <n v="35885.54"/>
    <x v="0"/>
  </r>
  <r>
    <x v="7"/>
    <x v="0"/>
    <x v="7"/>
    <x v="3"/>
    <x v="26"/>
    <x v="1"/>
    <x v="0"/>
    <n v="2"/>
    <n v="10775.44"/>
    <n v="29900.1"/>
    <x v="0"/>
  </r>
  <r>
    <x v="7"/>
    <x v="0"/>
    <x v="7"/>
    <x v="3"/>
    <x v="26"/>
    <x v="1"/>
    <x v="1"/>
    <n v="12"/>
    <n v="51668.35"/>
    <n v="137820.79"/>
    <x v="0"/>
  </r>
  <r>
    <x v="7"/>
    <x v="0"/>
    <x v="7"/>
    <x v="3"/>
    <x v="27"/>
    <x v="0"/>
    <x v="0"/>
    <n v="5"/>
    <n v="24296.240000000002"/>
    <n v="94114.9"/>
    <x v="0"/>
  </r>
  <r>
    <x v="7"/>
    <x v="0"/>
    <x v="7"/>
    <x v="3"/>
    <x v="27"/>
    <x v="0"/>
    <x v="1"/>
    <n v="3"/>
    <n v="14793.42"/>
    <n v="56875.19"/>
    <x v="0"/>
  </r>
  <r>
    <x v="7"/>
    <x v="0"/>
    <x v="7"/>
    <x v="3"/>
    <x v="27"/>
    <x v="1"/>
    <x v="0"/>
    <n v="9"/>
    <n v="39789.269999999997"/>
    <n v="102603.22"/>
    <x v="0"/>
  </r>
  <r>
    <x v="7"/>
    <x v="0"/>
    <x v="7"/>
    <x v="3"/>
    <x v="27"/>
    <x v="1"/>
    <x v="1"/>
    <n v="11"/>
    <n v="49425.01"/>
    <n v="126056.45"/>
    <x v="0"/>
  </r>
  <r>
    <x v="7"/>
    <x v="0"/>
    <x v="8"/>
    <x v="0"/>
    <x v="0"/>
    <x v="0"/>
    <x v="0"/>
    <n v="3"/>
    <n v="11809.41"/>
    <n v="41094.75"/>
    <x v="0"/>
  </r>
  <r>
    <x v="7"/>
    <x v="0"/>
    <x v="8"/>
    <x v="0"/>
    <x v="0"/>
    <x v="0"/>
    <x v="1"/>
    <n v="1"/>
    <n v="3874"/>
    <n v="13698.25"/>
    <x v="0"/>
  </r>
  <r>
    <x v="7"/>
    <x v="0"/>
    <x v="8"/>
    <x v="0"/>
    <x v="0"/>
    <x v="1"/>
    <x v="1"/>
    <n v="6"/>
    <n v="20166.009999999998"/>
    <n v="46788.02"/>
    <x v="0"/>
  </r>
  <r>
    <x v="7"/>
    <x v="0"/>
    <x v="8"/>
    <x v="0"/>
    <x v="1"/>
    <x v="0"/>
    <x v="0"/>
    <n v="4"/>
    <n v="12938.33"/>
    <n v="45803.53"/>
    <x v="0"/>
  </r>
  <r>
    <x v="7"/>
    <x v="0"/>
    <x v="8"/>
    <x v="0"/>
    <x v="1"/>
    <x v="0"/>
    <x v="1"/>
    <n v="2"/>
    <n v="6683.79"/>
    <n v="23543.87"/>
    <x v="0"/>
  </r>
  <r>
    <x v="7"/>
    <x v="0"/>
    <x v="8"/>
    <x v="0"/>
    <x v="1"/>
    <x v="1"/>
    <x v="0"/>
    <n v="18"/>
    <n v="66030.429999999993"/>
    <n v="151111.81"/>
    <x v="0"/>
  </r>
  <r>
    <x v="7"/>
    <x v="0"/>
    <x v="8"/>
    <x v="0"/>
    <x v="1"/>
    <x v="1"/>
    <x v="1"/>
    <n v="28"/>
    <n v="86207.47"/>
    <n v="193575.32"/>
    <x v="0"/>
  </r>
  <r>
    <x v="7"/>
    <x v="0"/>
    <x v="8"/>
    <x v="0"/>
    <x v="2"/>
    <x v="0"/>
    <x v="1"/>
    <n v="5"/>
    <n v="15726.46"/>
    <n v="56077.22"/>
    <x v="0"/>
  </r>
  <r>
    <x v="7"/>
    <x v="0"/>
    <x v="8"/>
    <x v="0"/>
    <x v="2"/>
    <x v="1"/>
    <x v="0"/>
    <n v="14"/>
    <n v="47762.400000000001"/>
    <n v="106278.39"/>
    <x v="0"/>
  </r>
  <r>
    <x v="7"/>
    <x v="0"/>
    <x v="8"/>
    <x v="0"/>
    <x v="2"/>
    <x v="1"/>
    <x v="1"/>
    <n v="12"/>
    <n v="33223.94"/>
    <n v="74964.56"/>
    <x v="0"/>
  </r>
  <r>
    <x v="7"/>
    <x v="0"/>
    <x v="8"/>
    <x v="0"/>
    <x v="3"/>
    <x v="0"/>
    <x v="0"/>
    <n v="2"/>
    <n v="7824.12"/>
    <n v="27396.5"/>
    <x v="0"/>
  </r>
  <r>
    <x v="7"/>
    <x v="0"/>
    <x v="8"/>
    <x v="0"/>
    <x v="3"/>
    <x v="0"/>
    <x v="1"/>
    <n v="10"/>
    <n v="33252.519999999997"/>
    <n v="116863.21"/>
    <x v="0"/>
  </r>
  <r>
    <x v="7"/>
    <x v="0"/>
    <x v="8"/>
    <x v="0"/>
    <x v="3"/>
    <x v="1"/>
    <x v="0"/>
    <n v="7"/>
    <n v="20663.689999999999"/>
    <n v="47550.7"/>
    <x v="0"/>
  </r>
  <r>
    <x v="7"/>
    <x v="0"/>
    <x v="8"/>
    <x v="0"/>
    <x v="3"/>
    <x v="1"/>
    <x v="1"/>
    <n v="30"/>
    <n v="96113.86"/>
    <n v="215769.64"/>
    <x v="0"/>
  </r>
  <r>
    <x v="7"/>
    <x v="0"/>
    <x v="8"/>
    <x v="0"/>
    <x v="28"/>
    <x v="1"/>
    <x v="1"/>
    <n v="1"/>
    <n v="3995.41"/>
    <n v="8958.66"/>
    <x v="0"/>
  </r>
  <r>
    <x v="7"/>
    <x v="0"/>
    <x v="8"/>
    <x v="0"/>
    <x v="4"/>
    <x v="0"/>
    <x v="1"/>
    <n v="4"/>
    <n v="14123.16"/>
    <n v="50084.23"/>
    <x v="0"/>
  </r>
  <r>
    <x v="7"/>
    <x v="0"/>
    <x v="8"/>
    <x v="0"/>
    <x v="4"/>
    <x v="1"/>
    <x v="0"/>
    <n v="3"/>
    <n v="8209.56"/>
    <n v="18903.59"/>
    <x v="0"/>
  </r>
  <r>
    <x v="7"/>
    <x v="0"/>
    <x v="8"/>
    <x v="0"/>
    <x v="4"/>
    <x v="1"/>
    <x v="1"/>
    <n v="6"/>
    <n v="18902.54"/>
    <n v="41631.9"/>
    <x v="0"/>
  </r>
  <r>
    <x v="7"/>
    <x v="0"/>
    <x v="8"/>
    <x v="0"/>
    <x v="5"/>
    <x v="0"/>
    <x v="1"/>
    <n v="3"/>
    <n v="7902.09"/>
    <n v="28252.65"/>
    <x v="0"/>
  </r>
  <r>
    <x v="7"/>
    <x v="0"/>
    <x v="8"/>
    <x v="0"/>
    <x v="5"/>
    <x v="1"/>
    <x v="1"/>
    <n v="18"/>
    <n v="60090.85"/>
    <n v="142177.57"/>
    <x v="0"/>
  </r>
  <r>
    <x v="7"/>
    <x v="0"/>
    <x v="8"/>
    <x v="0"/>
    <x v="6"/>
    <x v="0"/>
    <x v="1"/>
    <n v="2"/>
    <n v="5261.54"/>
    <n v="19691.240000000002"/>
    <x v="0"/>
  </r>
  <r>
    <x v="7"/>
    <x v="0"/>
    <x v="8"/>
    <x v="0"/>
    <x v="6"/>
    <x v="1"/>
    <x v="1"/>
    <n v="2"/>
    <n v="7818.82"/>
    <n v="17999.5"/>
    <x v="0"/>
  </r>
  <r>
    <x v="7"/>
    <x v="0"/>
    <x v="8"/>
    <x v="0"/>
    <x v="7"/>
    <x v="1"/>
    <x v="1"/>
    <n v="3"/>
    <n v="11340.36"/>
    <n v="27451.29"/>
    <x v="0"/>
  </r>
  <r>
    <x v="7"/>
    <x v="0"/>
    <x v="8"/>
    <x v="0"/>
    <x v="8"/>
    <x v="0"/>
    <x v="1"/>
    <n v="3"/>
    <n v="8837.5300000000007"/>
    <n v="30821.07"/>
    <x v="0"/>
  </r>
  <r>
    <x v="7"/>
    <x v="0"/>
    <x v="8"/>
    <x v="0"/>
    <x v="8"/>
    <x v="1"/>
    <x v="1"/>
    <n v="2"/>
    <n v="5303.06"/>
    <n v="12543.32"/>
    <x v="0"/>
  </r>
  <r>
    <x v="7"/>
    <x v="0"/>
    <x v="8"/>
    <x v="1"/>
    <x v="30"/>
    <x v="1"/>
    <x v="0"/>
    <n v="5"/>
    <n v="13491.5"/>
    <n v="33918.160000000003"/>
    <x v="0"/>
  </r>
  <r>
    <x v="7"/>
    <x v="0"/>
    <x v="8"/>
    <x v="1"/>
    <x v="9"/>
    <x v="1"/>
    <x v="1"/>
    <n v="3"/>
    <n v="11785.74"/>
    <n v="27268.89"/>
    <x v="0"/>
  </r>
  <r>
    <x v="7"/>
    <x v="0"/>
    <x v="8"/>
    <x v="1"/>
    <x v="31"/>
    <x v="1"/>
    <x v="0"/>
    <n v="5"/>
    <n v="19802.939999999999"/>
    <n v="46528.83"/>
    <x v="0"/>
  </r>
  <r>
    <x v="7"/>
    <x v="0"/>
    <x v="8"/>
    <x v="1"/>
    <x v="10"/>
    <x v="0"/>
    <x v="0"/>
    <n v="1"/>
    <n v="2498.4299999999998"/>
    <n v="8989.48"/>
    <x v="0"/>
  </r>
  <r>
    <x v="7"/>
    <x v="0"/>
    <x v="8"/>
    <x v="1"/>
    <x v="10"/>
    <x v="0"/>
    <x v="1"/>
    <n v="4"/>
    <n v="11325.35"/>
    <n v="39810.550000000003"/>
    <x v="0"/>
  </r>
  <r>
    <x v="7"/>
    <x v="0"/>
    <x v="8"/>
    <x v="1"/>
    <x v="10"/>
    <x v="1"/>
    <x v="0"/>
    <n v="14"/>
    <n v="54886.47"/>
    <n v="130790.88"/>
    <x v="0"/>
  </r>
  <r>
    <x v="7"/>
    <x v="0"/>
    <x v="8"/>
    <x v="1"/>
    <x v="10"/>
    <x v="1"/>
    <x v="1"/>
    <n v="32"/>
    <n v="97154.42"/>
    <n v="232018.69"/>
    <x v="0"/>
  </r>
  <r>
    <x v="7"/>
    <x v="0"/>
    <x v="8"/>
    <x v="1"/>
    <x v="11"/>
    <x v="0"/>
    <x v="1"/>
    <n v="7"/>
    <n v="19250.57"/>
    <n v="68063.199999999997"/>
    <x v="0"/>
  </r>
  <r>
    <x v="7"/>
    <x v="0"/>
    <x v="8"/>
    <x v="1"/>
    <x v="11"/>
    <x v="1"/>
    <x v="0"/>
    <n v="1"/>
    <n v="3838.12"/>
    <n v="8903.86"/>
    <x v="0"/>
  </r>
  <r>
    <x v="7"/>
    <x v="0"/>
    <x v="8"/>
    <x v="1"/>
    <x v="11"/>
    <x v="1"/>
    <x v="1"/>
    <n v="22"/>
    <n v="69387.83"/>
    <n v="158861.15"/>
    <x v="0"/>
  </r>
  <r>
    <x v="7"/>
    <x v="0"/>
    <x v="8"/>
    <x v="1"/>
    <x v="12"/>
    <x v="1"/>
    <x v="1"/>
    <n v="7"/>
    <n v="22405.13"/>
    <n v="54728.37"/>
    <x v="0"/>
  </r>
  <r>
    <x v="7"/>
    <x v="0"/>
    <x v="8"/>
    <x v="1"/>
    <x v="13"/>
    <x v="0"/>
    <x v="1"/>
    <n v="2"/>
    <n v="6764.71"/>
    <n v="23543.87"/>
    <x v="0"/>
  </r>
  <r>
    <x v="7"/>
    <x v="0"/>
    <x v="8"/>
    <x v="1"/>
    <x v="13"/>
    <x v="1"/>
    <x v="0"/>
    <n v="6"/>
    <n v="21640.31"/>
    <n v="52764.38"/>
    <x v="0"/>
  </r>
  <r>
    <x v="7"/>
    <x v="0"/>
    <x v="8"/>
    <x v="1"/>
    <x v="13"/>
    <x v="1"/>
    <x v="1"/>
    <n v="21"/>
    <n v="67848.38"/>
    <n v="164414.98000000001"/>
    <x v="0"/>
  </r>
  <r>
    <x v="7"/>
    <x v="0"/>
    <x v="8"/>
    <x v="1"/>
    <x v="14"/>
    <x v="1"/>
    <x v="0"/>
    <n v="24"/>
    <n v="73216.649999999994"/>
    <n v="173453.97"/>
    <x v="0"/>
  </r>
  <r>
    <x v="7"/>
    <x v="0"/>
    <x v="8"/>
    <x v="1"/>
    <x v="14"/>
    <x v="1"/>
    <x v="1"/>
    <n v="26"/>
    <n v="92701.55"/>
    <n v="214857.24"/>
    <x v="0"/>
  </r>
  <r>
    <x v="7"/>
    <x v="0"/>
    <x v="8"/>
    <x v="1"/>
    <x v="15"/>
    <x v="1"/>
    <x v="1"/>
    <n v="3"/>
    <n v="7810.05"/>
    <n v="19576.810000000001"/>
    <x v="0"/>
  </r>
  <r>
    <x v="7"/>
    <x v="0"/>
    <x v="8"/>
    <x v="1"/>
    <x v="16"/>
    <x v="0"/>
    <x v="1"/>
    <n v="2"/>
    <n v="5284.5"/>
    <n v="19691.240000000002"/>
    <x v="0"/>
  </r>
  <r>
    <x v="7"/>
    <x v="0"/>
    <x v="8"/>
    <x v="1"/>
    <x v="16"/>
    <x v="1"/>
    <x v="0"/>
    <n v="5"/>
    <n v="16852.669999999998"/>
    <n v="39997.19"/>
    <x v="0"/>
  </r>
  <r>
    <x v="7"/>
    <x v="0"/>
    <x v="8"/>
    <x v="1"/>
    <x v="16"/>
    <x v="1"/>
    <x v="1"/>
    <n v="7"/>
    <n v="24372.12"/>
    <n v="56897.4"/>
    <x v="0"/>
  </r>
  <r>
    <x v="7"/>
    <x v="0"/>
    <x v="8"/>
    <x v="1"/>
    <x v="17"/>
    <x v="0"/>
    <x v="1"/>
    <n v="1"/>
    <n v="3895.46"/>
    <n v="13698.25"/>
    <x v="0"/>
  </r>
  <r>
    <x v="7"/>
    <x v="0"/>
    <x v="8"/>
    <x v="1"/>
    <x v="17"/>
    <x v="1"/>
    <x v="0"/>
    <n v="6"/>
    <n v="20944.52"/>
    <n v="49457.54"/>
    <x v="0"/>
  </r>
  <r>
    <x v="7"/>
    <x v="0"/>
    <x v="8"/>
    <x v="1"/>
    <x v="17"/>
    <x v="1"/>
    <x v="1"/>
    <n v="5"/>
    <n v="17812.3"/>
    <n v="42351.56"/>
    <x v="0"/>
  </r>
  <r>
    <x v="7"/>
    <x v="0"/>
    <x v="8"/>
    <x v="1"/>
    <x v="18"/>
    <x v="0"/>
    <x v="1"/>
    <n v="13"/>
    <n v="41877.01"/>
    <n v="147684.28"/>
    <x v="0"/>
  </r>
  <r>
    <x v="7"/>
    <x v="0"/>
    <x v="8"/>
    <x v="1"/>
    <x v="18"/>
    <x v="1"/>
    <x v="0"/>
    <n v="1"/>
    <n v="2832.44"/>
    <n v="6842.71"/>
    <x v="0"/>
  </r>
  <r>
    <x v="7"/>
    <x v="0"/>
    <x v="8"/>
    <x v="1"/>
    <x v="18"/>
    <x v="1"/>
    <x v="1"/>
    <n v="11"/>
    <n v="37097.96"/>
    <n v="93120.29"/>
    <x v="0"/>
  </r>
  <r>
    <x v="7"/>
    <x v="0"/>
    <x v="8"/>
    <x v="1"/>
    <x v="19"/>
    <x v="0"/>
    <x v="1"/>
    <n v="2"/>
    <n v="5185.3"/>
    <n v="18407.03"/>
    <x v="0"/>
  </r>
  <r>
    <x v="7"/>
    <x v="0"/>
    <x v="8"/>
    <x v="1"/>
    <x v="19"/>
    <x v="1"/>
    <x v="0"/>
    <n v="3"/>
    <n v="7478.87"/>
    <n v="17311.169999999998"/>
    <x v="0"/>
  </r>
  <r>
    <x v="7"/>
    <x v="0"/>
    <x v="8"/>
    <x v="1"/>
    <x v="19"/>
    <x v="1"/>
    <x v="1"/>
    <n v="11"/>
    <n v="40326.61"/>
    <n v="95215.57"/>
    <x v="0"/>
  </r>
  <r>
    <x v="7"/>
    <x v="0"/>
    <x v="8"/>
    <x v="1"/>
    <x v="20"/>
    <x v="0"/>
    <x v="0"/>
    <n v="4"/>
    <n v="11711.77"/>
    <n v="43235.11"/>
    <x v="0"/>
  </r>
  <r>
    <x v="7"/>
    <x v="0"/>
    <x v="8"/>
    <x v="1"/>
    <x v="20"/>
    <x v="0"/>
    <x v="1"/>
    <n v="10"/>
    <n v="35434.71"/>
    <n v="124140.4"/>
    <x v="0"/>
  </r>
  <r>
    <x v="7"/>
    <x v="0"/>
    <x v="8"/>
    <x v="1"/>
    <x v="20"/>
    <x v="1"/>
    <x v="0"/>
    <n v="24"/>
    <n v="74869.36"/>
    <n v="175111.19"/>
    <x v="0"/>
  </r>
  <r>
    <x v="7"/>
    <x v="0"/>
    <x v="8"/>
    <x v="1"/>
    <x v="20"/>
    <x v="1"/>
    <x v="1"/>
    <n v="29"/>
    <n v="95528.66"/>
    <n v="219739.77"/>
    <x v="0"/>
  </r>
  <r>
    <x v="7"/>
    <x v="0"/>
    <x v="8"/>
    <x v="2"/>
    <x v="21"/>
    <x v="0"/>
    <x v="0"/>
    <n v="1"/>
    <n v="2892.33"/>
    <n v="9845.6200000000008"/>
    <x v="0"/>
  </r>
  <r>
    <x v="7"/>
    <x v="0"/>
    <x v="8"/>
    <x v="2"/>
    <x v="22"/>
    <x v="1"/>
    <x v="0"/>
    <n v="7"/>
    <n v="24779.53"/>
    <n v="52445.52"/>
    <x v="0"/>
  </r>
  <r>
    <x v="7"/>
    <x v="0"/>
    <x v="8"/>
    <x v="2"/>
    <x v="22"/>
    <x v="1"/>
    <x v="1"/>
    <n v="20"/>
    <n v="71339.759999999995"/>
    <n v="155113.42000000001"/>
    <x v="0"/>
  </r>
  <r>
    <x v="7"/>
    <x v="0"/>
    <x v="8"/>
    <x v="2"/>
    <x v="29"/>
    <x v="0"/>
    <x v="1"/>
    <n v="1"/>
    <n v="2445.1999999999998"/>
    <n v="8989.48"/>
    <x v="0"/>
  </r>
  <r>
    <x v="7"/>
    <x v="0"/>
    <x v="8"/>
    <x v="2"/>
    <x v="23"/>
    <x v="1"/>
    <x v="1"/>
    <n v="1"/>
    <n v="2519.41"/>
    <n v="5699.33"/>
    <x v="0"/>
  </r>
  <r>
    <x v="7"/>
    <x v="0"/>
    <x v="8"/>
    <x v="2"/>
    <x v="24"/>
    <x v="0"/>
    <x v="1"/>
    <n v="2"/>
    <n v="6369.42"/>
    <n v="23543.87"/>
    <x v="0"/>
  </r>
  <r>
    <x v="7"/>
    <x v="0"/>
    <x v="8"/>
    <x v="2"/>
    <x v="24"/>
    <x v="1"/>
    <x v="1"/>
    <n v="3"/>
    <n v="11590.71"/>
    <n v="25478.74"/>
    <x v="0"/>
  </r>
  <r>
    <x v="7"/>
    <x v="0"/>
    <x v="8"/>
    <x v="3"/>
    <x v="25"/>
    <x v="0"/>
    <x v="1"/>
    <n v="3"/>
    <n v="10479.17"/>
    <n v="37242.120000000003"/>
    <x v="0"/>
  </r>
  <r>
    <x v="7"/>
    <x v="0"/>
    <x v="8"/>
    <x v="3"/>
    <x v="25"/>
    <x v="1"/>
    <x v="0"/>
    <n v="3"/>
    <n v="11675.49"/>
    <n v="28149.9"/>
    <x v="0"/>
  </r>
  <r>
    <x v="7"/>
    <x v="0"/>
    <x v="8"/>
    <x v="3"/>
    <x v="25"/>
    <x v="1"/>
    <x v="1"/>
    <n v="12"/>
    <n v="32730.2"/>
    <n v="79171.63"/>
    <x v="0"/>
  </r>
  <r>
    <x v="7"/>
    <x v="0"/>
    <x v="8"/>
    <x v="3"/>
    <x v="26"/>
    <x v="0"/>
    <x v="0"/>
    <n v="4"/>
    <n v="13029.87"/>
    <n v="47087.74"/>
    <x v="0"/>
  </r>
  <r>
    <x v="7"/>
    <x v="0"/>
    <x v="8"/>
    <x v="3"/>
    <x v="26"/>
    <x v="0"/>
    <x v="1"/>
    <n v="2"/>
    <n v="6586.77"/>
    <n v="23543.87"/>
    <x v="0"/>
  </r>
  <r>
    <x v="7"/>
    <x v="0"/>
    <x v="8"/>
    <x v="3"/>
    <x v="26"/>
    <x v="1"/>
    <x v="0"/>
    <n v="10"/>
    <n v="27602.95"/>
    <n v="67934.78"/>
    <x v="0"/>
  </r>
  <r>
    <x v="7"/>
    <x v="0"/>
    <x v="8"/>
    <x v="3"/>
    <x v="26"/>
    <x v="1"/>
    <x v="1"/>
    <n v="16"/>
    <n v="49030.12"/>
    <n v="119328.9"/>
    <x v="0"/>
  </r>
  <r>
    <x v="7"/>
    <x v="0"/>
    <x v="8"/>
    <x v="3"/>
    <x v="27"/>
    <x v="0"/>
    <x v="0"/>
    <n v="5"/>
    <n v="17089.810000000001"/>
    <n v="60785.99"/>
    <x v="0"/>
  </r>
  <r>
    <x v="7"/>
    <x v="0"/>
    <x v="8"/>
    <x v="3"/>
    <x v="27"/>
    <x v="0"/>
    <x v="1"/>
    <n v="4"/>
    <n v="14201.57"/>
    <n v="50940.37"/>
    <x v="0"/>
  </r>
  <r>
    <x v="7"/>
    <x v="0"/>
    <x v="8"/>
    <x v="3"/>
    <x v="27"/>
    <x v="1"/>
    <x v="0"/>
    <n v="17"/>
    <n v="47992.77"/>
    <n v="115052.05"/>
    <x v="0"/>
  </r>
  <r>
    <x v="7"/>
    <x v="0"/>
    <x v="8"/>
    <x v="3"/>
    <x v="27"/>
    <x v="1"/>
    <x v="1"/>
    <n v="22"/>
    <n v="68337.11"/>
    <n v="163006.74"/>
    <x v="0"/>
  </r>
  <r>
    <x v="7"/>
    <x v="0"/>
    <x v="9"/>
    <x v="0"/>
    <x v="0"/>
    <x v="0"/>
    <x v="0"/>
    <n v="1"/>
    <n v="3386.75"/>
    <n v="11472.86"/>
    <x v="0"/>
  </r>
  <r>
    <x v="7"/>
    <x v="0"/>
    <x v="9"/>
    <x v="0"/>
    <x v="0"/>
    <x v="0"/>
    <x v="1"/>
    <n v="2"/>
    <n v="5407.47"/>
    <n v="18643.400000000001"/>
    <x v="0"/>
  </r>
  <r>
    <x v="7"/>
    <x v="0"/>
    <x v="9"/>
    <x v="0"/>
    <x v="0"/>
    <x v="1"/>
    <x v="0"/>
    <n v="3"/>
    <n v="6227.7"/>
    <n v="14068.6"/>
    <x v="0"/>
  </r>
  <r>
    <x v="7"/>
    <x v="0"/>
    <x v="9"/>
    <x v="0"/>
    <x v="0"/>
    <x v="1"/>
    <x v="1"/>
    <n v="17"/>
    <n v="37596.5"/>
    <n v="85520.76"/>
    <x v="0"/>
  </r>
  <r>
    <x v="7"/>
    <x v="0"/>
    <x v="9"/>
    <x v="0"/>
    <x v="1"/>
    <x v="0"/>
    <x v="0"/>
    <n v="4"/>
    <n v="10944.23"/>
    <n v="37645.32"/>
    <x v="0"/>
  </r>
  <r>
    <x v="7"/>
    <x v="0"/>
    <x v="9"/>
    <x v="0"/>
    <x v="1"/>
    <x v="0"/>
    <x v="1"/>
    <n v="6"/>
    <n v="20280.04"/>
    <n v="68837.16"/>
    <x v="0"/>
  </r>
  <r>
    <x v="7"/>
    <x v="0"/>
    <x v="9"/>
    <x v="0"/>
    <x v="1"/>
    <x v="1"/>
    <x v="0"/>
    <n v="10"/>
    <n v="30366.59"/>
    <n v="67085.06"/>
    <x v="0"/>
  </r>
  <r>
    <x v="7"/>
    <x v="0"/>
    <x v="9"/>
    <x v="0"/>
    <x v="1"/>
    <x v="1"/>
    <x v="1"/>
    <n v="29"/>
    <n v="73191.83"/>
    <n v="160185"/>
    <x v="0"/>
  </r>
  <r>
    <x v="7"/>
    <x v="0"/>
    <x v="9"/>
    <x v="0"/>
    <x v="2"/>
    <x v="0"/>
    <x v="1"/>
    <n v="3"/>
    <n v="7617.58"/>
    <n v="26172.46"/>
    <x v="0"/>
  </r>
  <r>
    <x v="7"/>
    <x v="0"/>
    <x v="9"/>
    <x v="0"/>
    <x v="2"/>
    <x v="1"/>
    <x v="0"/>
    <n v="1"/>
    <n v="2453.02"/>
    <n v="5120.84"/>
    <x v="0"/>
  </r>
  <r>
    <x v="7"/>
    <x v="0"/>
    <x v="9"/>
    <x v="0"/>
    <x v="2"/>
    <x v="1"/>
    <x v="1"/>
    <n v="11"/>
    <n v="30735.4"/>
    <n v="64905.55"/>
    <x v="0"/>
  </r>
  <r>
    <x v="7"/>
    <x v="0"/>
    <x v="9"/>
    <x v="0"/>
    <x v="3"/>
    <x v="0"/>
    <x v="0"/>
    <n v="3"/>
    <n v="9108.19"/>
    <n v="31191.84"/>
    <x v="0"/>
  </r>
  <r>
    <x v="7"/>
    <x v="0"/>
    <x v="9"/>
    <x v="0"/>
    <x v="3"/>
    <x v="0"/>
    <x v="1"/>
    <n v="7"/>
    <n v="15672.37"/>
    <n v="55213.14"/>
    <x v="0"/>
  </r>
  <r>
    <x v="7"/>
    <x v="0"/>
    <x v="9"/>
    <x v="0"/>
    <x v="3"/>
    <x v="1"/>
    <x v="0"/>
    <n v="18"/>
    <n v="45562.559999999998"/>
    <n v="98327.02"/>
    <x v="0"/>
  </r>
  <r>
    <x v="7"/>
    <x v="0"/>
    <x v="9"/>
    <x v="0"/>
    <x v="3"/>
    <x v="1"/>
    <x v="1"/>
    <n v="15"/>
    <n v="39045.589999999997"/>
    <n v="86158.33"/>
    <x v="0"/>
  </r>
  <r>
    <x v="7"/>
    <x v="0"/>
    <x v="9"/>
    <x v="0"/>
    <x v="28"/>
    <x v="1"/>
    <x v="1"/>
    <n v="2"/>
    <n v="4834.08"/>
    <n v="10785.92"/>
    <x v="0"/>
  </r>
  <r>
    <x v="7"/>
    <x v="0"/>
    <x v="9"/>
    <x v="0"/>
    <x v="4"/>
    <x v="1"/>
    <x v="0"/>
    <n v="3"/>
    <n v="10297.68"/>
    <n v="22027.89"/>
    <x v="0"/>
  </r>
  <r>
    <x v="7"/>
    <x v="0"/>
    <x v="9"/>
    <x v="0"/>
    <x v="4"/>
    <x v="1"/>
    <x v="1"/>
    <n v="7"/>
    <n v="21783.19"/>
    <n v="47268.18"/>
    <x v="0"/>
  </r>
  <r>
    <x v="7"/>
    <x v="0"/>
    <x v="9"/>
    <x v="0"/>
    <x v="5"/>
    <x v="0"/>
    <x v="1"/>
    <n v="3"/>
    <n v="7431.68"/>
    <n v="25813.94"/>
    <x v="0"/>
  </r>
  <r>
    <x v="7"/>
    <x v="0"/>
    <x v="9"/>
    <x v="0"/>
    <x v="5"/>
    <x v="1"/>
    <x v="1"/>
    <n v="22"/>
    <n v="63291.63"/>
    <n v="144124.22"/>
    <x v="0"/>
  </r>
  <r>
    <x v="7"/>
    <x v="0"/>
    <x v="9"/>
    <x v="0"/>
    <x v="6"/>
    <x v="0"/>
    <x v="1"/>
    <n v="3"/>
    <n v="8706.3799999999992"/>
    <n v="30474.78"/>
    <x v="0"/>
  </r>
  <r>
    <x v="7"/>
    <x v="0"/>
    <x v="9"/>
    <x v="0"/>
    <x v="7"/>
    <x v="1"/>
    <x v="1"/>
    <n v="1"/>
    <n v="2389.7399999999998"/>
    <n v="5508.41"/>
    <x v="0"/>
  </r>
  <r>
    <x v="7"/>
    <x v="0"/>
    <x v="9"/>
    <x v="0"/>
    <x v="8"/>
    <x v="0"/>
    <x v="1"/>
    <n v="3"/>
    <n v="7546.75"/>
    <n v="25813.94"/>
    <x v="0"/>
  </r>
  <r>
    <x v="7"/>
    <x v="0"/>
    <x v="9"/>
    <x v="1"/>
    <x v="30"/>
    <x v="1"/>
    <x v="0"/>
    <n v="2"/>
    <n v="4091.2"/>
    <n v="9881"/>
    <x v="0"/>
  </r>
  <r>
    <x v="7"/>
    <x v="0"/>
    <x v="9"/>
    <x v="1"/>
    <x v="9"/>
    <x v="1"/>
    <x v="1"/>
    <n v="6"/>
    <n v="12357.17"/>
    <n v="29599.99"/>
    <x v="0"/>
  </r>
  <r>
    <x v="7"/>
    <x v="0"/>
    <x v="9"/>
    <x v="1"/>
    <x v="10"/>
    <x v="0"/>
    <x v="0"/>
    <n v="1"/>
    <n v="1992.39"/>
    <n v="7170.54"/>
    <x v="0"/>
  </r>
  <r>
    <x v="7"/>
    <x v="0"/>
    <x v="9"/>
    <x v="1"/>
    <x v="10"/>
    <x v="0"/>
    <x v="1"/>
    <n v="2"/>
    <n v="5426.31"/>
    <n v="18643.400000000001"/>
    <x v="0"/>
  </r>
  <r>
    <x v="7"/>
    <x v="0"/>
    <x v="9"/>
    <x v="1"/>
    <x v="10"/>
    <x v="1"/>
    <x v="0"/>
    <n v="3"/>
    <n v="7777.06"/>
    <n v="18094.13"/>
    <x v="0"/>
  </r>
  <r>
    <x v="7"/>
    <x v="0"/>
    <x v="9"/>
    <x v="1"/>
    <x v="10"/>
    <x v="1"/>
    <x v="1"/>
    <n v="48"/>
    <n v="125130.46"/>
    <n v="293625.99"/>
    <x v="0"/>
  </r>
  <r>
    <x v="7"/>
    <x v="0"/>
    <x v="9"/>
    <x v="1"/>
    <x v="11"/>
    <x v="0"/>
    <x v="1"/>
    <n v="10"/>
    <n v="23339.74"/>
    <n v="82819.7"/>
    <x v="0"/>
  </r>
  <r>
    <x v="7"/>
    <x v="0"/>
    <x v="9"/>
    <x v="1"/>
    <x v="11"/>
    <x v="1"/>
    <x v="0"/>
    <n v="8"/>
    <n v="19038.02"/>
    <n v="43112.87"/>
    <x v="0"/>
  </r>
  <r>
    <x v="7"/>
    <x v="0"/>
    <x v="9"/>
    <x v="1"/>
    <x v="11"/>
    <x v="1"/>
    <x v="1"/>
    <n v="7"/>
    <n v="19534.080000000002"/>
    <n v="43811.99"/>
    <x v="0"/>
  </r>
  <r>
    <x v="7"/>
    <x v="0"/>
    <x v="9"/>
    <x v="1"/>
    <x v="12"/>
    <x v="1"/>
    <x v="1"/>
    <n v="3"/>
    <n v="8990.43"/>
    <n v="20844.759999999998"/>
    <x v="0"/>
  </r>
  <r>
    <x v="7"/>
    <x v="0"/>
    <x v="9"/>
    <x v="1"/>
    <x v="13"/>
    <x v="0"/>
    <x v="1"/>
    <n v="2"/>
    <n v="4176.82"/>
    <n v="14699.6"/>
    <x v="0"/>
  </r>
  <r>
    <x v="7"/>
    <x v="0"/>
    <x v="9"/>
    <x v="1"/>
    <x v="13"/>
    <x v="1"/>
    <x v="1"/>
    <n v="9"/>
    <n v="23930.73"/>
    <n v="55179.45"/>
    <x v="0"/>
  </r>
  <r>
    <x v="7"/>
    <x v="0"/>
    <x v="9"/>
    <x v="1"/>
    <x v="14"/>
    <x v="0"/>
    <x v="1"/>
    <n v="1"/>
    <n v="2135.56"/>
    <n v="7529.06"/>
    <x v="0"/>
  </r>
  <r>
    <x v="7"/>
    <x v="0"/>
    <x v="9"/>
    <x v="1"/>
    <x v="14"/>
    <x v="1"/>
    <x v="0"/>
    <n v="8"/>
    <n v="16852.54"/>
    <n v="39277.32"/>
    <x v="0"/>
  </r>
  <r>
    <x v="7"/>
    <x v="0"/>
    <x v="9"/>
    <x v="1"/>
    <x v="14"/>
    <x v="1"/>
    <x v="1"/>
    <n v="1"/>
    <n v="2432.21"/>
    <n v="5508.41"/>
    <x v="0"/>
  </r>
  <r>
    <x v="7"/>
    <x v="0"/>
    <x v="9"/>
    <x v="1"/>
    <x v="15"/>
    <x v="1"/>
    <x v="0"/>
    <n v="2"/>
    <n v="6901.1"/>
    <n v="15855.49"/>
    <x v="0"/>
  </r>
  <r>
    <x v="7"/>
    <x v="0"/>
    <x v="9"/>
    <x v="1"/>
    <x v="15"/>
    <x v="1"/>
    <x v="1"/>
    <n v="1"/>
    <n v="1999.32"/>
    <n v="4954.84"/>
    <x v="0"/>
  </r>
  <r>
    <x v="7"/>
    <x v="0"/>
    <x v="9"/>
    <x v="1"/>
    <x v="16"/>
    <x v="0"/>
    <x v="1"/>
    <n v="2"/>
    <n v="5388.4"/>
    <n v="18643.400000000001"/>
    <x v="0"/>
  </r>
  <r>
    <x v="7"/>
    <x v="0"/>
    <x v="9"/>
    <x v="1"/>
    <x v="16"/>
    <x v="1"/>
    <x v="0"/>
    <n v="5"/>
    <n v="17064.599999999999"/>
    <n v="37745.71"/>
    <x v="0"/>
  </r>
  <r>
    <x v="7"/>
    <x v="0"/>
    <x v="9"/>
    <x v="1"/>
    <x v="16"/>
    <x v="1"/>
    <x v="1"/>
    <n v="5"/>
    <n v="9990.6"/>
    <n v="23591.08"/>
    <x v="0"/>
  </r>
  <r>
    <x v="7"/>
    <x v="0"/>
    <x v="9"/>
    <x v="1"/>
    <x v="17"/>
    <x v="0"/>
    <x v="1"/>
    <n v="3"/>
    <n v="8826.58"/>
    <n v="30474.78"/>
    <x v="0"/>
  </r>
  <r>
    <x v="7"/>
    <x v="0"/>
    <x v="9"/>
    <x v="1"/>
    <x v="17"/>
    <x v="1"/>
    <x v="0"/>
    <n v="5"/>
    <n v="17034.32"/>
    <n v="38089.9"/>
    <x v="0"/>
  </r>
  <r>
    <x v="7"/>
    <x v="0"/>
    <x v="9"/>
    <x v="1"/>
    <x v="17"/>
    <x v="1"/>
    <x v="1"/>
    <n v="11"/>
    <n v="36898.519999999997"/>
    <n v="83797.78"/>
    <x v="0"/>
  </r>
  <r>
    <x v="7"/>
    <x v="0"/>
    <x v="9"/>
    <x v="1"/>
    <x v="18"/>
    <x v="0"/>
    <x v="1"/>
    <n v="9"/>
    <n v="23024.36"/>
    <n v="79951.48"/>
    <x v="0"/>
  </r>
  <r>
    <x v="7"/>
    <x v="0"/>
    <x v="9"/>
    <x v="1"/>
    <x v="18"/>
    <x v="1"/>
    <x v="0"/>
    <n v="7"/>
    <n v="21414.14"/>
    <n v="49835.24"/>
    <x v="0"/>
  </r>
  <r>
    <x v="7"/>
    <x v="0"/>
    <x v="9"/>
    <x v="1"/>
    <x v="18"/>
    <x v="1"/>
    <x v="1"/>
    <n v="16"/>
    <n v="40405.879999999997"/>
    <n v="97427.91"/>
    <x v="0"/>
  </r>
  <r>
    <x v="7"/>
    <x v="0"/>
    <x v="9"/>
    <x v="1"/>
    <x v="19"/>
    <x v="0"/>
    <x v="1"/>
    <n v="2"/>
    <n v="4170.25"/>
    <n v="14699.6"/>
    <x v="0"/>
  </r>
  <r>
    <x v="7"/>
    <x v="0"/>
    <x v="9"/>
    <x v="1"/>
    <x v="19"/>
    <x v="1"/>
    <x v="0"/>
    <n v="11"/>
    <n v="32751.62"/>
    <n v="76452.600000000006"/>
    <x v="0"/>
  </r>
  <r>
    <x v="7"/>
    <x v="0"/>
    <x v="9"/>
    <x v="1"/>
    <x v="19"/>
    <x v="1"/>
    <x v="1"/>
    <n v="11"/>
    <n v="30082.46"/>
    <n v="70560.97"/>
    <x v="0"/>
  </r>
  <r>
    <x v="7"/>
    <x v="0"/>
    <x v="9"/>
    <x v="1"/>
    <x v="20"/>
    <x v="0"/>
    <x v="0"/>
    <n v="2"/>
    <n v="4329.8999999999996"/>
    <n v="15058.12"/>
    <x v="0"/>
  </r>
  <r>
    <x v="7"/>
    <x v="0"/>
    <x v="9"/>
    <x v="1"/>
    <x v="20"/>
    <x v="0"/>
    <x v="1"/>
    <n v="7"/>
    <n v="16918.46"/>
    <n v="58081.36"/>
    <x v="0"/>
  </r>
  <r>
    <x v="7"/>
    <x v="0"/>
    <x v="9"/>
    <x v="1"/>
    <x v="20"/>
    <x v="1"/>
    <x v="0"/>
    <n v="13"/>
    <n v="37066"/>
    <n v="83671.56"/>
    <x v="0"/>
  </r>
  <r>
    <x v="7"/>
    <x v="0"/>
    <x v="9"/>
    <x v="1"/>
    <x v="20"/>
    <x v="1"/>
    <x v="1"/>
    <n v="26"/>
    <n v="73642.259999999995"/>
    <n v="166900.6"/>
    <x v="0"/>
  </r>
  <r>
    <x v="7"/>
    <x v="0"/>
    <x v="9"/>
    <x v="2"/>
    <x v="21"/>
    <x v="0"/>
    <x v="0"/>
    <n v="3"/>
    <n v="10054.35"/>
    <n v="34418.58"/>
    <x v="0"/>
  </r>
  <r>
    <x v="7"/>
    <x v="0"/>
    <x v="9"/>
    <x v="2"/>
    <x v="22"/>
    <x v="0"/>
    <x v="1"/>
    <n v="3"/>
    <n v="7659.53"/>
    <n v="26530.98"/>
    <x v="0"/>
  </r>
  <r>
    <x v="7"/>
    <x v="0"/>
    <x v="9"/>
    <x v="2"/>
    <x v="22"/>
    <x v="1"/>
    <x v="0"/>
    <n v="1"/>
    <n v="1999.47"/>
    <n v="4366.8599999999997"/>
    <x v="0"/>
  </r>
  <r>
    <x v="7"/>
    <x v="0"/>
    <x v="9"/>
    <x v="2"/>
    <x v="22"/>
    <x v="1"/>
    <x v="1"/>
    <n v="12"/>
    <n v="33586.839999999997"/>
    <n v="70306.41"/>
    <x v="0"/>
  </r>
  <r>
    <x v="7"/>
    <x v="0"/>
    <x v="9"/>
    <x v="2"/>
    <x v="29"/>
    <x v="1"/>
    <x v="1"/>
    <n v="3"/>
    <n v="6161.37"/>
    <n v="13918.02"/>
    <x v="0"/>
  </r>
  <r>
    <x v="7"/>
    <x v="0"/>
    <x v="9"/>
    <x v="2"/>
    <x v="23"/>
    <x v="1"/>
    <x v="1"/>
    <n v="1"/>
    <n v="2217.2800000000002"/>
    <n v="4773.42"/>
    <x v="0"/>
  </r>
  <r>
    <x v="7"/>
    <x v="0"/>
    <x v="9"/>
    <x v="2"/>
    <x v="24"/>
    <x v="0"/>
    <x v="1"/>
    <n v="2"/>
    <n v="5350.41"/>
    <n v="18643.400000000001"/>
    <x v="0"/>
  </r>
  <r>
    <x v="7"/>
    <x v="0"/>
    <x v="9"/>
    <x v="2"/>
    <x v="24"/>
    <x v="1"/>
    <x v="0"/>
    <n v="2"/>
    <n v="4425.28"/>
    <n v="9336.0300000000007"/>
    <x v="0"/>
  </r>
  <r>
    <x v="7"/>
    <x v="0"/>
    <x v="9"/>
    <x v="2"/>
    <x v="24"/>
    <x v="1"/>
    <x v="1"/>
    <n v="3"/>
    <n v="5973.66"/>
    <n v="13337.2"/>
    <x v="0"/>
  </r>
  <r>
    <x v="7"/>
    <x v="0"/>
    <x v="9"/>
    <x v="3"/>
    <x v="25"/>
    <x v="0"/>
    <x v="1"/>
    <n v="3"/>
    <n v="7534.33"/>
    <n v="26530.98"/>
    <x v="0"/>
  </r>
  <r>
    <x v="7"/>
    <x v="0"/>
    <x v="9"/>
    <x v="3"/>
    <x v="25"/>
    <x v="1"/>
    <x v="0"/>
    <n v="2"/>
    <n v="4151.38"/>
    <n v="9823.64"/>
    <x v="0"/>
  </r>
  <r>
    <x v="7"/>
    <x v="0"/>
    <x v="9"/>
    <x v="3"/>
    <x v="25"/>
    <x v="1"/>
    <x v="1"/>
    <n v="2"/>
    <n v="6672.76"/>
    <n v="15041.61"/>
    <x v="0"/>
  </r>
  <r>
    <x v="7"/>
    <x v="0"/>
    <x v="9"/>
    <x v="3"/>
    <x v="26"/>
    <x v="0"/>
    <x v="0"/>
    <n v="3"/>
    <n v="6558.63"/>
    <n v="22945.72"/>
    <x v="0"/>
  </r>
  <r>
    <x v="7"/>
    <x v="0"/>
    <x v="9"/>
    <x v="3"/>
    <x v="26"/>
    <x v="1"/>
    <x v="0"/>
    <n v="1"/>
    <n v="2123.34"/>
    <n v="5195.05"/>
    <x v="0"/>
  </r>
  <r>
    <x v="7"/>
    <x v="0"/>
    <x v="9"/>
    <x v="3"/>
    <x v="26"/>
    <x v="1"/>
    <x v="1"/>
    <n v="12"/>
    <n v="31627.85"/>
    <n v="74215.08"/>
    <x v="0"/>
  </r>
  <r>
    <x v="7"/>
    <x v="0"/>
    <x v="9"/>
    <x v="3"/>
    <x v="27"/>
    <x v="0"/>
    <x v="0"/>
    <n v="1"/>
    <n v="2034.76"/>
    <n v="7170.54"/>
    <x v="0"/>
  </r>
  <r>
    <x v="7"/>
    <x v="0"/>
    <x v="9"/>
    <x v="3"/>
    <x v="27"/>
    <x v="0"/>
    <x v="1"/>
    <n v="6"/>
    <n v="13674.59"/>
    <n v="48042.6"/>
    <x v="0"/>
  </r>
  <r>
    <x v="7"/>
    <x v="0"/>
    <x v="9"/>
    <x v="3"/>
    <x v="27"/>
    <x v="1"/>
    <x v="0"/>
    <n v="5"/>
    <n v="11737.82"/>
    <n v="27635.86"/>
    <x v="0"/>
  </r>
  <r>
    <x v="7"/>
    <x v="0"/>
    <x v="9"/>
    <x v="3"/>
    <x v="27"/>
    <x v="1"/>
    <x v="1"/>
    <n v="58"/>
    <n v="158931.74"/>
    <n v="373550.22"/>
    <x v="0"/>
  </r>
  <r>
    <x v="8"/>
    <x v="0"/>
    <x v="0"/>
    <x v="0"/>
    <x v="0"/>
    <x v="0"/>
    <x v="0"/>
    <n v="8"/>
    <n v="53199.18"/>
    <n v="229754.36"/>
    <x v="0"/>
  </r>
  <r>
    <x v="8"/>
    <x v="0"/>
    <x v="0"/>
    <x v="0"/>
    <x v="0"/>
    <x v="1"/>
    <x v="0"/>
    <n v="5"/>
    <n v="25294.29"/>
    <n v="71305.47"/>
    <x v="0"/>
  </r>
  <r>
    <x v="8"/>
    <x v="0"/>
    <x v="0"/>
    <x v="0"/>
    <x v="0"/>
    <x v="1"/>
    <x v="1"/>
    <n v="3"/>
    <n v="22366.11"/>
    <n v="62196.59"/>
    <x v="0"/>
  </r>
  <r>
    <x v="8"/>
    <x v="0"/>
    <x v="0"/>
    <x v="0"/>
    <x v="1"/>
    <x v="0"/>
    <x v="0"/>
    <n v="10"/>
    <n v="67233.03"/>
    <n v="291958.59000000003"/>
    <x v="0"/>
  </r>
  <r>
    <x v="8"/>
    <x v="0"/>
    <x v="0"/>
    <x v="0"/>
    <x v="1"/>
    <x v="0"/>
    <x v="1"/>
    <n v="6"/>
    <n v="36337.32"/>
    <n v="156513.9"/>
    <x v="0"/>
  </r>
  <r>
    <x v="8"/>
    <x v="0"/>
    <x v="0"/>
    <x v="0"/>
    <x v="1"/>
    <x v="1"/>
    <x v="0"/>
    <n v="6"/>
    <n v="39451.49"/>
    <n v="112250.56"/>
    <x v="0"/>
  </r>
  <r>
    <x v="8"/>
    <x v="0"/>
    <x v="0"/>
    <x v="0"/>
    <x v="1"/>
    <x v="1"/>
    <x v="1"/>
    <n v="30"/>
    <n v="194524.06"/>
    <n v="548995.55000000005"/>
    <x v="0"/>
  </r>
  <r>
    <x v="8"/>
    <x v="0"/>
    <x v="0"/>
    <x v="0"/>
    <x v="2"/>
    <x v="0"/>
    <x v="1"/>
    <n v="10"/>
    <n v="64840.53"/>
    <n v="282928.95"/>
    <x v="0"/>
  </r>
  <r>
    <x v="8"/>
    <x v="0"/>
    <x v="0"/>
    <x v="0"/>
    <x v="2"/>
    <x v="1"/>
    <x v="0"/>
    <n v="4"/>
    <n v="29223.3"/>
    <n v="79749.84"/>
    <x v="0"/>
  </r>
  <r>
    <x v="8"/>
    <x v="0"/>
    <x v="0"/>
    <x v="0"/>
    <x v="2"/>
    <x v="1"/>
    <x v="1"/>
    <n v="8"/>
    <n v="54848.800000000003"/>
    <n v="148284.87"/>
    <x v="0"/>
  </r>
  <r>
    <x v="8"/>
    <x v="0"/>
    <x v="0"/>
    <x v="0"/>
    <x v="3"/>
    <x v="0"/>
    <x v="0"/>
    <n v="2"/>
    <n v="12676.05"/>
    <n v="55181.18"/>
    <x v="0"/>
  </r>
  <r>
    <x v="8"/>
    <x v="0"/>
    <x v="0"/>
    <x v="0"/>
    <x v="3"/>
    <x v="0"/>
    <x v="1"/>
    <n v="11"/>
    <n v="68531.42"/>
    <n v="296975.08"/>
    <x v="0"/>
  </r>
  <r>
    <x v="8"/>
    <x v="0"/>
    <x v="0"/>
    <x v="0"/>
    <x v="3"/>
    <x v="1"/>
    <x v="0"/>
    <n v="11"/>
    <n v="78135.77"/>
    <n v="216474.74"/>
    <x v="0"/>
  </r>
  <r>
    <x v="8"/>
    <x v="0"/>
    <x v="0"/>
    <x v="0"/>
    <x v="3"/>
    <x v="1"/>
    <x v="1"/>
    <n v="47"/>
    <n v="312017"/>
    <n v="862407.33"/>
    <x v="0"/>
  </r>
  <r>
    <x v="8"/>
    <x v="0"/>
    <x v="0"/>
    <x v="0"/>
    <x v="28"/>
    <x v="1"/>
    <x v="1"/>
    <n v="2"/>
    <n v="10885.52"/>
    <n v="30183.11"/>
    <x v="0"/>
  </r>
  <r>
    <x v="8"/>
    <x v="0"/>
    <x v="0"/>
    <x v="0"/>
    <x v="4"/>
    <x v="0"/>
    <x v="1"/>
    <n v="2"/>
    <n v="14347.17"/>
    <n v="64210.82"/>
    <x v="0"/>
  </r>
  <r>
    <x v="8"/>
    <x v="0"/>
    <x v="0"/>
    <x v="0"/>
    <x v="4"/>
    <x v="1"/>
    <x v="0"/>
    <n v="5"/>
    <n v="36378.769999999997"/>
    <n v="102737.31"/>
    <x v="0"/>
  </r>
  <r>
    <x v="8"/>
    <x v="0"/>
    <x v="0"/>
    <x v="0"/>
    <x v="4"/>
    <x v="1"/>
    <x v="1"/>
    <n v="6"/>
    <n v="41920.300000000003"/>
    <n v="116221.59"/>
    <x v="0"/>
  </r>
  <r>
    <x v="8"/>
    <x v="0"/>
    <x v="0"/>
    <x v="0"/>
    <x v="5"/>
    <x v="0"/>
    <x v="1"/>
    <n v="1"/>
    <n v="7682.14"/>
    <n v="32105.41"/>
    <x v="0"/>
  </r>
  <r>
    <x v="8"/>
    <x v="0"/>
    <x v="0"/>
    <x v="0"/>
    <x v="5"/>
    <x v="1"/>
    <x v="0"/>
    <n v="1"/>
    <n v="5333.27"/>
    <n v="15206.93"/>
    <x v="0"/>
  </r>
  <r>
    <x v="8"/>
    <x v="0"/>
    <x v="0"/>
    <x v="0"/>
    <x v="5"/>
    <x v="1"/>
    <x v="1"/>
    <n v="16"/>
    <n v="115918.39999999999"/>
    <n v="325294.95"/>
    <x v="0"/>
  </r>
  <r>
    <x v="8"/>
    <x v="0"/>
    <x v="0"/>
    <x v="0"/>
    <x v="6"/>
    <x v="1"/>
    <x v="1"/>
    <n v="3"/>
    <n v="22435.119999999999"/>
    <n v="63279.76"/>
    <x v="0"/>
  </r>
  <r>
    <x v="8"/>
    <x v="0"/>
    <x v="0"/>
    <x v="0"/>
    <x v="7"/>
    <x v="1"/>
    <x v="1"/>
    <n v="2"/>
    <n v="11090.11"/>
    <n v="30829.22"/>
    <x v="0"/>
  </r>
  <r>
    <x v="8"/>
    <x v="0"/>
    <x v="0"/>
    <x v="0"/>
    <x v="8"/>
    <x v="0"/>
    <x v="1"/>
    <n v="3"/>
    <n v="19640.490000000002"/>
    <n v="87286.59"/>
    <x v="0"/>
  </r>
  <r>
    <x v="8"/>
    <x v="0"/>
    <x v="0"/>
    <x v="0"/>
    <x v="8"/>
    <x v="1"/>
    <x v="1"/>
    <n v="2"/>
    <n v="12643.72"/>
    <n v="35150.42"/>
    <x v="0"/>
  </r>
  <r>
    <x v="8"/>
    <x v="0"/>
    <x v="0"/>
    <x v="1"/>
    <x v="9"/>
    <x v="1"/>
    <x v="1"/>
    <n v="5"/>
    <n v="37000.949999999997"/>
    <n v="110442.61"/>
    <x v="0"/>
  </r>
  <r>
    <x v="8"/>
    <x v="0"/>
    <x v="0"/>
    <x v="1"/>
    <x v="10"/>
    <x v="0"/>
    <x v="1"/>
    <n v="8"/>
    <n v="51204.2"/>
    <n v="220724.72"/>
    <x v="0"/>
  </r>
  <r>
    <x v="8"/>
    <x v="0"/>
    <x v="0"/>
    <x v="1"/>
    <x v="10"/>
    <x v="1"/>
    <x v="0"/>
    <n v="23"/>
    <n v="162464.74"/>
    <n v="478972.61"/>
    <x v="0"/>
  </r>
  <r>
    <x v="8"/>
    <x v="0"/>
    <x v="0"/>
    <x v="1"/>
    <x v="10"/>
    <x v="1"/>
    <x v="1"/>
    <n v="35"/>
    <n v="229739.58"/>
    <n v="677404.17"/>
    <x v="0"/>
  </r>
  <r>
    <x v="8"/>
    <x v="0"/>
    <x v="0"/>
    <x v="1"/>
    <x v="11"/>
    <x v="0"/>
    <x v="1"/>
    <n v="8"/>
    <n v="56070.12"/>
    <n v="245807.05"/>
    <x v="0"/>
  </r>
  <r>
    <x v="8"/>
    <x v="0"/>
    <x v="0"/>
    <x v="1"/>
    <x v="11"/>
    <x v="1"/>
    <x v="0"/>
    <n v="24"/>
    <n v="158276.23000000001"/>
    <n v="443413.55"/>
    <x v="0"/>
  </r>
  <r>
    <x v="8"/>
    <x v="0"/>
    <x v="0"/>
    <x v="1"/>
    <x v="11"/>
    <x v="1"/>
    <x v="1"/>
    <n v="25"/>
    <n v="150701.20000000001"/>
    <n v="428515.28"/>
    <x v="0"/>
  </r>
  <r>
    <x v="8"/>
    <x v="0"/>
    <x v="0"/>
    <x v="1"/>
    <x v="13"/>
    <x v="0"/>
    <x v="1"/>
    <n v="4"/>
    <n v="23779.07"/>
    <n v="101332.72"/>
    <x v="0"/>
  </r>
  <r>
    <x v="8"/>
    <x v="0"/>
    <x v="0"/>
    <x v="1"/>
    <x v="13"/>
    <x v="1"/>
    <x v="0"/>
    <n v="2"/>
    <n v="15045.1"/>
    <n v="42056.27"/>
    <x v="0"/>
  </r>
  <r>
    <x v="8"/>
    <x v="0"/>
    <x v="0"/>
    <x v="1"/>
    <x v="13"/>
    <x v="1"/>
    <x v="1"/>
    <n v="9"/>
    <n v="65339.37"/>
    <n v="190624.86"/>
    <x v="0"/>
  </r>
  <r>
    <x v="8"/>
    <x v="0"/>
    <x v="0"/>
    <x v="1"/>
    <x v="14"/>
    <x v="0"/>
    <x v="1"/>
    <n v="6"/>
    <n v="40025.949999999997"/>
    <n v="174573.18"/>
    <x v="0"/>
  </r>
  <r>
    <x v="8"/>
    <x v="0"/>
    <x v="0"/>
    <x v="1"/>
    <x v="14"/>
    <x v="1"/>
    <x v="0"/>
    <n v="9"/>
    <n v="49077.93"/>
    <n v="144093.12"/>
    <x v="0"/>
  </r>
  <r>
    <x v="8"/>
    <x v="0"/>
    <x v="0"/>
    <x v="1"/>
    <x v="14"/>
    <x v="1"/>
    <x v="1"/>
    <n v="10"/>
    <n v="51983.08"/>
    <n v="153475.93"/>
    <x v="0"/>
  </r>
  <r>
    <x v="8"/>
    <x v="0"/>
    <x v="0"/>
    <x v="1"/>
    <x v="16"/>
    <x v="0"/>
    <x v="1"/>
    <n v="4"/>
    <n v="27472.22"/>
    <n v="119392"/>
    <x v="0"/>
  </r>
  <r>
    <x v="8"/>
    <x v="0"/>
    <x v="0"/>
    <x v="1"/>
    <x v="16"/>
    <x v="1"/>
    <x v="0"/>
    <n v="5"/>
    <n v="30877.63"/>
    <n v="87802.29"/>
    <x v="0"/>
  </r>
  <r>
    <x v="8"/>
    <x v="0"/>
    <x v="0"/>
    <x v="1"/>
    <x v="16"/>
    <x v="1"/>
    <x v="1"/>
    <n v="5"/>
    <n v="24559.63"/>
    <n v="71958.27"/>
    <x v="0"/>
  </r>
  <r>
    <x v="8"/>
    <x v="0"/>
    <x v="0"/>
    <x v="1"/>
    <x v="17"/>
    <x v="0"/>
    <x v="1"/>
    <n v="1"/>
    <n v="5173.12"/>
    <n v="23075.77"/>
    <x v="0"/>
  </r>
  <r>
    <x v="8"/>
    <x v="0"/>
    <x v="0"/>
    <x v="1"/>
    <x v="17"/>
    <x v="1"/>
    <x v="0"/>
    <n v="1"/>
    <n v="5322.43"/>
    <n v="15322.31"/>
    <x v="0"/>
  </r>
  <r>
    <x v="8"/>
    <x v="0"/>
    <x v="0"/>
    <x v="1"/>
    <x v="17"/>
    <x v="1"/>
    <x v="1"/>
    <n v="6"/>
    <n v="37851.39"/>
    <n v="109920.91"/>
    <x v="0"/>
  </r>
  <r>
    <x v="8"/>
    <x v="0"/>
    <x v="0"/>
    <x v="1"/>
    <x v="18"/>
    <x v="0"/>
    <x v="1"/>
    <n v="18"/>
    <n v="119636.58"/>
    <n v="514689.9"/>
    <x v="0"/>
  </r>
  <r>
    <x v="8"/>
    <x v="0"/>
    <x v="0"/>
    <x v="1"/>
    <x v="18"/>
    <x v="1"/>
    <x v="0"/>
    <n v="14"/>
    <n v="95753.19"/>
    <n v="292496.96000000002"/>
    <x v="0"/>
  </r>
  <r>
    <x v="8"/>
    <x v="0"/>
    <x v="0"/>
    <x v="1"/>
    <x v="18"/>
    <x v="1"/>
    <x v="1"/>
    <n v="13"/>
    <n v="78497.19"/>
    <n v="231503.15"/>
    <x v="0"/>
  </r>
  <r>
    <x v="8"/>
    <x v="0"/>
    <x v="0"/>
    <x v="1"/>
    <x v="19"/>
    <x v="0"/>
    <x v="1"/>
    <n v="4"/>
    <n v="24338.73"/>
    <n v="108355.77"/>
    <x v="0"/>
  </r>
  <r>
    <x v="8"/>
    <x v="0"/>
    <x v="0"/>
    <x v="1"/>
    <x v="19"/>
    <x v="1"/>
    <x v="0"/>
    <n v="20"/>
    <n v="133997.87"/>
    <n v="394611"/>
    <x v="0"/>
  </r>
  <r>
    <x v="8"/>
    <x v="0"/>
    <x v="0"/>
    <x v="1"/>
    <x v="19"/>
    <x v="1"/>
    <x v="1"/>
    <n v="7"/>
    <n v="43788.36"/>
    <n v="127129.42"/>
    <x v="0"/>
  </r>
  <r>
    <x v="8"/>
    <x v="0"/>
    <x v="0"/>
    <x v="1"/>
    <x v="20"/>
    <x v="0"/>
    <x v="0"/>
    <n v="5"/>
    <n v="32823.85"/>
    <n v="142467.76999999999"/>
    <x v="0"/>
  </r>
  <r>
    <x v="8"/>
    <x v="0"/>
    <x v="0"/>
    <x v="1"/>
    <x v="20"/>
    <x v="0"/>
    <x v="1"/>
    <n v="16"/>
    <n v="101026.08"/>
    <n v="437436.26"/>
    <x v="0"/>
  </r>
  <r>
    <x v="8"/>
    <x v="0"/>
    <x v="0"/>
    <x v="1"/>
    <x v="20"/>
    <x v="1"/>
    <x v="0"/>
    <n v="3"/>
    <n v="17836.490000000002"/>
    <n v="51884.36"/>
    <x v="0"/>
  </r>
  <r>
    <x v="8"/>
    <x v="0"/>
    <x v="0"/>
    <x v="1"/>
    <x v="20"/>
    <x v="1"/>
    <x v="1"/>
    <n v="31"/>
    <n v="170919.04000000001"/>
    <n v="494896.99"/>
    <x v="0"/>
  </r>
  <r>
    <x v="8"/>
    <x v="0"/>
    <x v="0"/>
    <x v="2"/>
    <x v="21"/>
    <x v="0"/>
    <x v="0"/>
    <n v="3"/>
    <n v="20953.25"/>
    <n v="87286.59"/>
    <x v="0"/>
  </r>
  <r>
    <x v="8"/>
    <x v="0"/>
    <x v="0"/>
    <x v="2"/>
    <x v="22"/>
    <x v="0"/>
    <x v="1"/>
    <n v="2"/>
    <n v="12911.97"/>
    <n v="55181.18"/>
    <x v="0"/>
  </r>
  <r>
    <x v="8"/>
    <x v="0"/>
    <x v="0"/>
    <x v="2"/>
    <x v="22"/>
    <x v="1"/>
    <x v="0"/>
    <n v="12"/>
    <n v="77905.100000000006"/>
    <n v="207131.07"/>
    <x v="0"/>
  </r>
  <r>
    <x v="8"/>
    <x v="0"/>
    <x v="0"/>
    <x v="2"/>
    <x v="22"/>
    <x v="1"/>
    <x v="1"/>
    <n v="9"/>
    <n v="60551.34"/>
    <n v="161127.6"/>
    <x v="0"/>
  </r>
  <r>
    <x v="8"/>
    <x v="0"/>
    <x v="0"/>
    <x v="2"/>
    <x v="29"/>
    <x v="0"/>
    <x v="1"/>
    <n v="1"/>
    <n v="4631.95"/>
    <n v="21069.18"/>
    <x v="0"/>
  </r>
  <r>
    <x v="8"/>
    <x v="0"/>
    <x v="0"/>
    <x v="2"/>
    <x v="23"/>
    <x v="1"/>
    <x v="1"/>
    <n v="1"/>
    <n v="7660.39"/>
    <n v="20354.830000000002"/>
    <x v="0"/>
  </r>
  <r>
    <x v="8"/>
    <x v="0"/>
    <x v="0"/>
    <x v="2"/>
    <x v="24"/>
    <x v="0"/>
    <x v="1"/>
    <n v="6"/>
    <n v="36169.89"/>
    <n v="154507.31"/>
    <x v="0"/>
  </r>
  <r>
    <x v="8"/>
    <x v="0"/>
    <x v="0"/>
    <x v="2"/>
    <x v="24"/>
    <x v="1"/>
    <x v="1"/>
    <n v="1"/>
    <n v="7489.1"/>
    <n v="19359.28"/>
    <x v="0"/>
  </r>
  <r>
    <x v="8"/>
    <x v="0"/>
    <x v="0"/>
    <x v="3"/>
    <x v="25"/>
    <x v="0"/>
    <x v="1"/>
    <n v="2"/>
    <n v="15109"/>
    <n v="64210.82"/>
    <x v="0"/>
  </r>
  <r>
    <x v="8"/>
    <x v="0"/>
    <x v="0"/>
    <x v="3"/>
    <x v="25"/>
    <x v="1"/>
    <x v="0"/>
    <n v="3"/>
    <n v="21848.34"/>
    <n v="65976.62"/>
    <x v="0"/>
  </r>
  <r>
    <x v="8"/>
    <x v="0"/>
    <x v="0"/>
    <x v="3"/>
    <x v="25"/>
    <x v="1"/>
    <x v="1"/>
    <n v="16"/>
    <n v="102535.03999999999"/>
    <n v="301705.59999999998"/>
    <x v="0"/>
  </r>
  <r>
    <x v="8"/>
    <x v="0"/>
    <x v="0"/>
    <x v="3"/>
    <x v="26"/>
    <x v="0"/>
    <x v="0"/>
    <n v="4"/>
    <n v="28182.39"/>
    <n v="119392"/>
    <x v="0"/>
  </r>
  <r>
    <x v="8"/>
    <x v="0"/>
    <x v="0"/>
    <x v="3"/>
    <x v="26"/>
    <x v="0"/>
    <x v="1"/>
    <n v="1"/>
    <n v="7497.91"/>
    <n v="32105.41"/>
    <x v="0"/>
  </r>
  <r>
    <x v="8"/>
    <x v="0"/>
    <x v="0"/>
    <x v="3"/>
    <x v="26"/>
    <x v="1"/>
    <x v="1"/>
    <n v="13"/>
    <n v="80814.039999999994"/>
    <n v="241603.27"/>
    <x v="0"/>
  </r>
  <r>
    <x v="8"/>
    <x v="0"/>
    <x v="0"/>
    <x v="3"/>
    <x v="27"/>
    <x v="0"/>
    <x v="0"/>
    <n v="1"/>
    <n v="7407.35"/>
    <n v="32105.41"/>
    <x v="0"/>
  </r>
  <r>
    <x v="8"/>
    <x v="0"/>
    <x v="0"/>
    <x v="3"/>
    <x v="27"/>
    <x v="0"/>
    <x v="1"/>
    <n v="9"/>
    <n v="59340.75"/>
    <n v="259853.18"/>
    <x v="0"/>
  </r>
  <r>
    <x v="8"/>
    <x v="0"/>
    <x v="0"/>
    <x v="3"/>
    <x v="27"/>
    <x v="1"/>
    <x v="0"/>
    <n v="5"/>
    <n v="30157.39"/>
    <n v="90337.62"/>
    <x v="0"/>
  </r>
  <r>
    <x v="8"/>
    <x v="0"/>
    <x v="0"/>
    <x v="3"/>
    <x v="27"/>
    <x v="1"/>
    <x v="1"/>
    <n v="46"/>
    <n v="290856.45"/>
    <n v="839446.75"/>
    <x v="0"/>
  </r>
  <r>
    <x v="8"/>
    <x v="0"/>
    <x v="1"/>
    <x v="0"/>
    <x v="0"/>
    <x v="0"/>
    <x v="0"/>
    <n v="2"/>
    <n v="5187.8"/>
    <n v="18159.8"/>
    <x v="0"/>
  </r>
  <r>
    <x v="8"/>
    <x v="0"/>
    <x v="1"/>
    <x v="0"/>
    <x v="0"/>
    <x v="1"/>
    <x v="0"/>
    <n v="2"/>
    <n v="6421.66"/>
    <n v="14617.24"/>
    <x v="0"/>
  </r>
  <r>
    <x v="8"/>
    <x v="0"/>
    <x v="1"/>
    <x v="0"/>
    <x v="0"/>
    <x v="1"/>
    <x v="1"/>
    <n v="3"/>
    <n v="9670.4699999999993"/>
    <n v="21925.86"/>
    <x v="0"/>
  </r>
  <r>
    <x v="8"/>
    <x v="0"/>
    <x v="1"/>
    <x v="0"/>
    <x v="1"/>
    <x v="0"/>
    <x v="0"/>
    <n v="1"/>
    <n v="1984.94"/>
    <n v="6984.54"/>
    <x v="0"/>
  </r>
  <r>
    <x v="8"/>
    <x v="0"/>
    <x v="1"/>
    <x v="0"/>
    <x v="1"/>
    <x v="0"/>
    <x v="1"/>
    <n v="3"/>
    <n v="6202.93"/>
    <n v="22001.279999999999"/>
    <x v="0"/>
  </r>
  <r>
    <x v="8"/>
    <x v="0"/>
    <x v="1"/>
    <x v="0"/>
    <x v="1"/>
    <x v="1"/>
    <x v="0"/>
    <n v="12"/>
    <n v="29904.16"/>
    <n v="68264.070000000007"/>
    <x v="0"/>
  </r>
  <r>
    <x v="8"/>
    <x v="0"/>
    <x v="1"/>
    <x v="0"/>
    <x v="1"/>
    <x v="1"/>
    <x v="1"/>
    <n v="18"/>
    <n v="54668.9"/>
    <n v="123687.46"/>
    <x v="0"/>
  </r>
  <r>
    <x v="8"/>
    <x v="0"/>
    <x v="1"/>
    <x v="0"/>
    <x v="2"/>
    <x v="0"/>
    <x v="1"/>
    <n v="1"/>
    <n v="3218.15"/>
    <n v="11175.26"/>
    <x v="0"/>
  </r>
  <r>
    <x v="8"/>
    <x v="0"/>
    <x v="1"/>
    <x v="0"/>
    <x v="2"/>
    <x v="1"/>
    <x v="1"/>
    <n v="9"/>
    <n v="20510.71"/>
    <n v="44066.92"/>
    <x v="0"/>
  </r>
  <r>
    <x v="8"/>
    <x v="0"/>
    <x v="1"/>
    <x v="0"/>
    <x v="3"/>
    <x v="0"/>
    <x v="0"/>
    <n v="2"/>
    <n v="4120.8599999999997"/>
    <n v="14667.52"/>
    <x v="0"/>
  </r>
  <r>
    <x v="8"/>
    <x v="0"/>
    <x v="1"/>
    <x v="0"/>
    <x v="3"/>
    <x v="0"/>
    <x v="1"/>
    <n v="2"/>
    <n v="4006.55"/>
    <n v="14318.3"/>
    <x v="0"/>
  </r>
  <r>
    <x v="8"/>
    <x v="0"/>
    <x v="1"/>
    <x v="0"/>
    <x v="3"/>
    <x v="1"/>
    <x v="1"/>
    <n v="23"/>
    <n v="58045.05"/>
    <n v="132427.53"/>
    <x v="0"/>
  </r>
  <r>
    <x v="8"/>
    <x v="0"/>
    <x v="1"/>
    <x v="0"/>
    <x v="28"/>
    <x v="1"/>
    <x v="1"/>
    <n v="1"/>
    <n v="3202.76"/>
    <n v="7060.54"/>
    <x v="0"/>
  </r>
  <r>
    <x v="8"/>
    <x v="0"/>
    <x v="1"/>
    <x v="0"/>
    <x v="4"/>
    <x v="1"/>
    <x v="0"/>
    <n v="8"/>
    <n v="23478.83"/>
    <n v="52300.21"/>
    <x v="0"/>
  </r>
  <r>
    <x v="8"/>
    <x v="0"/>
    <x v="1"/>
    <x v="0"/>
    <x v="4"/>
    <x v="1"/>
    <x v="1"/>
    <n v="8"/>
    <n v="20273.759999999998"/>
    <n v="44924.53"/>
    <x v="0"/>
  </r>
  <r>
    <x v="8"/>
    <x v="0"/>
    <x v="1"/>
    <x v="0"/>
    <x v="5"/>
    <x v="0"/>
    <x v="1"/>
    <n v="1"/>
    <n v="3185.73"/>
    <n v="11175.26"/>
    <x v="0"/>
  </r>
  <r>
    <x v="8"/>
    <x v="0"/>
    <x v="1"/>
    <x v="0"/>
    <x v="5"/>
    <x v="1"/>
    <x v="1"/>
    <n v="3"/>
    <n v="6305.79"/>
    <n v="14498.84"/>
    <x v="0"/>
  </r>
  <r>
    <x v="8"/>
    <x v="0"/>
    <x v="1"/>
    <x v="0"/>
    <x v="6"/>
    <x v="1"/>
    <x v="1"/>
    <n v="2"/>
    <n v="6322.5"/>
    <n v="14684.29"/>
    <x v="0"/>
  </r>
  <r>
    <x v="8"/>
    <x v="0"/>
    <x v="1"/>
    <x v="0"/>
    <x v="7"/>
    <x v="1"/>
    <x v="1"/>
    <n v="2"/>
    <n v="4263.6400000000003"/>
    <n v="9797.9"/>
    <x v="0"/>
  </r>
  <r>
    <x v="8"/>
    <x v="0"/>
    <x v="1"/>
    <x v="0"/>
    <x v="8"/>
    <x v="1"/>
    <x v="1"/>
    <n v="6"/>
    <n v="19078.68"/>
    <n v="42311.74"/>
    <x v="0"/>
  </r>
  <r>
    <x v="8"/>
    <x v="0"/>
    <x v="1"/>
    <x v="1"/>
    <x v="30"/>
    <x v="1"/>
    <x v="0"/>
    <n v="3"/>
    <n v="5846.49"/>
    <n v="14437.04"/>
    <x v="0"/>
  </r>
  <r>
    <x v="8"/>
    <x v="0"/>
    <x v="1"/>
    <x v="1"/>
    <x v="10"/>
    <x v="0"/>
    <x v="1"/>
    <n v="2"/>
    <n v="5282.86"/>
    <n v="18159.8"/>
    <x v="0"/>
  </r>
  <r>
    <x v="8"/>
    <x v="0"/>
    <x v="1"/>
    <x v="1"/>
    <x v="10"/>
    <x v="1"/>
    <x v="0"/>
    <n v="9"/>
    <n v="28297.040000000001"/>
    <n v="68251.69"/>
    <x v="0"/>
  </r>
  <r>
    <x v="8"/>
    <x v="0"/>
    <x v="1"/>
    <x v="1"/>
    <x v="10"/>
    <x v="1"/>
    <x v="1"/>
    <n v="6"/>
    <n v="16900.77"/>
    <n v="40271.620000000003"/>
    <x v="0"/>
  </r>
  <r>
    <x v="8"/>
    <x v="0"/>
    <x v="1"/>
    <x v="1"/>
    <x v="11"/>
    <x v="1"/>
    <x v="0"/>
    <n v="4"/>
    <n v="12718.99"/>
    <n v="29055.68"/>
    <x v="0"/>
  </r>
  <r>
    <x v="8"/>
    <x v="0"/>
    <x v="1"/>
    <x v="1"/>
    <x v="11"/>
    <x v="1"/>
    <x v="1"/>
    <n v="10"/>
    <n v="25315.62"/>
    <n v="57015.94"/>
    <x v="0"/>
  </r>
  <r>
    <x v="8"/>
    <x v="0"/>
    <x v="1"/>
    <x v="1"/>
    <x v="13"/>
    <x v="0"/>
    <x v="1"/>
    <n v="3"/>
    <n v="9647.67"/>
    <n v="33525.78"/>
    <x v="0"/>
  </r>
  <r>
    <x v="8"/>
    <x v="0"/>
    <x v="1"/>
    <x v="1"/>
    <x v="13"/>
    <x v="1"/>
    <x v="1"/>
    <n v="6"/>
    <n v="12264.15"/>
    <n v="28776.65"/>
    <x v="0"/>
  </r>
  <r>
    <x v="8"/>
    <x v="0"/>
    <x v="1"/>
    <x v="1"/>
    <x v="14"/>
    <x v="0"/>
    <x v="1"/>
    <n v="2"/>
    <n v="6467.52"/>
    <n v="22350.52"/>
    <x v="0"/>
  </r>
  <r>
    <x v="8"/>
    <x v="0"/>
    <x v="1"/>
    <x v="1"/>
    <x v="14"/>
    <x v="1"/>
    <x v="0"/>
    <n v="11"/>
    <n v="25514.69"/>
    <n v="60887"/>
    <x v="0"/>
  </r>
  <r>
    <x v="8"/>
    <x v="0"/>
    <x v="1"/>
    <x v="1"/>
    <x v="15"/>
    <x v="1"/>
    <x v="1"/>
    <n v="2"/>
    <n v="6620.32"/>
    <n v="14733.65"/>
    <x v="0"/>
  </r>
  <r>
    <x v="8"/>
    <x v="0"/>
    <x v="1"/>
    <x v="1"/>
    <x v="16"/>
    <x v="0"/>
    <x v="1"/>
    <n v="3"/>
    <n v="8480.65"/>
    <n v="29684.28"/>
    <x v="0"/>
  </r>
  <r>
    <x v="8"/>
    <x v="0"/>
    <x v="1"/>
    <x v="1"/>
    <x v="16"/>
    <x v="1"/>
    <x v="0"/>
    <n v="2"/>
    <n v="4104.58"/>
    <n v="9651.2199999999993"/>
    <x v="0"/>
  </r>
  <r>
    <x v="8"/>
    <x v="0"/>
    <x v="1"/>
    <x v="1"/>
    <x v="16"/>
    <x v="1"/>
    <x v="1"/>
    <n v="12"/>
    <n v="29877.360000000001"/>
    <n v="70545.91"/>
    <x v="0"/>
  </r>
  <r>
    <x v="8"/>
    <x v="0"/>
    <x v="1"/>
    <x v="1"/>
    <x v="17"/>
    <x v="1"/>
    <x v="0"/>
    <n v="8"/>
    <n v="25645.19"/>
    <n v="58986.12"/>
    <x v="0"/>
  </r>
  <r>
    <x v="8"/>
    <x v="0"/>
    <x v="1"/>
    <x v="1"/>
    <x v="17"/>
    <x v="1"/>
    <x v="1"/>
    <n v="1"/>
    <n v="3118.78"/>
    <n v="7420.37"/>
    <x v="0"/>
  </r>
  <r>
    <x v="8"/>
    <x v="0"/>
    <x v="1"/>
    <x v="1"/>
    <x v="18"/>
    <x v="0"/>
    <x v="1"/>
    <n v="4"/>
    <n v="12829.9"/>
    <n v="44701.04"/>
    <x v="0"/>
  </r>
  <r>
    <x v="8"/>
    <x v="0"/>
    <x v="1"/>
    <x v="1"/>
    <x v="18"/>
    <x v="1"/>
    <x v="1"/>
    <n v="7"/>
    <n v="20199.48"/>
    <n v="48426.5"/>
    <x v="0"/>
  </r>
  <r>
    <x v="8"/>
    <x v="0"/>
    <x v="1"/>
    <x v="1"/>
    <x v="19"/>
    <x v="0"/>
    <x v="1"/>
    <n v="2"/>
    <n v="6290.93"/>
    <n v="22350.52"/>
    <x v="0"/>
  </r>
  <r>
    <x v="8"/>
    <x v="0"/>
    <x v="1"/>
    <x v="1"/>
    <x v="19"/>
    <x v="1"/>
    <x v="1"/>
    <n v="4"/>
    <n v="10471.15"/>
    <n v="24479.42"/>
    <x v="0"/>
  </r>
  <r>
    <x v="8"/>
    <x v="0"/>
    <x v="1"/>
    <x v="1"/>
    <x v="20"/>
    <x v="0"/>
    <x v="1"/>
    <n v="12"/>
    <n v="29496.54"/>
    <n v="102672.68"/>
    <x v="0"/>
  </r>
  <r>
    <x v="8"/>
    <x v="0"/>
    <x v="1"/>
    <x v="1"/>
    <x v="20"/>
    <x v="1"/>
    <x v="0"/>
    <n v="6"/>
    <n v="19641.47"/>
    <n v="44455.18"/>
    <x v="0"/>
  </r>
  <r>
    <x v="8"/>
    <x v="0"/>
    <x v="1"/>
    <x v="1"/>
    <x v="20"/>
    <x v="1"/>
    <x v="1"/>
    <n v="9"/>
    <n v="22325.51"/>
    <n v="51401.3"/>
    <x v="0"/>
  </r>
  <r>
    <x v="8"/>
    <x v="0"/>
    <x v="1"/>
    <x v="2"/>
    <x v="21"/>
    <x v="1"/>
    <x v="1"/>
    <n v="2"/>
    <n v="4244.46"/>
    <n v="8932.52"/>
    <x v="0"/>
  </r>
  <r>
    <x v="8"/>
    <x v="0"/>
    <x v="1"/>
    <x v="2"/>
    <x v="22"/>
    <x v="0"/>
    <x v="1"/>
    <n v="2"/>
    <n v="5122.95"/>
    <n v="18159.8"/>
    <x v="0"/>
  </r>
  <r>
    <x v="8"/>
    <x v="0"/>
    <x v="1"/>
    <x v="2"/>
    <x v="22"/>
    <x v="1"/>
    <x v="0"/>
    <n v="3"/>
    <n v="9420.9599999999991"/>
    <n v="20417.2"/>
    <x v="0"/>
  </r>
  <r>
    <x v="8"/>
    <x v="0"/>
    <x v="1"/>
    <x v="2"/>
    <x v="22"/>
    <x v="1"/>
    <x v="1"/>
    <n v="11"/>
    <n v="23046.240000000002"/>
    <n v="49128.86"/>
    <x v="0"/>
  </r>
  <r>
    <x v="8"/>
    <x v="0"/>
    <x v="1"/>
    <x v="2"/>
    <x v="29"/>
    <x v="0"/>
    <x v="1"/>
    <n v="1"/>
    <n v="2066.5700000000002"/>
    <n v="7333.76"/>
    <x v="0"/>
  </r>
  <r>
    <x v="8"/>
    <x v="0"/>
    <x v="1"/>
    <x v="2"/>
    <x v="29"/>
    <x v="1"/>
    <x v="1"/>
    <n v="5"/>
    <n v="10649.05"/>
    <n v="23724.71"/>
    <x v="0"/>
  </r>
  <r>
    <x v="8"/>
    <x v="0"/>
    <x v="1"/>
    <x v="2"/>
    <x v="23"/>
    <x v="1"/>
    <x v="1"/>
    <n v="2"/>
    <n v="6476.76"/>
    <n v="14170.23"/>
    <x v="0"/>
  </r>
  <r>
    <x v="8"/>
    <x v="0"/>
    <x v="1"/>
    <x v="2"/>
    <x v="24"/>
    <x v="0"/>
    <x v="1"/>
    <n v="2"/>
    <n v="5240.4399999999996"/>
    <n v="18159.8"/>
    <x v="0"/>
  </r>
  <r>
    <x v="8"/>
    <x v="0"/>
    <x v="1"/>
    <x v="3"/>
    <x v="25"/>
    <x v="0"/>
    <x v="1"/>
    <n v="2"/>
    <n v="5429.64"/>
    <n v="18509.02"/>
    <x v="0"/>
  </r>
  <r>
    <x v="8"/>
    <x v="0"/>
    <x v="1"/>
    <x v="3"/>
    <x v="25"/>
    <x v="1"/>
    <x v="0"/>
    <n v="2"/>
    <n v="4032.78"/>
    <n v="10047.25"/>
    <x v="0"/>
  </r>
  <r>
    <x v="8"/>
    <x v="0"/>
    <x v="1"/>
    <x v="3"/>
    <x v="25"/>
    <x v="1"/>
    <x v="1"/>
    <n v="7"/>
    <n v="22905.4"/>
    <n v="53585.37"/>
    <x v="0"/>
  </r>
  <r>
    <x v="8"/>
    <x v="0"/>
    <x v="1"/>
    <x v="3"/>
    <x v="26"/>
    <x v="0"/>
    <x v="0"/>
    <n v="3"/>
    <n v="7259.99"/>
    <n v="25842.78"/>
    <x v="0"/>
  </r>
  <r>
    <x v="8"/>
    <x v="0"/>
    <x v="1"/>
    <x v="3"/>
    <x v="26"/>
    <x v="0"/>
    <x v="1"/>
    <n v="1"/>
    <n v="1993.99"/>
    <n v="6984.54"/>
    <x v="0"/>
  </r>
  <r>
    <x v="8"/>
    <x v="0"/>
    <x v="1"/>
    <x v="3"/>
    <x v="26"/>
    <x v="1"/>
    <x v="1"/>
    <n v="7"/>
    <n v="17679.61"/>
    <n v="43373.96"/>
    <x v="0"/>
  </r>
  <r>
    <x v="8"/>
    <x v="0"/>
    <x v="1"/>
    <x v="3"/>
    <x v="27"/>
    <x v="0"/>
    <x v="0"/>
    <n v="1"/>
    <n v="3176.22"/>
    <n v="11175.26"/>
    <x v="0"/>
  </r>
  <r>
    <x v="8"/>
    <x v="0"/>
    <x v="1"/>
    <x v="3"/>
    <x v="27"/>
    <x v="0"/>
    <x v="1"/>
    <n v="6"/>
    <n v="16994.97"/>
    <n v="59019.34"/>
    <x v="0"/>
  </r>
  <r>
    <x v="8"/>
    <x v="0"/>
    <x v="1"/>
    <x v="3"/>
    <x v="27"/>
    <x v="1"/>
    <x v="1"/>
    <n v="26"/>
    <n v="65883.34"/>
    <n v="155886.49"/>
    <x v="0"/>
  </r>
  <r>
    <x v="8"/>
    <x v="0"/>
    <x v="2"/>
    <x v="0"/>
    <x v="0"/>
    <x v="0"/>
    <x v="0"/>
    <n v="1"/>
    <n v="6998.56"/>
    <n v="30404.83"/>
    <x v="0"/>
  </r>
  <r>
    <x v="8"/>
    <x v="0"/>
    <x v="2"/>
    <x v="0"/>
    <x v="0"/>
    <x v="0"/>
    <x v="1"/>
    <n v="1"/>
    <n v="4228.49"/>
    <n v="19003.02"/>
    <x v="0"/>
  </r>
  <r>
    <x v="8"/>
    <x v="0"/>
    <x v="2"/>
    <x v="0"/>
    <x v="0"/>
    <x v="1"/>
    <x v="0"/>
    <n v="5"/>
    <n v="22115.24"/>
    <n v="62139.88"/>
    <x v="0"/>
  </r>
  <r>
    <x v="8"/>
    <x v="0"/>
    <x v="2"/>
    <x v="0"/>
    <x v="0"/>
    <x v="1"/>
    <x v="1"/>
    <n v="18"/>
    <n v="86473.94"/>
    <n v="244831.1"/>
    <x v="0"/>
  </r>
  <r>
    <x v="8"/>
    <x v="0"/>
    <x v="2"/>
    <x v="0"/>
    <x v="1"/>
    <x v="0"/>
    <x v="0"/>
    <n v="2"/>
    <n v="10514.31"/>
    <n v="43706.94"/>
    <x v="0"/>
  </r>
  <r>
    <x v="8"/>
    <x v="0"/>
    <x v="2"/>
    <x v="0"/>
    <x v="1"/>
    <x v="0"/>
    <x v="1"/>
    <n v="8"/>
    <n v="46877.51"/>
    <n v="198581.54"/>
    <x v="0"/>
  </r>
  <r>
    <x v="8"/>
    <x v="0"/>
    <x v="2"/>
    <x v="0"/>
    <x v="1"/>
    <x v="1"/>
    <x v="0"/>
    <n v="30"/>
    <n v="154388.57999999999"/>
    <n v="425292.42"/>
    <x v="0"/>
  </r>
  <r>
    <x v="8"/>
    <x v="0"/>
    <x v="2"/>
    <x v="0"/>
    <x v="1"/>
    <x v="1"/>
    <x v="1"/>
    <n v="29"/>
    <n v="169816.69"/>
    <n v="463981.09"/>
    <x v="0"/>
  </r>
  <r>
    <x v="8"/>
    <x v="0"/>
    <x v="2"/>
    <x v="0"/>
    <x v="2"/>
    <x v="0"/>
    <x v="1"/>
    <n v="4"/>
    <n v="23872.33"/>
    <n v="102616.3"/>
    <x v="0"/>
  </r>
  <r>
    <x v="8"/>
    <x v="0"/>
    <x v="2"/>
    <x v="0"/>
    <x v="2"/>
    <x v="1"/>
    <x v="0"/>
    <n v="20"/>
    <n v="109663.29"/>
    <n v="291557.15000000002"/>
    <x v="0"/>
  </r>
  <r>
    <x v="8"/>
    <x v="0"/>
    <x v="2"/>
    <x v="0"/>
    <x v="2"/>
    <x v="1"/>
    <x v="1"/>
    <n v="12"/>
    <n v="60575.99"/>
    <n v="161081.95000000001"/>
    <x v="0"/>
  </r>
  <r>
    <x v="8"/>
    <x v="0"/>
    <x v="2"/>
    <x v="0"/>
    <x v="3"/>
    <x v="0"/>
    <x v="0"/>
    <n v="4"/>
    <n v="23830.880000000001"/>
    <n v="102616.3"/>
    <x v="0"/>
  </r>
  <r>
    <x v="8"/>
    <x v="0"/>
    <x v="2"/>
    <x v="0"/>
    <x v="3"/>
    <x v="0"/>
    <x v="1"/>
    <n v="2"/>
    <n v="14026.37"/>
    <n v="60809.66"/>
    <x v="0"/>
  </r>
  <r>
    <x v="8"/>
    <x v="0"/>
    <x v="2"/>
    <x v="0"/>
    <x v="3"/>
    <x v="1"/>
    <x v="0"/>
    <n v="13"/>
    <n v="62904.88"/>
    <n v="176159.88"/>
    <x v="0"/>
  </r>
  <r>
    <x v="8"/>
    <x v="0"/>
    <x v="2"/>
    <x v="0"/>
    <x v="3"/>
    <x v="1"/>
    <x v="1"/>
    <n v="10"/>
    <n v="44519.3"/>
    <n v="123707.13"/>
    <x v="0"/>
  </r>
  <r>
    <x v="8"/>
    <x v="0"/>
    <x v="2"/>
    <x v="0"/>
    <x v="28"/>
    <x v="1"/>
    <x v="1"/>
    <n v="11"/>
    <n v="65144.22"/>
    <n v="184555.42"/>
    <x v="0"/>
  </r>
  <r>
    <x v="8"/>
    <x v="0"/>
    <x v="2"/>
    <x v="0"/>
    <x v="4"/>
    <x v="0"/>
    <x v="1"/>
    <n v="1"/>
    <n v="5182.3"/>
    <n v="21853.47"/>
    <x v="0"/>
  </r>
  <r>
    <x v="8"/>
    <x v="0"/>
    <x v="2"/>
    <x v="0"/>
    <x v="4"/>
    <x v="1"/>
    <x v="0"/>
    <n v="1"/>
    <n v="5232.32"/>
    <n v="13299.88"/>
    <x v="0"/>
  </r>
  <r>
    <x v="8"/>
    <x v="0"/>
    <x v="2"/>
    <x v="0"/>
    <x v="4"/>
    <x v="1"/>
    <x v="1"/>
    <n v="8"/>
    <n v="39697.39"/>
    <n v="106416.9"/>
    <x v="0"/>
  </r>
  <r>
    <x v="8"/>
    <x v="0"/>
    <x v="2"/>
    <x v="0"/>
    <x v="5"/>
    <x v="0"/>
    <x v="1"/>
    <n v="6"/>
    <n v="32815.449999999997"/>
    <n v="141572.49"/>
    <x v="0"/>
  </r>
  <r>
    <x v="8"/>
    <x v="0"/>
    <x v="2"/>
    <x v="0"/>
    <x v="5"/>
    <x v="1"/>
    <x v="0"/>
    <n v="2"/>
    <n v="13558.7"/>
    <n v="40073.57"/>
    <x v="0"/>
  </r>
  <r>
    <x v="8"/>
    <x v="0"/>
    <x v="2"/>
    <x v="0"/>
    <x v="5"/>
    <x v="1"/>
    <x v="1"/>
    <n v="11"/>
    <n v="57336.49"/>
    <n v="161122.59"/>
    <x v="0"/>
  </r>
  <r>
    <x v="8"/>
    <x v="0"/>
    <x v="2"/>
    <x v="0"/>
    <x v="6"/>
    <x v="0"/>
    <x v="1"/>
    <n v="1"/>
    <n v="7245.83"/>
    <n v="30404.83"/>
    <x v="0"/>
  </r>
  <r>
    <x v="8"/>
    <x v="0"/>
    <x v="2"/>
    <x v="0"/>
    <x v="6"/>
    <x v="1"/>
    <x v="1"/>
    <n v="3"/>
    <n v="13809.45"/>
    <n v="39951.94"/>
    <x v="0"/>
  </r>
  <r>
    <x v="8"/>
    <x v="0"/>
    <x v="2"/>
    <x v="0"/>
    <x v="7"/>
    <x v="1"/>
    <x v="1"/>
    <n v="3"/>
    <n v="13980.69"/>
    <n v="39986.15"/>
    <x v="0"/>
  </r>
  <r>
    <x v="8"/>
    <x v="0"/>
    <x v="2"/>
    <x v="0"/>
    <x v="8"/>
    <x v="0"/>
    <x v="1"/>
    <n v="4"/>
    <n v="20140.75"/>
    <n v="88364.04"/>
    <x v="0"/>
  </r>
  <r>
    <x v="8"/>
    <x v="0"/>
    <x v="2"/>
    <x v="0"/>
    <x v="8"/>
    <x v="1"/>
    <x v="1"/>
    <n v="6"/>
    <n v="28967.24"/>
    <n v="79892.490000000005"/>
    <x v="0"/>
  </r>
  <r>
    <x v="8"/>
    <x v="0"/>
    <x v="2"/>
    <x v="1"/>
    <x v="30"/>
    <x v="1"/>
    <x v="0"/>
    <n v="7"/>
    <n v="39219.81"/>
    <n v="117183.06"/>
    <x v="0"/>
  </r>
  <r>
    <x v="8"/>
    <x v="0"/>
    <x v="2"/>
    <x v="1"/>
    <x v="9"/>
    <x v="1"/>
    <x v="1"/>
    <n v="1"/>
    <n v="4723.24"/>
    <n v="13727.78"/>
    <x v="0"/>
  </r>
  <r>
    <x v="8"/>
    <x v="0"/>
    <x v="2"/>
    <x v="1"/>
    <x v="10"/>
    <x v="0"/>
    <x v="0"/>
    <n v="2"/>
    <n v="10599.98"/>
    <n v="43706.94"/>
    <x v="0"/>
  </r>
  <r>
    <x v="8"/>
    <x v="0"/>
    <x v="2"/>
    <x v="1"/>
    <x v="10"/>
    <x v="0"/>
    <x v="1"/>
    <n v="6"/>
    <n v="31619.4"/>
    <n v="133021.13"/>
    <x v="0"/>
  </r>
  <r>
    <x v="8"/>
    <x v="0"/>
    <x v="2"/>
    <x v="1"/>
    <x v="10"/>
    <x v="1"/>
    <x v="0"/>
    <n v="8"/>
    <n v="43823.29"/>
    <n v="127008.58"/>
    <x v="0"/>
  </r>
  <r>
    <x v="8"/>
    <x v="0"/>
    <x v="2"/>
    <x v="1"/>
    <x v="10"/>
    <x v="1"/>
    <x v="1"/>
    <n v="17"/>
    <n v="80850.899999999994"/>
    <n v="233205.87"/>
    <x v="0"/>
  </r>
  <r>
    <x v="8"/>
    <x v="0"/>
    <x v="2"/>
    <x v="1"/>
    <x v="11"/>
    <x v="0"/>
    <x v="1"/>
    <n v="5"/>
    <n v="29278.9"/>
    <n v="124469.77"/>
    <x v="0"/>
  </r>
  <r>
    <x v="8"/>
    <x v="0"/>
    <x v="2"/>
    <x v="1"/>
    <x v="11"/>
    <x v="1"/>
    <x v="0"/>
    <n v="11"/>
    <n v="55649.46"/>
    <n v="153782.81"/>
    <x v="0"/>
  </r>
  <r>
    <x v="8"/>
    <x v="0"/>
    <x v="2"/>
    <x v="1"/>
    <x v="11"/>
    <x v="1"/>
    <x v="1"/>
    <n v="29"/>
    <n v="139990.47"/>
    <n v="392800.11"/>
    <x v="0"/>
  </r>
  <r>
    <x v="8"/>
    <x v="0"/>
    <x v="2"/>
    <x v="1"/>
    <x v="12"/>
    <x v="1"/>
    <x v="1"/>
    <n v="1"/>
    <n v="6837.89"/>
    <n v="20796.900000000001"/>
    <x v="0"/>
  </r>
  <r>
    <x v="8"/>
    <x v="0"/>
    <x v="2"/>
    <x v="1"/>
    <x v="13"/>
    <x v="0"/>
    <x v="1"/>
    <n v="6"/>
    <n v="29992.77"/>
    <n v="127320.22"/>
    <x v="0"/>
  </r>
  <r>
    <x v="8"/>
    <x v="0"/>
    <x v="2"/>
    <x v="1"/>
    <x v="13"/>
    <x v="1"/>
    <x v="0"/>
    <n v="2"/>
    <n v="8977.82"/>
    <n v="27176.22"/>
    <x v="0"/>
  </r>
  <r>
    <x v="8"/>
    <x v="0"/>
    <x v="2"/>
    <x v="1"/>
    <x v="13"/>
    <x v="1"/>
    <x v="1"/>
    <n v="3"/>
    <n v="14860.92"/>
    <n v="42705.49"/>
    <x v="0"/>
  </r>
  <r>
    <x v="8"/>
    <x v="0"/>
    <x v="2"/>
    <x v="1"/>
    <x v="14"/>
    <x v="0"/>
    <x v="1"/>
    <n v="3"/>
    <n v="16887.95"/>
    <n v="72211.47"/>
    <x v="0"/>
  </r>
  <r>
    <x v="8"/>
    <x v="0"/>
    <x v="2"/>
    <x v="1"/>
    <x v="14"/>
    <x v="1"/>
    <x v="0"/>
    <n v="10"/>
    <n v="55672.5"/>
    <n v="159309.9"/>
    <x v="0"/>
  </r>
  <r>
    <x v="8"/>
    <x v="0"/>
    <x v="2"/>
    <x v="1"/>
    <x v="14"/>
    <x v="1"/>
    <x v="1"/>
    <n v="29"/>
    <n v="152973"/>
    <n v="435881.34"/>
    <x v="0"/>
  </r>
  <r>
    <x v="8"/>
    <x v="0"/>
    <x v="2"/>
    <x v="1"/>
    <x v="15"/>
    <x v="1"/>
    <x v="0"/>
    <n v="3"/>
    <n v="15374.76"/>
    <n v="45302.239999999998"/>
    <x v="0"/>
  </r>
  <r>
    <x v="8"/>
    <x v="0"/>
    <x v="2"/>
    <x v="1"/>
    <x v="15"/>
    <x v="1"/>
    <x v="1"/>
    <n v="1"/>
    <n v="4485.47"/>
    <n v="13131.09"/>
    <x v="0"/>
  </r>
  <r>
    <x v="8"/>
    <x v="0"/>
    <x v="2"/>
    <x v="1"/>
    <x v="16"/>
    <x v="1"/>
    <x v="0"/>
    <n v="6"/>
    <n v="27716.11"/>
    <n v="76274.320000000007"/>
    <x v="0"/>
  </r>
  <r>
    <x v="8"/>
    <x v="0"/>
    <x v="2"/>
    <x v="1"/>
    <x v="16"/>
    <x v="1"/>
    <x v="1"/>
    <n v="6"/>
    <n v="34622.120000000003"/>
    <n v="98156.31"/>
    <x v="0"/>
  </r>
  <r>
    <x v="8"/>
    <x v="0"/>
    <x v="2"/>
    <x v="1"/>
    <x v="17"/>
    <x v="0"/>
    <x v="1"/>
    <n v="4"/>
    <n v="26216.68"/>
    <n v="113067.96"/>
    <x v="0"/>
  </r>
  <r>
    <x v="8"/>
    <x v="0"/>
    <x v="2"/>
    <x v="1"/>
    <x v="17"/>
    <x v="1"/>
    <x v="0"/>
    <n v="8"/>
    <n v="35555.08"/>
    <n v="101574.94"/>
    <x v="0"/>
  </r>
  <r>
    <x v="8"/>
    <x v="0"/>
    <x v="2"/>
    <x v="1"/>
    <x v="17"/>
    <x v="1"/>
    <x v="1"/>
    <n v="9"/>
    <n v="58056.63"/>
    <n v="164664.95000000001"/>
    <x v="0"/>
  </r>
  <r>
    <x v="8"/>
    <x v="0"/>
    <x v="2"/>
    <x v="1"/>
    <x v="18"/>
    <x v="0"/>
    <x v="1"/>
    <n v="10"/>
    <n v="48667.87"/>
    <n v="209983.35999999999"/>
    <x v="0"/>
  </r>
  <r>
    <x v="8"/>
    <x v="0"/>
    <x v="2"/>
    <x v="1"/>
    <x v="18"/>
    <x v="1"/>
    <x v="0"/>
    <n v="14"/>
    <n v="87524.02"/>
    <n v="255231.94"/>
    <x v="0"/>
  </r>
  <r>
    <x v="8"/>
    <x v="0"/>
    <x v="2"/>
    <x v="1"/>
    <x v="18"/>
    <x v="1"/>
    <x v="1"/>
    <n v="36"/>
    <n v="184005.95"/>
    <n v="542278.24"/>
    <x v="0"/>
  </r>
  <r>
    <x v="8"/>
    <x v="0"/>
    <x v="2"/>
    <x v="1"/>
    <x v="19"/>
    <x v="0"/>
    <x v="1"/>
    <n v="2"/>
    <n v="9107.6299999999992"/>
    <n v="38956.19"/>
    <x v="0"/>
  </r>
  <r>
    <x v="8"/>
    <x v="0"/>
    <x v="2"/>
    <x v="1"/>
    <x v="19"/>
    <x v="1"/>
    <x v="0"/>
    <n v="6"/>
    <n v="34986.199999999997"/>
    <n v="98915.6"/>
    <x v="0"/>
  </r>
  <r>
    <x v="8"/>
    <x v="0"/>
    <x v="2"/>
    <x v="1"/>
    <x v="19"/>
    <x v="1"/>
    <x v="1"/>
    <n v="38"/>
    <n v="216488.56"/>
    <n v="620537.24"/>
    <x v="0"/>
  </r>
  <r>
    <x v="8"/>
    <x v="0"/>
    <x v="2"/>
    <x v="1"/>
    <x v="20"/>
    <x v="0"/>
    <x v="0"/>
    <n v="4"/>
    <n v="18042.810000000001"/>
    <n v="77912.38"/>
    <x v="0"/>
  </r>
  <r>
    <x v="8"/>
    <x v="0"/>
    <x v="2"/>
    <x v="1"/>
    <x v="20"/>
    <x v="0"/>
    <x v="1"/>
    <n v="6"/>
    <n v="32391.22"/>
    <n v="139672.19"/>
    <x v="0"/>
  </r>
  <r>
    <x v="8"/>
    <x v="0"/>
    <x v="2"/>
    <x v="1"/>
    <x v="20"/>
    <x v="1"/>
    <x v="0"/>
    <n v="18"/>
    <n v="102901.82"/>
    <n v="291682.71000000002"/>
    <x v="0"/>
  </r>
  <r>
    <x v="8"/>
    <x v="0"/>
    <x v="2"/>
    <x v="1"/>
    <x v="20"/>
    <x v="1"/>
    <x v="1"/>
    <n v="27"/>
    <n v="131998.38"/>
    <n v="368084.86"/>
    <x v="0"/>
  </r>
  <r>
    <x v="8"/>
    <x v="0"/>
    <x v="2"/>
    <x v="2"/>
    <x v="21"/>
    <x v="0"/>
    <x v="0"/>
    <n v="1"/>
    <n v="7008.71"/>
    <n v="30404.83"/>
    <x v="0"/>
  </r>
  <r>
    <x v="8"/>
    <x v="0"/>
    <x v="2"/>
    <x v="2"/>
    <x v="21"/>
    <x v="1"/>
    <x v="1"/>
    <n v="7"/>
    <n v="46081.120000000003"/>
    <n v="119200.24"/>
    <x v="0"/>
  </r>
  <r>
    <x v="8"/>
    <x v="0"/>
    <x v="2"/>
    <x v="2"/>
    <x v="22"/>
    <x v="0"/>
    <x v="1"/>
    <n v="2"/>
    <n v="12361.43"/>
    <n v="52258.3"/>
    <x v="0"/>
  </r>
  <r>
    <x v="8"/>
    <x v="0"/>
    <x v="2"/>
    <x v="2"/>
    <x v="22"/>
    <x v="1"/>
    <x v="0"/>
    <n v="13"/>
    <n v="62781.14"/>
    <n v="165013.67000000001"/>
    <x v="0"/>
  </r>
  <r>
    <x v="8"/>
    <x v="0"/>
    <x v="2"/>
    <x v="2"/>
    <x v="22"/>
    <x v="1"/>
    <x v="1"/>
    <n v="15"/>
    <n v="72692.08"/>
    <n v="190951.84"/>
    <x v="0"/>
  </r>
  <r>
    <x v="8"/>
    <x v="0"/>
    <x v="2"/>
    <x v="2"/>
    <x v="29"/>
    <x v="1"/>
    <x v="1"/>
    <n v="8"/>
    <n v="39103.21"/>
    <n v="108195.59"/>
    <x v="0"/>
  </r>
  <r>
    <x v="8"/>
    <x v="0"/>
    <x v="2"/>
    <x v="2"/>
    <x v="23"/>
    <x v="1"/>
    <x v="1"/>
    <n v="5"/>
    <n v="21830.55"/>
    <n v="57934.71"/>
    <x v="0"/>
  </r>
  <r>
    <x v="8"/>
    <x v="0"/>
    <x v="2"/>
    <x v="2"/>
    <x v="24"/>
    <x v="0"/>
    <x v="1"/>
    <n v="1"/>
    <n v="4721.53"/>
    <n v="19953.169999999998"/>
    <x v="0"/>
  </r>
  <r>
    <x v="8"/>
    <x v="0"/>
    <x v="2"/>
    <x v="2"/>
    <x v="24"/>
    <x v="1"/>
    <x v="0"/>
    <n v="5"/>
    <n v="26004.35"/>
    <n v="67745.759999999995"/>
    <x v="0"/>
  </r>
  <r>
    <x v="8"/>
    <x v="0"/>
    <x v="2"/>
    <x v="3"/>
    <x v="25"/>
    <x v="0"/>
    <x v="1"/>
    <n v="1"/>
    <n v="7042.39"/>
    <n v="30404.83"/>
    <x v="0"/>
  </r>
  <r>
    <x v="8"/>
    <x v="0"/>
    <x v="2"/>
    <x v="3"/>
    <x v="25"/>
    <x v="1"/>
    <x v="0"/>
    <n v="7"/>
    <n v="32396.45"/>
    <n v="95024.6"/>
    <x v="0"/>
  </r>
  <r>
    <x v="8"/>
    <x v="0"/>
    <x v="2"/>
    <x v="3"/>
    <x v="25"/>
    <x v="1"/>
    <x v="1"/>
    <n v="14"/>
    <n v="72691.899999999994"/>
    <n v="210826.07"/>
    <x v="0"/>
  </r>
  <r>
    <x v="8"/>
    <x v="0"/>
    <x v="2"/>
    <x v="3"/>
    <x v="26"/>
    <x v="0"/>
    <x v="0"/>
    <n v="2"/>
    <n v="9242.86"/>
    <n v="38956.19"/>
    <x v="0"/>
  </r>
  <r>
    <x v="8"/>
    <x v="0"/>
    <x v="2"/>
    <x v="3"/>
    <x v="26"/>
    <x v="0"/>
    <x v="1"/>
    <n v="1"/>
    <n v="4393.6099999999997"/>
    <n v="19003.02"/>
    <x v="0"/>
  </r>
  <r>
    <x v="8"/>
    <x v="0"/>
    <x v="2"/>
    <x v="3"/>
    <x v="26"/>
    <x v="1"/>
    <x v="0"/>
    <n v="2"/>
    <n v="14004.84"/>
    <n v="41958.67"/>
    <x v="0"/>
  </r>
  <r>
    <x v="8"/>
    <x v="0"/>
    <x v="2"/>
    <x v="3"/>
    <x v="26"/>
    <x v="1"/>
    <x v="1"/>
    <n v="24"/>
    <n v="151316.88"/>
    <n v="442483.1"/>
    <x v="0"/>
  </r>
  <r>
    <x v="8"/>
    <x v="0"/>
    <x v="2"/>
    <x v="3"/>
    <x v="27"/>
    <x v="0"/>
    <x v="0"/>
    <n v="1"/>
    <n v="4328.9399999999996"/>
    <n v="19003.02"/>
    <x v="0"/>
  </r>
  <r>
    <x v="8"/>
    <x v="0"/>
    <x v="2"/>
    <x v="3"/>
    <x v="27"/>
    <x v="0"/>
    <x v="1"/>
    <n v="12"/>
    <n v="66764.87"/>
    <n v="286945.58"/>
    <x v="0"/>
  </r>
  <r>
    <x v="8"/>
    <x v="0"/>
    <x v="2"/>
    <x v="3"/>
    <x v="27"/>
    <x v="1"/>
    <x v="0"/>
    <n v="3"/>
    <n v="18950.47"/>
    <n v="54033.18"/>
    <x v="0"/>
  </r>
  <r>
    <x v="8"/>
    <x v="0"/>
    <x v="2"/>
    <x v="3"/>
    <x v="27"/>
    <x v="1"/>
    <x v="1"/>
    <n v="32"/>
    <n v="150356.66"/>
    <n v="440320.98"/>
    <x v="0"/>
  </r>
  <r>
    <x v="8"/>
    <x v="0"/>
    <x v="3"/>
    <x v="0"/>
    <x v="0"/>
    <x v="0"/>
    <x v="0"/>
    <n v="4"/>
    <n v="22259.22"/>
    <n v="100240.72"/>
    <x v="0"/>
  </r>
  <r>
    <x v="8"/>
    <x v="0"/>
    <x v="3"/>
    <x v="0"/>
    <x v="0"/>
    <x v="0"/>
    <x v="1"/>
    <n v="1"/>
    <n v="5584.5"/>
    <n v="25060.18"/>
    <x v="0"/>
  </r>
  <r>
    <x v="8"/>
    <x v="0"/>
    <x v="3"/>
    <x v="0"/>
    <x v="1"/>
    <x v="0"/>
    <x v="0"/>
    <n v="6"/>
    <n v="32315.48"/>
    <n v="144913.21"/>
    <x v="0"/>
  </r>
  <r>
    <x v="8"/>
    <x v="0"/>
    <x v="3"/>
    <x v="0"/>
    <x v="1"/>
    <x v="0"/>
    <x v="1"/>
    <n v="4"/>
    <n v="23035.93"/>
    <n v="105556.25"/>
    <x v="0"/>
  </r>
  <r>
    <x v="8"/>
    <x v="0"/>
    <x v="3"/>
    <x v="0"/>
    <x v="1"/>
    <x v="1"/>
    <x v="0"/>
    <n v="6"/>
    <n v="33369.660000000003"/>
    <n v="96682.18"/>
    <x v="0"/>
  </r>
  <r>
    <x v="8"/>
    <x v="0"/>
    <x v="3"/>
    <x v="0"/>
    <x v="1"/>
    <x v="1"/>
    <x v="1"/>
    <n v="27"/>
    <n v="154472.38"/>
    <n v="446903.71"/>
    <x v="0"/>
  </r>
  <r>
    <x v="8"/>
    <x v="0"/>
    <x v="3"/>
    <x v="0"/>
    <x v="2"/>
    <x v="0"/>
    <x v="1"/>
    <n v="2"/>
    <n v="12202.54"/>
    <n v="55435.89"/>
    <x v="0"/>
  </r>
  <r>
    <x v="8"/>
    <x v="0"/>
    <x v="3"/>
    <x v="0"/>
    <x v="2"/>
    <x v="1"/>
    <x v="0"/>
    <n v="4"/>
    <n v="20287.7"/>
    <n v="57643.43"/>
    <x v="0"/>
  </r>
  <r>
    <x v="8"/>
    <x v="0"/>
    <x v="3"/>
    <x v="0"/>
    <x v="2"/>
    <x v="1"/>
    <x v="1"/>
    <n v="12"/>
    <n v="63657.68"/>
    <n v="177419.66"/>
    <x v="0"/>
  </r>
  <r>
    <x v="8"/>
    <x v="0"/>
    <x v="3"/>
    <x v="0"/>
    <x v="3"/>
    <x v="0"/>
    <x v="0"/>
    <n v="1"/>
    <n v="5475.1"/>
    <n v="25060.18"/>
    <x v="0"/>
  </r>
  <r>
    <x v="8"/>
    <x v="0"/>
    <x v="3"/>
    <x v="0"/>
    <x v="3"/>
    <x v="0"/>
    <x v="1"/>
    <n v="5"/>
    <n v="30292.27"/>
    <n v="135931.96"/>
    <x v="0"/>
  </r>
  <r>
    <x v="8"/>
    <x v="0"/>
    <x v="3"/>
    <x v="0"/>
    <x v="3"/>
    <x v="1"/>
    <x v="0"/>
    <n v="15"/>
    <n v="94057.34"/>
    <n v="275316.34999999998"/>
    <x v="0"/>
  </r>
  <r>
    <x v="8"/>
    <x v="0"/>
    <x v="3"/>
    <x v="0"/>
    <x v="3"/>
    <x v="1"/>
    <x v="1"/>
    <n v="16"/>
    <n v="99436.91"/>
    <n v="286296.09000000003"/>
    <x v="0"/>
  </r>
  <r>
    <x v="8"/>
    <x v="0"/>
    <x v="3"/>
    <x v="0"/>
    <x v="28"/>
    <x v="1"/>
    <x v="1"/>
    <n v="6"/>
    <n v="32617.99"/>
    <n v="95485.82"/>
    <x v="0"/>
  </r>
  <r>
    <x v="8"/>
    <x v="0"/>
    <x v="3"/>
    <x v="0"/>
    <x v="4"/>
    <x v="1"/>
    <x v="0"/>
    <n v="13"/>
    <n v="75140.33"/>
    <n v="219488.55"/>
    <x v="0"/>
  </r>
  <r>
    <x v="8"/>
    <x v="0"/>
    <x v="3"/>
    <x v="0"/>
    <x v="4"/>
    <x v="1"/>
    <x v="1"/>
    <n v="14"/>
    <n v="71227.59"/>
    <n v="207803.37"/>
    <x v="0"/>
  </r>
  <r>
    <x v="8"/>
    <x v="0"/>
    <x v="3"/>
    <x v="0"/>
    <x v="5"/>
    <x v="0"/>
    <x v="1"/>
    <n v="4"/>
    <n v="23735.88"/>
    <n v="108824.97"/>
    <x v="0"/>
  </r>
  <r>
    <x v="8"/>
    <x v="0"/>
    <x v="3"/>
    <x v="0"/>
    <x v="5"/>
    <x v="1"/>
    <x v="0"/>
    <n v="2"/>
    <n v="11147.98"/>
    <n v="31920.68"/>
    <x v="0"/>
  </r>
  <r>
    <x v="8"/>
    <x v="0"/>
    <x v="3"/>
    <x v="0"/>
    <x v="5"/>
    <x v="1"/>
    <x v="1"/>
    <n v="33"/>
    <n v="191281.22"/>
    <n v="565914.13"/>
    <x v="0"/>
  </r>
  <r>
    <x v="8"/>
    <x v="0"/>
    <x v="3"/>
    <x v="0"/>
    <x v="6"/>
    <x v="0"/>
    <x v="1"/>
    <n v="2"/>
    <n v="10593.72"/>
    <n v="46851.64"/>
    <x v="0"/>
  </r>
  <r>
    <x v="8"/>
    <x v="0"/>
    <x v="3"/>
    <x v="0"/>
    <x v="7"/>
    <x v="1"/>
    <x v="1"/>
    <n v="11"/>
    <n v="69463.3"/>
    <n v="209902.26"/>
    <x v="0"/>
  </r>
  <r>
    <x v="8"/>
    <x v="0"/>
    <x v="3"/>
    <x v="0"/>
    <x v="8"/>
    <x v="0"/>
    <x v="1"/>
    <n v="1"/>
    <n v="5777.28"/>
    <n v="25060.18"/>
    <x v="0"/>
  </r>
  <r>
    <x v="8"/>
    <x v="0"/>
    <x v="3"/>
    <x v="0"/>
    <x v="8"/>
    <x v="1"/>
    <x v="1"/>
    <n v="10"/>
    <n v="59263.93"/>
    <n v="162688.89000000001"/>
    <x v="0"/>
  </r>
  <r>
    <x v="8"/>
    <x v="0"/>
    <x v="3"/>
    <x v="1"/>
    <x v="30"/>
    <x v="1"/>
    <x v="0"/>
    <n v="3"/>
    <n v="21907.17"/>
    <n v="69543.039999999994"/>
    <x v="0"/>
  </r>
  <r>
    <x v="8"/>
    <x v="0"/>
    <x v="3"/>
    <x v="1"/>
    <x v="9"/>
    <x v="1"/>
    <x v="1"/>
    <n v="3"/>
    <n v="15374.37"/>
    <n v="47226.45"/>
    <x v="0"/>
  </r>
  <r>
    <x v="8"/>
    <x v="0"/>
    <x v="3"/>
    <x v="1"/>
    <x v="10"/>
    <x v="0"/>
    <x v="0"/>
    <n v="2"/>
    <n v="10675.03"/>
    <n v="46851.64"/>
    <x v="0"/>
  </r>
  <r>
    <x v="8"/>
    <x v="0"/>
    <x v="3"/>
    <x v="1"/>
    <x v="10"/>
    <x v="0"/>
    <x v="1"/>
    <n v="3"/>
    <n v="16596.04"/>
    <n v="75180.539999999994"/>
    <x v="0"/>
  </r>
  <r>
    <x v="8"/>
    <x v="0"/>
    <x v="3"/>
    <x v="1"/>
    <x v="10"/>
    <x v="1"/>
    <x v="0"/>
    <n v="8"/>
    <n v="48753"/>
    <n v="148437.26"/>
    <x v="0"/>
  </r>
  <r>
    <x v="8"/>
    <x v="0"/>
    <x v="3"/>
    <x v="1"/>
    <x v="10"/>
    <x v="1"/>
    <x v="1"/>
    <n v="43"/>
    <n v="238850.19"/>
    <n v="727137.82"/>
    <x v="0"/>
  </r>
  <r>
    <x v="8"/>
    <x v="0"/>
    <x v="3"/>
    <x v="1"/>
    <x v="11"/>
    <x v="0"/>
    <x v="1"/>
    <n v="15"/>
    <n v="88776.09"/>
    <n v="397164.82"/>
    <x v="0"/>
  </r>
  <r>
    <x v="8"/>
    <x v="0"/>
    <x v="3"/>
    <x v="1"/>
    <x v="11"/>
    <x v="1"/>
    <x v="0"/>
    <n v="12"/>
    <n v="73924.28"/>
    <n v="219118.89"/>
    <x v="0"/>
  </r>
  <r>
    <x v="8"/>
    <x v="0"/>
    <x v="3"/>
    <x v="1"/>
    <x v="11"/>
    <x v="1"/>
    <x v="1"/>
    <n v="25"/>
    <n v="144911.1"/>
    <n v="425833.82"/>
    <x v="0"/>
  </r>
  <r>
    <x v="8"/>
    <x v="0"/>
    <x v="3"/>
    <x v="1"/>
    <x v="13"/>
    <x v="0"/>
    <x v="1"/>
    <n v="10"/>
    <n v="57182.39"/>
    <n v="258921.37"/>
    <x v="0"/>
  </r>
  <r>
    <x v="8"/>
    <x v="0"/>
    <x v="3"/>
    <x v="1"/>
    <x v="13"/>
    <x v="1"/>
    <x v="0"/>
    <n v="2"/>
    <n v="14627.68"/>
    <n v="45823.71"/>
    <x v="0"/>
  </r>
  <r>
    <x v="8"/>
    <x v="0"/>
    <x v="3"/>
    <x v="1"/>
    <x v="13"/>
    <x v="1"/>
    <x v="1"/>
    <n v="16"/>
    <n v="92241.46"/>
    <n v="279971.01"/>
    <x v="0"/>
  </r>
  <r>
    <x v="8"/>
    <x v="0"/>
    <x v="3"/>
    <x v="1"/>
    <x v="14"/>
    <x v="0"/>
    <x v="1"/>
    <n v="2"/>
    <n v="12213.66"/>
    <n v="56525.46"/>
    <x v="0"/>
  </r>
  <r>
    <x v="8"/>
    <x v="0"/>
    <x v="3"/>
    <x v="1"/>
    <x v="14"/>
    <x v="1"/>
    <x v="0"/>
    <n v="15"/>
    <n v="85948.39"/>
    <n v="263104.46000000002"/>
    <x v="0"/>
  </r>
  <r>
    <x v="8"/>
    <x v="0"/>
    <x v="3"/>
    <x v="1"/>
    <x v="14"/>
    <x v="1"/>
    <x v="1"/>
    <n v="7"/>
    <n v="35857.83"/>
    <n v="108143.42"/>
    <x v="0"/>
  </r>
  <r>
    <x v="8"/>
    <x v="0"/>
    <x v="3"/>
    <x v="1"/>
    <x v="15"/>
    <x v="1"/>
    <x v="0"/>
    <n v="1"/>
    <n v="4951.22"/>
    <n v="15810.79"/>
    <x v="0"/>
  </r>
  <r>
    <x v="8"/>
    <x v="0"/>
    <x v="3"/>
    <x v="1"/>
    <x v="15"/>
    <x v="1"/>
    <x v="1"/>
    <n v="4"/>
    <n v="28636.55"/>
    <n v="87061.48"/>
    <x v="0"/>
  </r>
  <r>
    <x v="8"/>
    <x v="0"/>
    <x v="3"/>
    <x v="1"/>
    <x v="16"/>
    <x v="1"/>
    <x v="0"/>
    <n v="5"/>
    <n v="27553.85"/>
    <n v="82447.990000000005"/>
    <x v="0"/>
  </r>
  <r>
    <x v="8"/>
    <x v="0"/>
    <x v="3"/>
    <x v="1"/>
    <x v="16"/>
    <x v="1"/>
    <x v="1"/>
    <n v="11"/>
    <n v="59823.35"/>
    <n v="177083.94"/>
    <x v="0"/>
  </r>
  <r>
    <x v="8"/>
    <x v="0"/>
    <x v="3"/>
    <x v="1"/>
    <x v="17"/>
    <x v="0"/>
    <x v="1"/>
    <n v="3"/>
    <n v="15559.1"/>
    <n v="69732.67"/>
    <x v="0"/>
  </r>
  <r>
    <x v="8"/>
    <x v="0"/>
    <x v="3"/>
    <x v="1"/>
    <x v="17"/>
    <x v="1"/>
    <x v="0"/>
    <n v="2"/>
    <n v="15445.86"/>
    <n v="44679.8"/>
    <x v="0"/>
  </r>
  <r>
    <x v="8"/>
    <x v="0"/>
    <x v="3"/>
    <x v="1"/>
    <x v="17"/>
    <x v="1"/>
    <x v="1"/>
    <n v="1"/>
    <n v="4822.59"/>
    <n v="14469.53"/>
    <x v="0"/>
  </r>
  <r>
    <x v="8"/>
    <x v="0"/>
    <x v="3"/>
    <x v="1"/>
    <x v="18"/>
    <x v="0"/>
    <x v="1"/>
    <n v="19"/>
    <n v="110996.86"/>
    <n v="498495.11"/>
    <x v="0"/>
  </r>
  <r>
    <x v="8"/>
    <x v="0"/>
    <x v="3"/>
    <x v="1"/>
    <x v="18"/>
    <x v="1"/>
    <x v="0"/>
    <n v="2"/>
    <n v="15193.96"/>
    <n v="46765.760000000002"/>
    <x v="0"/>
  </r>
  <r>
    <x v="8"/>
    <x v="0"/>
    <x v="3"/>
    <x v="1"/>
    <x v="18"/>
    <x v="1"/>
    <x v="1"/>
    <n v="23"/>
    <n v="144380.51"/>
    <n v="452484.87"/>
    <x v="0"/>
  </r>
  <r>
    <x v="8"/>
    <x v="0"/>
    <x v="3"/>
    <x v="1"/>
    <x v="19"/>
    <x v="0"/>
    <x v="1"/>
    <n v="5"/>
    <n v="31371.38"/>
    <n v="139200.68"/>
    <x v="0"/>
  </r>
  <r>
    <x v="8"/>
    <x v="0"/>
    <x v="3"/>
    <x v="1"/>
    <x v="19"/>
    <x v="1"/>
    <x v="0"/>
    <n v="11"/>
    <n v="75542.13"/>
    <n v="230400.43"/>
    <x v="0"/>
  </r>
  <r>
    <x v="8"/>
    <x v="0"/>
    <x v="3"/>
    <x v="1"/>
    <x v="19"/>
    <x v="1"/>
    <x v="1"/>
    <n v="21"/>
    <n v="133783.88"/>
    <n v="410912.5"/>
    <x v="0"/>
  </r>
  <r>
    <x v="8"/>
    <x v="0"/>
    <x v="3"/>
    <x v="1"/>
    <x v="20"/>
    <x v="0"/>
    <x v="0"/>
    <n v="2"/>
    <n v="11069.56"/>
    <n v="50120.36"/>
    <x v="0"/>
  </r>
  <r>
    <x v="8"/>
    <x v="0"/>
    <x v="3"/>
    <x v="1"/>
    <x v="20"/>
    <x v="0"/>
    <x v="1"/>
    <n v="9"/>
    <n v="54255.81"/>
    <n v="245846.5"/>
    <x v="0"/>
  </r>
  <r>
    <x v="8"/>
    <x v="0"/>
    <x v="3"/>
    <x v="1"/>
    <x v="20"/>
    <x v="1"/>
    <x v="0"/>
    <n v="6"/>
    <n v="34037.19"/>
    <n v="95548.08"/>
    <x v="0"/>
  </r>
  <r>
    <x v="8"/>
    <x v="0"/>
    <x v="3"/>
    <x v="1"/>
    <x v="20"/>
    <x v="1"/>
    <x v="1"/>
    <n v="31"/>
    <n v="188344.49"/>
    <n v="565287.96"/>
    <x v="0"/>
  </r>
  <r>
    <x v="8"/>
    <x v="0"/>
    <x v="3"/>
    <x v="2"/>
    <x v="21"/>
    <x v="1"/>
    <x v="1"/>
    <n v="6"/>
    <n v="29697.7"/>
    <n v="81616.649999999994"/>
    <x v="0"/>
  </r>
  <r>
    <x v="8"/>
    <x v="0"/>
    <x v="3"/>
    <x v="2"/>
    <x v="22"/>
    <x v="0"/>
    <x v="1"/>
    <n v="3"/>
    <n v="17962.66"/>
    <n v="81585.64"/>
    <x v="0"/>
  </r>
  <r>
    <x v="8"/>
    <x v="0"/>
    <x v="3"/>
    <x v="2"/>
    <x v="22"/>
    <x v="1"/>
    <x v="0"/>
    <n v="7"/>
    <n v="49091.73"/>
    <n v="132970.59"/>
    <x v="0"/>
  </r>
  <r>
    <x v="8"/>
    <x v="0"/>
    <x v="3"/>
    <x v="2"/>
    <x v="22"/>
    <x v="1"/>
    <x v="1"/>
    <n v="14"/>
    <n v="71659.98"/>
    <n v="193947.5"/>
    <x v="0"/>
  </r>
  <r>
    <x v="8"/>
    <x v="0"/>
    <x v="3"/>
    <x v="2"/>
    <x v="29"/>
    <x v="1"/>
    <x v="1"/>
    <n v="4"/>
    <n v="24538.48"/>
    <n v="70409.759999999995"/>
    <x v="0"/>
  </r>
  <r>
    <x v="8"/>
    <x v="0"/>
    <x v="3"/>
    <x v="2"/>
    <x v="23"/>
    <x v="1"/>
    <x v="1"/>
    <n v="4"/>
    <n v="24870.32"/>
    <n v="69511.839999999997"/>
    <x v="0"/>
  </r>
  <r>
    <x v="8"/>
    <x v="0"/>
    <x v="3"/>
    <x v="2"/>
    <x v="24"/>
    <x v="0"/>
    <x v="1"/>
    <n v="1"/>
    <n v="7266.54"/>
    <n v="33644.43"/>
    <x v="0"/>
  </r>
  <r>
    <x v="8"/>
    <x v="0"/>
    <x v="3"/>
    <x v="2"/>
    <x v="24"/>
    <x v="1"/>
    <x v="0"/>
    <n v="2"/>
    <n v="9537.18"/>
    <n v="27021.41"/>
    <x v="0"/>
  </r>
  <r>
    <x v="8"/>
    <x v="0"/>
    <x v="3"/>
    <x v="3"/>
    <x v="25"/>
    <x v="0"/>
    <x v="1"/>
    <n v="1"/>
    <n v="7181.37"/>
    <n v="33644.43"/>
    <x v="0"/>
  </r>
  <r>
    <x v="8"/>
    <x v="0"/>
    <x v="3"/>
    <x v="3"/>
    <x v="25"/>
    <x v="1"/>
    <x v="0"/>
    <n v="7"/>
    <n v="45943.02"/>
    <n v="143684.41"/>
    <x v="0"/>
  </r>
  <r>
    <x v="8"/>
    <x v="0"/>
    <x v="3"/>
    <x v="3"/>
    <x v="25"/>
    <x v="1"/>
    <x v="1"/>
    <n v="10"/>
    <n v="55282.11"/>
    <n v="170078.85"/>
    <x v="0"/>
  </r>
  <r>
    <x v="8"/>
    <x v="0"/>
    <x v="3"/>
    <x v="3"/>
    <x v="26"/>
    <x v="0"/>
    <x v="0"/>
    <n v="4"/>
    <n v="24528.45"/>
    <n v="113050.92"/>
    <x v="0"/>
  </r>
  <r>
    <x v="8"/>
    <x v="0"/>
    <x v="3"/>
    <x v="3"/>
    <x v="26"/>
    <x v="0"/>
    <x v="1"/>
    <n v="1"/>
    <n v="7407.96"/>
    <n v="33644.43"/>
    <x v="0"/>
  </r>
  <r>
    <x v="8"/>
    <x v="0"/>
    <x v="3"/>
    <x v="3"/>
    <x v="26"/>
    <x v="1"/>
    <x v="0"/>
    <n v="5"/>
    <n v="24380.400000000001"/>
    <n v="75180.539999999994"/>
    <x v="0"/>
  </r>
  <r>
    <x v="8"/>
    <x v="0"/>
    <x v="3"/>
    <x v="3"/>
    <x v="26"/>
    <x v="1"/>
    <x v="1"/>
    <n v="22"/>
    <n v="127081.92"/>
    <n v="392737.65"/>
    <x v="0"/>
  </r>
  <r>
    <x v="8"/>
    <x v="0"/>
    <x v="3"/>
    <x v="3"/>
    <x v="27"/>
    <x v="0"/>
    <x v="0"/>
    <n v="1"/>
    <n v="7141.06"/>
    <n v="33644.43"/>
    <x v="0"/>
  </r>
  <r>
    <x v="8"/>
    <x v="0"/>
    <x v="3"/>
    <x v="3"/>
    <x v="27"/>
    <x v="0"/>
    <x v="1"/>
    <n v="5"/>
    <n v="35034.050000000003"/>
    <n v="156369.18"/>
    <x v="0"/>
  </r>
  <r>
    <x v="8"/>
    <x v="0"/>
    <x v="3"/>
    <x v="3"/>
    <x v="27"/>
    <x v="1"/>
    <x v="0"/>
    <n v="6"/>
    <n v="36320.370000000003"/>
    <n v="106519.66"/>
    <x v="0"/>
  </r>
  <r>
    <x v="8"/>
    <x v="0"/>
    <x v="3"/>
    <x v="3"/>
    <x v="27"/>
    <x v="1"/>
    <x v="1"/>
    <n v="32"/>
    <n v="202374.97"/>
    <n v="613306.89"/>
    <x v="0"/>
  </r>
  <r>
    <x v="8"/>
    <x v="0"/>
    <x v="4"/>
    <x v="0"/>
    <x v="0"/>
    <x v="0"/>
    <x v="0"/>
    <n v="1"/>
    <n v="4799.43"/>
    <n v="21659.360000000001"/>
    <x v="0"/>
  </r>
  <r>
    <x v="8"/>
    <x v="0"/>
    <x v="4"/>
    <x v="0"/>
    <x v="0"/>
    <x v="1"/>
    <x v="0"/>
    <n v="5"/>
    <n v="24333.51"/>
    <n v="69219.64"/>
    <x v="0"/>
  </r>
  <r>
    <x v="8"/>
    <x v="0"/>
    <x v="4"/>
    <x v="0"/>
    <x v="0"/>
    <x v="1"/>
    <x v="1"/>
    <n v="7"/>
    <n v="34445.019999999997"/>
    <n v="99156.55"/>
    <x v="0"/>
  </r>
  <r>
    <x v="8"/>
    <x v="0"/>
    <x v="4"/>
    <x v="0"/>
    <x v="1"/>
    <x v="0"/>
    <x v="0"/>
    <n v="2"/>
    <n v="12262.16"/>
    <n v="57443.69"/>
    <x v="0"/>
  </r>
  <r>
    <x v="8"/>
    <x v="0"/>
    <x v="4"/>
    <x v="0"/>
    <x v="1"/>
    <x v="0"/>
    <x v="1"/>
    <n v="2"/>
    <n v="12470.51"/>
    <n v="57443.69"/>
    <x v="0"/>
  </r>
  <r>
    <x v="8"/>
    <x v="0"/>
    <x v="4"/>
    <x v="0"/>
    <x v="1"/>
    <x v="1"/>
    <x v="0"/>
    <n v="14"/>
    <n v="75481.77"/>
    <n v="217864.31"/>
    <x v="0"/>
  </r>
  <r>
    <x v="8"/>
    <x v="0"/>
    <x v="4"/>
    <x v="0"/>
    <x v="1"/>
    <x v="1"/>
    <x v="1"/>
    <n v="12"/>
    <n v="63398.39"/>
    <n v="184694.49"/>
    <x v="0"/>
  </r>
  <r>
    <x v="8"/>
    <x v="0"/>
    <x v="4"/>
    <x v="0"/>
    <x v="2"/>
    <x v="0"/>
    <x v="1"/>
    <n v="2"/>
    <n v="10246.26"/>
    <n v="46567.63"/>
    <x v="0"/>
  </r>
  <r>
    <x v="8"/>
    <x v="0"/>
    <x v="4"/>
    <x v="0"/>
    <x v="2"/>
    <x v="1"/>
    <x v="0"/>
    <n v="6"/>
    <n v="39220.589999999997"/>
    <n v="114472.94"/>
    <x v="0"/>
  </r>
  <r>
    <x v="8"/>
    <x v="0"/>
    <x v="4"/>
    <x v="0"/>
    <x v="2"/>
    <x v="1"/>
    <x v="1"/>
    <n v="12"/>
    <n v="60917.2"/>
    <n v="174418.84"/>
    <x v="0"/>
  </r>
  <r>
    <x v="8"/>
    <x v="0"/>
    <x v="4"/>
    <x v="0"/>
    <x v="3"/>
    <x v="1"/>
    <x v="0"/>
    <n v="10"/>
    <n v="46667.34"/>
    <n v="136843.42000000001"/>
    <x v="0"/>
  </r>
  <r>
    <x v="8"/>
    <x v="0"/>
    <x v="4"/>
    <x v="0"/>
    <x v="3"/>
    <x v="1"/>
    <x v="1"/>
    <n v="28"/>
    <n v="139968.65"/>
    <n v="418359.25"/>
    <x v="0"/>
  </r>
  <r>
    <x v="8"/>
    <x v="0"/>
    <x v="4"/>
    <x v="0"/>
    <x v="28"/>
    <x v="1"/>
    <x v="1"/>
    <n v="5"/>
    <n v="23871.62"/>
    <n v="72950.89"/>
    <x v="0"/>
  </r>
  <r>
    <x v="8"/>
    <x v="0"/>
    <x v="4"/>
    <x v="0"/>
    <x v="4"/>
    <x v="0"/>
    <x v="1"/>
    <n v="5"/>
    <n v="26779.05"/>
    <n v="122421.77"/>
    <x v="0"/>
  </r>
  <r>
    <x v="8"/>
    <x v="0"/>
    <x v="4"/>
    <x v="0"/>
    <x v="4"/>
    <x v="1"/>
    <x v="0"/>
    <n v="7"/>
    <n v="38990.620000000003"/>
    <n v="114521.93"/>
    <x v="0"/>
  </r>
  <r>
    <x v="8"/>
    <x v="0"/>
    <x v="4"/>
    <x v="0"/>
    <x v="4"/>
    <x v="1"/>
    <x v="1"/>
    <n v="6"/>
    <n v="31622.98"/>
    <n v="93568.45"/>
    <x v="0"/>
  </r>
  <r>
    <x v="8"/>
    <x v="0"/>
    <x v="4"/>
    <x v="0"/>
    <x v="5"/>
    <x v="1"/>
    <x v="0"/>
    <n v="1"/>
    <n v="4623.67"/>
    <n v="14273.52"/>
    <x v="0"/>
  </r>
  <r>
    <x v="8"/>
    <x v="0"/>
    <x v="4"/>
    <x v="0"/>
    <x v="5"/>
    <x v="1"/>
    <x v="1"/>
    <n v="19"/>
    <n v="107805.52"/>
    <n v="332786.96000000002"/>
    <x v="0"/>
  </r>
  <r>
    <x v="8"/>
    <x v="0"/>
    <x v="4"/>
    <x v="0"/>
    <x v="6"/>
    <x v="0"/>
    <x v="1"/>
    <n v="1"/>
    <n v="5383.11"/>
    <n v="24908.27"/>
    <x v="0"/>
  </r>
  <r>
    <x v="8"/>
    <x v="0"/>
    <x v="4"/>
    <x v="0"/>
    <x v="6"/>
    <x v="1"/>
    <x v="1"/>
    <n v="6"/>
    <n v="29789.32"/>
    <n v="89173.65"/>
    <x v="0"/>
  </r>
  <r>
    <x v="8"/>
    <x v="0"/>
    <x v="4"/>
    <x v="0"/>
    <x v="7"/>
    <x v="1"/>
    <x v="1"/>
    <n v="1"/>
    <n v="4674.05"/>
    <n v="14468.45"/>
    <x v="0"/>
  </r>
  <r>
    <x v="8"/>
    <x v="0"/>
    <x v="4"/>
    <x v="0"/>
    <x v="8"/>
    <x v="1"/>
    <x v="1"/>
    <n v="3"/>
    <n v="15808.84"/>
    <n v="45530.15"/>
    <x v="0"/>
  </r>
  <r>
    <x v="8"/>
    <x v="0"/>
    <x v="4"/>
    <x v="1"/>
    <x v="30"/>
    <x v="1"/>
    <x v="0"/>
    <n v="1"/>
    <n v="4946.5"/>
    <n v="14513.63"/>
    <x v="0"/>
  </r>
  <r>
    <x v="8"/>
    <x v="0"/>
    <x v="4"/>
    <x v="1"/>
    <x v="9"/>
    <x v="1"/>
    <x v="1"/>
    <n v="6"/>
    <n v="28858.28"/>
    <n v="86805.2"/>
    <x v="0"/>
  </r>
  <r>
    <x v="8"/>
    <x v="0"/>
    <x v="4"/>
    <x v="1"/>
    <x v="31"/>
    <x v="1"/>
    <x v="0"/>
    <n v="1"/>
    <n v="4727.62"/>
    <n v="15053.26"/>
    <x v="0"/>
  </r>
  <r>
    <x v="8"/>
    <x v="0"/>
    <x v="4"/>
    <x v="1"/>
    <x v="10"/>
    <x v="0"/>
    <x v="0"/>
    <n v="2"/>
    <n v="10425.92"/>
    <n v="46567.63"/>
    <x v="0"/>
  </r>
  <r>
    <x v="8"/>
    <x v="0"/>
    <x v="4"/>
    <x v="1"/>
    <x v="10"/>
    <x v="1"/>
    <x v="0"/>
    <n v="14"/>
    <n v="81583.28"/>
    <n v="257185.47"/>
    <x v="0"/>
  </r>
  <r>
    <x v="8"/>
    <x v="0"/>
    <x v="4"/>
    <x v="1"/>
    <x v="10"/>
    <x v="1"/>
    <x v="1"/>
    <n v="17"/>
    <n v="92855.12"/>
    <n v="292637.49"/>
    <x v="0"/>
  </r>
  <r>
    <x v="8"/>
    <x v="0"/>
    <x v="4"/>
    <x v="1"/>
    <x v="11"/>
    <x v="0"/>
    <x v="1"/>
    <n v="9"/>
    <n v="45127.39"/>
    <n v="209059.21"/>
    <x v="0"/>
  </r>
  <r>
    <x v="8"/>
    <x v="0"/>
    <x v="4"/>
    <x v="1"/>
    <x v="11"/>
    <x v="1"/>
    <x v="0"/>
    <n v="7"/>
    <n v="37943.35"/>
    <n v="114096.83"/>
    <x v="0"/>
  </r>
  <r>
    <x v="8"/>
    <x v="0"/>
    <x v="4"/>
    <x v="1"/>
    <x v="11"/>
    <x v="1"/>
    <x v="1"/>
    <n v="42"/>
    <n v="228184.75"/>
    <n v="663001.88"/>
    <x v="0"/>
  </r>
  <r>
    <x v="8"/>
    <x v="0"/>
    <x v="4"/>
    <x v="1"/>
    <x v="13"/>
    <x v="0"/>
    <x v="1"/>
    <n v="2"/>
    <n v="10699"/>
    <n v="49816.54"/>
    <x v="0"/>
  </r>
  <r>
    <x v="8"/>
    <x v="0"/>
    <x v="4"/>
    <x v="1"/>
    <x v="13"/>
    <x v="1"/>
    <x v="0"/>
    <n v="1"/>
    <n v="4987.05"/>
    <n v="14048.89"/>
    <x v="0"/>
  </r>
  <r>
    <x v="8"/>
    <x v="0"/>
    <x v="4"/>
    <x v="1"/>
    <x v="13"/>
    <x v="1"/>
    <x v="1"/>
    <n v="27"/>
    <n v="135989.84"/>
    <n v="421911.39"/>
    <x v="0"/>
  </r>
  <r>
    <x v="8"/>
    <x v="0"/>
    <x v="4"/>
    <x v="1"/>
    <x v="14"/>
    <x v="0"/>
    <x v="1"/>
    <n v="1"/>
    <n v="4744.95"/>
    <n v="21659.360000000001"/>
    <x v="0"/>
  </r>
  <r>
    <x v="8"/>
    <x v="0"/>
    <x v="4"/>
    <x v="1"/>
    <x v="14"/>
    <x v="1"/>
    <x v="1"/>
    <n v="6"/>
    <n v="35047.879999999997"/>
    <n v="110776.61"/>
    <x v="0"/>
  </r>
  <r>
    <x v="8"/>
    <x v="0"/>
    <x v="4"/>
    <x v="1"/>
    <x v="15"/>
    <x v="1"/>
    <x v="0"/>
    <n v="2"/>
    <n v="9617.59"/>
    <n v="29933.24"/>
    <x v="0"/>
  </r>
  <r>
    <x v="8"/>
    <x v="0"/>
    <x v="4"/>
    <x v="1"/>
    <x v="16"/>
    <x v="0"/>
    <x v="1"/>
    <n v="1"/>
    <n v="4892.72"/>
    <n v="22742.33"/>
    <x v="0"/>
  </r>
  <r>
    <x v="8"/>
    <x v="0"/>
    <x v="4"/>
    <x v="1"/>
    <x v="16"/>
    <x v="1"/>
    <x v="0"/>
    <n v="4"/>
    <n v="19074.96"/>
    <n v="57720.03"/>
    <x v="0"/>
  </r>
  <r>
    <x v="8"/>
    <x v="0"/>
    <x v="4"/>
    <x v="1"/>
    <x v="16"/>
    <x v="1"/>
    <x v="1"/>
    <n v="6"/>
    <n v="33565.43"/>
    <n v="100932.63"/>
    <x v="0"/>
  </r>
  <r>
    <x v="8"/>
    <x v="0"/>
    <x v="4"/>
    <x v="1"/>
    <x v="17"/>
    <x v="1"/>
    <x v="0"/>
    <n v="3"/>
    <n v="14364.15"/>
    <n v="43330.21"/>
    <x v="0"/>
  </r>
  <r>
    <x v="8"/>
    <x v="0"/>
    <x v="4"/>
    <x v="1"/>
    <x v="17"/>
    <x v="1"/>
    <x v="1"/>
    <n v="1"/>
    <n v="4679.62"/>
    <n v="14381.82"/>
    <x v="0"/>
  </r>
  <r>
    <x v="8"/>
    <x v="0"/>
    <x v="4"/>
    <x v="1"/>
    <x v="18"/>
    <x v="0"/>
    <x v="1"/>
    <n v="5"/>
    <n v="26948.66"/>
    <n v="124587.71"/>
    <x v="0"/>
  </r>
  <r>
    <x v="8"/>
    <x v="0"/>
    <x v="4"/>
    <x v="1"/>
    <x v="18"/>
    <x v="1"/>
    <x v="0"/>
    <n v="9"/>
    <n v="43020.43"/>
    <n v="135479.31"/>
    <x v="0"/>
  </r>
  <r>
    <x v="8"/>
    <x v="0"/>
    <x v="4"/>
    <x v="1"/>
    <x v="18"/>
    <x v="1"/>
    <x v="1"/>
    <n v="33"/>
    <n v="157916.43"/>
    <n v="501273.44"/>
    <x v="0"/>
  </r>
  <r>
    <x v="8"/>
    <x v="0"/>
    <x v="4"/>
    <x v="1"/>
    <x v="19"/>
    <x v="0"/>
    <x v="1"/>
    <n v="6"/>
    <n v="29892.46"/>
    <n v="138619.92000000001"/>
    <x v="0"/>
  </r>
  <r>
    <x v="8"/>
    <x v="0"/>
    <x v="4"/>
    <x v="1"/>
    <x v="19"/>
    <x v="1"/>
    <x v="0"/>
    <n v="19"/>
    <n v="102812.38"/>
    <n v="320921.3"/>
    <x v="0"/>
  </r>
  <r>
    <x v="8"/>
    <x v="0"/>
    <x v="4"/>
    <x v="1"/>
    <x v="19"/>
    <x v="1"/>
    <x v="1"/>
    <n v="21"/>
    <n v="101179.34"/>
    <n v="317515.40000000002"/>
    <x v="0"/>
  </r>
  <r>
    <x v="8"/>
    <x v="0"/>
    <x v="4"/>
    <x v="1"/>
    <x v="20"/>
    <x v="0"/>
    <x v="1"/>
    <n v="5"/>
    <n v="24929.599999999999"/>
    <n v="114794.62"/>
    <x v="0"/>
  </r>
  <r>
    <x v="8"/>
    <x v="0"/>
    <x v="4"/>
    <x v="1"/>
    <x v="20"/>
    <x v="1"/>
    <x v="0"/>
    <n v="18"/>
    <n v="88962.82"/>
    <n v="269970.95"/>
    <x v="0"/>
  </r>
  <r>
    <x v="8"/>
    <x v="0"/>
    <x v="4"/>
    <x v="1"/>
    <x v="20"/>
    <x v="1"/>
    <x v="1"/>
    <n v="5"/>
    <n v="25867.9"/>
    <n v="79729.62"/>
    <x v="0"/>
  </r>
  <r>
    <x v="8"/>
    <x v="0"/>
    <x v="4"/>
    <x v="2"/>
    <x v="21"/>
    <x v="0"/>
    <x v="0"/>
    <n v="1"/>
    <n v="5488.63"/>
    <n v="24908.27"/>
    <x v="0"/>
  </r>
  <r>
    <x v="8"/>
    <x v="0"/>
    <x v="4"/>
    <x v="2"/>
    <x v="21"/>
    <x v="1"/>
    <x v="1"/>
    <n v="5"/>
    <n v="34951.4"/>
    <n v="99070.35"/>
    <x v="0"/>
  </r>
  <r>
    <x v="8"/>
    <x v="0"/>
    <x v="4"/>
    <x v="2"/>
    <x v="22"/>
    <x v="0"/>
    <x v="1"/>
    <n v="2"/>
    <n v="9952.84"/>
    <n v="43318.720000000001"/>
    <x v="0"/>
  </r>
  <r>
    <x v="8"/>
    <x v="0"/>
    <x v="4"/>
    <x v="2"/>
    <x v="22"/>
    <x v="1"/>
    <x v="0"/>
    <n v="7"/>
    <n v="36209.11"/>
    <n v="102226.78"/>
    <x v="0"/>
  </r>
  <r>
    <x v="8"/>
    <x v="0"/>
    <x v="4"/>
    <x v="2"/>
    <x v="22"/>
    <x v="1"/>
    <x v="1"/>
    <n v="13"/>
    <n v="72232.97"/>
    <n v="202595.86"/>
    <x v="0"/>
  </r>
  <r>
    <x v="8"/>
    <x v="0"/>
    <x v="4"/>
    <x v="2"/>
    <x v="29"/>
    <x v="1"/>
    <x v="1"/>
    <n v="2"/>
    <n v="9782.74"/>
    <n v="28027.21"/>
    <x v="0"/>
  </r>
  <r>
    <x v="8"/>
    <x v="0"/>
    <x v="4"/>
    <x v="2"/>
    <x v="23"/>
    <x v="1"/>
    <x v="1"/>
    <n v="10"/>
    <n v="51918.5"/>
    <n v="149279.54999999999"/>
    <x v="0"/>
  </r>
  <r>
    <x v="8"/>
    <x v="0"/>
    <x v="4"/>
    <x v="3"/>
    <x v="25"/>
    <x v="0"/>
    <x v="1"/>
    <n v="2"/>
    <n v="9369.44"/>
    <n v="43318.720000000001"/>
    <x v="0"/>
  </r>
  <r>
    <x v="8"/>
    <x v="0"/>
    <x v="4"/>
    <x v="3"/>
    <x v="25"/>
    <x v="1"/>
    <x v="0"/>
    <n v="7"/>
    <n v="44997.88"/>
    <n v="144074.47"/>
    <x v="0"/>
  </r>
  <r>
    <x v="8"/>
    <x v="0"/>
    <x v="4"/>
    <x v="3"/>
    <x v="25"/>
    <x v="1"/>
    <x v="1"/>
    <n v="4"/>
    <n v="19613.16"/>
    <n v="61572.14"/>
    <x v="0"/>
  </r>
  <r>
    <x v="8"/>
    <x v="0"/>
    <x v="4"/>
    <x v="3"/>
    <x v="26"/>
    <x v="0"/>
    <x v="0"/>
    <n v="2"/>
    <n v="9585.59"/>
    <n v="43318.720000000001"/>
    <x v="0"/>
  </r>
  <r>
    <x v="8"/>
    <x v="0"/>
    <x v="4"/>
    <x v="3"/>
    <x v="26"/>
    <x v="0"/>
    <x v="1"/>
    <n v="1"/>
    <n v="4712.97"/>
    <n v="21659.360000000001"/>
    <x v="0"/>
  </r>
  <r>
    <x v="8"/>
    <x v="0"/>
    <x v="4"/>
    <x v="3"/>
    <x v="26"/>
    <x v="1"/>
    <x v="0"/>
    <n v="12"/>
    <n v="58052.480000000003"/>
    <n v="186869.84"/>
    <x v="0"/>
  </r>
  <r>
    <x v="8"/>
    <x v="0"/>
    <x v="4"/>
    <x v="3"/>
    <x v="26"/>
    <x v="1"/>
    <x v="1"/>
    <n v="10"/>
    <n v="50062.39"/>
    <n v="158416.57999999999"/>
    <x v="0"/>
  </r>
  <r>
    <x v="8"/>
    <x v="0"/>
    <x v="4"/>
    <x v="3"/>
    <x v="27"/>
    <x v="0"/>
    <x v="0"/>
    <n v="2"/>
    <n v="9659.8700000000008"/>
    <n v="45484.66"/>
    <x v="0"/>
  </r>
  <r>
    <x v="8"/>
    <x v="0"/>
    <x v="4"/>
    <x v="3"/>
    <x v="27"/>
    <x v="0"/>
    <x v="1"/>
    <n v="4"/>
    <n v="20113.849999999999"/>
    <n v="93135.26"/>
    <x v="0"/>
  </r>
  <r>
    <x v="8"/>
    <x v="0"/>
    <x v="4"/>
    <x v="3"/>
    <x v="27"/>
    <x v="1"/>
    <x v="0"/>
    <n v="14"/>
    <n v="73970.289999999994"/>
    <n v="227376.69"/>
    <x v="0"/>
  </r>
  <r>
    <x v="8"/>
    <x v="0"/>
    <x v="4"/>
    <x v="3"/>
    <x v="27"/>
    <x v="1"/>
    <x v="1"/>
    <n v="42"/>
    <n v="220594.05"/>
    <n v="685147.9"/>
    <x v="0"/>
  </r>
  <r>
    <x v="8"/>
    <x v="0"/>
    <x v="5"/>
    <x v="0"/>
    <x v="0"/>
    <x v="0"/>
    <x v="0"/>
    <n v="2"/>
    <n v="8402.06"/>
    <n v="34606.74"/>
    <x v="0"/>
  </r>
  <r>
    <x v="8"/>
    <x v="0"/>
    <x v="5"/>
    <x v="0"/>
    <x v="0"/>
    <x v="1"/>
    <x v="0"/>
    <n v="2"/>
    <n v="12604.74"/>
    <n v="34488.089999999997"/>
    <x v="0"/>
  </r>
  <r>
    <x v="8"/>
    <x v="0"/>
    <x v="5"/>
    <x v="0"/>
    <x v="0"/>
    <x v="1"/>
    <x v="1"/>
    <n v="4"/>
    <n v="20016.54"/>
    <n v="53707.41"/>
    <x v="0"/>
  </r>
  <r>
    <x v="8"/>
    <x v="0"/>
    <x v="5"/>
    <x v="0"/>
    <x v="1"/>
    <x v="0"/>
    <x v="0"/>
    <n v="1"/>
    <n v="6685.01"/>
    <n v="26367.040000000001"/>
    <x v="0"/>
  </r>
  <r>
    <x v="8"/>
    <x v="0"/>
    <x v="5"/>
    <x v="0"/>
    <x v="1"/>
    <x v="0"/>
    <x v="1"/>
    <n v="3"/>
    <n v="19505.5"/>
    <n v="79101.119999999995"/>
    <x v="0"/>
  </r>
  <r>
    <x v="8"/>
    <x v="0"/>
    <x v="5"/>
    <x v="0"/>
    <x v="1"/>
    <x v="1"/>
    <x v="0"/>
    <n v="10"/>
    <n v="55363.56"/>
    <n v="147287.93"/>
    <x v="0"/>
  </r>
  <r>
    <x v="8"/>
    <x v="0"/>
    <x v="5"/>
    <x v="0"/>
    <x v="1"/>
    <x v="1"/>
    <x v="1"/>
    <n v="15"/>
    <n v="74482.009999999995"/>
    <n v="194460.14"/>
    <x v="0"/>
  </r>
  <r>
    <x v="8"/>
    <x v="0"/>
    <x v="5"/>
    <x v="0"/>
    <x v="2"/>
    <x v="0"/>
    <x v="1"/>
    <n v="6"/>
    <n v="32722.95"/>
    <n v="132659.17000000001"/>
    <x v="0"/>
  </r>
  <r>
    <x v="8"/>
    <x v="0"/>
    <x v="5"/>
    <x v="0"/>
    <x v="2"/>
    <x v="1"/>
    <x v="1"/>
    <n v="1"/>
    <n v="6314.12"/>
    <n v="16373.93"/>
    <x v="0"/>
  </r>
  <r>
    <x v="8"/>
    <x v="0"/>
    <x v="5"/>
    <x v="0"/>
    <x v="3"/>
    <x v="0"/>
    <x v="0"/>
    <n v="2"/>
    <n v="11428.71"/>
    <n v="45318.35"/>
    <x v="0"/>
  </r>
  <r>
    <x v="8"/>
    <x v="0"/>
    <x v="5"/>
    <x v="0"/>
    <x v="3"/>
    <x v="0"/>
    <x v="1"/>
    <n v="3"/>
    <n v="17563.84"/>
    <n v="71685.39"/>
    <x v="0"/>
  </r>
  <r>
    <x v="8"/>
    <x v="0"/>
    <x v="5"/>
    <x v="0"/>
    <x v="3"/>
    <x v="1"/>
    <x v="0"/>
    <n v="9"/>
    <n v="44659.56"/>
    <n v="117634.9"/>
    <x v="0"/>
  </r>
  <r>
    <x v="8"/>
    <x v="0"/>
    <x v="5"/>
    <x v="0"/>
    <x v="3"/>
    <x v="1"/>
    <x v="1"/>
    <n v="17"/>
    <n v="87738.77"/>
    <n v="225988.71"/>
    <x v="0"/>
  </r>
  <r>
    <x v="8"/>
    <x v="0"/>
    <x v="5"/>
    <x v="0"/>
    <x v="4"/>
    <x v="1"/>
    <x v="1"/>
    <n v="1"/>
    <n v="6573.85"/>
    <n v="16874.91"/>
    <x v="0"/>
  </r>
  <r>
    <x v="8"/>
    <x v="0"/>
    <x v="5"/>
    <x v="0"/>
    <x v="5"/>
    <x v="0"/>
    <x v="1"/>
    <n v="3"/>
    <n v="15563.87"/>
    <n v="64269.66"/>
    <x v="0"/>
  </r>
  <r>
    <x v="8"/>
    <x v="0"/>
    <x v="5"/>
    <x v="0"/>
    <x v="5"/>
    <x v="1"/>
    <x v="1"/>
    <n v="7"/>
    <n v="34400.730000000003"/>
    <n v="92852.35"/>
    <x v="0"/>
  </r>
  <r>
    <x v="8"/>
    <x v="0"/>
    <x v="5"/>
    <x v="0"/>
    <x v="6"/>
    <x v="1"/>
    <x v="1"/>
    <n v="3"/>
    <n v="13875.9"/>
    <n v="37353.03"/>
    <x v="0"/>
  </r>
  <r>
    <x v="8"/>
    <x v="0"/>
    <x v="5"/>
    <x v="0"/>
    <x v="7"/>
    <x v="1"/>
    <x v="1"/>
    <n v="1"/>
    <n v="6618.7"/>
    <n v="17613.18"/>
    <x v="0"/>
  </r>
  <r>
    <x v="8"/>
    <x v="0"/>
    <x v="5"/>
    <x v="0"/>
    <x v="8"/>
    <x v="1"/>
    <x v="1"/>
    <n v="1"/>
    <n v="6696.27"/>
    <n v="16795.8"/>
    <x v="0"/>
  </r>
  <r>
    <x v="8"/>
    <x v="0"/>
    <x v="5"/>
    <x v="1"/>
    <x v="30"/>
    <x v="1"/>
    <x v="0"/>
    <n v="1"/>
    <n v="6543.08"/>
    <n v="18166.89"/>
    <x v="0"/>
  </r>
  <r>
    <x v="8"/>
    <x v="0"/>
    <x v="5"/>
    <x v="1"/>
    <x v="9"/>
    <x v="1"/>
    <x v="1"/>
    <n v="3"/>
    <n v="12928.72"/>
    <n v="35714.160000000003"/>
    <x v="0"/>
  </r>
  <r>
    <x v="8"/>
    <x v="0"/>
    <x v="5"/>
    <x v="1"/>
    <x v="31"/>
    <x v="1"/>
    <x v="0"/>
    <n v="1"/>
    <n v="4593.83"/>
    <n v="13171.16"/>
    <x v="0"/>
  </r>
  <r>
    <x v="8"/>
    <x v="0"/>
    <x v="5"/>
    <x v="1"/>
    <x v="10"/>
    <x v="0"/>
    <x v="1"/>
    <n v="2"/>
    <n v="10536.94"/>
    <n v="43670.41"/>
    <x v="0"/>
  </r>
  <r>
    <x v="8"/>
    <x v="0"/>
    <x v="5"/>
    <x v="1"/>
    <x v="10"/>
    <x v="1"/>
    <x v="0"/>
    <n v="1"/>
    <n v="6183.03"/>
    <n v="17982.32"/>
    <x v="0"/>
  </r>
  <r>
    <x v="8"/>
    <x v="0"/>
    <x v="5"/>
    <x v="1"/>
    <x v="10"/>
    <x v="1"/>
    <x v="1"/>
    <n v="19"/>
    <n v="107386.01"/>
    <n v="292108.34000000003"/>
    <x v="0"/>
  </r>
  <r>
    <x v="8"/>
    <x v="0"/>
    <x v="5"/>
    <x v="1"/>
    <x v="11"/>
    <x v="0"/>
    <x v="1"/>
    <n v="13"/>
    <n v="69846.039999999994"/>
    <n v="287565.53000000003"/>
    <x v="0"/>
  </r>
  <r>
    <x v="8"/>
    <x v="0"/>
    <x v="5"/>
    <x v="1"/>
    <x v="11"/>
    <x v="1"/>
    <x v="0"/>
    <n v="7"/>
    <n v="44202.42"/>
    <n v="119970.04"/>
    <x v="0"/>
  </r>
  <r>
    <x v="8"/>
    <x v="0"/>
    <x v="5"/>
    <x v="1"/>
    <x v="11"/>
    <x v="1"/>
    <x v="1"/>
    <n v="21"/>
    <n v="123134.21"/>
    <n v="322244.46999999997"/>
    <x v="0"/>
  </r>
  <r>
    <x v="8"/>
    <x v="0"/>
    <x v="5"/>
    <x v="1"/>
    <x v="13"/>
    <x v="0"/>
    <x v="1"/>
    <n v="5"/>
    <n v="26448.080000000002"/>
    <n v="109588.01"/>
    <x v="0"/>
  </r>
  <r>
    <x v="8"/>
    <x v="0"/>
    <x v="5"/>
    <x v="1"/>
    <x v="13"/>
    <x v="1"/>
    <x v="0"/>
    <n v="7"/>
    <n v="44692.800000000003"/>
    <n v="125691.68"/>
    <x v="0"/>
  </r>
  <r>
    <x v="8"/>
    <x v="0"/>
    <x v="5"/>
    <x v="1"/>
    <x v="13"/>
    <x v="1"/>
    <x v="1"/>
    <n v="10"/>
    <n v="50534.559999999998"/>
    <n v="144208.75"/>
    <x v="0"/>
  </r>
  <r>
    <x v="8"/>
    <x v="0"/>
    <x v="5"/>
    <x v="1"/>
    <x v="14"/>
    <x v="0"/>
    <x v="1"/>
    <n v="2"/>
    <n v="10777.8"/>
    <n v="45318.35"/>
    <x v="0"/>
  </r>
  <r>
    <x v="8"/>
    <x v="0"/>
    <x v="5"/>
    <x v="1"/>
    <x v="14"/>
    <x v="1"/>
    <x v="0"/>
    <n v="11"/>
    <n v="50243.85"/>
    <n v="133199.70000000001"/>
    <x v="0"/>
  </r>
  <r>
    <x v="8"/>
    <x v="0"/>
    <x v="5"/>
    <x v="1"/>
    <x v="14"/>
    <x v="1"/>
    <x v="1"/>
    <n v="5"/>
    <n v="25850.63"/>
    <n v="72103.98"/>
    <x v="0"/>
  </r>
  <r>
    <x v="8"/>
    <x v="0"/>
    <x v="5"/>
    <x v="1"/>
    <x v="16"/>
    <x v="0"/>
    <x v="1"/>
    <n v="2"/>
    <n v="12907.61"/>
    <n v="52734.080000000002"/>
    <x v="0"/>
  </r>
  <r>
    <x v="8"/>
    <x v="0"/>
    <x v="5"/>
    <x v="1"/>
    <x v="16"/>
    <x v="1"/>
    <x v="0"/>
    <n v="2"/>
    <n v="13277.52"/>
    <n v="34699.019999999997"/>
    <x v="0"/>
  </r>
  <r>
    <x v="8"/>
    <x v="0"/>
    <x v="5"/>
    <x v="1"/>
    <x v="16"/>
    <x v="1"/>
    <x v="1"/>
    <n v="5"/>
    <n v="30657.3"/>
    <n v="81868"/>
    <x v="0"/>
  </r>
  <r>
    <x v="8"/>
    <x v="0"/>
    <x v="5"/>
    <x v="1"/>
    <x v="17"/>
    <x v="0"/>
    <x v="1"/>
    <n v="3"/>
    <n v="15622.61"/>
    <n v="64269.66"/>
    <x v="0"/>
  </r>
  <r>
    <x v="8"/>
    <x v="0"/>
    <x v="5"/>
    <x v="1"/>
    <x v="17"/>
    <x v="1"/>
    <x v="0"/>
    <n v="10"/>
    <n v="45541.54"/>
    <n v="122554"/>
    <x v="0"/>
  </r>
  <r>
    <x v="8"/>
    <x v="0"/>
    <x v="5"/>
    <x v="1"/>
    <x v="17"/>
    <x v="1"/>
    <x v="1"/>
    <n v="6"/>
    <n v="29946.880000000001"/>
    <n v="80426.06"/>
    <x v="0"/>
  </r>
  <r>
    <x v="8"/>
    <x v="0"/>
    <x v="5"/>
    <x v="1"/>
    <x v="18"/>
    <x v="0"/>
    <x v="1"/>
    <n v="7"/>
    <n v="36670.730000000003"/>
    <n v="149962.54"/>
    <x v="0"/>
  </r>
  <r>
    <x v="8"/>
    <x v="0"/>
    <x v="5"/>
    <x v="1"/>
    <x v="18"/>
    <x v="1"/>
    <x v="0"/>
    <n v="5"/>
    <n v="33668.65"/>
    <n v="91625.46"/>
    <x v="0"/>
  </r>
  <r>
    <x v="8"/>
    <x v="0"/>
    <x v="5"/>
    <x v="1"/>
    <x v="18"/>
    <x v="1"/>
    <x v="1"/>
    <n v="9"/>
    <n v="46051.01"/>
    <n v="128168.86"/>
    <x v="0"/>
  </r>
  <r>
    <x v="8"/>
    <x v="0"/>
    <x v="5"/>
    <x v="1"/>
    <x v="19"/>
    <x v="0"/>
    <x v="1"/>
    <n v="6"/>
    <n v="36623.910000000003"/>
    <n v="150786.51"/>
    <x v="0"/>
  </r>
  <r>
    <x v="8"/>
    <x v="0"/>
    <x v="5"/>
    <x v="1"/>
    <x v="19"/>
    <x v="1"/>
    <x v="0"/>
    <n v="11"/>
    <n v="53374.86"/>
    <n v="139911.96"/>
    <x v="0"/>
  </r>
  <r>
    <x v="8"/>
    <x v="0"/>
    <x v="5"/>
    <x v="1"/>
    <x v="19"/>
    <x v="1"/>
    <x v="1"/>
    <n v="15"/>
    <n v="83357.440000000002"/>
    <n v="231583.35"/>
    <x v="0"/>
  </r>
  <r>
    <x v="8"/>
    <x v="0"/>
    <x v="5"/>
    <x v="1"/>
    <x v="20"/>
    <x v="0"/>
    <x v="1"/>
    <n v="12"/>
    <n v="64173.97"/>
    <n v="259550.55"/>
    <x v="0"/>
  </r>
  <r>
    <x v="8"/>
    <x v="0"/>
    <x v="5"/>
    <x v="1"/>
    <x v="20"/>
    <x v="1"/>
    <x v="0"/>
    <n v="11"/>
    <n v="49040.959999999999"/>
    <n v="132202.68"/>
    <x v="0"/>
  </r>
  <r>
    <x v="8"/>
    <x v="0"/>
    <x v="5"/>
    <x v="1"/>
    <x v="20"/>
    <x v="1"/>
    <x v="1"/>
    <n v="23"/>
    <n v="141274.56"/>
    <n v="384043.37"/>
    <x v="0"/>
  </r>
  <r>
    <x v="8"/>
    <x v="0"/>
    <x v="5"/>
    <x v="2"/>
    <x v="21"/>
    <x v="0"/>
    <x v="0"/>
    <n v="2"/>
    <n v="13096.17"/>
    <n v="52734.080000000002"/>
    <x v="0"/>
  </r>
  <r>
    <x v="8"/>
    <x v="0"/>
    <x v="5"/>
    <x v="2"/>
    <x v="21"/>
    <x v="1"/>
    <x v="1"/>
    <n v="5"/>
    <n v="32793.4"/>
    <n v="80287.64"/>
    <x v="0"/>
  </r>
  <r>
    <x v="8"/>
    <x v="0"/>
    <x v="5"/>
    <x v="2"/>
    <x v="22"/>
    <x v="1"/>
    <x v="0"/>
    <n v="9"/>
    <n v="45560.21"/>
    <n v="112397.69"/>
    <x v="0"/>
  </r>
  <r>
    <x v="8"/>
    <x v="0"/>
    <x v="5"/>
    <x v="2"/>
    <x v="22"/>
    <x v="1"/>
    <x v="1"/>
    <n v="1"/>
    <n v="4131.51"/>
    <n v="10537.75"/>
    <x v="0"/>
  </r>
  <r>
    <x v="8"/>
    <x v="0"/>
    <x v="5"/>
    <x v="2"/>
    <x v="29"/>
    <x v="1"/>
    <x v="1"/>
    <n v="2"/>
    <n v="12561.88"/>
    <n v="34118.949999999997"/>
    <x v="0"/>
  </r>
  <r>
    <x v="8"/>
    <x v="0"/>
    <x v="5"/>
    <x v="3"/>
    <x v="25"/>
    <x v="0"/>
    <x v="1"/>
    <n v="1"/>
    <n v="4584.4399999999996"/>
    <n v="18951.310000000001"/>
    <x v="0"/>
  </r>
  <r>
    <x v="8"/>
    <x v="0"/>
    <x v="5"/>
    <x v="3"/>
    <x v="25"/>
    <x v="1"/>
    <x v="0"/>
    <n v="1"/>
    <n v="6376.03"/>
    <n v="18061.419999999998"/>
    <x v="0"/>
  </r>
  <r>
    <x v="8"/>
    <x v="0"/>
    <x v="5"/>
    <x v="3"/>
    <x v="25"/>
    <x v="1"/>
    <x v="1"/>
    <n v="7"/>
    <n v="34897.94"/>
    <n v="97644.56"/>
    <x v="0"/>
  </r>
  <r>
    <x v="8"/>
    <x v="0"/>
    <x v="5"/>
    <x v="3"/>
    <x v="26"/>
    <x v="0"/>
    <x v="0"/>
    <n v="1"/>
    <n v="6193.98"/>
    <n v="26367.040000000001"/>
    <x v="0"/>
  </r>
  <r>
    <x v="8"/>
    <x v="0"/>
    <x v="5"/>
    <x v="3"/>
    <x v="26"/>
    <x v="0"/>
    <x v="1"/>
    <n v="3"/>
    <n v="19526.669999999998"/>
    <n v="79101.119999999995"/>
    <x v="0"/>
  </r>
  <r>
    <x v="8"/>
    <x v="0"/>
    <x v="5"/>
    <x v="3"/>
    <x v="26"/>
    <x v="1"/>
    <x v="0"/>
    <n v="8"/>
    <n v="52927.85"/>
    <n v="139223.95000000001"/>
    <x v="0"/>
  </r>
  <r>
    <x v="8"/>
    <x v="0"/>
    <x v="5"/>
    <x v="3"/>
    <x v="26"/>
    <x v="1"/>
    <x v="1"/>
    <n v="12"/>
    <n v="66574.7"/>
    <n v="187049.44"/>
    <x v="0"/>
  </r>
  <r>
    <x v="8"/>
    <x v="0"/>
    <x v="5"/>
    <x v="3"/>
    <x v="27"/>
    <x v="0"/>
    <x v="0"/>
    <n v="2"/>
    <n v="12753.35"/>
    <n v="52734.080000000002"/>
    <x v="0"/>
  </r>
  <r>
    <x v="8"/>
    <x v="0"/>
    <x v="5"/>
    <x v="3"/>
    <x v="27"/>
    <x v="0"/>
    <x v="1"/>
    <n v="11"/>
    <n v="59630.82"/>
    <n v="238951.3"/>
    <x v="0"/>
  </r>
  <r>
    <x v="8"/>
    <x v="0"/>
    <x v="5"/>
    <x v="3"/>
    <x v="27"/>
    <x v="1"/>
    <x v="0"/>
    <n v="2"/>
    <n v="9209.3799999999992"/>
    <n v="25660.07"/>
    <x v="0"/>
  </r>
  <r>
    <x v="8"/>
    <x v="0"/>
    <x v="5"/>
    <x v="3"/>
    <x v="27"/>
    <x v="1"/>
    <x v="1"/>
    <n v="44"/>
    <n v="252176.8"/>
    <n v="692036.36"/>
    <x v="0"/>
  </r>
  <r>
    <x v="8"/>
    <x v="0"/>
    <x v="6"/>
    <x v="0"/>
    <x v="0"/>
    <x v="0"/>
    <x v="0"/>
    <n v="6"/>
    <n v="18136.599999999999"/>
    <n v="61894.080000000002"/>
    <x v="0"/>
  </r>
  <r>
    <x v="8"/>
    <x v="0"/>
    <x v="6"/>
    <x v="0"/>
    <x v="0"/>
    <x v="0"/>
    <x v="1"/>
    <n v="3"/>
    <n v="8972.14"/>
    <n v="30947.040000000001"/>
    <x v="0"/>
  </r>
  <r>
    <x v="8"/>
    <x v="0"/>
    <x v="6"/>
    <x v="0"/>
    <x v="0"/>
    <x v="1"/>
    <x v="0"/>
    <n v="6"/>
    <n v="15182.8"/>
    <n v="34147.199999999997"/>
    <x v="0"/>
  </r>
  <r>
    <x v="8"/>
    <x v="0"/>
    <x v="6"/>
    <x v="0"/>
    <x v="0"/>
    <x v="1"/>
    <x v="1"/>
    <n v="1"/>
    <n v="2936.72"/>
    <n v="6746.45"/>
    <x v="0"/>
  </r>
  <r>
    <x v="8"/>
    <x v="0"/>
    <x v="6"/>
    <x v="0"/>
    <x v="1"/>
    <x v="0"/>
    <x v="0"/>
    <n v="1"/>
    <n v="1821.89"/>
    <n v="6447.3"/>
    <x v="0"/>
  </r>
  <r>
    <x v="8"/>
    <x v="0"/>
    <x v="6"/>
    <x v="0"/>
    <x v="1"/>
    <x v="0"/>
    <x v="1"/>
    <n v="3"/>
    <n v="7116.1"/>
    <n v="25144.48"/>
    <x v="0"/>
  </r>
  <r>
    <x v="8"/>
    <x v="0"/>
    <x v="6"/>
    <x v="0"/>
    <x v="1"/>
    <x v="1"/>
    <x v="0"/>
    <n v="11"/>
    <n v="32812.699999999997"/>
    <n v="72962.789999999994"/>
    <x v="0"/>
  </r>
  <r>
    <x v="8"/>
    <x v="0"/>
    <x v="6"/>
    <x v="0"/>
    <x v="1"/>
    <x v="1"/>
    <x v="1"/>
    <n v="31"/>
    <n v="83041.460000000006"/>
    <n v="186275.57"/>
    <x v="0"/>
  </r>
  <r>
    <x v="8"/>
    <x v="0"/>
    <x v="6"/>
    <x v="0"/>
    <x v="2"/>
    <x v="0"/>
    <x v="1"/>
    <n v="2"/>
    <n v="4714.8500000000004"/>
    <n v="16762.98"/>
    <x v="0"/>
  </r>
  <r>
    <x v="8"/>
    <x v="0"/>
    <x v="6"/>
    <x v="0"/>
    <x v="2"/>
    <x v="1"/>
    <x v="0"/>
    <n v="4"/>
    <n v="11542.7"/>
    <n v="25624.15"/>
    <x v="0"/>
  </r>
  <r>
    <x v="8"/>
    <x v="0"/>
    <x v="6"/>
    <x v="0"/>
    <x v="2"/>
    <x v="1"/>
    <x v="1"/>
    <n v="5"/>
    <n v="14908.63"/>
    <n v="31705.74"/>
    <x v="0"/>
  </r>
  <r>
    <x v="8"/>
    <x v="0"/>
    <x v="6"/>
    <x v="0"/>
    <x v="3"/>
    <x v="0"/>
    <x v="0"/>
    <n v="2"/>
    <n v="4240.12"/>
    <n v="14828.8"/>
    <x v="0"/>
  </r>
  <r>
    <x v="8"/>
    <x v="0"/>
    <x v="6"/>
    <x v="0"/>
    <x v="3"/>
    <x v="0"/>
    <x v="1"/>
    <n v="3"/>
    <n v="7925.53"/>
    <n v="28045.759999999998"/>
    <x v="0"/>
  </r>
  <r>
    <x v="8"/>
    <x v="0"/>
    <x v="6"/>
    <x v="0"/>
    <x v="3"/>
    <x v="1"/>
    <x v="0"/>
    <n v="20"/>
    <n v="50050.080000000002"/>
    <n v="114193.78"/>
    <x v="0"/>
  </r>
  <r>
    <x v="8"/>
    <x v="0"/>
    <x v="6"/>
    <x v="0"/>
    <x v="3"/>
    <x v="1"/>
    <x v="1"/>
    <n v="13"/>
    <n v="35129.379999999997"/>
    <n v="78666.84"/>
    <x v="0"/>
  </r>
  <r>
    <x v="8"/>
    <x v="0"/>
    <x v="6"/>
    <x v="0"/>
    <x v="28"/>
    <x v="1"/>
    <x v="1"/>
    <n v="2"/>
    <n v="6148.28"/>
    <n v="13492.91"/>
    <x v="0"/>
  </r>
  <r>
    <x v="8"/>
    <x v="0"/>
    <x v="6"/>
    <x v="0"/>
    <x v="4"/>
    <x v="1"/>
    <x v="0"/>
    <n v="2"/>
    <n v="6176.24"/>
    <n v="13204.07"/>
    <x v="0"/>
  </r>
  <r>
    <x v="8"/>
    <x v="0"/>
    <x v="6"/>
    <x v="0"/>
    <x v="4"/>
    <x v="1"/>
    <x v="1"/>
    <n v="11"/>
    <n v="25365.54"/>
    <n v="56802.1"/>
    <x v="0"/>
  </r>
  <r>
    <x v="8"/>
    <x v="0"/>
    <x v="6"/>
    <x v="0"/>
    <x v="5"/>
    <x v="0"/>
    <x v="1"/>
    <n v="3"/>
    <n v="8955.7999999999993"/>
    <n v="30947.040000000001"/>
    <x v="0"/>
  </r>
  <r>
    <x v="8"/>
    <x v="0"/>
    <x v="6"/>
    <x v="0"/>
    <x v="5"/>
    <x v="1"/>
    <x v="0"/>
    <n v="6"/>
    <n v="18099.419999999998"/>
    <n v="40788.199999999997"/>
    <x v="0"/>
  </r>
  <r>
    <x v="8"/>
    <x v="0"/>
    <x v="6"/>
    <x v="0"/>
    <x v="5"/>
    <x v="1"/>
    <x v="1"/>
    <n v="9"/>
    <n v="19704.48"/>
    <n v="45886.720000000001"/>
    <x v="0"/>
  </r>
  <r>
    <x v="8"/>
    <x v="0"/>
    <x v="6"/>
    <x v="0"/>
    <x v="6"/>
    <x v="0"/>
    <x v="1"/>
    <n v="4"/>
    <n v="11081.38"/>
    <n v="38361.440000000002"/>
    <x v="0"/>
  </r>
  <r>
    <x v="8"/>
    <x v="0"/>
    <x v="6"/>
    <x v="0"/>
    <x v="8"/>
    <x v="0"/>
    <x v="1"/>
    <n v="2"/>
    <n v="6044.84"/>
    <n v="20631.36"/>
    <x v="0"/>
  </r>
  <r>
    <x v="8"/>
    <x v="0"/>
    <x v="6"/>
    <x v="0"/>
    <x v="8"/>
    <x v="1"/>
    <x v="1"/>
    <n v="4"/>
    <n v="9045.83"/>
    <n v="20044.5"/>
    <x v="0"/>
  </r>
  <r>
    <x v="8"/>
    <x v="0"/>
    <x v="6"/>
    <x v="1"/>
    <x v="9"/>
    <x v="1"/>
    <x v="1"/>
    <n v="5"/>
    <n v="14402.85"/>
    <n v="35485.94"/>
    <x v="0"/>
  </r>
  <r>
    <x v="8"/>
    <x v="0"/>
    <x v="6"/>
    <x v="1"/>
    <x v="10"/>
    <x v="0"/>
    <x v="0"/>
    <n v="1"/>
    <n v="2909.93"/>
    <n v="10315.68"/>
    <x v="0"/>
  </r>
  <r>
    <x v="8"/>
    <x v="0"/>
    <x v="6"/>
    <x v="1"/>
    <x v="10"/>
    <x v="0"/>
    <x v="1"/>
    <n v="5"/>
    <n v="14138.97"/>
    <n v="48677.120000000003"/>
    <x v="0"/>
  </r>
  <r>
    <x v="8"/>
    <x v="0"/>
    <x v="6"/>
    <x v="1"/>
    <x v="10"/>
    <x v="1"/>
    <x v="0"/>
    <n v="10"/>
    <n v="29597.48"/>
    <n v="70352.94"/>
    <x v="0"/>
  </r>
  <r>
    <x v="8"/>
    <x v="0"/>
    <x v="6"/>
    <x v="1"/>
    <x v="10"/>
    <x v="1"/>
    <x v="1"/>
    <n v="9"/>
    <n v="18925.97"/>
    <n v="45509.55"/>
    <x v="0"/>
  </r>
  <r>
    <x v="8"/>
    <x v="0"/>
    <x v="6"/>
    <x v="1"/>
    <x v="11"/>
    <x v="0"/>
    <x v="1"/>
    <n v="10"/>
    <n v="23130.29"/>
    <n v="80913.62"/>
    <x v="0"/>
  </r>
  <r>
    <x v="8"/>
    <x v="0"/>
    <x v="6"/>
    <x v="1"/>
    <x v="11"/>
    <x v="1"/>
    <x v="0"/>
    <n v="4"/>
    <n v="10954.96"/>
    <n v="24306.31"/>
    <x v="0"/>
  </r>
  <r>
    <x v="8"/>
    <x v="0"/>
    <x v="6"/>
    <x v="1"/>
    <x v="11"/>
    <x v="1"/>
    <x v="1"/>
    <n v="27"/>
    <n v="67268.3"/>
    <n v="152501.06"/>
    <x v="0"/>
  </r>
  <r>
    <x v="8"/>
    <x v="0"/>
    <x v="6"/>
    <x v="1"/>
    <x v="12"/>
    <x v="1"/>
    <x v="0"/>
    <n v="5"/>
    <n v="10331.1"/>
    <n v="25357.25"/>
    <x v="0"/>
  </r>
  <r>
    <x v="8"/>
    <x v="0"/>
    <x v="6"/>
    <x v="1"/>
    <x v="12"/>
    <x v="1"/>
    <x v="1"/>
    <n v="1"/>
    <n v="3069.84"/>
    <n v="7055.93"/>
    <x v="0"/>
  </r>
  <r>
    <x v="8"/>
    <x v="0"/>
    <x v="6"/>
    <x v="1"/>
    <x v="13"/>
    <x v="0"/>
    <x v="1"/>
    <n v="1"/>
    <n v="2964.31"/>
    <n v="10315.68"/>
    <x v="0"/>
  </r>
  <r>
    <x v="8"/>
    <x v="0"/>
    <x v="6"/>
    <x v="1"/>
    <x v="13"/>
    <x v="1"/>
    <x v="1"/>
    <n v="6"/>
    <n v="12182.61"/>
    <n v="29636.639999999999"/>
    <x v="0"/>
  </r>
  <r>
    <x v="8"/>
    <x v="0"/>
    <x v="6"/>
    <x v="1"/>
    <x v="14"/>
    <x v="0"/>
    <x v="1"/>
    <n v="2"/>
    <n v="5805.38"/>
    <n v="20631.36"/>
    <x v="0"/>
  </r>
  <r>
    <x v="8"/>
    <x v="0"/>
    <x v="6"/>
    <x v="1"/>
    <x v="14"/>
    <x v="1"/>
    <x v="0"/>
    <n v="5"/>
    <n v="9051.76"/>
    <n v="21533.98"/>
    <x v="0"/>
  </r>
  <r>
    <x v="8"/>
    <x v="0"/>
    <x v="6"/>
    <x v="1"/>
    <x v="14"/>
    <x v="1"/>
    <x v="1"/>
    <n v="10"/>
    <n v="28652.6"/>
    <n v="66324.66"/>
    <x v="0"/>
  </r>
  <r>
    <x v="8"/>
    <x v="0"/>
    <x v="6"/>
    <x v="1"/>
    <x v="15"/>
    <x v="1"/>
    <x v="1"/>
    <n v="4"/>
    <n v="9782.76"/>
    <n v="23834.7"/>
    <x v="0"/>
  </r>
  <r>
    <x v="8"/>
    <x v="0"/>
    <x v="6"/>
    <x v="1"/>
    <x v="16"/>
    <x v="0"/>
    <x v="1"/>
    <n v="3"/>
    <n v="7975.26"/>
    <n v="28045.759999999998"/>
    <x v="0"/>
  </r>
  <r>
    <x v="8"/>
    <x v="0"/>
    <x v="6"/>
    <x v="1"/>
    <x v="17"/>
    <x v="1"/>
    <x v="0"/>
    <n v="2"/>
    <n v="4129.4799999999996"/>
    <n v="9846.32"/>
    <x v="0"/>
  </r>
  <r>
    <x v="8"/>
    <x v="0"/>
    <x v="6"/>
    <x v="1"/>
    <x v="18"/>
    <x v="0"/>
    <x v="1"/>
    <n v="9"/>
    <n v="24110.23"/>
    <n v="83170.179999999993"/>
    <x v="0"/>
  </r>
  <r>
    <x v="8"/>
    <x v="0"/>
    <x v="6"/>
    <x v="1"/>
    <x v="18"/>
    <x v="1"/>
    <x v="0"/>
    <n v="5"/>
    <n v="12506.98"/>
    <n v="30469.95"/>
    <x v="0"/>
  </r>
  <r>
    <x v="8"/>
    <x v="0"/>
    <x v="6"/>
    <x v="1"/>
    <x v="18"/>
    <x v="1"/>
    <x v="1"/>
    <n v="15"/>
    <n v="44241.96"/>
    <n v="104890.47"/>
    <x v="0"/>
  </r>
  <r>
    <x v="8"/>
    <x v="0"/>
    <x v="6"/>
    <x v="1"/>
    <x v="19"/>
    <x v="1"/>
    <x v="0"/>
    <n v="5"/>
    <n v="14204.13"/>
    <n v="32808.379999999997"/>
    <x v="0"/>
  </r>
  <r>
    <x v="8"/>
    <x v="0"/>
    <x v="6"/>
    <x v="1"/>
    <x v="19"/>
    <x v="1"/>
    <x v="1"/>
    <n v="12"/>
    <n v="27705.47"/>
    <n v="65049.02"/>
    <x v="0"/>
  </r>
  <r>
    <x v="8"/>
    <x v="0"/>
    <x v="6"/>
    <x v="1"/>
    <x v="20"/>
    <x v="0"/>
    <x v="0"/>
    <n v="1"/>
    <n v="2120.17"/>
    <n v="7414.4"/>
    <x v="0"/>
  </r>
  <r>
    <x v="8"/>
    <x v="0"/>
    <x v="6"/>
    <x v="1"/>
    <x v="20"/>
    <x v="0"/>
    <x v="1"/>
    <n v="11"/>
    <n v="29813.61"/>
    <n v="103801.54"/>
    <x v="0"/>
  </r>
  <r>
    <x v="8"/>
    <x v="0"/>
    <x v="6"/>
    <x v="1"/>
    <x v="20"/>
    <x v="1"/>
    <x v="0"/>
    <n v="2"/>
    <n v="5791.32"/>
    <n v="12970.96"/>
    <x v="0"/>
  </r>
  <r>
    <x v="8"/>
    <x v="0"/>
    <x v="6"/>
    <x v="1"/>
    <x v="20"/>
    <x v="1"/>
    <x v="1"/>
    <n v="13"/>
    <n v="33434.800000000003"/>
    <n v="77369.56"/>
    <x v="0"/>
  </r>
  <r>
    <x v="8"/>
    <x v="0"/>
    <x v="6"/>
    <x v="2"/>
    <x v="21"/>
    <x v="0"/>
    <x v="0"/>
    <n v="1"/>
    <n v="3067.15"/>
    <n v="10315.68"/>
    <x v="0"/>
  </r>
  <r>
    <x v="8"/>
    <x v="0"/>
    <x v="6"/>
    <x v="2"/>
    <x v="22"/>
    <x v="0"/>
    <x v="1"/>
    <n v="1"/>
    <n v="2082.3000000000002"/>
    <n v="7414.4"/>
    <x v="0"/>
  </r>
  <r>
    <x v="8"/>
    <x v="0"/>
    <x v="6"/>
    <x v="2"/>
    <x v="22"/>
    <x v="1"/>
    <x v="1"/>
    <n v="3"/>
    <n v="8709.7000000000007"/>
    <n v="18846.75"/>
    <x v="0"/>
  </r>
  <r>
    <x v="8"/>
    <x v="0"/>
    <x v="6"/>
    <x v="2"/>
    <x v="29"/>
    <x v="1"/>
    <x v="1"/>
    <n v="4"/>
    <n v="10915.8"/>
    <n v="24819.85"/>
    <x v="0"/>
  </r>
  <r>
    <x v="8"/>
    <x v="0"/>
    <x v="6"/>
    <x v="2"/>
    <x v="23"/>
    <x v="1"/>
    <x v="1"/>
    <n v="7"/>
    <n v="21140.69"/>
    <n v="45780.99"/>
    <x v="0"/>
  </r>
  <r>
    <x v="8"/>
    <x v="0"/>
    <x v="6"/>
    <x v="2"/>
    <x v="24"/>
    <x v="0"/>
    <x v="1"/>
    <n v="1"/>
    <n v="2952.89"/>
    <n v="10315.68"/>
    <x v="0"/>
  </r>
  <r>
    <x v="8"/>
    <x v="0"/>
    <x v="6"/>
    <x v="2"/>
    <x v="24"/>
    <x v="1"/>
    <x v="0"/>
    <n v="5"/>
    <n v="10301.15"/>
    <n v="22984.639999999999"/>
    <x v="0"/>
  </r>
  <r>
    <x v="8"/>
    <x v="0"/>
    <x v="6"/>
    <x v="3"/>
    <x v="25"/>
    <x v="0"/>
    <x v="1"/>
    <n v="1"/>
    <n v="2122.06"/>
    <n v="7414.4"/>
    <x v="0"/>
  </r>
  <r>
    <x v="8"/>
    <x v="0"/>
    <x v="6"/>
    <x v="3"/>
    <x v="25"/>
    <x v="1"/>
    <x v="0"/>
    <n v="2"/>
    <n v="5068.55"/>
    <n v="12145.1"/>
    <x v="0"/>
  </r>
  <r>
    <x v="8"/>
    <x v="0"/>
    <x v="6"/>
    <x v="3"/>
    <x v="25"/>
    <x v="1"/>
    <x v="1"/>
    <n v="3"/>
    <n v="8915.81"/>
    <n v="21198.720000000001"/>
    <x v="0"/>
  </r>
  <r>
    <x v="8"/>
    <x v="0"/>
    <x v="6"/>
    <x v="3"/>
    <x v="26"/>
    <x v="0"/>
    <x v="0"/>
    <n v="1"/>
    <n v="1786.86"/>
    <n v="6447.3"/>
    <x v="0"/>
  </r>
  <r>
    <x v="8"/>
    <x v="0"/>
    <x v="6"/>
    <x v="3"/>
    <x v="26"/>
    <x v="0"/>
    <x v="1"/>
    <n v="2"/>
    <n v="6146.13"/>
    <n v="20631.36"/>
    <x v="0"/>
  </r>
  <r>
    <x v="8"/>
    <x v="0"/>
    <x v="6"/>
    <x v="3"/>
    <x v="26"/>
    <x v="1"/>
    <x v="0"/>
    <n v="1"/>
    <n v="3038.71"/>
    <n v="6952.34"/>
    <x v="0"/>
  </r>
  <r>
    <x v="8"/>
    <x v="0"/>
    <x v="6"/>
    <x v="3"/>
    <x v="26"/>
    <x v="1"/>
    <x v="1"/>
    <n v="16"/>
    <n v="38639.629999999997"/>
    <n v="92653.21"/>
    <x v="0"/>
  </r>
  <r>
    <x v="8"/>
    <x v="0"/>
    <x v="6"/>
    <x v="3"/>
    <x v="27"/>
    <x v="0"/>
    <x v="0"/>
    <n v="2"/>
    <n v="5082.01"/>
    <n v="17730.080000000002"/>
    <x v="0"/>
  </r>
  <r>
    <x v="8"/>
    <x v="0"/>
    <x v="6"/>
    <x v="3"/>
    <x v="27"/>
    <x v="0"/>
    <x v="1"/>
    <n v="5"/>
    <n v="10602.95"/>
    <n v="38039.08"/>
    <x v="0"/>
  </r>
  <r>
    <x v="8"/>
    <x v="0"/>
    <x v="6"/>
    <x v="3"/>
    <x v="27"/>
    <x v="1"/>
    <x v="0"/>
    <n v="5"/>
    <n v="14627.1"/>
    <n v="34918.58"/>
    <x v="0"/>
  </r>
  <r>
    <x v="8"/>
    <x v="0"/>
    <x v="6"/>
    <x v="3"/>
    <x v="27"/>
    <x v="1"/>
    <x v="1"/>
    <n v="32"/>
    <n v="89350.61"/>
    <n v="208677.33"/>
    <x v="0"/>
  </r>
  <r>
    <x v="8"/>
    <x v="0"/>
    <x v="7"/>
    <x v="0"/>
    <x v="0"/>
    <x v="0"/>
    <x v="0"/>
    <n v="1"/>
    <n v="5421.24"/>
    <n v="21666.74"/>
    <x v="0"/>
  </r>
  <r>
    <x v="8"/>
    <x v="0"/>
    <x v="7"/>
    <x v="0"/>
    <x v="0"/>
    <x v="0"/>
    <x v="1"/>
    <n v="2"/>
    <n v="11094.85"/>
    <n v="43333.48"/>
    <x v="0"/>
  </r>
  <r>
    <x v="8"/>
    <x v="0"/>
    <x v="7"/>
    <x v="0"/>
    <x v="0"/>
    <x v="1"/>
    <x v="0"/>
    <n v="2"/>
    <n v="11535.68"/>
    <n v="28340.1"/>
    <x v="0"/>
  </r>
  <r>
    <x v="8"/>
    <x v="0"/>
    <x v="7"/>
    <x v="0"/>
    <x v="0"/>
    <x v="1"/>
    <x v="1"/>
    <n v="6"/>
    <n v="25998.85"/>
    <n v="61801.04"/>
    <x v="0"/>
  </r>
  <r>
    <x v="8"/>
    <x v="0"/>
    <x v="7"/>
    <x v="0"/>
    <x v="1"/>
    <x v="0"/>
    <x v="0"/>
    <n v="5"/>
    <n v="24319.8"/>
    <n v="93437.82"/>
    <x v="0"/>
  </r>
  <r>
    <x v="8"/>
    <x v="0"/>
    <x v="7"/>
    <x v="0"/>
    <x v="1"/>
    <x v="0"/>
    <x v="1"/>
    <n v="3"/>
    <n v="13021.35"/>
    <n v="50104.34"/>
    <x v="0"/>
  </r>
  <r>
    <x v="8"/>
    <x v="0"/>
    <x v="7"/>
    <x v="0"/>
    <x v="1"/>
    <x v="1"/>
    <x v="0"/>
    <n v="10"/>
    <n v="45109.25"/>
    <n v="110582.99"/>
    <x v="0"/>
  </r>
  <r>
    <x v="8"/>
    <x v="0"/>
    <x v="7"/>
    <x v="0"/>
    <x v="1"/>
    <x v="1"/>
    <x v="1"/>
    <n v="22"/>
    <n v="104339.3"/>
    <n v="257984.73"/>
    <x v="0"/>
  </r>
  <r>
    <x v="8"/>
    <x v="0"/>
    <x v="7"/>
    <x v="0"/>
    <x v="2"/>
    <x v="0"/>
    <x v="1"/>
    <n v="5"/>
    <n v="28845.119999999999"/>
    <n v="108333.7"/>
    <x v="0"/>
  </r>
  <r>
    <x v="8"/>
    <x v="0"/>
    <x v="7"/>
    <x v="0"/>
    <x v="2"/>
    <x v="1"/>
    <x v="0"/>
    <n v="3"/>
    <n v="17650.259999999998"/>
    <n v="40365.14"/>
    <x v="0"/>
  </r>
  <r>
    <x v="8"/>
    <x v="0"/>
    <x v="7"/>
    <x v="0"/>
    <x v="2"/>
    <x v="1"/>
    <x v="1"/>
    <n v="5"/>
    <n v="19555.919999999998"/>
    <n v="47933.599999999999"/>
    <x v="0"/>
  </r>
  <r>
    <x v="8"/>
    <x v="0"/>
    <x v="7"/>
    <x v="0"/>
    <x v="3"/>
    <x v="0"/>
    <x v="0"/>
    <n v="3"/>
    <n v="13057.77"/>
    <n v="50104.34"/>
    <x v="0"/>
  </r>
  <r>
    <x v="8"/>
    <x v="0"/>
    <x v="7"/>
    <x v="0"/>
    <x v="3"/>
    <x v="0"/>
    <x v="1"/>
    <n v="3"/>
    <n v="12715.09"/>
    <n v="50104.34"/>
    <x v="0"/>
  </r>
  <r>
    <x v="8"/>
    <x v="0"/>
    <x v="7"/>
    <x v="0"/>
    <x v="3"/>
    <x v="1"/>
    <x v="0"/>
    <n v="6"/>
    <n v="30423.85"/>
    <n v="74602.09"/>
    <x v="0"/>
  </r>
  <r>
    <x v="8"/>
    <x v="0"/>
    <x v="7"/>
    <x v="0"/>
    <x v="3"/>
    <x v="1"/>
    <x v="1"/>
    <n v="11"/>
    <n v="56030.95"/>
    <n v="139529.73000000001"/>
    <x v="0"/>
  </r>
  <r>
    <x v="8"/>
    <x v="0"/>
    <x v="7"/>
    <x v="0"/>
    <x v="28"/>
    <x v="1"/>
    <x v="1"/>
    <n v="3"/>
    <n v="17105.16"/>
    <n v="42510.14"/>
    <x v="0"/>
  </r>
  <r>
    <x v="8"/>
    <x v="0"/>
    <x v="7"/>
    <x v="0"/>
    <x v="4"/>
    <x v="0"/>
    <x v="1"/>
    <n v="5"/>
    <n v="23492.23"/>
    <n v="92760.73"/>
    <x v="0"/>
  </r>
  <r>
    <x v="8"/>
    <x v="0"/>
    <x v="7"/>
    <x v="0"/>
    <x v="4"/>
    <x v="1"/>
    <x v="0"/>
    <n v="3"/>
    <n v="10998.03"/>
    <n v="27300.1"/>
    <x v="0"/>
  </r>
  <r>
    <x v="8"/>
    <x v="0"/>
    <x v="7"/>
    <x v="0"/>
    <x v="4"/>
    <x v="1"/>
    <x v="1"/>
    <n v="2"/>
    <n v="11820.6"/>
    <n v="27733.43"/>
    <x v="0"/>
  </r>
  <r>
    <x v="8"/>
    <x v="0"/>
    <x v="7"/>
    <x v="0"/>
    <x v="5"/>
    <x v="0"/>
    <x v="1"/>
    <n v="1"/>
    <n v="3636.4"/>
    <n v="14218.8"/>
    <x v="0"/>
  </r>
  <r>
    <x v="8"/>
    <x v="0"/>
    <x v="7"/>
    <x v="0"/>
    <x v="5"/>
    <x v="1"/>
    <x v="1"/>
    <n v="13"/>
    <n v="57504.639999999999"/>
    <n v="147245.79999999999"/>
    <x v="0"/>
  </r>
  <r>
    <x v="8"/>
    <x v="0"/>
    <x v="7"/>
    <x v="0"/>
    <x v="6"/>
    <x v="1"/>
    <x v="1"/>
    <n v="3"/>
    <n v="12176.7"/>
    <n v="30694.32"/>
    <x v="0"/>
  </r>
  <r>
    <x v="8"/>
    <x v="0"/>
    <x v="7"/>
    <x v="0"/>
    <x v="7"/>
    <x v="1"/>
    <x v="1"/>
    <n v="17"/>
    <n v="68699.039999999994"/>
    <n v="175332.58"/>
    <x v="0"/>
  </r>
  <r>
    <x v="8"/>
    <x v="0"/>
    <x v="7"/>
    <x v="0"/>
    <x v="8"/>
    <x v="1"/>
    <x v="1"/>
    <n v="5"/>
    <n v="18954.84"/>
    <n v="47012.09"/>
    <x v="0"/>
  </r>
  <r>
    <x v="8"/>
    <x v="0"/>
    <x v="7"/>
    <x v="1"/>
    <x v="9"/>
    <x v="1"/>
    <x v="1"/>
    <n v="5"/>
    <n v="27537.55"/>
    <n v="74533.59"/>
    <x v="0"/>
  </r>
  <r>
    <x v="8"/>
    <x v="0"/>
    <x v="7"/>
    <x v="1"/>
    <x v="31"/>
    <x v="1"/>
    <x v="0"/>
    <n v="1"/>
    <n v="4085.18"/>
    <n v="10823.21"/>
    <x v="0"/>
  </r>
  <r>
    <x v="8"/>
    <x v="0"/>
    <x v="7"/>
    <x v="1"/>
    <x v="10"/>
    <x v="0"/>
    <x v="1"/>
    <n v="4"/>
    <n v="17939.939999999999"/>
    <n v="71093.990000000005"/>
    <x v="0"/>
  </r>
  <r>
    <x v="8"/>
    <x v="0"/>
    <x v="7"/>
    <x v="1"/>
    <x v="10"/>
    <x v="1"/>
    <x v="0"/>
    <n v="5"/>
    <n v="23447.93"/>
    <n v="60025.02"/>
    <x v="0"/>
  </r>
  <r>
    <x v="8"/>
    <x v="0"/>
    <x v="7"/>
    <x v="1"/>
    <x v="10"/>
    <x v="1"/>
    <x v="1"/>
    <n v="24"/>
    <n v="105664.63"/>
    <n v="277060.52"/>
    <x v="0"/>
  </r>
  <r>
    <x v="8"/>
    <x v="0"/>
    <x v="7"/>
    <x v="1"/>
    <x v="11"/>
    <x v="0"/>
    <x v="1"/>
    <n v="10"/>
    <n v="48713.2"/>
    <n v="186875.64"/>
    <x v="0"/>
  </r>
  <r>
    <x v="8"/>
    <x v="0"/>
    <x v="7"/>
    <x v="1"/>
    <x v="11"/>
    <x v="1"/>
    <x v="0"/>
    <n v="1"/>
    <n v="3411.38"/>
    <n v="8802.11"/>
    <x v="0"/>
  </r>
  <r>
    <x v="8"/>
    <x v="0"/>
    <x v="7"/>
    <x v="1"/>
    <x v="11"/>
    <x v="1"/>
    <x v="1"/>
    <n v="16"/>
    <n v="82885"/>
    <n v="205529.33"/>
    <x v="0"/>
  </r>
  <r>
    <x v="8"/>
    <x v="0"/>
    <x v="7"/>
    <x v="1"/>
    <x v="12"/>
    <x v="1"/>
    <x v="1"/>
    <n v="2"/>
    <n v="11561.34"/>
    <n v="29640.1"/>
    <x v="0"/>
  </r>
  <r>
    <x v="8"/>
    <x v="0"/>
    <x v="7"/>
    <x v="1"/>
    <x v="13"/>
    <x v="0"/>
    <x v="1"/>
    <n v="9"/>
    <n v="46480.01"/>
    <n v="180104.78"/>
    <x v="0"/>
  </r>
  <r>
    <x v="8"/>
    <x v="0"/>
    <x v="7"/>
    <x v="1"/>
    <x v="13"/>
    <x v="1"/>
    <x v="1"/>
    <n v="5"/>
    <n v="24585.09"/>
    <n v="65475.54"/>
    <x v="0"/>
  </r>
  <r>
    <x v="8"/>
    <x v="0"/>
    <x v="7"/>
    <x v="1"/>
    <x v="14"/>
    <x v="0"/>
    <x v="1"/>
    <n v="3"/>
    <n v="13331.61"/>
    <n v="51458.51"/>
    <x v="0"/>
  </r>
  <r>
    <x v="8"/>
    <x v="0"/>
    <x v="7"/>
    <x v="1"/>
    <x v="14"/>
    <x v="1"/>
    <x v="0"/>
    <n v="6"/>
    <n v="21783.93"/>
    <n v="55632.07"/>
    <x v="0"/>
  </r>
  <r>
    <x v="8"/>
    <x v="0"/>
    <x v="7"/>
    <x v="1"/>
    <x v="15"/>
    <x v="1"/>
    <x v="1"/>
    <n v="5"/>
    <n v="17686.150000000001"/>
    <n v="49125.95"/>
    <x v="0"/>
  </r>
  <r>
    <x v="8"/>
    <x v="0"/>
    <x v="7"/>
    <x v="1"/>
    <x v="16"/>
    <x v="0"/>
    <x v="1"/>
    <n v="1"/>
    <n v="5595.68"/>
    <n v="21666.74"/>
    <x v="0"/>
  </r>
  <r>
    <x v="8"/>
    <x v="0"/>
    <x v="7"/>
    <x v="1"/>
    <x v="16"/>
    <x v="1"/>
    <x v="1"/>
    <n v="4"/>
    <n v="14468.83"/>
    <n v="37210.230000000003"/>
    <x v="0"/>
  </r>
  <r>
    <x v="8"/>
    <x v="0"/>
    <x v="7"/>
    <x v="1"/>
    <x v="17"/>
    <x v="0"/>
    <x v="1"/>
    <n v="8"/>
    <n v="39020.230000000003"/>
    <n v="150313.01"/>
    <x v="0"/>
  </r>
  <r>
    <x v="8"/>
    <x v="0"/>
    <x v="7"/>
    <x v="1"/>
    <x v="17"/>
    <x v="1"/>
    <x v="0"/>
    <n v="3"/>
    <n v="16309.11"/>
    <n v="41573.910000000003"/>
    <x v="0"/>
  </r>
  <r>
    <x v="8"/>
    <x v="0"/>
    <x v="7"/>
    <x v="1"/>
    <x v="17"/>
    <x v="1"/>
    <x v="1"/>
    <n v="7"/>
    <n v="40233.17"/>
    <n v="98588.91"/>
    <x v="0"/>
  </r>
  <r>
    <x v="8"/>
    <x v="0"/>
    <x v="7"/>
    <x v="1"/>
    <x v="18"/>
    <x v="0"/>
    <x v="1"/>
    <n v="7"/>
    <n v="31043.26"/>
    <n v="121198.33"/>
    <x v="0"/>
  </r>
  <r>
    <x v="8"/>
    <x v="0"/>
    <x v="7"/>
    <x v="1"/>
    <x v="18"/>
    <x v="1"/>
    <x v="0"/>
    <n v="12"/>
    <n v="59206.13"/>
    <n v="159995.34"/>
    <x v="0"/>
  </r>
  <r>
    <x v="8"/>
    <x v="0"/>
    <x v="7"/>
    <x v="1"/>
    <x v="18"/>
    <x v="1"/>
    <x v="1"/>
    <n v="18"/>
    <n v="74045.25"/>
    <n v="199674.69"/>
    <x v="0"/>
  </r>
  <r>
    <x v="8"/>
    <x v="0"/>
    <x v="7"/>
    <x v="1"/>
    <x v="19"/>
    <x v="0"/>
    <x v="1"/>
    <n v="2"/>
    <n v="9219.5"/>
    <n v="35208.449999999997"/>
    <x v="0"/>
  </r>
  <r>
    <x v="8"/>
    <x v="0"/>
    <x v="7"/>
    <x v="1"/>
    <x v="19"/>
    <x v="1"/>
    <x v="0"/>
    <n v="15"/>
    <n v="56013.599999999999"/>
    <n v="146033.82999999999"/>
    <x v="0"/>
  </r>
  <r>
    <x v="8"/>
    <x v="0"/>
    <x v="7"/>
    <x v="1"/>
    <x v="19"/>
    <x v="1"/>
    <x v="1"/>
    <n v="25"/>
    <n v="106623.17"/>
    <n v="275638.84999999998"/>
    <x v="0"/>
  </r>
  <r>
    <x v="8"/>
    <x v="0"/>
    <x v="7"/>
    <x v="1"/>
    <x v="20"/>
    <x v="0"/>
    <x v="0"/>
    <n v="2"/>
    <n v="9437.39"/>
    <n v="35885.54"/>
    <x v="0"/>
  </r>
  <r>
    <x v="8"/>
    <x v="0"/>
    <x v="7"/>
    <x v="1"/>
    <x v="20"/>
    <x v="0"/>
    <x v="1"/>
    <n v="5"/>
    <n v="23937.71"/>
    <n v="93437.82"/>
    <x v="0"/>
  </r>
  <r>
    <x v="8"/>
    <x v="0"/>
    <x v="7"/>
    <x v="1"/>
    <x v="20"/>
    <x v="1"/>
    <x v="0"/>
    <n v="9"/>
    <n v="44770.9"/>
    <n v="114471.48"/>
    <x v="0"/>
  </r>
  <r>
    <x v="8"/>
    <x v="0"/>
    <x v="7"/>
    <x v="1"/>
    <x v="20"/>
    <x v="1"/>
    <x v="1"/>
    <n v="16"/>
    <n v="72999.75"/>
    <n v="183878.95"/>
    <x v="0"/>
  </r>
  <r>
    <x v="8"/>
    <x v="0"/>
    <x v="7"/>
    <x v="2"/>
    <x v="22"/>
    <x v="0"/>
    <x v="1"/>
    <n v="2"/>
    <n v="7195.01"/>
    <n v="28437.599999999999"/>
    <x v="0"/>
  </r>
  <r>
    <x v="8"/>
    <x v="0"/>
    <x v="7"/>
    <x v="2"/>
    <x v="22"/>
    <x v="1"/>
    <x v="0"/>
    <n v="12"/>
    <n v="48442.5"/>
    <n v="112982.59"/>
    <x v="0"/>
  </r>
  <r>
    <x v="8"/>
    <x v="0"/>
    <x v="7"/>
    <x v="2"/>
    <x v="22"/>
    <x v="1"/>
    <x v="1"/>
    <n v="7"/>
    <n v="32129.65"/>
    <n v="75046.81"/>
    <x v="0"/>
  </r>
  <r>
    <x v="8"/>
    <x v="0"/>
    <x v="7"/>
    <x v="2"/>
    <x v="29"/>
    <x v="1"/>
    <x v="1"/>
    <n v="2"/>
    <n v="7976.4"/>
    <n v="20151.419999999998"/>
    <x v="0"/>
  </r>
  <r>
    <x v="8"/>
    <x v="0"/>
    <x v="7"/>
    <x v="2"/>
    <x v="23"/>
    <x v="1"/>
    <x v="1"/>
    <n v="6"/>
    <n v="22238.720000000001"/>
    <n v="54088.32"/>
    <x v="0"/>
  </r>
  <r>
    <x v="8"/>
    <x v="0"/>
    <x v="7"/>
    <x v="2"/>
    <x v="24"/>
    <x v="0"/>
    <x v="1"/>
    <n v="1"/>
    <n v="3609.3"/>
    <n v="14218.8"/>
    <x v="0"/>
  </r>
  <r>
    <x v="8"/>
    <x v="0"/>
    <x v="7"/>
    <x v="3"/>
    <x v="25"/>
    <x v="0"/>
    <x v="1"/>
    <n v="1"/>
    <n v="5894.61"/>
    <n v="21666.74"/>
    <x v="0"/>
  </r>
  <r>
    <x v="8"/>
    <x v="0"/>
    <x v="7"/>
    <x v="3"/>
    <x v="25"/>
    <x v="1"/>
    <x v="0"/>
    <n v="8"/>
    <n v="43666.32"/>
    <n v="109719.84"/>
    <x v="0"/>
  </r>
  <r>
    <x v="8"/>
    <x v="0"/>
    <x v="7"/>
    <x v="3"/>
    <x v="25"/>
    <x v="1"/>
    <x v="1"/>
    <n v="7"/>
    <n v="28896.04"/>
    <n v="77455.199999999997"/>
    <x v="0"/>
  </r>
  <r>
    <x v="8"/>
    <x v="0"/>
    <x v="7"/>
    <x v="3"/>
    <x v="26"/>
    <x v="0"/>
    <x v="0"/>
    <n v="5"/>
    <n v="24430.91"/>
    <n v="94791.99"/>
    <x v="0"/>
  </r>
  <r>
    <x v="8"/>
    <x v="0"/>
    <x v="7"/>
    <x v="3"/>
    <x v="26"/>
    <x v="1"/>
    <x v="0"/>
    <n v="1"/>
    <n v="5570.77"/>
    <n v="14950.05"/>
    <x v="0"/>
  </r>
  <r>
    <x v="8"/>
    <x v="0"/>
    <x v="7"/>
    <x v="3"/>
    <x v="26"/>
    <x v="1"/>
    <x v="1"/>
    <n v="6"/>
    <n v="30052.2"/>
    <n v="79422.14"/>
    <x v="0"/>
  </r>
  <r>
    <x v="8"/>
    <x v="0"/>
    <x v="7"/>
    <x v="3"/>
    <x v="27"/>
    <x v="0"/>
    <x v="0"/>
    <n v="1"/>
    <n v="3544.01"/>
    <n v="14218.8"/>
    <x v="0"/>
  </r>
  <r>
    <x v="8"/>
    <x v="0"/>
    <x v="7"/>
    <x v="3"/>
    <x v="27"/>
    <x v="0"/>
    <x v="1"/>
    <n v="6"/>
    <n v="25893.63"/>
    <n v="100208.68"/>
    <x v="0"/>
  </r>
  <r>
    <x v="8"/>
    <x v="0"/>
    <x v="7"/>
    <x v="3"/>
    <x v="27"/>
    <x v="1"/>
    <x v="0"/>
    <n v="7"/>
    <n v="31456.28"/>
    <n v="82051.28"/>
    <x v="0"/>
  </r>
  <r>
    <x v="8"/>
    <x v="0"/>
    <x v="7"/>
    <x v="3"/>
    <x v="27"/>
    <x v="1"/>
    <x v="1"/>
    <n v="49"/>
    <n v="250284.84"/>
    <n v="653067.27"/>
    <x v="0"/>
  </r>
  <r>
    <x v="8"/>
    <x v="0"/>
    <x v="8"/>
    <x v="0"/>
    <x v="0"/>
    <x v="0"/>
    <x v="0"/>
    <n v="4"/>
    <n v="13008.27"/>
    <n v="47087.74"/>
    <x v="0"/>
  </r>
  <r>
    <x v="8"/>
    <x v="0"/>
    <x v="8"/>
    <x v="0"/>
    <x v="0"/>
    <x v="0"/>
    <x v="1"/>
    <n v="1"/>
    <n v="3785.42"/>
    <n v="13698.25"/>
    <x v="0"/>
  </r>
  <r>
    <x v="8"/>
    <x v="0"/>
    <x v="8"/>
    <x v="0"/>
    <x v="0"/>
    <x v="1"/>
    <x v="0"/>
    <n v="10"/>
    <n v="36367.07"/>
    <n v="82867.570000000007"/>
    <x v="0"/>
  </r>
  <r>
    <x v="8"/>
    <x v="0"/>
    <x v="8"/>
    <x v="0"/>
    <x v="0"/>
    <x v="1"/>
    <x v="1"/>
    <n v="13"/>
    <n v="34388.99"/>
    <n v="82027.72"/>
    <x v="0"/>
  </r>
  <r>
    <x v="8"/>
    <x v="0"/>
    <x v="8"/>
    <x v="0"/>
    <x v="1"/>
    <x v="0"/>
    <x v="0"/>
    <n v="10"/>
    <n v="35016.94"/>
    <n v="124140.4"/>
    <x v="0"/>
  </r>
  <r>
    <x v="8"/>
    <x v="0"/>
    <x v="8"/>
    <x v="0"/>
    <x v="1"/>
    <x v="0"/>
    <x v="1"/>
    <n v="8"/>
    <n v="26018.28"/>
    <n v="93319.34"/>
    <x v="0"/>
  </r>
  <r>
    <x v="8"/>
    <x v="0"/>
    <x v="8"/>
    <x v="0"/>
    <x v="1"/>
    <x v="1"/>
    <x v="0"/>
    <n v="22"/>
    <n v="69107.72"/>
    <n v="157442.56"/>
    <x v="0"/>
  </r>
  <r>
    <x v="8"/>
    <x v="0"/>
    <x v="8"/>
    <x v="0"/>
    <x v="1"/>
    <x v="1"/>
    <x v="1"/>
    <n v="28"/>
    <n v="101162.09"/>
    <n v="228886.9"/>
    <x v="0"/>
  </r>
  <r>
    <x v="8"/>
    <x v="0"/>
    <x v="8"/>
    <x v="0"/>
    <x v="2"/>
    <x v="0"/>
    <x v="1"/>
    <n v="4"/>
    <n v="10222.68"/>
    <n v="35529.85"/>
    <x v="0"/>
  </r>
  <r>
    <x v="8"/>
    <x v="0"/>
    <x v="8"/>
    <x v="0"/>
    <x v="2"/>
    <x v="1"/>
    <x v="0"/>
    <n v="3"/>
    <n v="8756.86"/>
    <n v="19405.72"/>
    <x v="0"/>
  </r>
  <r>
    <x v="8"/>
    <x v="0"/>
    <x v="8"/>
    <x v="0"/>
    <x v="2"/>
    <x v="1"/>
    <x v="1"/>
    <n v="16"/>
    <n v="57778.11"/>
    <n v="128928.37"/>
    <x v="0"/>
  </r>
  <r>
    <x v="8"/>
    <x v="0"/>
    <x v="8"/>
    <x v="0"/>
    <x v="3"/>
    <x v="0"/>
    <x v="0"/>
    <n v="3"/>
    <n v="11817.42"/>
    <n v="41094.75"/>
    <x v="0"/>
  </r>
  <r>
    <x v="8"/>
    <x v="0"/>
    <x v="8"/>
    <x v="0"/>
    <x v="3"/>
    <x v="0"/>
    <x v="1"/>
    <n v="7"/>
    <n v="20205.02"/>
    <n v="73200.039999999994"/>
    <x v="0"/>
  </r>
  <r>
    <x v="8"/>
    <x v="0"/>
    <x v="8"/>
    <x v="0"/>
    <x v="3"/>
    <x v="1"/>
    <x v="0"/>
    <n v="13"/>
    <n v="46279.66"/>
    <n v="107571.51"/>
    <x v="0"/>
  </r>
  <r>
    <x v="8"/>
    <x v="0"/>
    <x v="8"/>
    <x v="0"/>
    <x v="3"/>
    <x v="1"/>
    <x v="1"/>
    <n v="42"/>
    <n v="134716.57999999999"/>
    <n v="304518.55"/>
    <x v="0"/>
  </r>
  <r>
    <x v="8"/>
    <x v="0"/>
    <x v="8"/>
    <x v="0"/>
    <x v="28"/>
    <x v="1"/>
    <x v="1"/>
    <n v="4"/>
    <n v="11273.32"/>
    <n v="25756.15"/>
    <x v="0"/>
  </r>
  <r>
    <x v="8"/>
    <x v="0"/>
    <x v="8"/>
    <x v="0"/>
    <x v="4"/>
    <x v="0"/>
    <x v="1"/>
    <n v="7"/>
    <n v="23541.89"/>
    <n v="84329.86"/>
    <x v="0"/>
  </r>
  <r>
    <x v="8"/>
    <x v="0"/>
    <x v="8"/>
    <x v="0"/>
    <x v="4"/>
    <x v="1"/>
    <x v="0"/>
    <n v="6"/>
    <n v="20136.2"/>
    <n v="47186.91"/>
    <x v="0"/>
  </r>
  <r>
    <x v="8"/>
    <x v="0"/>
    <x v="8"/>
    <x v="0"/>
    <x v="4"/>
    <x v="1"/>
    <x v="1"/>
    <n v="1"/>
    <n v="4002.34"/>
    <n v="8766.8799999999992"/>
    <x v="0"/>
  </r>
  <r>
    <x v="8"/>
    <x v="0"/>
    <x v="8"/>
    <x v="0"/>
    <x v="5"/>
    <x v="0"/>
    <x v="1"/>
    <n v="4"/>
    <n v="14177.26"/>
    <n v="50084.23"/>
    <x v="0"/>
  </r>
  <r>
    <x v="8"/>
    <x v="0"/>
    <x v="8"/>
    <x v="0"/>
    <x v="5"/>
    <x v="1"/>
    <x v="0"/>
    <n v="5"/>
    <n v="19695.7"/>
    <n v="45135.73"/>
    <x v="0"/>
  </r>
  <r>
    <x v="8"/>
    <x v="0"/>
    <x v="8"/>
    <x v="0"/>
    <x v="5"/>
    <x v="1"/>
    <x v="1"/>
    <n v="25"/>
    <n v="76160.81"/>
    <n v="176083.55"/>
    <x v="0"/>
  </r>
  <r>
    <x v="8"/>
    <x v="0"/>
    <x v="8"/>
    <x v="0"/>
    <x v="6"/>
    <x v="0"/>
    <x v="1"/>
    <n v="1"/>
    <n v="2726.15"/>
    <n v="9845.6200000000008"/>
    <x v="0"/>
  </r>
  <r>
    <x v="8"/>
    <x v="0"/>
    <x v="8"/>
    <x v="0"/>
    <x v="6"/>
    <x v="1"/>
    <x v="1"/>
    <n v="11"/>
    <n v="36869.629999999997"/>
    <n v="86341.36"/>
    <x v="0"/>
  </r>
  <r>
    <x v="8"/>
    <x v="0"/>
    <x v="8"/>
    <x v="0"/>
    <x v="7"/>
    <x v="1"/>
    <x v="1"/>
    <n v="1"/>
    <n v="3864.21"/>
    <n v="9150.43"/>
    <x v="0"/>
  </r>
  <r>
    <x v="8"/>
    <x v="0"/>
    <x v="8"/>
    <x v="0"/>
    <x v="8"/>
    <x v="0"/>
    <x v="1"/>
    <n v="1"/>
    <n v="3885.9"/>
    <n v="13698.25"/>
    <x v="0"/>
  </r>
  <r>
    <x v="8"/>
    <x v="0"/>
    <x v="8"/>
    <x v="0"/>
    <x v="8"/>
    <x v="1"/>
    <x v="1"/>
    <n v="13"/>
    <n v="43903.31"/>
    <n v="97074.38"/>
    <x v="0"/>
  </r>
  <r>
    <x v="8"/>
    <x v="0"/>
    <x v="8"/>
    <x v="1"/>
    <x v="30"/>
    <x v="1"/>
    <x v="0"/>
    <n v="3"/>
    <n v="8308.7099999999991"/>
    <n v="19761.009999999998"/>
    <x v="0"/>
  </r>
  <r>
    <x v="8"/>
    <x v="0"/>
    <x v="8"/>
    <x v="1"/>
    <x v="9"/>
    <x v="1"/>
    <x v="1"/>
    <n v="6"/>
    <n v="17477.34"/>
    <n v="41161.870000000003"/>
    <x v="0"/>
  </r>
  <r>
    <x v="8"/>
    <x v="0"/>
    <x v="8"/>
    <x v="1"/>
    <x v="31"/>
    <x v="1"/>
    <x v="0"/>
    <n v="1"/>
    <n v="2445.84"/>
    <n v="5950.18"/>
    <x v="0"/>
  </r>
  <r>
    <x v="8"/>
    <x v="0"/>
    <x v="8"/>
    <x v="1"/>
    <x v="10"/>
    <x v="0"/>
    <x v="0"/>
    <n v="3"/>
    <n v="11496.57"/>
    <n v="41094.75"/>
    <x v="0"/>
  </r>
  <r>
    <x v="8"/>
    <x v="0"/>
    <x v="8"/>
    <x v="1"/>
    <x v="10"/>
    <x v="0"/>
    <x v="1"/>
    <n v="6"/>
    <n v="18216.150000000001"/>
    <n v="64210.559999999998"/>
    <x v="0"/>
  </r>
  <r>
    <x v="8"/>
    <x v="0"/>
    <x v="8"/>
    <x v="1"/>
    <x v="10"/>
    <x v="1"/>
    <x v="0"/>
    <n v="23"/>
    <n v="68773.460000000006"/>
    <n v="168159.74"/>
    <x v="0"/>
  </r>
  <r>
    <x v="8"/>
    <x v="0"/>
    <x v="8"/>
    <x v="1"/>
    <x v="10"/>
    <x v="1"/>
    <x v="1"/>
    <n v="46"/>
    <n v="146497.79"/>
    <n v="353706.32"/>
    <x v="0"/>
  </r>
  <r>
    <x v="8"/>
    <x v="0"/>
    <x v="8"/>
    <x v="1"/>
    <x v="11"/>
    <x v="0"/>
    <x v="1"/>
    <n v="11"/>
    <n v="36178.67"/>
    <n v="127993.04"/>
    <x v="0"/>
  </r>
  <r>
    <x v="8"/>
    <x v="0"/>
    <x v="8"/>
    <x v="1"/>
    <x v="11"/>
    <x v="1"/>
    <x v="0"/>
    <n v="10"/>
    <n v="35136.42"/>
    <n v="80589.72"/>
    <x v="0"/>
  </r>
  <r>
    <x v="8"/>
    <x v="0"/>
    <x v="8"/>
    <x v="1"/>
    <x v="11"/>
    <x v="1"/>
    <x v="1"/>
    <n v="39"/>
    <n v="122801.88"/>
    <n v="284731.71000000002"/>
    <x v="0"/>
  </r>
  <r>
    <x v="8"/>
    <x v="0"/>
    <x v="8"/>
    <x v="1"/>
    <x v="12"/>
    <x v="1"/>
    <x v="1"/>
    <n v="3"/>
    <n v="8199"/>
    <n v="19000.919999999998"/>
    <x v="0"/>
  </r>
  <r>
    <x v="8"/>
    <x v="0"/>
    <x v="8"/>
    <x v="1"/>
    <x v="13"/>
    <x v="0"/>
    <x v="1"/>
    <n v="6"/>
    <n v="18586.41"/>
    <n v="66778.98"/>
    <x v="0"/>
  </r>
  <r>
    <x v="8"/>
    <x v="0"/>
    <x v="8"/>
    <x v="1"/>
    <x v="13"/>
    <x v="1"/>
    <x v="0"/>
    <n v="5"/>
    <n v="15588.34"/>
    <n v="37897.07"/>
    <x v="0"/>
  </r>
  <r>
    <x v="8"/>
    <x v="0"/>
    <x v="8"/>
    <x v="1"/>
    <x v="13"/>
    <x v="1"/>
    <x v="1"/>
    <n v="13"/>
    <n v="40086.76"/>
    <n v="94692.04"/>
    <x v="0"/>
  </r>
  <r>
    <x v="8"/>
    <x v="0"/>
    <x v="8"/>
    <x v="1"/>
    <x v="14"/>
    <x v="0"/>
    <x v="1"/>
    <n v="2"/>
    <n v="6636.65"/>
    <n v="23543.87"/>
    <x v="0"/>
  </r>
  <r>
    <x v="8"/>
    <x v="0"/>
    <x v="8"/>
    <x v="1"/>
    <x v="14"/>
    <x v="1"/>
    <x v="0"/>
    <n v="4"/>
    <n v="15439.7"/>
    <n v="36601.72"/>
    <x v="0"/>
  </r>
  <r>
    <x v="8"/>
    <x v="0"/>
    <x v="8"/>
    <x v="1"/>
    <x v="14"/>
    <x v="1"/>
    <x v="1"/>
    <n v="12"/>
    <n v="43525.66"/>
    <n v="102458.62"/>
    <x v="0"/>
  </r>
  <r>
    <x v="8"/>
    <x v="0"/>
    <x v="8"/>
    <x v="1"/>
    <x v="15"/>
    <x v="1"/>
    <x v="0"/>
    <n v="5"/>
    <n v="18497.8"/>
    <n v="47327.45"/>
    <x v="0"/>
  </r>
  <r>
    <x v="8"/>
    <x v="0"/>
    <x v="8"/>
    <x v="1"/>
    <x v="15"/>
    <x v="1"/>
    <x v="1"/>
    <n v="1"/>
    <n v="2458.19"/>
    <n v="5915.93"/>
    <x v="0"/>
  </r>
  <r>
    <x v="8"/>
    <x v="0"/>
    <x v="8"/>
    <x v="1"/>
    <x v="16"/>
    <x v="0"/>
    <x v="1"/>
    <n v="4"/>
    <n v="13331.78"/>
    <n v="47087.74"/>
    <x v="0"/>
  </r>
  <r>
    <x v="8"/>
    <x v="0"/>
    <x v="8"/>
    <x v="1"/>
    <x v="16"/>
    <x v="1"/>
    <x v="1"/>
    <n v="11"/>
    <n v="36839.69"/>
    <n v="88444.47"/>
    <x v="0"/>
  </r>
  <r>
    <x v="8"/>
    <x v="0"/>
    <x v="8"/>
    <x v="1"/>
    <x v="17"/>
    <x v="0"/>
    <x v="1"/>
    <n v="5"/>
    <n v="19536.78"/>
    <n v="68491.25"/>
    <x v="0"/>
  </r>
  <r>
    <x v="8"/>
    <x v="0"/>
    <x v="8"/>
    <x v="1"/>
    <x v="17"/>
    <x v="1"/>
    <x v="0"/>
    <n v="12"/>
    <n v="36409.129999999997"/>
    <n v="86124.33"/>
    <x v="0"/>
  </r>
  <r>
    <x v="8"/>
    <x v="0"/>
    <x v="8"/>
    <x v="1"/>
    <x v="17"/>
    <x v="1"/>
    <x v="1"/>
    <n v="4"/>
    <n v="15583.5"/>
    <n v="36382.550000000003"/>
    <x v="0"/>
  </r>
  <r>
    <x v="8"/>
    <x v="0"/>
    <x v="8"/>
    <x v="1"/>
    <x v="18"/>
    <x v="0"/>
    <x v="1"/>
    <n v="13"/>
    <n v="38886.269999999997"/>
    <n v="138266.74"/>
    <x v="0"/>
  </r>
  <r>
    <x v="8"/>
    <x v="0"/>
    <x v="8"/>
    <x v="1"/>
    <x v="18"/>
    <x v="1"/>
    <x v="0"/>
    <n v="3"/>
    <n v="11727.63"/>
    <n v="27933.99"/>
    <x v="0"/>
  </r>
  <r>
    <x v="8"/>
    <x v="0"/>
    <x v="8"/>
    <x v="1"/>
    <x v="18"/>
    <x v="1"/>
    <x v="1"/>
    <n v="33"/>
    <n v="113161.1"/>
    <n v="278170.83"/>
    <x v="0"/>
  </r>
  <r>
    <x v="8"/>
    <x v="0"/>
    <x v="8"/>
    <x v="1"/>
    <x v="19"/>
    <x v="0"/>
    <x v="1"/>
    <n v="7"/>
    <n v="23319.35"/>
    <n v="81761.440000000002"/>
    <x v="0"/>
  </r>
  <r>
    <x v="8"/>
    <x v="0"/>
    <x v="8"/>
    <x v="1"/>
    <x v="19"/>
    <x v="1"/>
    <x v="0"/>
    <n v="23"/>
    <n v="78784.14"/>
    <n v="183786.87"/>
    <x v="0"/>
  </r>
  <r>
    <x v="8"/>
    <x v="0"/>
    <x v="8"/>
    <x v="1"/>
    <x v="19"/>
    <x v="1"/>
    <x v="1"/>
    <n v="13"/>
    <n v="47708.25"/>
    <n v="111999.56"/>
    <x v="0"/>
  </r>
  <r>
    <x v="8"/>
    <x v="0"/>
    <x v="8"/>
    <x v="1"/>
    <x v="20"/>
    <x v="0"/>
    <x v="1"/>
    <n v="11"/>
    <n v="36521.480000000003"/>
    <n v="130561.46"/>
    <x v="0"/>
  </r>
  <r>
    <x v="8"/>
    <x v="0"/>
    <x v="8"/>
    <x v="1"/>
    <x v="20"/>
    <x v="1"/>
    <x v="0"/>
    <n v="10"/>
    <n v="34035.33"/>
    <n v="80305.509999999995"/>
    <x v="0"/>
  </r>
  <r>
    <x v="8"/>
    <x v="0"/>
    <x v="8"/>
    <x v="1"/>
    <x v="20"/>
    <x v="1"/>
    <x v="1"/>
    <n v="33"/>
    <n v="94886.78"/>
    <n v="226764.74"/>
    <x v="0"/>
  </r>
  <r>
    <x v="8"/>
    <x v="0"/>
    <x v="8"/>
    <x v="2"/>
    <x v="21"/>
    <x v="0"/>
    <x v="0"/>
    <n v="1"/>
    <n v="2725.32"/>
    <n v="9845.6200000000008"/>
    <x v="0"/>
  </r>
  <r>
    <x v="8"/>
    <x v="0"/>
    <x v="8"/>
    <x v="2"/>
    <x v="21"/>
    <x v="1"/>
    <x v="1"/>
    <n v="4"/>
    <n v="11600.16"/>
    <n v="24766.01"/>
    <x v="0"/>
  </r>
  <r>
    <x v="8"/>
    <x v="0"/>
    <x v="8"/>
    <x v="2"/>
    <x v="22"/>
    <x v="0"/>
    <x v="1"/>
    <n v="1"/>
    <n v="2674.08"/>
    <n v="9845.6200000000008"/>
    <x v="0"/>
  </r>
  <r>
    <x v="8"/>
    <x v="0"/>
    <x v="8"/>
    <x v="2"/>
    <x v="22"/>
    <x v="1"/>
    <x v="0"/>
    <n v="16"/>
    <n v="57485.38"/>
    <n v="122582.79"/>
    <x v="0"/>
  </r>
  <r>
    <x v="8"/>
    <x v="0"/>
    <x v="8"/>
    <x v="2"/>
    <x v="22"/>
    <x v="1"/>
    <x v="1"/>
    <n v="16"/>
    <n v="56290.09"/>
    <n v="119837.19"/>
    <x v="0"/>
  </r>
  <r>
    <x v="8"/>
    <x v="0"/>
    <x v="8"/>
    <x v="2"/>
    <x v="29"/>
    <x v="1"/>
    <x v="1"/>
    <n v="1"/>
    <n v="3935.2"/>
    <n v="8862.77"/>
    <x v="0"/>
  </r>
  <r>
    <x v="8"/>
    <x v="0"/>
    <x v="8"/>
    <x v="2"/>
    <x v="23"/>
    <x v="1"/>
    <x v="1"/>
    <n v="5"/>
    <n v="13636.05"/>
    <n v="31210.62"/>
    <x v="0"/>
  </r>
  <r>
    <x v="8"/>
    <x v="0"/>
    <x v="8"/>
    <x v="2"/>
    <x v="24"/>
    <x v="0"/>
    <x v="1"/>
    <n v="3"/>
    <n v="7624.5"/>
    <n v="27824.58"/>
    <x v="0"/>
  </r>
  <r>
    <x v="8"/>
    <x v="0"/>
    <x v="8"/>
    <x v="3"/>
    <x v="25"/>
    <x v="0"/>
    <x v="1"/>
    <n v="1"/>
    <n v="2728.24"/>
    <n v="9845.6200000000008"/>
    <x v="0"/>
  </r>
  <r>
    <x v="8"/>
    <x v="0"/>
    <x v="8"/>
    <x v="3"/>
    <x v="25"/>
    <x v="1"/>
    <x v="0"/>
    <n v="7"/>
    <n v="27218.75"/>
    <n v="64461.279999999999"/>
    <x v="0"/>
  </r>
  <r>
    <x v="8"/>
    <x v="0"/>
    <x v="8"/>
    <x v="3"/>
    <x v="25"/>
    <x v="1"/>
    <x v="1"/>
    <n v="8"/>
    <n v="24062.49"/>
    <n v="58645.64"/>
    <x v="0"/>
  </r>
  <r>
    <x v="8"/>
    <x v="0"/>
    <x v="8"/>
    <x v="3"/>
    <x v="26"/>
    <x v="0"/>
    <x v="0"/>
    <n v="6"/>
    <n v="17503.61"/>
    <n v="62070.21"/>
    <x v="0"/>
  </r>
  <r>
    <x v="8"/>
    <x v="0"/>
    <x v="8"/>
    <x v="3"/>
    <x v="26"/>
    <x v="0"/>
    <x v="1"/>
    <n v="3"/>
    <n v="9228.1299999999992"/>
    <n v="33389.49"/>
    <x v="0"/>
  </r>
  <r>
    <x v="8"/>
    <x v="0"/>
    <x v="8"/>
    <x v="3"/>
    <x v="26"/>
    <x v="1"/>
    <x v="0"/>
    <n v="10"/>
    <n v="38673.06"/>
    <n v="94517.92"/>
    <x v="0"/>
  </r>
  <r>
    <x v="8"/>
    <x v="0"/>
    <x v="8"/>
    <x v="3"/>
    <x v="26"/>
    <x v="1"/>
    <x v="1"/>
    <n v="28"/>
    <n v="97281.76"/>
    <n v="237476.3"/>
    <x v="0"/>
  </r>
  <r>
    <x v="8"/>
    <x v="0"/>
    <x v="8"/>
    <x v="3"/>
    <x v="27"/>
    <x v="0"/>
    <x v="0"/>
    <n v="1"/>
    <n v="4033.65"/>
    <n v="13698.25"/>
    <x v="0"/>
  </r>
  <r>
    <x v="8"/>
    <x v="0"/>
    <x v="8"/>
    <x v="3"/>
    <x v="27"/>
    <x v="0"/>
    <x v="1"/>
    <n v="9"/>
    <n v="32415.47"/>
    <n v="115578.99"/>
    <x v="0"/>
  </r>
  <r>
    <x v="8"/>
    <x v="0"/>
    <x v="8"/>
    <x v="3"/>
    <x v="27"/>
    <x v="1"/>
    <x v="0"/>
    <n v="9"/>
    <n v="27446.92"/>
    <n v="65205.82"/>
    <x v="0"/>
  </r>
  <r>
    <x v="8"/>
    <x v="0"/>
    <x v="8"/>
    <x v="3"/>
    <x v="27"/>
    <x v="1"/>
    <x v="1"/>
    <n v="60"/>
    <n v="192678.84"/>
    <n v="461571.74"/>
    <x v="0"/>
  </r>
  <r>
    <x v="8"/>
    <x v="0"/>
    <x v="9"/>
    <x v="0"/>
    <x v="0"/>
    <x v="0"/>
    <x v="1"/>
    <n v="1"/>
    <n v="2458.35"/>
    <n v="8246.1200000000008"/>
    <x v="0"/>
  </r>
  <r>
    <x v="8"/>
    <x v="0"/>
    <x v="9"/>
    <x v="0"/>
    <x v="0"/>
    <x v="1"/>
    <x v="0"/>
    <n v="2"/>
    <n v="4919.8599999999997"/>
    <n v="10785.92"/>
    <x v="0"/>
  </r>
  <r>
    <x v="8"/>
    <x v="0"/>
    <x v="9"/>
    <x v="0"/>
    <x v="0"/>
    <x v="1"/>
    <x v="1"/>
    <n v="5"/>
    <n v="10249.6"/>
    <n v="23447.67"/>
    <x v="0"/>
  </r>
  <r>
    <x v="8"/>
    <x v="0"/>
    <x v="9"/>
    <x v="0"/>
    <x v="1"/>
    <x v="0"/>
    <x v="0"/>
    <n v="5"/>
    <n v="11484.12"/>
    <n v="39437.96"/>
    <x v="0"/>
  </r>
  <r>
    <x v="8"/>
    <x v="0"/>
    <x v="9"/>
    <x v="0"/>
    <x v="1"/>
    <x v="0"/>
    <x v="1"/>
    <n v="5"/>
    <n v="14553.81"/>
    <n v="49835.24"/>
    <x v="0"/>
  </r>
  <r>
    <x v="8"/>
    <x v="0"/>
    <x v="9"/>
    <x v="0"/>
    <x v="1"/>
    <x v="1"/>
    <x v="0"/>
    <n v="19"/>
    <n v="49270.51"/>
    <n v="107035.4"/>
    <x v="0"/>
  </r>
  <r>
    <x v="8"/>
    <x v="0"/>
    <x v="9"/>
    <x v="0"/>
    <x v="1"/>
    <x v="1"/>
    <x v="1"/>
    <n v="9"/>
    <n v="20777.88"/>
    <n v="45876.01"/>
    <x v="0"/>
  </r>
  <r>
    <x v="8"/>
    <x v="0"/>
    <x v="9"/>
    <x v="0"/>
    <x v="2"/>
    <x v="0"/>
    <x v="1"/>
    <n v="2"/>
    <n v="5386.28"/>
    <n v="18643.400000000001"/>
    <x v="0"/>
  </r>
  <r>
    <x v="8"/>
    <x v="0"/>
    <x v="9"/>
    <x v="0"/>
    <x v="2"/>
    <x v="1"/>
    <x v="0"/>
    <n v="5"/>
    <n v="10562.75"/>
    <n v="23377.73"/>
    <x v="0"/>
  </r>
  <r>
    <x v="8"/>
    <x v="0"/>
    <x v="9"/>
    <x v="0"/>
    <x v="2"/>
    <x v="1"/>
    <x v="1"/>
    <n v="8"/>
    <n v="21101.05"/>
    <n v="44306.400000000001"/>
    <x v="0"/>
  </r>
  <r>
    <x v="8"/>
    <x v="0"/>
    <x v="9"/>
    <x v="0"/>
    <x v="3"/>
    <x v="0"/>
    <x v="0"/>
    <n v="1"/>
    <n v="1995.6"/>
    <n v="7170.54"/>
    <x v="0"/>
  </r>
  <r>
    <x v="8"/>
    <x v="0"/>
    <x v="9"/>
    <x v="0"/>
    <x v="3"/>
    <x v="0"/>
    <x v="1"/>
    <n v="5"/>
    <n v="14210.9"/>
    <n v="49118.18"/>
    <x v="0"/>
  </r>
  <r>
    <x v="8"/>
    <x v="0"/>
    <x v="9"/>
    <x v="0"/>
    <x v="3"/>
    <x v="1"/>
    <x v="0"/>
    <n v="23"/>
    <n v="57938.01"/>
    <n v="127799.95"/>
    <x v="0"/>
  </r>
  <r>
    <x v="8"/>
    <x v="0"/>
    <x v="9"/>
    <x v="0"/>
    <x v="3"/>
    <x v="1"/>
    <x v="1"/>
    <n v="31"/>
    <n v="82231.039999999994"/>
    <n v="179487.2"/>
    <x v="0"/>
  </r>
  <r>
    <x v="8"/>
    <x v="0"/>
    <x v="9"/>
    <x v="0"/>
    <x v="28"/>
    <x v="1"/>
    <x v="1"/>
    <n v="6"/>
    <n v="18858.169999999998"/>
    <n v="42205.78"/>
    <x v="0"/>
  </r>
  <r>
    <x v="8"/>
    <x v="0"/>
    <x v="9"/>
    <x v="0"/>
    <x v="4"/>
    <x v="0"/>
    <x v="1"/>
    <n v="3"/>
    <n v="6265.53"/>
    <n v="21870.14"/>
    <x v="0"/>
  </r>
  <r>
    <x v="8"/>
    <x v="0"/>
    <x v="9"/>
    <x v="0"/>
    <x v="4"/>
    <x v="1"/>
    <x v="0"/>
    <n v="8"/>
    <n v="18828.849999999999"/>
    <n v="41648.589999999997"/>
    <x v="0"/>
  </r>
  <r>
    <x v="8"/>
    <x v="0"/>
    <x v="9"/>
    <x v="0"/>
    <x v="4"/>
    <x v="1"/>
    <x v="1"/>
    <n v="10"/>
    <n v="24948.77"/>
    <n v="53748.17"/>
    <x v="0"/>
  </r>
  <r>
    <x v="8"/>
    <x v="0"/>
    <x v="9"/>
    <x v="0"/>
    <x v="5"/>
    <x v="0"/>
    <x v="1"/>
    <n v="2"/>
    <n v="4519.53"/>
    <n v="15416.66"/>
    <x v="0"/>
  </r>
  <r>
    <x v="8"/>
    <x v="0"/>
    <x v="9"/>
    <x v="0"/>
    <x v="5"/>
    <x v="1"/>
    <x v="1"/>
    <n v="13"/>
    <n v="32411.81"/>
    <n v="71894.09"/>
    <x v="0"/>
  </r>
  <r>
    <x v="8"/>
    <x v="0"/>
    <x v="9"/>
    <x v="0"/>
    <x v="6"/>
    <x v="0"/>
    <x v="1"/>
    <n v="2"/>
    <n v="5415.11"/>
    <n v="19001.919999999998"/>
    <x v="0"/>
  </r>
  <r>
    <x v="8"/>
    <x v="0"/>
    <x v="9"/>
    <x v="0"/>
    <x v="7"/>
    <x v="1"/>
    <x v="1"/>
    <n v="2"/>
    <n v="4225.9399999999996"/>
    <n v="9326.18"/>
    <x v="0"/>
  </r>
  <r>
    <x v="8"/>
    <x v="0"/>
    <x v="9"/>
    <x v="0"/>
    <x v="8"/>
    <x v="0"/>
    <x v="1"/>
    <n v="1"/>
    <n v="2116.5700000000002"/>
    <n v="7529.06"/>
    <x v="0"/>
  </r>
  <r>
    <x v="8"/>
    <x v="0"/>
    <x v="9"/>
    <x v="0"/>
    <x v="8"/>
    <x v="1"/>
    <x v="1"/>
    <n v="7"/>
    <n v="21235.8"/>
    <n v="45599.8"/>
    <x v="0"/>
  </r>
  <r>
    <x v="8"/>
    <x v="0"/>
    <x v="9"/>
    <x v="1"/>
    <x v="9"/>
    <x v="1"/>
    <x v="1"/>
    <n v="5"/>
    <n v="15515.78"/>
    <n v="36506.65"/>
    <x v="0"/>
  </r>
  <r>
    <x v="8"/>
    <x v="0"/>
    <x v="9"/>
    <x v="1"/>
    <x v="10"/>
    <x v="0"/>
    <x v="1"/>
    <n v="5"/>
    <n v="14517.5"/>
    <n v="49835.24"/>
    <x v="0"/>
  </r>
  <r>
    <x v="8"/>
    <x v="0"/>
    <x v="9"/>
    <x v="1"/>
    <x v="10"/>
    <x v="1"/>
    <x v="0"/>
    <n v="7"/>
    <n v="17046.5"/>
    <n v="39366.980000000003"/>
    <x v="0"/>
  </r>
  <r>
    <x v="8"/>
    <x v="0"/>
    <x v="9"/>
    <x v="1"/>
    <x v="10"/>
    <x v="1"/>
    <x v="1"/>
    <n v="21"/>
    <n v="59036.41"/>
    <n v="139862.76"/>
    <x v="0"/>
  </r>
  <r>
    <x v="8"/>
    <x v="0"/>
    <x v="9"/>
    <x v="1"/>
    <x v="11"/>
    <x v="0"/>
    <x v="1"/>
    <n v="8"/>
    <n v="19416.72"/>
    <n v="67403.039999999994"/>
    <x v="0"/>
  </r>
  <r>
    <x v="8"/>
    <x v="0"/>
    <x v="9"/>
    <x v="1"/>
    <x v="11"/>
    <x v="1"/>
    <x v="0"/>
    <n v="8"/>
    <n v="22966.03"/>
    <n v="51968.46"/>
    <x v="0"/>
  </r>
  <r>
    <x v="8"/>
    <x v="0"/>
    <x v="9"/>
    <x v="1"/>
    <x v="11"/>
    <x v="1"/>
    <x v="1"/>
    <n v="44"/>
    <n v="122458.08"/>
    <n v="270672.84999999998"/>
    <x v="0"/>
  </r>
  <r>
    <x v="8"/>
    <x v="0"/>
    <x v="9"/>
    <x v="1"/>
    <x v="13"/>
    <x v="0"/>
    <x v="1"/>
    <n v="5"/>
    <n v="12967.15"/>
    <n v="44815.86"/>
    <x v="0"/>
  </r>
  <r>
    <x v="8"/>
    <x v="0"/>
    <x v="9"/>
    <x v="1"/>
    <x v="13"/>
    <x v="1"/>
    <x v="0"/>
    <n v="2"/>
    <n v="4106.84"/>
    <n v="9346.9699999999993"/>
    <x v="0"/>
  </r>
  <r>
    <x v="8"/>
    <x v="0"/>
    <x v="9"/>
    <x v="1"/>
    <x v="13"/>
    <x v="1"/>
    <x v="1"/>
    <n v="22"/>
    <n v="60160.25"/>
    <n v="140613.60999999999"/>
    <x v="0"/>
  </r>
  <r>
    <x v="8"/>
    <x v="0"/>
    <x v="9"/>
    <x v="1"/>
    <x v="14"/>
    <x v="0"/>
    <x v="1"/>
    <n v="1"/>
    <n v="2172.3200000000002"/>
    <n v="7529.06"/>
    <x v="0"/>
  </r>
  <r>
    <x v="8"/>
    <x v="0"/>
    <x v="9"/>
    <x v="1"/>
    <x v="14"/>
    <x v="1"/>
    <x v="0"/>
    <n v="4"/>
    <n v="9530.9699999999993"/>
    <n v="22033.63"/>
    <x v="0"/>
  </r>
  <r>
    <x v="8"/>
    <x v="0"/>
    <x v="9"/>
    <x v="1"/>
    <x v="14"/>
    <x v="1"/>
    <x v="1"/>
    <n v="2"/>
    <n v="5469.92"/>
    <n v="12253.11"/>
    <x v="0"/>
  </r>
  <r>
    <x v="8"/>
    <x v="0"/>
    <x v="9"/>
    <x v="1"/>
    <x v="15"/>
    <x v="1"/>
    <x v="1"/>
    <n v="2"/>
    <n v="5706.41"/>
    <n v="13625.82"/>
    <x v="0"/>
  </r>
  <r>
    <x v="8"/>
    <x v="0"/>
    <x v="9"/>
    <x v="1"/>
    <x v="16"/>
    <x v="0"/>
    <x v="1"/>
    <n v="3"/>
    <n v="9094.0400000000009"/>
    <n v="31191.84"/>
    <x v="0"/>
  </r>
  <r>
    <x v="8"/>
    <x v="0"/>
    <x v="9"/>
    <x v="1"/>
    <x v="16"/>
    <x v="1"/>
    <x v="0"/>
    <n v="12"/>
    <n v="25546.12"/>
    <n v="58741.760000000002"/>
    <x v="0"/>
  </r>
  <r>
    <x v="8"/>
    <x v="0"/>
    <x v="9"/>
    <x v="1"/>
    <x v="16"/>
    <x v="1"/>
    <x v="1"/>
    <n v="10"/>
    <n v="23050.78"/>
    <n v="53079.91"/>
    <x v="0"/>
  </r>
  <r>
    <x v="8"/>
    <x v="0"/>
    <x v="9"/>
    <x v="1"/>
    <x v="17"/>
    <x v="0"/>
    <x v="1"/>
    <n v="1"/>
    <n v="1988.96"/>
    <n v="7170.54"/>
    <x v="0"/>
  </r>
  <r>
    <x v="8"/>
    <x v="0"/>
    <x v="9"/>
    <x v="1"/>
    <x v="17"/>
    <x v="1"/>
    <x v="1"/>
    <n v="1"/>
    <n v="2004.59"/>
    <n v="4761.24"/>
    <x v="0"/>
  </r>
  <r>
    <x v="8"/>
    <x v="0"/>
    <x v="9"/>
    <x v="1"/>
    <x v="18"/>
    <x v="0"/>
    <x v="1"/>
    <n v="8"/>
    <n v="19526.509999999998"/>
    <n v="67403.06"/>
    <x v="0"/>
  </r>
  <r>
    <x v="8"/>
    <x v="0"/>
    <x v="9"/>
    <x v="1"/>
    <x v="18"/>
    <x v="1"/>
    <x v="0"/>
    <n v="19"/>
    <n v="44550.3"/>
    <n v="106263.49"/>
    <x v="0"/>
  </r>
  <r>
    <x v="8"/>
    <x v="0"/>
    <x v="9"/>
    <x v="1"/>
    <x v="18"/>
    <x v="1"/>
    <x v="1"/>
    <n v="16"/>
    <n v="37526.43"/>
    <n v="91447.62"/>
    <x v="0"/>
  </r>
  <r>
    <x v="8"/>
    <x v="0"/>
    <x v="9"/>
    <x v="1"/>
    <x v="19"/>
    <x v="0"/>
    <x v="1"/>
    <n v="3"/>
    <n v="6651.63"/>
    <n v="22587.200000000001"/>
    <x v="0"/>
  </r>
  <r>
    <x v="8"/>
    <x v="0"/>
    <x v="9"/>
    <x v="1"/>
    <x v="19"/>
    <x v="1"/>
    <x v="0"/>
    <n v="1"/>
    <n v="3371.23"/>
    <n v="7732.71"/>
    <x v="0"/>
  </r>
  <r>
    <x v="8"/>
    <x v="0"/>
    <x v="9"/>
    <x v="1"/>
    <x v="19"/>
    <x v="1"/>
    <x v="1"/>
    <n v="13"/>
    <n v="34509.360000000001"/>
    <n v="80468.5"/>
    <x v="0"/>
  </r>
  <r>
    <x v="8"/>
    <x v="0"/>
    <x v="9"/>
    <x v="1"/>
    <x v="20"/>
    <x v="0"/>
    <x v="0"/>
    <n v="1"/>
    <n v="2140.7399999999998"/>
    <n v="7529.06"/>
    <x v="0"/>
  </r>
  <r>
    <x v="8"/>
    <x v="0"/>
    <x v="9"/>
    <x v="1"/>
    <x v="20"/>
    <x v="0"/>
    <x v="1"/>
    <n v="16"/>
    <n v="41531.14"/>
    <n v="143769.26"/>
    <x v="0"/>
  </r>
  <r>
    <x v="8"/>
    <x v="0"/>
    <x v="9"/>
    <x v="1"/>
    <x v="20"/>
    <x v="1"/>
    <x v="0"/>
    <n v="2"/>
    <n v="6731.62"/>
    <n v="15213.01"/>
    <x v="0"/>
  </r>
  <r>
    <x v="8"/>
    <x v="0"/>
    <x v="9"/>
    <x v="1"/>
    <x v="20"/>
    <x v="1"/>
    <x v="1"/>
    <n v="25"/>
    <n v="66420.17"/>
    <n v="151654.73000000001"/>
    <x v="0"/>
  </r>
  <r>
    <x v="8"/>
    <x v="0"/>
    <x v="9"/>
    <x v="2"/>
    <x v="21"/>
    <x v="0"/>
    <x v="0"/>
    <n v="1"/>
    <n v="3337.01"/>
    <n v="11472.86"/>
    <x v="0"/>
  </r>
  <r>
    <x v="8"/>
    <x v="0"/>
    <x v="9"/>
    <x v="2"/>
    <x v="21"/>
    <x v="1"/>
    <x v="1"/>
    <n v="4"/>
    <n v="11101.86"/>
    <n v="22926"/>
    <x v="0"/>
  </r>
  <r>
    <x v="8"/>
    <x v="0"/>
    <x v="9"/>
    <x v="2"/>
    <x v="22"/>
    <x v="1"/>
    <x v="0"/>
    <n v="14"/>
    <n v="44485.84"/>
    <n v="90837.19"/>
    <x v="0"/>
  </r>
  <r>
    <x v="8"/>
    <x v="0"/>
    <x v="9"/>
    <x v="2"/>
    <x v="22"/>
    <x v="1"/>
    <x v="1"/>
    <n v="17"/>
    <n v="46774.22"/>
    <n v="97697"/>
    <x v="0"/>
  </r>
  <r>
    <x v="8"/>
    <x v="0"/>
    <x v="9"/>
    <x v="2"/>
    <x v="29"/>
    <x v="0"/>
    <x v="1"/>
    <n v="1"/>
    <n v="2006.08"/>
    <n v="7170.54"/>
    <x v="0"/>
  </r>
  <r>
    <x v="8"/>
    <x v="0"/>
    <x v="9"/>
    <x v="2"/>
    <x v="29"/>
    <x v="1"/>
    <x v="1"/>
    <n v="5"/>
    <n v="16938"/>
    <n v="36000.69"/>
    <x v="0"/>
  </r>
  <r>
    <x v="8"/>
    <x v="0"/>
    <x v="9"/>
    <x v="2"/>
    <x v="23"/>
    <x v="1"/>
    <x v="1"/>
    <n v="1"/>
    <n v="2149.98"/>
    <n v="4546.12"/>
    <x v="0"/>
  </r>
  <r>
    <x v="8"/>
    <x v="0"/>
    <x v="9"/>
    <x v="2"/>
    <x v="24"/>
    <x v="0"/>
    <x v="1"/>
    <n v="4"/>
    <n v="12106.85"/>
    <n v="41589.120000000003"/>
    <x v="0"/>
  </r>
  <r>
    <x v="8"/>
    <x v="0"/>
    <x v="9"/>
    <x v="3"/>
    <x v="25"/>
    <x v="1"/>
    <x v="0"/>
    <n v="1"/>
    <n v="2020.52"/>
    <n v="4911.82"/>
    <x v="0"/>
  </r>
  <r>
    <x v="8"/>
    <x v="0"/>
    <x v="9"/>
    <x v="3"/>
    <x v="25"/>
    <x v="1"/>
    <x v="1"/>
    <n v="3"/>
    <n v="10190.85"/>
    <n v="22344.04"/>
    <x v="0"/>
  </r>
  <r>
    <x v="8"/>
    <x v="0"/>
    <x v="9"/>
    <x v="3"/>
    <x v="26"/>
    <x v="0"/>
    <x v="0"/>
    <n v="2"/>
    <n v="4257.54"/>
    <n v="14699.6"/>
    <x v="0"/>
  </r>
  <r>
    <x v="8"/>
    <x v="0"/>
    <x v="9"/>
    <x v="3"/>
    <x v="26"/>
    <x v="0"/>
    <x v="1"/>
    <n v="1"/>
    <n v="2133.1799999999998"/>
    <n v="7529.06"/>
    <x v="0"/>
  </r>
  <r>
    <x v="8"/>
    <x v="0"/>
    <x v="9"/>
    <x v="3"/>
    <x v="26"/>
    <x v="1"/>
    <x v="1"/>
    <n v="14"/>
    <n v="36961.51"/>
    <n v="87430.03"/>
    <x v="0"/>
  </r>
  <r>
    <x v="8"/>
    <x v="0"/>
    <x v="9"/>
    <x v="3"/>
    <x v="27"/>
    <x v="0"/>
    <x v="0"/>
    <n v="3"/>
    <n v="8735.7800000000007"/>
    <n v="30116.26"/>
    <x v="0"/>
  </r>
  <r>
    <x v="8"/>
    <x v="0"/>
    <x v="9"/>
    <x v="3"/>
    <x v="27"/>
    <x v="0"/>
    <x v="1"/>
    <n v="10"/>
    <n v="28157.8"/>
    <n v="96802.26"/>
    <x v="0"/>
  </r>
  <r>
    <x v="8"/>
    <x v="0"/>
    <x v="9"/>
    <x v="3"/>
    <x v="27"/>
    <x v="1"/>
    <x v="1"/>
    <n v="32"/>
    <n v="91942.07"/>
    <n v="212856"/>
    <x v="0"/>
  </r>
  <r>
    <x v="9"/>
    <x v="0"/>
    <x v="0"/>
    <x v="0"/>
    <x v="0"/>
    <x v="0"/>
    <x v="0"/>
    <n v="4"/>
    <n v="27730.81"/>
    <n v="119392"/>
    <x v="0"/>
  </r>
  <r>
    <x v="9"/>
    <x v="0"/>
    <x v="0"/>
    <x v="0"/>
    <x v="0"/>
    <x v="0"/>
    <x v="1"/>
    <n v="4"/>
    <n v="25852.41"/>
    <n v="110362.36"/>
    <x v="0"/>
  </r>
  <r>
    <x v="9"/>
    <x v="0"/>
    <x v="0"/>
    <x v="0"/>
    <x v="0"/>
    <x v="1"/>
    <x v="0"/>
    <n v="8"/>
    <n v="43198.62"/>
    <n v="120732.43"/>
    <x v="0"/>
  </r>
  <r>
    <x v="9"/>
    <x v="0"/>
    <x v="0"/>
    <x v="0"/>
    <x v="0"/>
    <x v="1"/>
    <x v="1"/>
    <n v="12"/>
    <n v="75516.240000000005"/>
    <n v="216530.96"/>
    <x v="0"/>
  </r>
  <r>
    <x v="9"/>
    <x v="0"/>
    <x v="0"/>
    <x v="0"/>
    <x v="1"/>
    <x v="0"/>
    <x v="0"/>
    <n v="3"/>
    <n v="21944.07"/>
    <n v="96316.23"/>
    <x v="0"/>
  </r>
  <r>
    <x v="9"/>
    <x v="0"/>
    <x v="0"/>
    <x v="0"/>
    <x v="1"/>
    <x v="0"/>
    <x v="1"/>
    <n v="4"/>
    <n v="23567.77"/>
    <n v="101332.72"/>
    <x v="0"/>
  </r>
  <r>
    <x v="9"/>
    <x v="0"/>
    <x v="0"/>
    <x v="0"/>
    <x v="1"/>
    <x v="1"/>
    <x v="0"/>
    <n v="16"/>
    <n v="93625.41"/>
    <n v="260627.76"/>
    <x v="0"/>
  </r>
  <r>
    <x v="9"/>
    <x v="0"/>
    <x v="0"/>
    <x v="0"/>
    <x v="1"/>
    <x v="1"/>
    <x v="1"/>
    <n v="22"/>
    <n v="155948.74"/>
    <n v="433356.7"/>
    <x v="0"/>
  </r>
  <r>
    <x v="9"/>
    <x v="0"/>
    <x v="0"/>
    <x v="0"/>
    <x v="2"/>
    <x v="0"/>
    <x v="1"/>
    <n v="3"/>
    <n v="22321.18"/>
    <n v="96316.23"/>
    <x v="0"/>
  </r>
  <r>
    <x v="9"/>
    <x v="0"/>
    <x v="0"/>
    <x v="0"/>
    <x v="2"/>
    <x v="1"/>
    <x v="0"/>
    <n v="10"/>
    <n v="58497.3"/>
    <n v="159499.69"/>
    <x v="0"/>
  </r>
  <r>
    <x v="9"/>
    <x v="0"/>
    <x v="0"/>
    <x v="0"/>
    <x v="2"/>
    <x v="1"/>
    <x v="1"/>
    <n v="17"/>
    <n v="107078.89"/>
    <n v="294700.59999999998"/>
    <x v="0"/>
  </r>
  <r>
    <x v="9"/>
    <x v="0"/>
    <x v="0"/>
    <x v="0"/>
    <x v="3"/>
    <x v="0"/>
    <x v="0"/>
    <n v="5"/>
    <n v="29576.19"/>
    <n v="129424.95"/>
    <x v="0"/>
  </r>
  <r>
    <x v="9"/>
    <x v="0"/>
    <x v="0"/>
    <x v="0"/>
    <x v="3"/>
    <x v="0"/>
    <x v="1"/>
    <n v="4"/>
    <n v="22355.24"/>
    <n v="97319.54"/>
    <x v="0"/>
  </r>
  <r>
    <x v="9"/>
    <x v="0"/>
    <x v="0"/>
    <x v="0"/>
    <x v="3"/>
    <x v="1"/>
    <x v="0"/>
    <n v="29"/>
    <n v="200715.96"/>
    <n v="564368.22"/>
    <x v="0"/>
  </r>
  <r>
    <x v="9"/>
    <x v="0"/>
    <x v="0"/>
    <x v="0"/>
    <x v="3"/>
    <x v="1"/>
    <x v="1"/>
    <n v="46"/>
    <n v="299624.23"/>
    <n v="830158.42"/>
    <x v="0"/>
  </r>
  <r>
    <x v="9"/>
    <x v="0"/>
    <x v="0"/>
    <x v="0"/>
    <x v="4"/>
    <x v="1"/>
    <x v="0"/>
    <n v="9"/>
    <n v="63048.75"/>
    <n v="175633.91"/>
    <x v="0"/>
  </r>
  <r>
    <x v="9"/>
    <x v="0"/>
    <x v="0"/>
    <x v="0"/>
    <x v="4"/>
    <x v="1"/>
    <x v="1"/>
    <n v="6"/>
    <n v="45050.04"/>
    <n v="123284.78"/>
    <x v="0"/>
  </r>
  <r>
    <x v="9"/>
    <x v="0"/>
    <x v="0"/>
    <x v="0"/>
    <x v="5"/>
    <x v="0"/>
    <x v="1"/>
    <n v="4"/>
    <n v="29325.94"/>
    <n v="128421.64"/>
    <x v="0"/>
  </r>
  <r>
    <x v="9"/>
    <x v="0"/>
    <x v="0"/>
    <x v="0"/>
    <x v="5"/>
    <x v="1"/>
    <x v="0"/>
    <n v="2"/>
    <n v="14235.12"/>
    <n v="42314.93"/>
    <x v="0"/>
  </r>
  <r>
    <x v="9"/>
    <x v="0"/>
    <x v="0"/>
    <x v="0"/>
    <x v="5"/>
    <x v="1"/>
    <x v="1"/>
    <n v="27"/>
    <n v="172823.81"/>
    <n v="487944.1"/>
    <x v="0"/>
  </r>
  <r>
    <x v="9"/>
    <x v="0"/>
    <x v="0"/>
    <x v="0"/>
    <x v="6"/>
    <x v="0"/>
    <x v="1"/>
    <n v="5"/>
    <n v="34697.300000000003"/>
    <n v="151497.41"/>
    <x v="0"/>
  </r>
  <r>
    <x v="9"/>
    <x v="0"/>
    <x v="0"/>
    <x v="0"/>
    <x v="6"/>
    <x v="1"/>
    <x v="1"/>
    <n v="1"/>
    <n v="5308.22"/>
    <n v="15160.78"/>
    <x v="0"/>
  </r>
  <r>
    <x v="9"/>
    <x v="0"/>
    <x v="0"/>
    <x v="0"/>
    <x v="7"/>
    <x v="1"/>
    <x v="1"/>
    <n v="11"/>
    <n v="74784.3"/>
    <n v="215702.68"/>
    <x v="0"/>
  </r>
  <r>
    <x v="9"/>
    <x v="0"/>
    <x v="0"/>
    <x v="0"/>
    <x v="8"/>
    <x v="0"/>
    <x v="1"/>
    <n v="3"/>
    <n v="19996.29"/>
    <n v="87286.59"/>
    <x v="0"/>
  </r>
  <r>
    <x v="9"/>
    <x v="0"/>
    <x v="0"/>
    <x v="0"/>
    <x v="8"/>
    <x v="1"/>
    <x v="1"/>
    <n v="6"/>
    <n v="43800"/>
    <n v="122706.88"/>
    <x v="0"/>
  </r>
  <r>
    <x v="9"/>
    <x v="0"/>
    <x v="0"/>
    <x v="1"/>
    <x v="30"/>
    <x v="1"/>
    <x v="0"/>
    <n v="11"/>
    <n v="78032.160000000003"/>
    <n v="229501.52"/>
    <x v="0"/>
  </r>
  <r>
    <x v="9"/>
    <x v="0"/>
    <x v="0"/>
    <x v="1"/>
    <x v="9"/>
    <x v="1"/>
    <x v="1"/>
    <n v="1"/>
    <n v="5476.81"/>
    <n v="15876.13"/>
    <x v="0"/>
  </r>
  <r>
    <x v="9"/>
    <x v="0"/>
    <x v="0"/>
    <x v="1"/>
    <x v="31"/>
    <x v="1"/>
    <x v="0"/>
    <n v="2"/>
    <n v="10361.18"/>
    <n v="31173.99"/>
    <x v="0"/>
  </r>
  <r>
    <x v="9"/>
    <x v="0"/>
    <x v="0"/>
    <x v="1"/>
    <x v="10"/>
    <x v="0"/>
    <x v="0"/>
    <n v="5"/>
    <n v="31306.54"/>
    <n v="140461.18"/>
    <x v="0"/>
  </r>
  <r>
    <x v="9"/>
    <x v="0"/>
    <x v="0"/>
    <x v="1"/>
    <x v="10"/>
    <x v="0"/>
    <x v="1"/>
    <n v="7"/>
    <n v="47600.800000000003"/>
    <n v="206678.59"/>
    <x v="0"/>
  </r>
  <r>
    <x v="9"/>
    <x v="0"/>
    <x v="0"/>
    <x v="1"/>
    <x v="10"/>
    <x v="1"/>
    <x v="0"/>
    <n v="14"/>
    <n v="98393.52"/>
    <n v="285330.83"/>
    <x v="0"/>
  </r>
  <r>
    <x v="9"/>
    <x v="0"/>
    <x v="0"/>
    <x v="1"/>
    <x v="10"/>
    <x v="1"/>
    <x v="1"/>
    <n v="28"/>
    <n v="183570.9"/>
    <n v="544379.65"/>
    <x v="0"/>
  </r>
  <r>
    <x v="9"/>
    <x v="0"/>
    <x v="0"/>
    <x v="1"/>
    <x v="11"/>
    <x v="0"/>
    <x v="1"/>
    <n v="9"/>
    <n v="59420.58"/>
    <n v="259853.18"/>
    <x v="0"/>
  </r>
  <r>
    <x v="9"/>
    <x v="0"/>
    <x v="0"/>
    <x v="1"/>
    <x v="11"/>
    <x v="1"/>
    <x v="0"/>
    <n v="11"/>
    <n v="74265.789999999994"/>
    <n v="209571.9"/>
    <x v="0"/>
  </r>
  <r>
    <x v="9"/>
    <x v="0"/>
    <x v="0"/>
    <x v="1"/>
    <x v="11"/>
    <x v="1"/>
    <x v="1"/>
    <n v="10"/>
    <n v="66739.64"/>
    <n v="185208.1"/>
    <x v="0"/>
  </r>
  <r>
    <x v="9"/>
    <x v="0"/>
    <x v="0"/>
    <x v="1"/>
    <x v="12"/>
    <x v="1"/>
    <x v="0"/>
    <n v="5"/>
    <n v="37153.019999999997"/>
    <n v="109800.5"/>
    <x v="0"/>
  </r>
  <r>
    <x v="9"/>
    <x v="0"/>
    <x v="0"/>
    <x v="1"/>
    <x v="12"/>
    <x v="1"/>
    <x v="1"/>
    <n v="4"/>
    <n v="25825.08"/>
    <n v="75487.850000000006"/>
    <x v="0"/>
  </r>
  <r>
    <x v="9"/>
    <x v="0"/>
    <x v="0"/>
    <x v="1"/>
    <x v="13"/>
    <x v="0"/>
    <x v="1"/>
    <n v="10"/>
    <n v="65420.04"/>
    <n v="282928.95"/>
    <x v="0"/>
  </r>
  <r>
    <x v="9"/>
    <x v="0"/>
    <x v="0"/>
    <x v="1"/>
    <x v="13"/>
    <x v="1"/>
    <x v="1"/>
    <n v="17"/>
    <n v="101523.65"/>
    <n v="297894.11"/>
    <x v="0"/>
  </r>
  <r>
    <x v="9"/>
    <x v="0"/>
    <x v="0"/>
    <x v="1"/>
    <x v="14"/>
    <x v="1"/>
    <x v="0"/>
    <n v="6"/>
    <n v="40613.5"/>
    <n v="116614.89"/>
    <x v="0"/>
  </r>
  <r>
    <x v="9"/>
    <x v="0"/>
    <x v="0"/>
    <x v="1"/>
    <x v="14"/>
    <x v="1"/>
    <x v="1"/>
    <n v="5"/>
    <n v="25147.01"/>
    <n v="73051.87"/>
    <x v="0"/>
  </r>
  <r>
    <x v="9"/>
    <x v="0"/>
    <x v="0"/>
    <x v="1"/>
    <x v="15"/>
    <x v="1"/>
    <x v="1"/>
    <n v="2"/>
    <n v="14543.64"/>
    <n v="41835.230000000003"/>
    <x v="0"/>
  </r>
  <r>
    <x v="9"/>
    <x v="0"/>
    <x v="0"/>
    <x v="1"/>
    <x v="16"/>
    <x v="0"/>
    <x v="1"/>
    <n v="2"/>
    <n v="12758.97"/>
    <n v="55181.18"/>
    <x v="0"/>
  </r>
  <r>
    <x v="9"/>
    <x v="0"/>
    <x v="0"/>
    <x v="1"/>
    <x v="16"/>
    <x v="1"/>
    <x v="0"/>
    <n v="2"/>
    <n v="9392.44"/>
    <n v="27727.040000000001"/>
    <x v="0"/>
  </r>
  <r>
    <x v="9"/>
    <x v="0"/>
    <x v="0"/>
    <x v="1"/>
    <x v="16"/>
    <x v="1"/>
    <x v="1"/>
    <n v="14"/>
    <n v="102007.39"/>
    <n v="291727"/>
    <x v="0"/>
  </r>
  <r>
    <x v="9"/>
    <x v="0"/>
    <x v="0"/>
    <x v="1"/>
    <x v="17"/>
    <x v="0"/>
    <x v="1"/>
    <n v="2"/>
    <n v="12511.4"/>
    <n v="55181.18"/>
    <x v="0"/>
  </r>
  <r>
    <x v="9"/>
    <x v="0"/>
    <x v="0"/>
    <x v="1"/>
    <x v="17"/>
    <x v="1"/>
    <x v="0"/>
    <n v="9"/>
    <n v="63610.29"/>
    <n v="178254.2"/>
    <x v="0"/>
  </r>
  <r>
    <x v="9"/>
    <x v="0"/>
    <x v="0"/>
    <x v="1"/>
    <x v="17"/>
    <x v="1"/>
    <x v="1"/>
    <n v="10"/>
    <n v="65628.97"/>
    <n v="191893.61"/>
    <x v="0"/>
  </r>
  <r>
    <x v="9"/>
    <x v="0"/>
    <x v="0"/>
    <x v="1"/>
    <x v="18"/>
    <x v="0"/>
    <x v="1"/>
    <n v="16"/>
    <n v="104971.27"/>
    <n v="462518.59"/>
    <x v="0"/>
  </r>
  <r>
    <x v="9"/>
    <x v="0"/>
    <x v="0"/>
    <x v="1"/>
    <x v="18"/>
    <x v="1"/>
    <x v="0"/>
    <n v="14"/>
    <n v="90602.91"/>
    <n v="274732.03999999998"/>
    <x v="0"/>
  </r>
  <r>
    <x v="9"/>
    <x v="0"/>
    <x v="0"/>
    <x v="1"/>
    <x v="18"/>
    <x v="1"/>
    <x v="1"/>
    <n v="43"/>
    <n v="256607.7"/>
    <n v="774937.06"/>
    <x v="0"/>
  </r>
  <r>
    <x v="9"/>
    <x v="0"/>
    <x v="0"/>
    <x v="1"/>
    <x v="19"/>
    <x v="0"/>
    <x v="1"/>
    <n v="9"/>
    <n v="57640.33"/>
    <n v="248816.95"/>
    <x v="0"/>
  </r>
  <r>
    <x v="9"/>
    <x v="0"/>
    <x v="0"/>
    <x v="1"/>
    <x v="19"/>
    <x v="1"/>
    <x v="0"/>
    <n v="25"/>
    <n v="179763.22"/>
    <n v="527388.55000000005"/>
    <x v="0"/>
  </r>
  <r>
    <x v="9"/>
    <x v="0"/>
    <x v="0"/>
    <x v="1"/>
    <x v="19"/>
    <x v="1"/>
    <x v="1"/>
    <n v="14"/>
    <n v="95082.92"/>
    <n v="281121.94"/>
    <x v="0"/>
  </r>
  <r>
    <x v="9"/>
    <x v="0"/>
    <x v="0"/>
    <x v="1"/>
    <x v="20"/>
    <x v="0"/>
    <x v="0"/>
    <n v="2"/>
    <n v="12169.24"/>
    <n v="53174.59"/>
    <x v="0"/>
  </r>
  <r>
    <x v="9"/>
    <x v="0"/>
    <x v="0"/>
    <x v="1"/>
    <x v="20"/>
    <x v="0"/>
    <x v="1"/>
    <n v="7"/>
    <n v="45248.75"/>
    <n v="195642.36"/>
    <x v="0"/>
  </r>
  <r>
    <x v="9"/>
    <x v="0"/>
    <x v="0"/>
    <x v="1"/>
    <x v="20"/>
    <x v="1"/>
    <x v="0"/>
    <n v="6"/>
    <n v="43976.959999999999"/>
    <n v="127715.32"/>
    <x v="0"/>
  </r>
  <r>
    <x v="9"/>
    <x v="0"/>
    <x v="0"/>
    <x v="1"/>
    <x v="20"/>
    <x v="1"/>
    <x v="1"/>
    <n v="22"/>
    <n v="125704.93"/>
    <n v="350156.61"/>
    <x v="0"/>
  </r>
  <r>
    <x v="9"/>
    <x v="0"/>
    <x v="0"/>
    <x v="2"/>
    <x v="21"/>
    <x v="0"/>
    <x v="0"/>
    <n v="4"/>
    <n v="27100.73"/>
    <n v="117385.41"/>
    <x v="0"/>
  </r>
  <r>
    <x v="9"/>
    <x v="0"/>
    <x v="0"/>
    <x v="2"/>
    <x v="21"/>
    <x v="1"/>
    <x v="1"/>
    <n v="2"/>
    <n v="9442.18"/>
    <n v="25662.26"/>
    <x v="0"/>
  </r>
  <r>
    <x v="9"/>
    <x v="0"/>
    <x v="0"/>
    <x v="2"/>
    <x v="22"/>
    <x v="0"/>
    <x v="1"/>
    <n v="3"/>
    <n v="20759.14"/>
    <n v="87286.59"/>
    <x v="0"/>
  </r>
  <r>
    <x v="9"/>
    <x v="0"/>
    <x v="0"/>
    <x v="2"/>
    <x v="22"/>
    <x v="1"/>
    <x v="0"/>
    <n v="5"/>
    <n v="35312.97"/>
    <n v="92261.91"/>
    <x v="0"/>
  </r>
  <r>
    <x v="9"/>
    <x v="0"/>
    <x v="0"/>
    <x v="2"/>
    <x v="22"/>
    <x v="1"/>
    <x v="1"/>
    <n v="14"/>
    <n v="78721.070000000007"/>
    <n v="210010.66"/>
    <x v="0"/>
  </r>
  <r>
    <x v="9"/>
    <x v="0"/>
    <x v="0"/>
    <x v="2"/>
    <x v="23"/>
    <x v="1"/>
    <x v="1"/>
    <n v="13"/>
    <n v="82146.62"/>
    <n v="224777.54"/>
    <x v="0"/>
  </r>
  <r>
    <x v="9"/>
    <x v="0"/>
    <x v="0"/>
    <x v="2"/>
    <x v="24"/>
    <x v="0"/>
    <x v="1"/>
    <n v="2"/>
    <n v="14681.55"/>
    <n v="64210.82"/>
    <x v="0"/>
  </r>
  <r>
    <x v="9"/>
    <x v="0"/>
    <x v="0"/>
    <x v="2"/>
    <x v="24"/>
    <x v="1"/>
    <x v="0"/>
    <n v="2"/>
    <n v="14975.92"/>
    <n v="39810.71"/>
    <x v="0"/>
  </r>
  <r>
    <x v="9"/>
    <x v="0"/>
    <x v="0"/>
    <x v="3"/>
    <x v="25"/>
    <x v="0"/>
    <x v="1"/>
    <n v="3"/>
    <n v="18672.650000000001"/>
    <n v="78256.95"/>
    <x v="0"/>
  </r>
  <r>
    <x v="9"/>
    <x v="0"/>
    <x v="0"/>
    <x v="3"/>
    <x v="25"/>
    <x v="1"/>
    <x v="0"/>
    <n v="5"/>
    <n v="37469.199999999997"/>
    <n v="109961.03"/>
    <x v="0"/>
  </r>
  <r>
    <x v="9"/>
    <x v="0"/>
    <x v="0"/>
    <x v="3"/>
    <x v="25"/>
    <x v="1"/>
    <x v="1"/>
    <n v="12"/>
    <n v="76683.679999999993"/>
    <n v="226080.71"/>
    <x v="0"/>
  </r>
  <r>
    <x v="9"/>
    <x v="0"/>
    <x v="0"/>
    <x v="3"/>
    <x v="26"/>
    <x v="0"/>
    <x v="0"/>
    <n v="2"/>
    <n v="12267.12"/>
    <n v="53174.59"/>
    <x v="0"/>
  </r>
  <r>
    <x v="9"/>
    <x v="0"/>
    <x v="0"/>
    <x v="3"/>
    <x v="26"/>
    <x v="0"/>
    <x v="1"/>
    <n v="3"/>
    <n v="18650.98"/>
    <n v="78256.95"/>
    <x v="0"/>
  </r>
  <r>
    <x v="9"/>
    <x v="0"/>
    <x v="0"/>
    <x v="3"/>
    <x v="26"/>
    <x v="1"/>
    <x v="0"/>
    <n v="3"/>
    <n v="15944.75"/>
    <n v="47766.84"/>
    <x v="0"/>
  </r>
  <r>
    <x v="9"/>
    <x v="0"/>
    <x v="0"/>
    <x v="3"/>
    <x v="26"/>
    <x v="1"/>
    <x v="1"/>
    <n v="35"/>
    <n v="218031.23"/>
    <n v="649963.43000000005"/>
    <x v="0"/>
  </r>
  <r>
    <x v="9"/>
    <x v="0"/>
    <x v="0"/>
    <x v="3"/>
    <x v="27"/>
    <x v="0"/>
    <x v="0"/>
    <n v="2"/>
    <n v="10577.9"/>
    <n v="46151.54"/>
    <x v="0"/>
  </r>
  <r>
    <x v="9"/>
    <x v="0"/>
    <x v="0"/>
    <x v="3"/>
    <x v="27"/>
    <x v="0"/>
    <x v="1"/>
    <n v="11"/>
    <n v="69092.649999999994"/>
    <n v="303998.13"/>
    <x v="0"/>
  </r>
  <r>
    <x v="9"/>
    <x v="0"/>
    <x v="0"/>
    <x v="3"/>
    <x v="27"/>
    <x v="1"/>
    <x v="0"/>
    <n v="17"/>
    <n v="101784.65"/>
    <n v="295719.78000000003"/>
    <x v="0"/>
  </r>
  <r>
    <x v="9"/>
    <x v="0"/>
    <x v="0"/>
    <x v="3"/>
    <x v="27"/>
    <x v="1"/>
    <x v="1"/>
    <n v="14"/>
    <n v="93069.1"/>
    <n v="273729.75"/>
    <x v="0"/>
  </r>
  <r>
    <x v="9"/>
    <x v="0"/>
    <x v="1"/>
    <x v="0"/>
    <x v="0"/>
    <x v="0"/>
    <x v="0"/>
    <n v="2"/>
    <n v="5310.2"/>
    <n v="18509.02"/>
    <x v="0"/>
  </r>
  <r>
    <x v="9"/>
    <x v="0"/>
    <x v="1"/>
    <x v="0"/>
    <x v="0"/>
    <x v="0"/>
    <x v="1"/>
    <n v="3"/>
    <n v="8771.5499999999993"/>
    <n v="29684.28"/>
    <x v="0"/>
  </r>
  <r>
    <x v="9"/>
    <x v="0"/>
    <x v="1"/>
    <x v="0"/>
    <x v="0"/>
    <x v="1"/>
    <x v="0"/>
    <n v="1"/>
    <n v="2059.1799999999998"/>
    <n v="4796.28"/>
    <x v="0"/>
  </r>
  <r>
    <x v="9"/>
    <x v="0"/>
    <x v="1"/>
    <x v="0"/>
    <x v="0"/>
    <x v="1"/>
    <x v="1"/>
    <n v="10"/>
    <n v="26549.25"/>
    <n v="60524.5"/>
    <x v="0"/>
  </r>
  <r>
    <x v="9"/>
    <x v="0"/>
    <x v="1"/>
    <x v="0"/>
    <x v="1"/>
    <x v="0"/>
    <x v="0"/>
    <n v="4"/>
    <n v="9252.15"/>
    <n v="32827.32"/>
    <x v="0"/>
  </r>
  <r>
    <x v="9"/>
    <x v="0"/>
    <x v="1"/>
    <x v="0"/>
    <x v="1"/>
    <x v="0"/>
    <x v="1"/>
    <n v="5"/>
    <n v="14905.55"/>
    <n v="51685.58"/>
    <x v="0"/>
  </r>
  <r>
    <x v="9"/>
    <x v="0"/>
    <x v="1"/>
    <x v="0"/>
    <x v="1"/>
    <x v="1"/>
    <x v="0"/>
    <n v="7"/>
    <n v="21885.65"/>
    <n v="47829.75"/>
    <x v="0"/>
  </r>
  <r>
    <x v="9"/>
    <x v="0"/>
    <x v="1"/>
    <x v="0"/>
    <x v="1"/>
    <x v="1"/>
    <x v="1"/>
    <n v="7"/>
    <n v="14270.54"/>
    <n v="33009.26"/>
    <x v="0"/>
  </r>
  <r>
    <x v="9"/>
    <x v="0"/>
    <x v="1"/>
    <x v="0"/>
    <x v="2"/>
    <x v="0"/>
    <x v="1"/>
    <n v="3"/>
    <n v="9650.9599999999991"/>
    <n v="33525.78"/>
    <x v="0"/>
  </r>
  <r>
    <x v="9"/>
    <x v="0"/>
    <x v="1"/>
    <x v="0"/>
    <x v="2"/>
    <x v="1"/>
    <x v="1"/>
    <n v="6"/>
    <n v="13372.52"/>
    <n v="29277.43"/>
    <x v="0"/>
  </r>
  <r>
    <x v="9"/>
    <x v="0"/>
    <x v="1"/>
    <x v="0"/>
    <x v="3"/>
    <x v="0"/>
    <x v="1"/>
    <n v="9"/>
    <n v="22934.35"/>
    <n v="80322.179999999993"/>
    <x v="0"/>
  </r>
  <r>
    <x v="9"/>
    <x v="0"/>
    <x v="1"/>
    <x v="0"/>
    <x v="3"/>
    <x v="1"/>
    <x v="0"/>
    <n v="4"/>
    <n v="12004.64"/>
    <n v="26395.27"/>
    <x v="0"/>
  </r>
  <r>
    <x v="9"/>
    <x v="0"/>
    <x v="1"/>
    <x v="0"/>
    <x v="3"/>
    <x v="1"/>
    <x v="1"/>
    <n v="16"/>
    <n v="41114.160000000003"/>
    <n v="93173.01"/>
    <x v="0"/>
  </r>
  <r>
    <x v="9"/>
    <x v="0"/>
    <x v="1"/>
    <x v="0"/>
    <x v="4"/>
    <x v="0"/>
    <x v="1"/>
    <n v="3"/>
    <n v="8415.73"/>
    <n v="29335.06"/>
    <x v="0"/>
  </r>
  <r>
    <x v="9"/>
    <x v="0"/>
    <x v="1"/>
    <x v="0"/>
    <x v="4"/>
    <x v="1"/>
    <x v="0"/>
    <n v="5"/>
    <n v="16736.3"/>
    <n v="35760.83"/>
    <x v="0"/>
  </r>
  <r>
    <x v="9"/>
    <x v="0"/>
    <x v="1"/>
    <x v="0"/>
    <x v="4"/>
    <x v="1"/>
    <x v="1"/>
    <n v="3"/>
    <n v="6217.2"/>
    <n v="14080.82"/>
    <x v="0"/>
  </r>
  <r>
    <x v="9"/>
    <x v="0"/>
    <x v="1"/>
    <x v="0"/>
    <x v="5"/>
    <x v="0"/>
    <x v="1"/>
    <n v="3"/>
    <n v="7341.84"/>
    <n v="25842.78"/>
    <x v="0"/>
  </r>
  <r>
    <x v="9"/>
    <x v="0"/>
    <x v="1"/>
    <x v="0"/>
    <x v="5"/>
    <x v="1"/>
    <x v="1"/>
    <n v="9"/>
    <n v="26946.75"/>
    <n v="63552.08"/>
    <x v="0"/>
  </r>
  <r>
    <x v="9"/>
    <x v="0"/>
    <x v="1"/>
    <x v="0"/>
    <x v="7"/>
    <x v="1"/>
    <x v="1"/>
    <n v="5"/>
    <n v="15891.45"/>
    <n v="37325.370000000003"/>
    <x v="0"/>
  </r>
  <r>
    <x v="9"/>
    <x v="0"/>
    <x v="1"/>
    <x v="0"/>
    <x v="8"/>
    <x v="0"/>
    <x v="1"/>
    <n v="1"/>
    <n v="3090.46"/>
    <n v="11175.26"/>
    <x v="0"/>
  </r>
  <r>
    <x v="9"/>
    <x v="0"/>
    <x v="1"/>
    <x v="0"/>
    <x v="8"/>
    <x v="1"/>
    <x v="1"/>
    <n v="4"/>
    <n v="10466.91"/>
    <n v="23358.04"/>
    <x v="0"/>
  </r>
  <r>
    <x v="9"/>
    <x v="0"/>
    <x v="1"/>
    <x v="1"/>
    <x v="9"/>
    <x v="1"/>
    <x v="1"/>
    <n v="4"/>
    <n v="8619.58"/>
    <n v="20182.509999999998"/>
    <x v="0"/>
  </r>
  <r>
    <x v="9"/>
    <x v="0"/>
    <x v="1"/>
    <x v="1"/>
    <x v="31"/>
    <x v="1"/>
    <x v="0"/>
    <n v="2"/>
    <n v="6281.52"/>
    <n v="15533.61"/>
    <x v="0"/>
  </r>
  <r>
    <x v="9"/>
    <x v="0"/>
    <x v="1"/>
    <x v="1"/>
    <x v="10"/>
    <x v="0"/>
    <x v="1"/>
    <n v="1"/>
    <n v="2154.14"/>
    <n v="7333.76"/>
    <x v="0"/>
  </r>
  <r>
    <x v="9"/>
    <x v="0"/>
    <x v="1"/>
    <x v="1"/>
    <x v="10"/>
    <x v="1"/>
    <x v="0"/>
    <n v="5"/>
    <n v="12325.55"/>
    <n v="30247.919999999998"/>
    <x v="0"/>
  </r>
  <r>
    <x v="9"/>
    <x v="0"/>
    <x v="1"/>
    <x v="1"/>
    <x v="10"/>
    <x v="1"/>
    <x v="1"/>
    <n v="32"/>
    <n v="85649.41"/>
    <n v="204037.1"/>
    <x v="0"/>
  </r>
  <r>
    <x v="9"/>
    <x v="0"/>
    <x v="1"/>
    <x v="1"/>
    <x v="11"/>
    <x v="0"/>
    <x v="1"/>
    <n v="2"/>
    <n v="4229.7"/>
    <n v="14667.52"/>
    <x v="0"/>
  </r>
  <r>
    <x v="9"/>
    <x v="0"/>
    <x v="1"/>
    <x v="1"/>
    <x v="11"/>
    <x v="1"/>
    <x v="1"/>
    <n v="9"/>
    <n v="24853.8"/>
    <n v="55387.38"/>
    <x v="0"/>
  </r>
  <r>
    <x v="9"/>
    <x v="0"/>
    <x v="1"/>
    <x v="1"/>
    <x v="13"/>
    <x v="1"/>
    <x v="1"/>
    <n v="9"/>
    <n v="20426.560000000001"/>
    <n v="48519.98"/>
    <x v="0"/>
  </r>
  <r>
    <x v="9"/>
    <x v="0"/>
    <x v="1"/>
    <x v="1"/>
    <x v="14"/>
    <x v="1"/>
    <x v="0"/>
    <n v="6"/>
    <n v="12731.21"/>
    <n v="29393.71"/>
    <x v="0"/>
  </r>
  <r>
    <x v="9"/>
    <x v="0"/>
    <x v="1"/>
    <x v="1"/>
    <x v="14"/>
    <x v="1"/>
    <x v="1"/>
    <n v="8"/>
    <n v="24419.89"/>
    <n v="57154.46"/>
    <x v="0"/>
  </r>
  <r>
    <x v="9"/>
    <x v="0"/>
    <x v="1"/>
    <x v="1"/>
    <x v="16"/>
    <x v="0"/>
    <x v="1"/>
    <n v="2"/>
    <n v="6247.06"/>
    <n v="22350.52"/>
    <x v="0"/>
  </r>
  <r>
    <x v="9"/>
    <x v="0"/>
    <x v="1"/>
    <x v="1"/>
    <x v="16"/>
    <x v="1"/>
    <x v="1"/>
    <n v="5"/>
    <n v="12571.37"/>
    <n v="29183.48"/>
    <x v="0"/>
  </r>
  <r>
    <x v="9"/>
    <x v="0"/>
    <x v="1"/>
    <x v="1"/>
    <x v="17"/>
    <x v="1"/>
    <x v="0"/>
    <n v="7"/>
    <n v="18667.310000000001"/>
    <n v="44290.35"/>
    <x v="0"/>
  </r>
  <r>
    <x v="9"/>
    <x v="0"/>
    <x v="1"/>
    <x v="1"/>
    <x v="17"/>
    <x v="1"/>
    <x v="1"/>
    <n v="1"/>
    <n v="3265.98"/>
    <n v="7420.37"/>
    <x v="0"/>
  </r>
  <r>
    <x v="9"/>
    <x v="0"/>
    <x v="1"/>
    <x v="1"/>
    <x v="18"/>
    <x v="0"/>
    <x v="1"/>
    <n v="10"/>
    <n v="24151.94"/>
    <n v="84163.66"/>
    <x v="0"/>
  </r>
  <r>
    <x v="9"/>
    <x v="0"/>
    <x v="1"/>
    <x v="1"/>
    <x v="18"/>
    <x v="1"/>
    <x v="0"/>
    <n v="3"/>
    <n v="8516.07"/>
    <n v="20630.57"/>
    <x v="0"/>
  </r>
  <r>
    <x v="9"/>
    <x v="0"/>
    <x v="1"/>
    <x v="1"/>
    <x v="18"/>
    <x v="1"/>
    <x v="1"/>
    <n v="19"/>
    <n v="50020.73"/>
    <n v="122327.2"/>
    <x v="0"/>
  </r>
  <r>
    <x v="9"/>
    <x v="0"/>
    <x v="1"/>
    <x v="1"/>
    <x v="19"/>
    <x v="0"/>
    <x v="1"/>
    <n v="1"/>
    <n v="3081.21"/>
    <n v="11175.26"/>
    <x v="0"/>
  </r>
  <r>
    <x v="9"/>
    <x v="0"/>
    <x v="1"/>
    <x v="1"/>
    <x v="19"/>
    <x v="1"/>
    <x v="0"/>
    <n v="8"/>
    <n v="22595.88"/>
    <n v="52489.49"/>
    <x v="0"/>
  </r>
  <r>
    <x v="9"/>
    <x v="0"/>
    <x v="1"/>
    <x v="1"/>
    <x v="19"/>
    <x v="1"/>
    <x v="1"/>
    <n v="15"/>
    <n v="41825.42"/>
    <n v="96504.73"/>
    <x v="0"/>
  </r>
  <r>
    <x v="9"/>
    <x v="0"/>
    <x v="1"/>
    <x v="1"/>
    <x v="20"/>
    <x v="0"/>
    <x v="1"/>
    <n v="6"/>
    <n v="15622.5"/>
    <n v="55177.84"/>
    <x v="0"/>
  </r>
  <r>
    <x v="9"/>
    <x v="0"/>
    <x v="1"/>
    <x v="1"/>
    <x v="20"/>
    <x v="1"/>
    <x v="1"/>
    <n v="18"/>
    <n v="46596.959999999999"/>
    <n v="106738.75"/>
    <x v="0"/>
  </r>
  <r>
    <x v="9"/>
    <x v="0"/>
    <x v="1"/>
    <x v="2"/>
    <x v="21"/>
    <x v="0"/>
    <x v="0"/>
    <n v="2"/>
    <n v="5372.81"/>
    <n v="18509.02"/>
    <x v="0"/>
  </r>
  <r>
    <x v="9"/>
    <x v="0"/>
    <x v="1"/>
    <x v="2"/>
    <x v="22"/>
    <x v="0"/>
    <x v="1"/>
    <n v="2"/>
    <n v="5236.87"/>
    <n v="18509.02"/>
    <x v="0"/>
  </r>
  <r>
    <x v="9"/>
    <x v="0"/>
    <x v="1"/>
    <x v="2"/>
    <x v="22"/>
    <x v="1"/>
    <x v="1"/>
    <n v="9"/>
    <n v="22151.439999999999"/>
    <n v="47214.76"/>
    <x v="0"/>
  </r>
  <r>
    <x v="9"/>
    <x v="0"/>
    <x v="1"/>
    <x v="2"/>
    <x v="29"/>
    <x v="0"/>
    <x v="1"/>
    <n v="2"/>
    <n v="5386.95"/>
    <n v="18509.02"/>
    <x v="0"/>
  </r>
  <r>
    <x v="9"/>
    <x v="0"/>
    <x v="1"/>
    <x v="2"/>
    <x v="24"/>
    <x v="0"/>
    <x v="1"/>
    <n v="1"/>
    <n v="3334.85"/>
    <n v="11175.26"/>
    <x v="0"/>
  </r>
  <r>
    <x v="9"/>
    <x v="0"/>
    <x v="1"/>
    <x v="2"/>
    <x v="24"/>
    <x v="1"/>
    <x v="0"/>
    <n v="7"/>
    <n v="20732.36"/>
    <n v="43737.17"/>
    <x v="0"/>
  </r>
  <r>
    <x v="9"/>
    <x v="0"/>
    <x v="1"/>
    <x v="3"/>
    <x v="25"/>
    <x v="0"/>
    <x v="1"/>
    <n v="1"/>
    <n v="3267.01"/>
    <n v="11175.26"/>
    <x v="0"/>
  </r>
  <r>
    <x v="9"/>
    <x v="0"/>
    <x v="1"/>
    <x v="3"/>
    <x v="25"/>
    <x v="1"/>
    <x v="0"/>
    <n v="5"/>
    <n v="14082.29"/>
    <n v="33012.410000000003"/>
    <x v="0"/>
  </r>
  <r>
    <x v="9"/>
    <x v="0"/>
    <x v="1"/>
    <x v="3"/>
    <x v="25"/>
    <x v="1"/>
    <x v="1"/>
    <n v="5"/>
    <n v="12864.69"/>
    <n v="29691.21"/>
    <x v="0"/>
  </r>
  <r>
    <x v="9"/>
    <x v="0"/>
    <x v="1"/>
    <x v="3"/>
    <x v="26"/>
    <x v="0"/>
    <x v="1"/>
    <n v="1"/>
    <n v="3129.77"/>
    <n v="11175.26"/>
    <x v="0"/>
  </r>
  <r>
    <x v="9"/>
    <x v="0"/>
    <x v="1"/>
    <x v="3"/>
    <x v="26"/>
    <x v="1"/>
    <x v="0"/>
    <n v="5"/>
    <n v="10619.09"/>
    <n v="25301.47"/>
    <x v="0"/>
  </r>
  <r>
    <x v="9"/>
    <x v="0"/>
    <x v="1"/>
    <x v="3"/>
    <x v="26"/>
    <x v="1"/>
    <x v="1"/>
    <n v="6"/>
    <n v="19522.34"/>
    <n v="46265.58"/>
    <x v="0"/>
  </r>
  <r>
    <x v="9"/>
    <x v="0"/>
    <x v="1"/>
    <x v="3"/>
    <x v="27"/>
    <x v="0"/>
    <x v="0"/>
    <n v="2"/>
    <n v="5218.05"/>
    <n v="18509.02"/>
    <x v="0"/>
  </r>
  <r>
    <x v="9"/>
    <x v="0"/>
    <x v="1"/>
    <x v="3"/>
    <x v="27"/>
    <x v="0"/>
    <x v="1"/>
    <n v="2"/>
    <n v="4146.32"/>
    <n v="14667.52"/>
    <x v="0"/>
  </r>
  <r>
    <x v="9"/>
    <x v="0"/>
    <x v="1"/>
    <x v="3"/>
    <x v="27"/>
    <x v="1"/>
    <x v="0"/>
    <n v="12"/>
    <n v="29209.67"/>
    <n v="66800.75"/>
    <x v="0"/>
  </r>
  <r>
    <x v="9"/>
    <x v="0"/>
    <x v="1"/>
    <x v="3"/>
    <x v="27"/>
    <x v="1"/>
    <x v="1"/>
    <n v="25"/>
    <n v="63757.279999999999"/>
    <n v="147368.10999999999"/>
    <x v="0"/>
  </r>
  <r>
    <x v="9"/>
    <x v="0"/>
    <x v="2"/>
    <x v="0"/>
    <x v="0"/>
    <x v="0"/>
    <x v="0"/>
    <n v="2"/>
    <n v="11824.38"/>
    <n v="50358"/>
    <x v="0"/>
  </r>
  <r>
    <x v="9"/>
    <x v="0"/>
    <x v="2"/>
    <x v="0"/>
    <x v="0"/>
    <x v="0"/>
    <x v="1"/>
    <n v="3"/>
    <n v="14165.78"/>
    <n v="59859.51"/>
    <x v="0"/>
  </r>
  <r>
    <x v="9"/>
    <x v="0"/>
    <x v="2"/>
    <x v="0"/>
    <x v="0"/>
    <x v="1"/>
    <x v="0"/>
    <n v="2"/>
    <n v="14516.24"/>
    <n v="39769.519999999997"/>
    <x v="0"/>
  </r>
  <r>
    <x v="9"/>
    <x v="0"/>
    <x v="2"/>
    <x v="0"/>
    <x v="0"/>
    <x v="1"/>
    <x v="1"/>
    <n v="10"/>
    <n v="52731.1"/>
    <n v="151621.28"/>
    <x v="0"/>
  </r>
  <r>
    <x v="9"/>
    <x v="0"/>
    <x v="2"/>
    <x v="0"/>
    <x v="1"/>
    <x v="0"/>
    <x v="0"/>
    <n v="2"/>
    <n v="9828.18"/>
    <n v="41806.639999999999"/>
    <x v="0"/>
  </r>
  <r>
    <x v="9"/>
    <x v="0"/>
    <x v="2"/>
    <x v="0"/>
    <x v="1"/>
    <x v="0"/>
    <x v="1"/>
    <n v="6"/>
    <n v="27978.06"/>
    <n v="119719.02"/>
    <x v="0"/>
  </r>
  <r>
    <x v="9"/>
    <x v="0"/>
    <x v="2"/>
    <x v="0"/>
    <x v="1"/>
    <x v="1"/>
    <x v="0"/>
    <n v="10"/>
    <n v="51009.85"/>
    <n v="141739.72"/>
    <x v="0"/>
  </r>
  <r>
    <x v="9"/>
    <x v="0"/>
    <x v="2"/>
    <x v="0"/>
    <x v="1"/>
    <x v="1"/>
    <x v="1"/>
    <n v="25"/>
    <n v="130351.57"/>
    <n v="358492.07"/>
    <x v="0"/>
  </r>
  <r>
    <x v="9"/>
    <x v="0"/>
    <x v="2"/>
    <x v="0"/>
    <x v="2"/>
    <x v="0"/>
    <x v="1"/>
    <n v="3"/>
    <n v="14811.01"/>
    <n v="63660.11"/>
    <x v="0"/>
  </r>
  <r>
    <x v="9"/>
    <x v="0"/>
    <x v="2"/>
    <x v="0"/>
    <x v="2"/>
    <x v="1"/>
    <x v="0"/>
    <n v="6"/>
    <n v="29690.79"/>
    <n v="77885.77"/>
    <x v="0"/>
  </r>
  <r>
    <x v="9"/>
    <x v="0"/>
    <x v="2"/>
    <x v="0"/>
    <x v="2"/>
    <x v="1"/>
    <x v="1"/>
    <n v="23"/>
    <n v="112998.49"/>
    <n v="299176.23"/>
    <x v="0"/>
  </r>
  <r>
    <x v="9"/>
    <x v="0"/>
    <x v="2"/>
    <x v="0"/>
    <x v="3"/>
    <x v="0"/>
    <x v="0"/>
    <n v="4"/>
    <n v="23604.48"/>
    <n v="102616.3"/>
    <x v="0"/>
  </r>
  <r>
    <x v="9"/>
    <x v="0"/>
    <x v="2"/>
    <x v="0"/>
    <x v="3"/>
    <x v="0"/>
    <x v="1"/>
    <n v="5"/>
    <n v="26073.200000000001"/>
    <n v="113067.96"/>
    <x v="0"/>
  </r>
  <r>
    <x v="9"/>
    <x v="0"/>
    <x v="2"/>
    <x v="0"/>
    <x v="3"/>
    <x v="1"/>
    <x v="0"/>
    <n v="15"/>
    <n v="88009.61"/>
    <n v="244905.21"/>
    <x v="0"/>
  </r>
  <r>
    <x v="9"/>
    <x v="0"/>
    <x v="2"/>
    <x v="0"/>
    <x v="3"/>
    <x v="1"/>
    <x v="1"/>
    <n v="48"/>
    <n v="254475.68"/>
    <n v="699593.37"/>
    <x v="0"/>
  </r>
  <r>
    <x v="9"/>
    <x v="0"/>
    <x v="2"/>
    <x v="0"/>
    <x v="4"/>
    <x v="0"/>
    <x v="1"/>
    <n v="2"/>
    <n v="13805.71"/>
    <n v="60809.66"/>
    <x v="0"/>
  </r>
  <r>
    <x v="9"/>
    <x v="0"/>
    <x v="2"/>
    <x v="0"/>
    <x v="4"/>
    <x v="1"/>
    <x v="0"/>
    <n v="8"/>
    <n v="39557.83"/>
    <n v="106453.64"/>
    <x v="0"/>
  </r>
  <r>
    <x v="9"/>
    <x v="0"/>
    <x v="2"/>
    <x v="0"/>
    <x v="4"/>
    <x v="1"/>
    <x v="1"/>
    <n v="6"/>
    <n v="29688"/>
    <n v="80351.25"/>
    <x v="0"/>
  </r>
  <r>
    <x v="9"/>
    <x v="0"/>
    <x v="2"/>
    <x v="0"/>
    <x v="5"/>
    <x v="0"/>
    <x v="1"/>
    <n v="6"/>
    <n v="28740.98"/>
    <n v="122569.47"/>
    <x v="0"/>
  </r>
  <r>
    <x v="9"/>
    <x v="0"/>
    <x v="2"/>
    <x v="0"/>
    <x v="5"/>
    <x v="1"/>
    <x v="0"/>
    <n v="2"/>
    <n v="12417.43"/>
    <n v="33562.449999999997"/>
    <x v="0"/>
  </r>
  <r>
    <x v="9"/>
    <x v="0"/>
    <x v="2"/>
    <x v="0"/>
    <x v="5"/>
    <x v="1"/>
    <x v="1"/>
    <n v="19"/>
    <n v="112368.91"/>
    <n v="317352.05"/>
    <x v="0"/>
  </r>
  <r>
    <x v="9"/>
    <x v="0"/>
    <x v="2"/>
    <x v="0"/>
    <x v="6"/>
    <x v="0"/>
    <x v="1"/>
    <n v="1"/>
    <n v="4331.63"/>
    <n v="19003.02"/>
    <x v="0"/>
  </r>
  <r>
    <x v="9"/>
    <x v="0"/>
    <x v="2"/>
    <x v="0"/>
    <x v="8"/>
    <x v="1"/>
    <x v="1"/>
    <n v="2"/>
    <n v="8950.5"/>
    <n v="24209.85"/>
    <x v="0"/>
  </r>
  <r>
    <x v="9"/>
    <x v="0"/>
    <x v="2"/>
    <x v="1"/>
    <x v="30"/>
    <x v="1"/>
    <x v="0"/>
    <n v="3"/>
    <n v="13626.18"/>
    <n v="38835.49"/>
    <x v="0"/>
  </r>
  <r>
    <x v="9"/>
    <x v="0"/>
    <x v="2"/>
    <x v="1"/>
    <x v="9"/>
    <x v="1"/>
    <x v="1"/>
    <n v="10"/>
    <n v="48789.73"/>
    <n v="141853.73000000001"/>
    <x v="0"/>
  </r>
  <r>
    <x v="9"/>
    <x v="0"/>
    <x v="2"/>
    <x v="1"/>
    <x v="10"/>
    <x v="0"/>
    <x v="0"/>
    <n v="2"/>
    <n v="9694.1299999999992"/>
    <n v="41806.639999999999"/>
    <x v="0"/>
  </r>
  <r>
    <x v="9"/>
    <x v="0"/>
    <x v="2"/>
    <x v="1"/>
    <x v="10"/>
    <x v="0"/>
    <x v="1"/>
    <n v="8"/>
    <n v="39758.21"/>
    <n v="168176.72"/>
    <x v="0"/>
  </r>
  <r>
    <x v="9"/>
    <x v="0"/>
    <x v="2"/>
    <x v="1"/>
    <x v="10"/>
    <x v="1"/>
    <x v="0"/>
    <n v="12"/>
    <n v="59664.74"/>
    <n v="172368.77"/>
    <x v="0"/>
  </r>
  <r>
    <x v="9"/>
    <x v="0"/>
    <x v="2"/>
    <x v="1"/>
    <x v="10"/>
    <x v="1"/>
    <x v="1"/>
    <n v="23"/>
    <n v="112404.08"/>
    <n v="330481.49"/>
    <x v="0"/>
  </r>
  <r>
    <x v="9"/>
    <x v="0"/>
    <x v="2"/>
    <x v="1"/>
    <x v="11"/>
    <x v="0"/>
    <x v="1"/>
    <n v="10"/>
    <n v="52850.12"/>
    <n v="222335.31"/>
    <x v="0"/>
  </r>
  <r>
    <x v="9"/>
    <x v="0"/>
    <x v="2"/>
    <x v="1"/>
    <x v="11"/>
    <x v="1"/>
    <x v="0"/>
    <n v="16"/>
    <n v="83407.399999999994"/>
    <n v="230981.7"/>
    <x v="0"/>
  </r>
  <r>
    <x v="9"/>
    <x v="0"/>
    <x v="2"/>
    <x v="1"/>
    <x v="11"/>
    <x v="1"/>
    <x v="1"/>
    <n v="29"/>
    <n v="136950.43"/>
    <n v="379822.86"/>
    <x v="0"/>
  </r>
  <r>
    <x v="9"/>
    <x v="0"/>
    <x v="2"/>
    <x v="1"/>
    <x v="13"/>
    <x v="0"/>
    <x v="1"/>
    <n v="3"/>
    <n v="16830.759999999998"/>
    <n v="71261.320000000007"/>
    <x v="0"/>
  </r>
  <r>
    <x v="9"/>
    <x v="0"/>
    <x v="2"/>
    <x v="1"/>
    <x v="13"/>
    <x v="1"/>
    <x v="0"/>
    <n v="4"/>
    <n v="19301.759999999998"/>
    <n v="56940.65"/>
    <x v="0"/>
  </r>
  <r>
    <x v="9"/>
    <x v="0"/>
    <x v="2"/>
    <x v="1"/>
    <x v="13"/>
    <x v="1"/>
    <x v="1"/>
    <n v="15"/>
    <n v="78320.039999999994"/>
    <n v="228297.29"/>
    <x v="0"/>
  </r>
  <r>
    <x v="9"/>
    <x v="0"/>
    <x v="2"/>
    <x v="1"/>
    <x v="14"/>
    <x v="1"/>
    <x v="0"/>
    <n v="21"/>
    <n v="112203.47"/>
    <n v="316715.7"/>
    <x v="0"/>
  </r>
  <r>
    <x v="9"/>
    <x v="0"/>
    <x v="2"/>
    <x v="1"/>
    <x v="14"/>
    <x v="1"/>
    <x v="1"/>
    <n v="12"/>
    <n v="72089.13"/>
    <n v="200816.04"/>
    <x v="0"/>
  </r>
  <r>
    <x v="9"/>
    <x v="0"/>
    <x v="2"/>
    <x v="1"/>
    <x v="16"/>
    <x v="0"/>
    <x v="1"/>
    <n v="1"/>
    <n v="4928.5600000000004"/>
    <n v="21853.47"/>
    <x v="0"/>
  </r>
  <r>
    <x v="9"/>
    <x v="0"/>
    <x v="2"/>
    <x v="1"/>
    <x v="16"/>
    <x v="1"/>
    <x v="0"/>
    <n v="15"/>
    <n v="85918.51"/>
    <n v="243827.73"/>
    <x v="0"/>
  </r>
  <r>
    <x v="9"/>
    <x v="0"/>
    <x v="2"/>
    <x v="1"/>
    <x v="16"/>
    <x v="1"/>
    <x v="1"/>
    <n v="9"/>
    <n v="48456.36"/>
    <n v="135668.26999999999"/>
    <x v="0"/>
  </r>
  <r>
    <x v="9"/>
    <x v="0"/>
    <x v="2"/>
    <x v="1"/>
    <x v="17"/>
    <x v="0"/>
    <x v="1"/>
    <n v="2"/>
    <n v="9328.2000000000007"/>
    <n v="39906.339999999997"/>
    <x v="0"/>
  </r>
  <r>
    <x v="9"/>
    <x v="0"/>
    <x v="2"/>
    <x v="1"/>
    <x v="17"/>
    <x v="1"/>
    <x v="0"/>
    <n v="9"/>
    <n v="48157.16"/>
    <n v="136905.35"/>
    <x v="0"/>
  </r>
  <r>
    <x v="9"/>
    <x v="0"/>
    <x v="2"/>
    <x v="1"/>
    <x v="17"/>
    <x v="1"/>
    <x v="1"/>
    <n v="2"/>
    <n v="8549.6200000000008"/>
    <n v="25236.01"/>
    <x v="0"/>
  </r>
  <r>
    <x v="9"/>
    <x v="0"/>
    <x v="2"/>
    <x v="1"/>
    <x v="18"/>
    <x v="0"/>
    <x v="1"/>
    <n v="20"/>
    <n v="104845.42"/>
    <n v="446570.93"/>
    <x v="0"/>
  </r>
  <r>
    <x v="9"/>
    <x v="0"/>
    <x v="2"/>
    <x v="1"/>
    <x v="18"/>
    <x v="1"/>
    <x v="0"/>
    <n v="6"/>
    <n v="32035.15"/>
    <n v="96363.9"/>
    <x v="0"/>
  </r>
  <r>
    <x v="9"/>
    <x v="0"/>
    <x v="2"/>
    <x v="1"/>
    <x v="18"/>
    <x v="1"/>
    <x v="1"/>
    <n v="57"/>
    <n v="279750.82"/>
    <n v="832970.03"/>
    <x v="0"/>
  </r>
  <r>
    <x v="9"/>
    <x v="0"/>
    <x v="2"/>
    <x v="1"/>
    <x v="19"/>
    <x v="0"/>
    <x v="1"/>
    <n v="7"/>
    <n v="40473.96"/>
    <n v="173877.62"/>
    <x v="0"/>
  </r>
  <r>
    <x v="9"/>
    <x v="0"/>
    <x v="2"/>
    <x v="1"/>
    <x v="19"/>
    <x v="1"/>
    <x v="0"/>
    <n v="10"/>
    <n v="71167.070000000007"/>
    <n v="204928.56"/>
    <x v="0"/>
  </r>
  <r>
    <x v="9"/>
    <x v="0"/>
    <x v="2"/>
    <x v="1"/>
    <x v="19"/>
    <x v="1"/>
    <x v="1"/>
    <n v="12"/>
    <n v="56335.16"/>
    <n v="162691.16"/>
    <x v="0"/>
  </r>
  <r>
    <x v="9"/>
    <x v="0"/>
    <x v="2"/>
    <x v="1"/>
    <x v="20"/>
    <x v="0"/>
    <x v="0"/>
    <n v="2"/>
    <n v="9907.58"/>
    <n v="41806.639999999999"/>
    <x v="0"/>
  </r>
  <r>
    <x v="9"/>
    <x v="0"/>
    <x v="2"/>
    <x v="1"/>
    <x v="20"/>
    <x v="0"/>
    <x v="1"/>
    <n v="13"/>
    <n v="67140.98"/>
    <n v="288845.88"/>
    <x v="0"/>
  </r>
  <r>
    <x v="9"/>
    <x v="0"/>
    <x v="2"/>
    <x v="1"/>
    <x v="20"/>
    <x v="1"/>
    <x v="0"/>
    <n v="18"/>
    <n v="96385.78"/>
    <n v="269812.46000000002"/>
    <x v="0"/>
  </r>
  <r>
    <x v="9"/>
    <x v="0"/>
    <x v="2"/>
    <x v="1"/>
    <x v="20"/>
    <x v="1"/>
    <x v="1"/>
    <n v="52"/>
    <n v="268248.96999999997"/>
    <n v="760961.6"/>
    <x v="0"/>
  </r>
  <r>
    <x v="9"/>
    <x v="0"/>
    <x v="2"/>
    <x v="2"/>
    <x v="21"/>
    <x v="0"/>
    <x v="0"/>
    <n v="1"/>
    <n v="5007.83"/>
    <n v="21853.47"/>
    <x v="0"/>
  </r>
  <r>
    <x v="9"/>
    <x v="0"/>
    <x v="2"/>
    <x v="2"/>
    <x v="21"/>
    <x v="1"/>
    <x v="1"/>
    <n v="1"/>
    <n v="4626.33"/>
    <n v="11572.84"/>
    <x v="0"/>
  </r>
  <r>
    <x v="9"/>
    <x v="0"/>
    <x v="2"/>
    <x v="2"/>
    <x v="22"/>
    <x v="0"/>
    <x v="1"/>
    <n v="11"/>
    <n v="66712.929999999993"/>
    <n v="285045.28000000003"/>
    <x v="0"/>
  </r>
  <r>
    <x v="9"/>
    <x v="0"/>
    <x v="2"/>
    <x v="2"/>
    <x v="22"/>
    <x v="1"/>
    <x v="1"/>
    <n v="13"/>
    <n v="71912.759999999995"/>
    <n v="188349.65"/>
    <x v="0"/>
  </r>
  <r>
    <x v="9"/>
    <x v="0"/>
    <x v="2"/>
    <x v="2"/>
    <x v="29"/>
    <x v="0"/>
    <x v="1"/>
    <n v="4"/>
    <n v="21627.84"/>
    <n v="90264.34"/>
    <x v="0"/>
  </r>
  <r>
    <x v="9"/>
    <x v="0"/>
    <x v="2"/>
    <x v="2"/>
    <x v="29"/>
    <x v="1"/>
    <x v="1"/>
    <n v="5"/>
    <n v="29594.73"/>
    <n v="84163.3"/>
    <x v="0"/>
  </r>
  <r>
    <x v="9"/>
    <x v="0"/>
    <x v="2"/>
    <x v="2"/>
    <x v="23"/>
    <x v="1"/>
    <x v="1"/>
    <n v="5"/>
    <n v="33397.919999999998"/>
    <n v="90961.74"/>
    <x v="0"/>
  </r>
  <r>
    <x v="9"/>
    <x v="0"/>
    <x v="2"/>
    <x v="2"/>
    <x v="24"/>
    <x v="0"/>
    <x v="1"/>
    <n v="4"/>
    <n v="22106.11"/>
    <n v="94064.94"/>
    <x v="0"/>
  </r>
  <r>
    <x v="9"/>
    <x v="0"/>
    <x v="2"/>
    <x v="2"/>
    <x v="24"/>
    <x v="1"/>
    <x v="0"/>
    <n v="2"/>
    <n v="8671.74"/>
    <n v="23563.74"/>
    <x v="0"/>
  </r>
  <r>
    <x v="9"/>
    <x v="0"/>
    <x v="2"/>
    <x v="2"/>
    <x v="24"/>
    <x v="1"/>
    <x v="1"/>
    <n v="5"/>
    <n v="22375.200000000001"/>
    <n v="61854.83"/>
    <x v="0"/>
  </r>
  <r>
    <x v="9"/>
    <x v="0"/>
    <x v="2"/>
    <x v="3"/>
    <x v="25"/>
    <x v="1"/>
    <x v="0"/>
    <n v="12"/>
    <n v="66212.210000000006"/>
    <n v="191436.49"/>
    <x v="0"/>
  </r>
  <r>
    <x v="9"/>
    <x v="0"/>
    <x v="2"/>
    <x v="3"/>
    <x v="25"/>
    <x v="1"/>
    <x v="1"/>
    <n v="11"/>
    <n v="49752.78"/>
    <n v="148394.57999999999"/>
    <x v="0"/>
  </r>
  <r>
    <x v="9"/>
    <x v="0"/>
    <x v="2"/>
    <x v="3"/>
    <x v="26"/>
    <x v="0"/>
    <x v="0"/>
    <n v="1"/>
    <n v="4480.68"/>
    <n v="19953.169999999998"/>
    <x v="0"/>
  </r>
  <r>
    <x v="9"/>
    <x v="0"/>
    <x v="2"/>
    <x v="3"/>
    <x v="26"/>
    <x v="1"/>
    <x v="0"/>
    <n v="2"/>
    <n v="10598.56"/>
    <n v="30157.79"/>
    <x v="0"/>
  </r>
  <r>
    <x v="9"/>
    <x v="0"/>
    <x v="2"/>
    <x v="3"/>
    <x v="26"/>
    <x v="1"/>
    <x v="1"/>
    <n v="26"/>
    <n v="137818.69"/>
    <n v="405514.32"/>
    <x v="0"/>
  </r>
  <r>
    <x v="9"/>
    <x v="0"/>
    <x v="2"/>
    <x v="3"/>
    <x v="27"/>
    <x v="0"/>
    <x v="0"/>
    <n v="1"/>
    <n v="7144.62"/>
    <n v="30404.83"/>
    <x v="0"/>
  </r>
  <r>
    <x v="9"/>
    <x v="0"/>
    <x v="2"/>
    <x v="3"/>
    <x v="27"/>
    <x v="0"/>
    <x v="1"/>
    <n v="4"/>
    <n v="22828.23"/>
    <n v="99765.85"/>
    <x v="0"/>
  </r>
  <r>
    <x v="9"/>
    <x v="0"/>
    <x v="2"/>
    <x v="3"/>
    <x v="27"/>
    <x v="1"/>
    <x v="0"/>
    <n v="8"/>
    <n v="40541.589999999997"/>
    <n v="115978.8"/>
    <x v="0"/>
  </r>
  <r>
    <x v="9"/>
    <x v="0"/>
    <x v="2"/>
    <x v="3"/>
    <x v="27"/>
    <x v="1"/>
    <x v="1"/>
    <n v="46"/>
    <n v="241351.01"/>
    <n v="709144.74"/>
    <x v="0"/>
  </r>
  <r>
    <x v="9"/>
    <x v="0"/>
    <x v="3"/>
    <x v="0"/>
    <x v="0"/>
    <x v="0"/>
    <x v="0"/>
    <n v="1"/>
    <n v="5744.05"/>
    <n v="25060.18"/>
    <x v="0"/>
  </r>
  <r>
    <x v="9"/>
    <x v="0"/>
    <x v="3"/>
    <x v="0"/>
    <x v="0"/>
    <x v="0"/>
    <x v="1"/>
    <n v="3"/>
    <n v="18312.87"/>
    <n v="83764.789999999994"/>
    <x v="0"/>
  </r>
  <r>
    <x v="9"/>
    <x v="0"/>
    <x v="3"/>
    <x v="0"/>
    <x v="0"/>
    <x v="1"/>
    <x v="0"/>
    <n v="2"/>
    <n v="9533.56"/>
    <n v="28503.23"/>
    <x v="0"/>
  </r>
  <r>
    <x v="9"/>
    <x v="0"/>
    <x v="3"/>
    <x v="0"/>
    <x v="0"/>
    <x v="1"/>
    <x v="1"/>
    <n v="20"/>
    <n v="100288.71"/>
    <n v="298484.77"/>
    <x v="0"/>
  </r>
  <r>
    <x v="9"/>
    <x v="0"/>
    <x v="3"/>
    <x v="0"/>
    <x v="1"/>
    <x v="0"/>
    <x v="0"/>
    <n v="1"/>
    <n v="7364.17"/>
    <n v="33644.43"/>
    <x v="0"/>
  </r>
  <r>
    <x v="9"/>
    <x v="0"/>
    <x v="3"/>
    <x v="0"/>
    <x v="1"/>
    <x v="0"/>
    <x v="1"/>
    <n v="7"/>
    <n v="39979.68"/>
    <n v="179647.21"/>
    <x v="0"/>
  </r>
  <r>
    <x v="9"/>
    <x v="0"/>
    <x v="3"/>
    <x v="0"/>
    <x v="1"/>
    <x v="1"/>
    <x v="0"/>
    <n v="13"/>
    <n v="73823.62"/>
    <n v="217629.91"/>
    <x v="0"/>
  </r>
  <r>
    <x v="9"/>
    <x v="0"/>
    <x v="3"/>
    <x v="0"/>
    <x v="1"/>
    <x v="1"/>
    <x v="1"/>
    <n v="12"/>
    <n v="71099.460000000006"/>
    <n v="203002.51"/>
    <x v="0"/>
  </r>
  <r>
    <x v="9"/>
    <x v="0"/>
    <x v="3"/>
    <x v="0"/>
    <x v="2"/>
    <x v="0"/>
    <x v="1"/>
    <n v="6"/>
    <n v="32382.2"/>
    <n v="146960.01999999999"/>
    <x v="0"/>
  </r>
  <r>
    <x v="9"/>
    <x v="0"/>
    <x v="3"/>
    <x v="0"/>
    <x v="2"/>
    <x v="1"/>
    <x v="0"/>
    <n v="3"/>
    <n v="14735.55"/>
    <n v="40597.49"/>
    <x v="0"/>
  </r>
  <r>
    <x v="9"/>
    <x v="0"/>
    <x v="3"/>
    <x v="0"/>
    <x v="2"/>
    <x v="1"/>
    <x v="1"/>
    <n v="7"/>
    <n v="36256.78"/>
    <n v="100153.33"/>
    <x v="0"/>
  </r>
  <r>
    <x v="9"/>
    <x v="0"/>
    <x v="3"/>
    <x v="0"/>
    <x v="3"/>
    <x v="0"/>
    <x v="1"/>
    <n v="5"/>
    <n v="31123.66"/>
    <n v="139200.68"/>
    <x v="0"/>
  </r>
  <r>
    <x v="9"/>
    <x v="0"/>
    <x v="3"/>
    <x v="0"/>
    <x v="3"/>
    <x v="1"/>
    <x v="0"/>
    <n v="10"/>
    <n v="57254.45"/>
    <n v="166644.82999999999"/>
    <x v="0"/>
  </r>
  <r>
    <x v="9"/>
    <x v="0"/>
    <x v="3"/>
    <x v="0"/>
    <x v="3"/>
    <x v="1"/>
    <x v="1"/>
    <n v="51"/>
    <n v="317916.45"/>
    <n v="924938.95"/>
    <x v="0"/>
  </r>
  <r>
    <x v="9"/>
    <x v="0"/>
    <x v="3"/>
    <x v="0"/>
    <x v="4"/>
    <x v="0"/>
    <x v="1"/>
    <n v="3"/>
    <n v="17961.53"/>
    <n v="81585.64"/>
    <x v="0"/>
  </r>
  <r>
    <x v="9"/>
    <x v="0"/>
    <x v="3"/>
    <x v="0"/>
    <x v="4"/>
    <x v="1"/>
    <x v="0"/>
    <n v="15"/>
    <n v="94496.320000000007"/>
    <n v="268575.89"/>
    <x v="0"/>
  </r>
  <r>
    <x v="9"/>
    <x v="0"/>
    <x v="3"/>
    <x v="0"/>
    <x v="4"/>
    <x v="1"/>
    <x v="1"/>
    <n v="11"/>
    <n v="62658.91"/>
    <n v="174723.96"/>
    <x v="0"/>
  </r>
  <r>
    <x v="9"/>
    <x v="0"/>
    <x v="3"/>
    <x v="0"/>
    <x v="5"/>
    <x v="0"/>
    <x v="1"/>
    <n v="4"/>
    <n v="23669.72"/>
    <n v="105556.25"/>
    <x v="0"/>
  </r>
  <r>
    <x v="9"/>
    <x v="0"/>
    <x v="3"/>
    <x v="0"/>
    <x v="5"/>
    <x v="1"/>
    <x v="0"/>
    <n v="5"/>
    <n v="34340.21"/>
    <n v="99544.36"/>
    <x v="0"/>
  </r>
  <r>
    <x v="9"/>
    <x v="0"/>
    <x v="3"/>
    <x v="0"/>
    <x v="5"/>
    <x v="1"/>
    <x v="1"/>
    <n v="18"/>
    <n v="98491.69"/>
    <n v="292051.58"/>
    <x v="0"/>
  </r>
  <r>
    <x v="9"/>
    <x v="0"/>
    <x v="3"/>
    <x v="0"/>
    <x v="6"/>
    <x v="0"/>
    <x v="1"/>
    <n v="1"/>
    <n v="5005.38"/>
    <n v="22881.03"/>
    <x v="0"/>
  </r>
  <r>
    <x v="9"/>
    <x v="0"/>
    <x v="3"/>
    <x v="0"/>
    <x v="6"/>
    <x v="1"/>
    <x v="1"/>
    <n v="3"/>
    <n v="14477.97"/>
    <n v="42950.97"/>
    <x v="0"/>
  </r>
  <r>
    <x v="9"/>
    <x v="0"/>
    <x v="3"/>
    <x v="0"/>
    <x v="7"/>
    <x v="1"/>
    <x v="1"/>
    <n v="5"/>
    <n v="29385.26"/>
    <n v="88661.74"/>
    <x v="0"/>
  </r>
  <r>
    <x v="9"/>
    <x v="0"/>
    <x v="3"/>
    <x v="0"/>
    <x v="8"/>
    <x v="0"/>
    <x v="1"/>
    <n v="2"/>
    <n v="9572.4500000000007"/>
    <n v="43582.92"/>
    <x v="0"/>
  </r>
  <r>
    <x v="9"/>
    <x v="0"/>
    <x v="3"/>
    <x v="0"/>
    <x v="8"/>
    <x v="1"/>
    <x v="1"/>
    <n v="5"/>
    <n v="28363.37"/>
    <n v="79816.67"/>
    <x v="0"/>
  </r>
  <r>
    <x v="9"/>
    <x v="0"/>
    <x v="3"/>
    <x v="1"/>
    <x v="30"/>
    <x v="1"/>
    <x v="0"/>
    <n v="8"/>
    <n v="47169.13"/>
    <n v="144614.62"/>
    <x v="0"/>
  </r>
  <r>
    <x v="9"/>
    <x v="0"/>
    <x v="3"/>
    <x v="1"/>
    <x v="9"/>
    <x v="1"/>
    <x v="1"/>
    <n v="4"/>
    <n v="21007.63"/>
    <n v="62939.08"/>
    <x v="0"/>
  </r>
  <r>
    <x v="9"/>
    <x v="0"/>
    <x v="3"/>
    <x v="1"/>
    <x v="10"/>
    <x v="0"/>
    <x v="1"/>
    <n v="2"/>
    <n v="13293.67"/>
    <n v="58704.61"/>
    <x v="0"/>
  </r>
  <r>
    <x v="9"/>
    <x v="0"/>
    <x v="3"/>
    <x v="1"/>
    <x v="10"/>
    <x v="1"/>
    <x v="0"/>
    <n v="9"/>
    <n v="59818.38"/>
    <n v="184471.13"/>
    <x v="0"/>
  </r>
  <r>
    <x v="9"/>
    <x v="0"/>
    <x v="3"/>
    <x v="1"/>
    <x v="10"/>
    <x v="1"/>
    <x v="1"/>
    <n v="35"/>
    <n v="220251.95"/>
    <n v="672973.47"/>
    <x v="0"/>
  </r>
  <r>
    <x v="9"/>
    <x v="0"/>
    <x v="3"/>
    <x v="1"/>
    <x v="11"/>
    <x v="0"/>
    <x v="1"/>
    <n v="11"/>
    <n v="67433.42"/>
    <n v="304551.11"/>
    <x v="0"/>
  </r>
  <r>
    <x v="9"/>
    <x v="0"/>
    <x v="3"/>
    <x v="1"/>
    <x v="11"/>
    <x v="1"/>
    <x v="0"/>
    <n v="3"/>
    <n v="14332.05"/>
    <n v="40772.559999999998"/>
    <x v="0"/>
  </r>
  <r>
    <x v="9"/>
    <x v="0"/>
    <x v="3"/>
    <x v="1"/>
    <x v="11"/>
    <x v="1"/>
    <x v="1"/>
    <n v="29"/>
    <n v="176041.5"/>
    <n v="508851.08"/>
    <x v="0"/>
  </r>
  <r>
    <x v="9"/>
    <x v="0"/>
    <x v="3"/>
    <x v="1"/>
    <x v="12"/>
    <x v="1"/>
    <x v="0"/>
    <n v="6"/>
    <n v="43437.5"/>
    <n v="138076.74"/>
    <x v="0"/>
  </r>
  <r>
    <x v="9"/>
    <x v="0"/>
    <x v="3"/>
    <x v="1"/>
    <x v="12"/>
    <x v="1"/>
    <x v="1"/>
    <n v="4"/>
    <n v="20669.919999999998"/>
    <n v="64093.03"/>
    <x v="0"/>
  </r>
  <r>
    <x v="9"/>
    <x v="0"/>
    <x v="3"/>
    <x v="1"/>
    <x v="13"/>
    <x v="0"/>
    <x v="1"/>
    <n v="6"/>
    <n v="41117.480000000003"/>
    <n v="184698.08"/>
    <x v="0"/>
  </r>
  <r>
    <x v="9"/>
    <x v="0"/>
    <x v="3"/>
    <x v="1"/>
    <x v="13"/>
    <x v="1"/>
    <x v="1"/>
    <n v="21"/>
    <n v="121802.69"/>
    <n v="373607.12"/>
    <x v="0"/>
  </r>
  <r>
    <x v="9"/>
    <x v="0"/>
    <x v="3"/>
    <x v="1"/>
    <x v="14"/>
    <x v="0"/>
    <x v="1"/>
    <n v="3"/>
    <n v="16213.61"/>
    <n v="73001.39"/>
    <x v="0"/>
  </r>
  <r>
    <x v="9"/>
    <x v="0"/>
    <x v="3"/>
    <x v="1"/>
    <x v="14"/>
    <x v="1"/>
    <x v="0"/>
    <n v="6"/>
    <n v="33058.33"/>
    <n v="98897.12"/>
    <x v="0"/>
  </r>
  <r>
    <x v="9"/>
    <x v="0"/>
    <x v="3"/>
    <x v="1"/>
    <x v="14"/>
    <x v="1"/>
    <x v="1"/>
    <n v="11"/>
    <n v="55316.59"/>
    <n v="168857.67"/>
    <x v="0"/>
  </r>
  <r>
    <x v="9"/>
    <x v="0"/>
    <x v="3"/>
    <x v="1"/>
    <x v="15"/>
    <x v="1"/>
    <x v="0"/>
    <n v="1"/>
    <n v="7681.6"/>
    <n v="23248.3"/>
    <x v="0"/>
  </r>
  <r>
    <x v="9"/>
    <x v="0"/>
    <x v="3"/>
    <x v="1"/>
    <x v="16"/>
    <x v="1"/>
    <x v="0"/>
    <n v="6"/>
    <n v="30236.880000000001"/>
    <n v="91768.19"/>
    <x v="0"/>
  </r>
  <r>
    <x v="9"/>
    <x v="0"/>
    <x v="3"/>
    <x v="1"/>
    <x v="16"/>
    <x v="1"/>
    <x v="1"/>
    <n v="11"/>
    <n v="64639.17"/>
    <n v="190531.64"/>
    <x v="0"/>
  </r>
  <r>
    <x v="9"/>
    <x v="0"/>
    <x v="3"/>
    <x v="1"/>
    <x v="17"/>
    <x v="1"/>
    <x v="0"/>
    <n v="6"/>
    <n v="30676.16"/>
    <n v="91714.3"/>
    <x v="0"/>
  </r>
  <r>
    <x v="9"/>
    <x v="0"/>
    <x v="3"/>
    <x v="1"/>
    <x v="17"/>
    <x v="1"/>
    <x v="1"/>
    <n v="4"/>
    <n v="26797.01"/>
    <n v="82212.7"/>
    <x v="0"/>
  </r>
  <r>
    <x v="9"/>
    <x v="0"/>
    <x v="3"/>
    <x v="1"/>
    <x v="18"/>
    <x v="0"/>
    <x v="1"/>
    <n v="13"/>
    <n v="75236.44"/>
    <n v="340639.35"/>
    <x v="0"/>
  </r>
  <r>
    <x v="9"/>
    <x v="0"/>
    <x v="3"/>
    <x v="1"/>
    <x v="18"/>
    <x v="1"/>
    <x v="0"/>
    <n v="8"/>
    <n v="44690.96"/>
    <n v="135804.57"/>
    <x v="0"/>
  </r>
  <r>
    <x v="9"/>
    <x v="0"/>
    <x v="3"/>
    <x v="1"/>
    <x v="18"/>
    <x v="1"/>
    <x v="1"/>
    <n v="40"/>
    <n v="214358.64"/>
    <n v="668178.77"/>
    <x v="0"/>
  </r>
  <r>
    <x v="9"/>
    <x v="0"/>
    <x v="3"/>
    <x v="1"/>
    <x v="19"/>
    <x v="0"/>
    <x v="1"/>
    <n v="4"/>
    <n v="22917.23"/>
    <n v="103377.1"/>
    <x v="0"/>
  </r>
  <r>
    <x v="9"/>
    <x v="0"/>
    <x v="3"/>
    <x v="1"/>
    <x v="19"/>
    <x v="1"/>
    <x v="0"/>
    <n v="4"/>
    <n v="27786.37"/>
    <n v="84919.6"/>
    <x v="0"/>
  </r>
  <r>
    <x v="9"/>
    <x v="0"/>
    <x v="3"/>
    <x v="1"/>
    <x v="19"/>
    <x v="1"/>
    <x v="1"/>
    <n v="22"/>
    <n v="139140.41"/>
    <n v="416825.25"/>
    <x v="0"/>
  </r>
  <r>
    <x v="9"/>
    <x v="0"/>
    <x v="3"/>
    <x v="1"/>
    <x v="20"/>
    <x v="0"/>
    <x v="0"/>
    <n v="2"/>
    <n v="12616.24"/>
    <n v="56525.46"/>
    <x v="0"/>
  </r>
  <r>
    <x v="9"/>
    <x v="0"/>
    <x v="3"/>
    <x v="1"/>
    <x v="20"/>
    <x v="0"/>
    <x v="1"/>
    <n v="10"/>
    <n v="60496.98"/>
    <n v="274175.40000000002"/>
    <x v="0"/>
  </r>
  <r>
    <x v="9"/>
    <x v="0"/>
    <x v="3"/>
    <x v="1"/>
    <x v="20"/>
    <x v="1"/>
    <x v="0"/>
    <n v="21"/>
    <n v="123803.8"/>
    <n v="370058.08"/>
    <x v="0"/>
  </r>
  <r>
    <x v="9"/>
    <x v="0"/>
    <x v="3"/>
    <x v="1"/>
    <x v="20"/>
    <x v="1"/>
    <x v="1"/>
    <n v="17"/>
    <n v="100902.54"/>
    <n v="300917.65999999997"/>
    <x v="0"/>
  </r>
  <r>
    <x v="9"/>
    <x v="0"/>
    <x v="3"/>
    <x v="2"/>
    <x v="21"/>
    <x v="0"/>
    <x v="0"/>
    <n v="2"/>
    <n v="11377.39"/>
    <n v="50120.36"/>
    <x v="0"/>
  </r>
  <r>
    <x v="9"/>
    <x v="0"/>
    <x v="3"/>
    <x v="2"/>
    <x v="22"/>
    <x v="0"/>
    <x v="1"/>
    <n v="5"/>
    <n v="28471.68"/>
    <n v="130616.43"/>
    <x v="0"/>
  </r>
  <r>
    <x v="9"/>
    <x v="0"/>
    <x v="3"/>
    <x v="2"/>
    <x v="22"/>
    <x v="1"/>
    <x v="0"/>
    <n v="11"/>
    <n v="60137.919999999998"/>
    <n v="162408.57"/>
    <x v="0"/>
  </r>
  <r>
    <x v="9"/>
    <x v="0"/>
    <x v="3"/>
    <x v="2"/>
    <x v="22"/>
    <x v="1"/>
    <x v="1"/>
    <n v="22"/>
    <n v="148488.24"/>
    <n v="403717.81"/>
    <x v="0"/>
  </r>
  <r>
    <x v="9"/>
    <x v="0"/>
    <x v="3"/>
    <x v="2"/>
    <x v="29"/>
    <x v="0"/>
    <x v="1"/>
    <n v="6"/>
    <n v="32505.7"/>
    <n v="146002.78"/>
    <x v="0"/>
  </r>
  <r>
    <x v="9"/>
    <x v="0"/>
    <x v="3"/>
    <x v="2"/>
    <x v="23"/>
    <x v="1"/>
    <x v="1"/>
    <n v="7"/>
    <n v="47420.74"/>
    <n v="138429.16"/>
    <x v="0"/>
  </r>
  <r>
    <x v="9"/>
    <x v="0"/>
    <x v="3"/>
    <x v="2"/>
    <x v="24"/>
    <x v="0"/>
    <x v="1"/>
    <n v="2"/>
    <n v="13007.1"/>
    <n v="58704.61"/>
    <x v="0"/>
  </r>
  <r>
    <x v="9"/>
    <x v="0"/>
    <x v="3"/>
    <x v="2"/>
    <x v="24"/>
    <x v="1"/>
    <x v="0"/>
    <n v="4"/>
    <n v="22440.58"/>
    <n v="61477.98"/>
    <x v="0"/>
  </r>
  <r>
    <x v="9"/>
    <x v="0"/>
    <x v="3"/>
    <x v="2"/>
    <x v="24"/>
    <x v="1"/>
    <x v="1"/>
    <n v="1"/>
    <n v="7491.58"/>
    <n v="20859.55"/>
    <x v="0"/>
  </r>
  <r>
    <x v="9"/>
    <x v="0"/>
    <x v="3"/>
    <x v="3"/>
    <x v="25"/>
    <x v="0"/>
    <x v="1"/>
    <n v="1"/>
    <n v="4746.29"/>
    <n v="21791.46"/>
    <x v="0"/>
  </r>
  <r>
    <x v="9"/>
    <x v="0"/>
    <x v="3"/>
    <x v="3"/>
    <x v="25"/>
    <x v="1"/>
    <x v="0"/>
    <n v="10"/>
    <n v="59999.3"/>
    <n v="184824.72"/>
    <x v="0"/>
  </r>
  <r>
    <x v="9"/>
    <x v="0"/>
    <x v="3"/>
    <x v="3"/>
    <x v="25"/>
    <x v="1"/>
    <x v="1"/>
    <n v="6"/>
    <n v="33468.230000000003"/>
    <n v="102997.34"/>
    <x v="0"/>
  </r>
  <r>
    <x v="9"/>
    <x v="0"/>
    <x v="3"/>
    <x v="3"/>
    <x v="26"/>
    <x v="0"/>
    <x v="0"/>
    <n v="3"/>
    <n v="18273.16"/>
    <n v="80496.070000000007"/>
    <x v="0"/>
  </r>
  <r>
    <x v="9"/>
    <x v="0"/>
    <x v="3"/>
    <x v="3"/>
    <x v="26"/>
    <x v="0"/>
    <x v="1"/>
    <n v="3"/>
    <n v="16058.33"/>
    <n v="71911.820000000007"/>
    <x v="0"/>
  </r>
  <r>
    <x v="9"/>
    <x v="0"/>
    <x v="3"/>
    <x v="3"/>
    <x v="26"/>
    <x v="1"/>
    <x v="0"/>
    <n v="5"/>
    <n v="28986.799999999999"/>
    <n v="92380.75"/>
    <x v="0"/>
  </r>
  <r>
    <x v="9"/>
    <x v="0"/>
    <x v="3"/>
    <x v="3"/>
    <x v="26"/>
    <x v="1"/>
    <x v="1"/>
    <n v="22"/>
    <n v="128378.71"/>
    <n v="398068.47"/>
    <x v="0"/>
  </r>
  <r>
    <x v="9"/>
    <x v="0"/>
    <x v="3"/>
    <x v="3"/>
    <x v="27"/>
    <x v="0"/>
    <x v="0"/>
    <n v="1"/>
    <n v="5550.79"/>
    <n v="25060.18"/>
    <x v="0"/>
  </r>
  <r>
    <x v="9"/>
    <x v="0"/>
    <x v="3"/>
    <x v="3"/>
    <x v="27"/>
    <x v="0"/>
    <x v="1"/>
    <n v="17"/>
    <n v="100343.11"/>
    <n v="450421.56"/>
    <x v="0"/>
  </r>
  <r>
    <x v="9"/>
    <x v="0"/>
    <x v="3"/>
    <x v="3"/>
    <x v="27"/>
    <x v="1"/>
    <x v="0"/>
    <n v="12"/>
    <n v="68415.100000000006"/>
    <n v="206449.85"/>
    <x v="0"/>
  </r>
  <r>
    <x v="9"/>
    <x v="0"/>
    <x v="3"/>
    <x v="3"/>
    <x v="27"/>
    <x v="1"/>
    <x v="1"/>
    <n v="29"/>
    <n v="157069.73000000001"/>
    <n v="481603.2"/>
    <x v="0"/>
  </r>
  <r>
    <x v="9"/>
    <x v="0"/>
    <x v="4"/>
    <x v="0"/>
    <x v="0"/>
    <x v="1"/>
    <x v="0"/>
    <n v="8"/>
    <n v="40617.300000000003"/>
    <n v="120487.02"/>
    <x v="0"/>
  </r>
  <r>
    <x v="9"/>
    <x v="0"/>
    <x v="4"/>
    <x v="0"/>
    <x v="0"/>
    <x v="1"/>
    <x v="1"/>
    <n v="15"/>
    <n v="76392.12"/>
    <n v="225047.32"/>
    <x v="0"/>
  </r>
  <r>
    <x v="9"/>
    <x v="0"/>
    <x v="4"/>
    <x v="0"/>
    <x v="1"/>
    <x v="0"/>
    <x v="0"/>
    <n v="6"/>
    <n v="31273.69"/>
    <n v="140832.22"/>
    <x v="0"/>
  </r>
  <r>
    <x v="9"/>
    <x v="0"/>
    <x v="4"/>
    <x v="0"/>
    <x v="1"/>
    <x v="0"/>
    <x v="1"/>
    <n v="2"/>
    <n v="13839.98"/>
    <n v="65070.84"/>
    <x v="0"/>
  </r>
  <r>
    <x v="9"/>
    <x v="0"/>
    <x v="4"/>
    <x v="0"/>
    <x v="1"/>
    <x v="1"/>
    <x v="0"/>
    <n v="17"/>
    <n v="83466.06"/>
    <n v="241989.96"/>
    <x v="0"/>
  </r>
  <r>
    <x v="9"/>
    <x v="0"/>
    <x v="4"/>
    <x v="0"/>
    <x v="1"/>
    <x v="1"/>
    <x v="1"/>
    <n v="33"/>
    <n v="165120.94"/>
    <n v="493800.55"/>
    <x v="0"/>
  </r>
  <r>
    <x v="9"/>
    <x v="0"/>
    <x v="4"/>
    <x v="0"/>
    <x v="2"/>
    <x v="0"/>
    <x v="1"/>
    <n v="1"/>
    <n v="4986.41"/>
    <n v="21659.360000000001"/>
    <x v="0"/>
  </r>
  <r>
    <x v="9"/>
    <x v="0"/>
    <x v="4"/>
    <x v="0"/>
    <x v="2"/>
    <x v="1"/>
    <x v="0"/>
    <n v="8"/>
    <n v="39762.5"/>
    <n v="107791.36"/>
    <x v="0"/>
  </r>
  <r>
    <x v="9"/>
    <x v="0"/>
    <x v="4"/>
    <x v="0"/>
    <x v="2"/>
    <x v="1"/>
    <x v="1"/>
    <n v="15"/>
    <n v="85645.01"/>
    <n v="248350.92"/>
    <x v="0"/>
  </r>
  <r>
    <x v="9"/>
    <x v="0"/>
    <x v="4"/>
    <x v="0"/>
    <x v="3"/>
    <x v="0"/>
    <x v="0"/>
    <n v="1"/>
    <n v="4820.95"/>
    <n v="22742.33"/>
    <x v="0"/>
  </r>
  <r>
    <x v="9"/>
    <x v="0"/>
    <x v="4"/>
    <x v="0"/>
    <x v="3"/>
    <x v="0"/>
    <x v="1"/>
    <n v="1"/>
    <n v="5333.79"/>
    <n v="24908.27"/>
    <x v="0"/>
  </r>
  <r>
    <x v="9"/>
    <x v="0"/>
    <x v="4"/>
    <x v="0"/>
    <x v="3"/>
    <x v="1"/>
    <x v="0"/>
    <n v="5"/>
    <n v="28191.16"/>
    <n v="84011.6"/>
    <x v="0"/>
  </r>
  <r>
    <x v="9"/>
    <x v="0"/>
    <x v="4"/>
    <x v="0"/>
    <x v="3"/>
    <x v="1"/>
    <x v="1"/>
    <n v="55"/>
    <n v="289168.40000000002"/>
    <n v="859222.12"/>
    <x v="0"/>
  </r>
  <r>
    <x v="9"/>
    <x v="0"/>
    <x v="4"/>
    <x v="0"/>
    <x v="28"/>
    <x v="1"/>
    <x v="1"/>
    <n v="4"/>
    <n v="19327.93"/>
    <n v="56660.88"/>
    <x v="0"/>
  </r>
  <r>
    <x v="9"/>
    <x v="0"/>
    <x v="4"/>
    <x v="0"/>
    <x v="4"/>
    <x v="0"/>
    <x v="1"/>
    <n v="1"/>
    <n v="5345.49"/>
    <n v="24908.27"/>
    <x v="0"/>
  </r>
  <r>
    <x v="9"/>
    <x v="0"/>
    <x v="4"/>
    <x v="0"/>
    <x v="4"/>
    <x v="1"/>
    <x v="0"/>
    <n v="8"/>
    <n v="48997.15"/>
    <n v="145699.32"/>
    <x v="0"/>
  </r>
  <r>
    <x v="9"/>
    <x v="0"/>
    <x v="4"/>
    <x v="0"/>
    <x v="4"/>
    <x v="1"/>
    <x v="1"/>
    <n v="4"/>
    <n v="20084.82"/>
    <n v="59606.57"/>
    <x v="0"/>
  </r>
  <r>
    <x v="9"/>
    <x v="0"/>
    <x v="4"/>
    <x v="0"/>
    <x v="5"/>
    <x v="0"/>
    <x v="1"/>
    <n v="1"/>
    <n v="4662.92"/>
    <n v="21659.360000000001"/>
    <x v="0"/>
  </r>
  <r>
    <x v="9"/>
    <x v="0"/>
    <x v="4"/>
    <x v="0"/>
    <x v="5"/>
    <x v="1"/>
    <x v="0"/>
    <n v="2"/>
    <n v="10881.48"/>
    <n v="32829.1"/>
    <x v="0"/>
  </r>
  <r>
    <x v="9"/>
    <x v="0"/>
    <x v="4"/>
    <x v="0"/>
    <x v="5"/>
    <x v="1"/>
    <x v="1"/>
    <n v="23"/>
    <n v="118960.7"/>
    <n v="362320.7"/>
    <x v="0"/>
  </r>
  <r>
    <x v="9"/>
    <x v="0"/>
    <x v="4"/>
    <x v="0"/>
    <x v="6"/>
    <x v="0"/>
    <x v="1"/>
    <n v="1"/>
    <n v="6878.28"/>
    <n v="32535.42"/>
    <x v="0"/>
  </r>
  <r>
    <x v="9"/>
    <x v="0"/>
    <x v="4"/>
    <x v="0"/>
    <x v="7"/>
    <x v="1"/>
    <x v="1"/>
    <n v="1"/>
    <n v="4948.3100000000004"/>
    <n v="14468.45"/>
    <x v="0"/>
  </r>
  <r>
    <x v="9"/>
    <x v="0"/>
    <x v="4"/>
    <x v="0"/>
    <x v="8"/>
    <x v="0"/>
    <x v="1"/>
    <n v="1"/>
    <n v="4899.5600000000004"/>
    <n v="21659.360000000001"/>
    <x v="0"/>
  </r>
  <r>
    <x v="9"/>
    <x v="0"/>
    <x v="4"/>
    <x v="0"/>
    <x v="8"/>
    <x v="1"/>
    <x v="1"/>
    <n v="1"/>
    <n v="5439.68"/>
    <n v="15866.57"/>
    <x v="0"/>
  </r>
  <r>
    <x v="9"/>
    <x v="0"/>
    <x v="4"/>
    <x v="1"/>
    <x v="30"/>
    <x v="1"/>
    <x v="0"/>
    <n v="5"/>
    <n v="25537.14"/>
    <n v="80090.179999999993"/>
    <x v="0"/>
  </r>
  <r>
    <x v="9"/>
    <x v="0"/>
    <x v="4"/>
    <x v="1"/>
    <x v="9"/>
    <x v="1"/>
    <x v="1"/>
    <n v="5"/>
    <n v="25530.639999999999"/>
    <n v="76661.2"/>
    <x v="0"/>
  </r>
  <r>
    <x v="9"/>
    <x v="0"/>
    <x v="4"/>
    <x v="1"/>
    <x v="10"/>
    <x v="0"/>
    <x v="0"/>
    <n v="1"/>
    <n v="4667.3999999999996"/>
    <n v="21659.360000000001"/>
    <x v="0"/>
  </r>
  <r>
    <x v="9"/>
    <x v="0"/>
    <x v="4"/>
    <x v="1"/>
    <x v="10"/>
    <x v="1"/>
    <x v="0"/>
    <n v="9"/>
    <n v="50236.11"/>
    <n v="159372.79999999999"/>
    <x v="0"/>
  </r>
  <r>
    <x v="9"/>
    <x v="0"/>
    <x v="4"/>
    <x v="1"/>
    <x v="10"/>
    <x v="1"/>
    <x v="1"/>
    <n v="24"/>
    <n v="119107.16"/>
    <n v="363050.01"/>
    <x v="0"/>
  </r>
  <r>
    <x v="9"/>
    <x v="0"/>
    <x v="4"/>
    <x v="1"/>
    <x v="11"/>
    <x v="0"/>
    <x v="1"/>
    <n v="6"/>
    <n v="29531.46"/>
    <n v="133205.07"/>
    <x v="0"/>
  </r>
  <r>
    <x v="9"/>
    <x v="0"/>
    <x v="4"/>
    <x v="1"/>
    <x v="11"/>
    <x v="1"/>
    <x v="0"/>
    <n v="5"/>
    <n v="24681.21"/>
    <n v="73912.58"/>
    <x v="0"/>
  </r>
  <r>
    <x v="9"/>
    <x v="0"/>
    <x v="4"/>
    <x v="1"/>
    <x v="11"/>
    <x v="1"/>
    <x v="1"/>
    <n v="20"/>
    <n v="114593.86"/>
    <n v="341185.44"/>
    <x v="0"/>
  </r>
  <r>
    <x v="9"/>
    <x v="0"/>
    <x v="4"/>
    <x v="1"/>
    <x v="12"/>
    <x v="1"/>
    <x v="0"/>
    <n v="1"/>
    <n v="4655.62"/>
    <n v="14815"/>
    <x v="0"/>
  </r>
  <r>
    <x v="9"/>
    <x v="0"/>
    <x v="4"/>
    <x v="1"/>
    <x v="12"/>
    <x v="1"/>
    <x v="1"/>
    <n v="11"/>
    <n v="63489.87"/>
    <n v="202383.41"/>
    <x v="0"/>
  </r>
  <r>
    <x v="9"/>
    <x v="0"/>
    <x v="4"/>
    <x v="1"/>
    <x v="13"/>
    <x v="0"/>
    <x v="1"/>
    <n v="1"/>
    <n v="4789.05"/>
    <n v="21659.360000000001"/>
    <x v="0"/>
  </r>
  <r>
    <x v="9"/>
    <x v="0"/>
    <x v="4"/>
    <x v="1"/>
    <x v="13"/>
    <x v="1"/>
    <x v="0"/>
    <n v="2"/>
    <n v="9951.7999999999993"/>
    <n v="29500.05"/>
    <x v="0"/>
  </r>
  <r>
    <x v="9"/>
    <x v="0"/>
    <x v="4"/>
    <x v="1"/>
    <x v="13"/>
    <x v="1"/>
    <x v="1"/>
    <n v="2"/>
    <n v="9469.44"/>
    <n v="29302.68"/>
    <x v="0"/>
  </r>
  <r>
    <x v="9"/>
    <x v="0"/>
    <x v="4"/>
    <x v="1"/>
    <x v="14"/>
    <x v="0"/>
    <x v="1"/>
    <n v="2"/>
    <n v="13774.38"/>
    <n v="65070.84"/>
    <x v="0"/>
  </r>
  <r>
    <x v="9"/>
    <x v="0"/>
    <x v="4"/>
    <x v="1"/>
    <x v="14"/>
    <x v="1"/>
    <x v="0"/>
    <n v="21"/>
    <n v="112388.64"/>
    <n v="343057.23"/>
    <x v="0"/>
  </r>
  <r>
    <x v="9"/>
    <x v="0"/>
    <x v="4"/>
    <x v="1"/>
    <x v="14"/>
    <x v="1"/>
    <x v="1"/>
    <n v="2"/>
    <n v="9474.18"/>
    <n v="29660.33"/>
    <x v="0"/>
  </r>
  <r>
    <x v="9"/>
    <x v="0"/>
    <x v="4"/>
    <x v="1"/>
    <x v="16"/>
    <x v="1"/>
    <x v="1"/>
    <n v="9"/>
    <n v="44373.21"/>
    <n v="132191.79999999999"/>
    <x v="0"/>
  </r>
  <r>
    <x v="9"/>
    <x v="0"/>
    <x v="4"/>
    <x v="1"/>
    <x v="17"/>
    <x v="1"/>
    <x v="0"/>
    <n v="9"/>
    <n v="48795.24"/>
    <n v="146240.85999999999"/>
    <x v="0"/>
  </r>
  <r>
    <x v="9"/>
    <x v="0"/>
    <x v="4"/>
    <x v="1"/>
    <x v="17"/>
    <x v="1"/>
    <x v="1"/>
    <n v="8"/>
    <n v="39937.42"/>
    <n v="117109.88"/>
    <x v="0"/>
  </r>
  <r>
    <x v="9"/>
    <x v="0"/>
    <x v="4"/>
    <x v="1"/>
    <x v="18"/>
    <x v="0"/>
    <x v="1"/>
    <n v="6"/>
    <n v="29272.41"/>
    <n v="129956.16"/>
    <x v="0"/>
  </r>
  <r>
    <x v="9"/>
    <x v="0"/>
    <x v="4"/>
    <x v="1"/>
    <x v="18"/>
    <x v="1"/>
    <x v="0"/>
    <n v="6"/>
    <n v="29375.43"/>
    <n v="94082.86"/>
    <x v="0"/>
  </r>
  <r>
    <x v="9"/>
    <x v="0"/>
    <x v="4"/>
    <x v="1"/>
    <x v="18"/>
    <x v="1"/>
    <x v="1"/>
    <n v="44"/>
    <n v="217133.73"/>
    <n v="685452.76"/>
    <x v="0"/>
  </r>
  <r>
    <x v="9"/>
    <x v="0"/>
    <x v="4"/>
    <x v="1"/>
    <x v="19"/>
    <x v="1"/>
    <x v="0"/>
    <n v="13"/>
    <n v="67379.91"/>
    <n v="211770.7"/>
    <x v="0"/>
  </r>
  <r>
    <x v="9"/>
    <x v="0"/>
    <x v="4"/>
    <x v="1"/>
    <x v="19"/>
    <x v="1"/>
    <x v="1"/>
    <n v="7"/>
    <n v="40087.449999999997"/>
    <n v="122920.91"/>
    <x v="0"/>
  </r>
  <r>
    <x v="9"/>
    <x v="0"/>
    <x v="4"/>
    <x v="1"/>
    <x v="20"/>
    <x v="0"/>
    <x v="0"/>
    <n v="1"/>
    <n v="5006.79"/>
    <n v="21659.360000000001"/>
    <x v="0"/>
  </r>
  <r>
    <x v="9"/>
    <x v="0"/>
    <x v="4"/>
    <x v="1"/>
    <x v="20"/>
    <x v="0"/>
    <x v="1"/>
    <n v="8"/>
    <n v="40762.230000000003"/>
    <n v="189565.79"/>
    <x v="0"/>
  </r>
  <r>
    <x v="9"/>
    <x v="0"/>
    <x v="4"/>
    <x v="1"/>
    <x v="20"/>
    <x v="1"/>
    <x v="0"/>
    <n v="24"/>
    <n v="119383.03999999999"/>
    <n v="364594.87"/>
    <x v="0"/>
  </r>
  <r>
    <x v="9"/>
    <x v="0"/>
    <x v="4"/>
    <x v="1"/>
    <x v="20"/>
    <x v="1"/>
    <x v="1"/>
    <n v="50"/>
    <n v="272120.03999999998"/>
    <n v="833953.58"/>
    <x v="0"/>
  </r>
  <r>
    <x v="9"/>
    <x v="0"/>
    <x v="4"/>
    <x v="2"/>
    <x v="21"/>
    <x v="0"/>
    <x v="0"/>
    <n v="1"/>
    <n v="5260.57"/>
    <n v="24908.27"/>
    <x v="0"/>
  </r>
  <r>
    <x v="9"/>
    <x v="0"/>
    <x v="4"/>
    <x v="2"/>
    <x v="22"/>
    <x v="0"/>
    <x v="1"/>
    <n v="1"/>
    <n v="4761.5600000000004"/>
    <n v="21659.360000000001"/>
    <x v="0"/>
  </r>
  <r>
    <x v="9"/>
    <x v="0"/>
    <x v="4"/>
    <x v="2"/>
    <x v="22"/>
    <x v="1"/>
    <x v="0"/>
    <n v="3"/>
    <n v="18897.400000000001"/>
    <n v="52818.69"/>
    <x v="0"/>
  </r>
  <r>
    <x v="9"/>
    <x v="0"/>
    <x v="4"/>
    <x v="2"/>
    <x v="22"/>
    <x v="1"/>
    <x v="1"/>
    <n v="17"/>
    <n v="84693.64"/>
    <n v="232477.06"/>
    <x v="0"/>
  </r>
  <r>
    <x v="9"/>
    <x v="0"/>
    <x v="4"/>
    <x v="2"/>
    <x v="29"/>
    <x v="1"/>
    <x v="1"/>
    <n v="2"/>
    <n v="13964.64"/>
    <n v="42100.83"/>
    <x v="0"/>
  </r>
  <r>
    <x v="9"/>
    <x v="0"/>
    <x v="4"/>
    <x v="2"/>
    <x v="23"/>
    <x v="1"/>
    <x v="1"/>
    <n v="1"/>
    <n v="4884.93"/>
    <n v="13732.03"/>
    <x v="0"/>
  </r>
  <r>
    <x v="9"/>
    <x v="0"/>
    <x v="4"/>
    <x v="2"/>
    <x v="24"/>
    <x v="1"/>
    <x v="1"/>
    <n v="3"/>
    <n v="17940.52"/>
    <n v="51058.21"/>
    <x v="0"/>
  </r>
  <r>
    <x v="9"/>
    <x v="0"/>
    <x v="4"/>
    <x v="3"/>
    <x v="25"/>
    <x v="0"/>
    <x v="1"/>
    <n v="4"/>
    <n v="19200.07"/>
    <n v="86637.440000000002"/>
    <x v="0"/>
  </r>
  <r>
    <x v="9"/>
    <x v="0"/>
    <x v="4"/>
    <x v="3"/>
    <x v="25"/>
    <x v="1"/>
    <x v="0"/>
    <n v="12"/>
    <n v="62631.81"/>
    <n v="192134.78"/>
    <x v="0"/>
  </r>
  <r>
    <x v="9"/>
    <x v="0"/>
    <x v="4"/>
    <x v="3"/>
    <x v="25"/>
    <x v="1"/>
    <x v="1"/>
    <n v="3"/>
    <n v="15523.58"/>
    <n v="48960.99"/>
    <x v="0"/>
  </r>
  <r>
    <x v="9"/>
    <x v="0"/>
    <x v="4"/>
    <x v="3"/>
    <x v="26"/>
    <x v="0"/>
    <x v="0"/>
    <n v="1"/>
    <n v="4954.58"/>
    <n v="21659.360000000001"/>
    <x v="0"/>
  </r>
  <r>
    <x v="9"/>
    <x v="0"/>
    <x v="4"/>
    <x v="3"/>
    <x v="26"/>
    <x v="0"/>
    <x v="1"/>
    <n v="1"/>
    <n v="4688.1000000000004"/>
    <n v="21659.360000000001"/>
    <x v="0"/>
  </r>
  <r>
    <x v="9"/>
    <x v="0"/>
    <x v="4"/>
    <x v="3"/>
    <x v="26"/>
    <x v="1"/>
    <x v="1"/>
    <n v="15"/>
    <n v="74806.100000000006"/>
    <n v="236366.61"/>
    <x v="0"/>
  </r>
  <r>
    <x v="9"/>
    <x v="0"/>
    <x v="4"/>
    <x v="3"/>
    <x v="27"/>
    <x v="0"/>
    <x v="0"/>
    <n v="1"/>
    <n v="4665.51"/>
    <n v="21659.360000000001"/>
    <x v="0"/>
  </r>
  <r>
    <x v="9"/>
    <x v="0"/>
    <x v="4"/>
    <x v="3"/>
    <x v="27"/>
    <x v="0"/>
    <x v="1"/>
    <n v="4"/>
    <n v="19800.7"/>
    <n v="89886.35"/>
    <x v="0"/>
  </r>
  <r>
    <x v="9"/>
    <x v="0"/>
    <x v="4"/>
    <x v="3"/>
    <x v="27"/>
    <x v="1"/>
    <x v="0"/>
    <n v="13"/>
    <n v="61724.71"/>
    <n v="193509.99"/>
    <x v="0"/>
  </r>
  <r>
    <x v="9"/>
    <x v="0"/>
    <x v="4"/>
    <x v="3"/>
    <x v="27"/>
    <x v="1"/>
    <x v="1"/>
    <n v="29"/>
    <n v="151171.66"/>
    <n v="473019.86"/>
    <x v="0"/>
  </r>
  <r>
    <x v="9"/>
    <x v="0"/>
    <x v="5"/>
    <x v="0"/>
    <x v="0"/>
    <x v="0"/>
    <x v="0"/>
    <n v="2"/>
    <n v="9523.3700000000008"/>
    <n v="37902.620000000003"/>
    <x v="0"/>
  </r>
  <r>
    <x v="9"/>
    <x v="0"/>
    <x v="5"/>
    <x v="0"/>
    <x v="0"/>
    <x v="0"/>
    <x v="1"/>
    <n v="1"/>
    <n v="4752.8100000000004"/>
    <n v="18951.310000000001"/>
    <x v="0"/>
  </r>
  <r>
    <x v="9"/>
    <x v="0"/>
    <x v="5"/>
    <x v="0"/>
    <x v="0"/>
    <x v="1"/>
    <x v="0"/>
    <n v="1"/>
    <n v="6419.69"/>
    <n v="17244.04"/>
    <x v="0"/>
  </r>
  <r>
    <x v="9"/>
    <x v="0"/>
    <x v="5"/>
    <x v="0"/>
    <x v="0"/>
    <x v="1"/>
    <x v="1"/>
    <n v="8"/>
    <n v="47731.98"/>
    <n v="128252.57"/>
    <x v="0"/>
  </r>
  <r>
    <x v="9"/>
    <x v="0"/>
    <x v="5"/>
    <x v="0"/>
    <x v="1"/>
    <x v="0"/>
    <x v="0"/>
    <n v="4"/>
    <n v="20758.740000000002"/>
    <n v="83220.97"/>
    <x v="0"/>
  </r>
  <r>
    <x v="9"/>
    <x v="0"/>
    <x v="5"/>
    <x v="0"/>
    <x v="1"/>
    <x v="0"/>
    <x v="1"/>
    <n v="5"/>
    <n v="26012.34"/>
    <n v="104644.19"/>
    <x v="0"/>
  </r>
  <r>
    <x v="9"/>
    <x v="0"/>
    <x v="5"/>
    <x v="0"/>
    <x v="1"/>
    <x v="1"/>
    <x v="0"/>
    <n v="5"/>
    <n v="23338.55"/>
    <n v="60928.46"/>
    <x v="0"/>
  </r>
  <r>
    <x v="9"/>
    <x v="0"/>
    <x v="5"/>
    <x v="0"/>
    <x v="1"/>
    <x v="1"/>
    <x v="1"/>
    <n v="19"/>
    <n v="105834.22"/>
    <n v="272810.31"/>
    <x v="0"/>
  </r>
  <r>
    <x v="9"/>
    <x v="0"/>
    <x v="5"/>
    <x v="0"/>
    <x v="2"/>
    <x v="0"/>
    <x v="1"/>
    <n v="7"/>
    <n v="35148.31"/>
    <n v="144194.75"/>
    <x v="0"/>
  </r>
  <r>
    <x v="9"/>
    <x v="0"/>
    <x v="5"/>
    <x v="0"/>
    <x v="2"/>
    <x v="1"/>
    <x v="0"/>
    <n v="3"/>
    <n v="18729.03"/>
    <n v="46875.81"/>
    <x v="0"/>
  </r>
  <r>
    <x v="9"/>
    <x v="0"/>
    <x v="5"/>
    <x v="0"/>
    <x v="2"/>
    <x v="1"/>
    <x v="1"/>
    <n v="2"/>
    <n v="8840.89"/>
    <n v="22514.15"/>
    <x v="0"/>
  </r>
  <r>
    <x v="9"/>
    <x v="0"/>
    <x v="5"/>
    <x v="0"/>
    <x v="3"/>
    <x v="0"/>
    <x v="1"/>
    <n v="1"/>
    <n v="6632.71"/>
    <n v="26367.040000000001"/>
    <x v="0"/>
  </r>
  <r>
    <x v="9"/>
    <x v="0"/>
    <x v="5"/>
    <x v="0"/>
    <x v="3"/>
    <x v="1"/>
    <x v="0"/>
    <n v="5"/>
    <n v="26537.89"/>
    <n v="69729.289999999994"/>
    <x v="0"/>
  </r>
  <r>
    <x v="9"/>
    <x v="0"/>
    <x v="5"/>
    <x v="0"/>
    <x v="3"/>
    <x v="1"/>
    <x v="1"/>
    <n v="27"/>
    <n v="140612.1"/>
    <n v="366139.49"/>
    <x v="0"/>
  </r>
  <r>
    <x v="9"/>
    <x v="0"/>
    <x v="5"/>
    <x v="0"/>
    <x v="28"/>
    <x v="1"/>
    <x v="1"/>
    <n v="2"/>
    <n v="12869.52"/>
    <n v="34488.089999999997"/>
    <x v="0"/>
  </r>
  <r>
    <x v="9"/>
    <x v="0"/>
    <x v="5"/>
    <x v="0"/>
    <x v="4"/>
    <x v="1"/>
    <x v="0"/>
    <n v="7"/>
    <n v="32207.57"/>
    <n v="83319.850000000006"/>
    <x v="0"/>
  </r>
  <r>
    <x v="9"/>
    <x v="0"/>
    <x v="5"/>
    <x v="0"/>
    <x v="4"/>
    <x v="1"/>
    <x v="1"/>
    <n v="8"/>
    <n v="46419.5"/>
    <n v="120761.05"/>
    <x v="0"/>
  </r>
  <r>
    <x v="9"/>
    <x v="0"/>
    <x v="5"/>
    <x v="0"/>
    <x v="5"/>
    <x v="0"/>
    <x v="1"/>
    <n v="4"/>
    <n v="21984.85"/>
    <n v="88988.76"/>
    <x v="0"/>
  </r>
  <r>
    <x v="9"/>
    <x v="0"/>
    <x v="5"/>
    <x v="0"/>
    <x v="5"/>
    <x v="1"/>
    <x v="0"/>
    <n v="3"/>
    <n v="13194.06"/>
    <n v="32783.1"/>
    <x v="0"/>
  </r>
  <r>
    <x v="9"/>
    <x v="0"/>
    <x v="5"/>
    <x v="0"/>
    <x v="5"/>
    <x v="1"/>
    <x v="1"/>
    <n v="24"/>
    <n v="133662.62"/>
    <n v="354033.55"/>
    <x v="0"/>
  </r>
  <r>
    <x v="9"/>
    <x v="0"/>
    <x v="5"/>
    <x v="0"/>
    <x v="6"/>
    <x v="1"/>
    <x v="1"/>
    <n v="1"/>
    <n v="4494.25"/>
    <n v="12451.01"/>
    <x v="0"/>
  </r>
  <r>
    <x v="9"/>
    <x v="0"/>
    <x v="5"/>
    <x v="0"/>
    <x v="7"/>
    <x v="1"/>
    <x v="1"/>
    <n v="9"/>
    <n v="54613.91"/>
    <n v="148611.24"/>
    <x v="0"/>
  </r>
  <r>
    <x v="9"/>
    <x v="0"/>
    <x v="5"/>
    <x v="0"/>
    <x v="8"/>
    <x v="1"/>
    <x v="1"/>
    <n v="2"/>
    <n v="9186.94"/>
    <n v="24143.97"/>
    <x v="0"/>
  </r>
  <r>
    <x v="9"/>
    <x v="0"/>
    <x v="5"/>
    <x v="1"/>
    <x v="9"/>
    <x v="1"/>
    <x v="1"/>
    <n v="4"/>
    <n v="25147.3"/>
    <n v="72562.09"/>
    <x v="0"/>
  </r>
  <r>
    <x v="9"/>
    <x v="0"/>
    <x v="5"/>
    <x v="1"/>
    <x v="31"/>
    <x v="1"/>
    <x v="0"/>
    <n v="5"/>
    <n v="23394.15"/>
    <n v="63019.95"/>
    <x v="0"/>
  </r>
  <r>
    <x v="9"/>
    <x v="0"/>
    <x v="5"/>
    <x v="1"/>
    <x v="10"/>
    <x v="0"/>
    <x v="0"/>
    <n v="1"/>
    <n v="4807.7299999999996"/>
    <n v="18951.310000000001"/>
    <x v="0"/>
  </r>
  <r>
    <x v="9"/>
    <x v="0"/>
    <x v="5"/>
    <x v="1"/>
    <x v="10"/>
    <x v="0"/>
    <x v="1"/>
    <n v="1"/>
    <n v="6561.54"/>
    <n v="26367.040000000001"/>
    <x v="0"/>
  </r>
  <r>
    <x v="9"/>
    <x v="0"/>
    <x v="5"/>
    <x v="1"/>
    <x v="10"/>
    <x v="1"/>
    <x v="0"/>
    <n v="3"/>
    <n v="18851.439999999999"/>
    <n v="53946.96"/>
    <x v="0"/>
  </r>
  <r>
    <x v="9"/>
    <x v="0"/>
    <x v="5"/>
    <x v="1"/>
    <x v="10"/>
    <x v="1"/>
    <x v="1"/>
    <n v="21"/>
    <n v="113953.27"/>
    <n v="315814.52"/>
    <x v="0"/>
  </r>
  <r>
    <x v="9"/>
    <x v="0"/>
    <x v="5"/>
    <x v="1"/>
    <x v="11"/>
    <x v="0"/>
    <x v="1"/>
    <n v="4"/>
    <n v="23557.85"/>
    <n v="96404.49"/>
    <x v="0"/>
  </r>
  <r>
    <x v="9"/>
    <x v="0"/>
    <x v="5"/>
    <x v="1"/>
    <x v="11"/>
    <x v="1"/>
    <x v="0"/>
    <n v="3"/>
    <n v="13823.58"/>
    <n v="35978.94"/>
    <x v="0"/>
  </r>
  <r>
    <x v="9"/>
    <x v="0"/>
    <x v="5"/>
    <x v="1"/>
    <x v="11"/>
    <x v="1"/>
    <x v="1"/>
    <n v="31"/>
    <n v="167764.87"/>
    <n v="439371.67"/>
    <x v="0"/>
  </r>
  <r>
    <x v="9"/>
    <x v="0"/>
    <x v="5"/>
    <x v="1"/>
    <x v="12"/>
    <x v="1"/>
    <x v="0"/>
    <n v="5"/>
    <n v="34018.800000000003"/>
    <n v="90175.28"/>
    <x v="0"/>
  </r>
  <r>
    <x v="9"/>
    <x v="0"/>
    <x v="5"/>
    <x v="1"/>
    <x v="12"/>
    <x v="1"/>
    <x v="1"/>
    <n v="2"/>
    <n v="8412.98"/>
    <n v="23671.01"/>
    <x v="0"/>
  </r>
  <r>
    <x v="9"/>
    <x v="0"/>
    <x v="5"/>
    <x v="1"/>
    <x v="13"/>
    <x v="0"/>
    <x v="1"/>
    <n v="4"/>
    <n v="21403.89"/>
    <n v="88988.76"/>
    <x v="0"/>
  </r>
  <r>
    <x v="9"/>
    <x v="0"/>
    <x v="5"/>
    <x v="1"/>
    <x v="13"/>
    <x v="1"/>
    <x v="0"/>
    <n v="2"/>
    <n v="12752.14"/>
    <n v="35911.910000000003"/>
    <x v="0"/>
  </r>
  <r>
    <x v="9"/>
    <x v="0"/>
    <x v="5"/>
    <x v="1"/>
    <x v="13"/>
    <x v="1"/>
    <x v="1"/>
    <n v="6"/>
    <n v="29937.33"/>
    <n v="83046.28"/>
    <x v="0"/>
  </r>
  <r>
    <x v="9"/>
    <x v="0"/>
    <x v="5"/>
    <x v="1"/>
    <x v="14"/>
    <x v="0"/>
    <x v="1"/>
    <n v="1"/>
    <n v="4157.46"/>
    <n v="17303.37"/>
    <x v="0"/>
  </r>
  <r>
    <x v="9"/>
    <x v="0"/>
    <x v="5"/>
    <x v="1"/>
    <x v="14"/>
    <x v="1"/>
    <x v="0"/>
    <n v="2"/>
    <n v="8618.4599999999991"/>
    <n v="22751.11"/>
    <x v="0"/>
  </r>
  <r>
    <x v="9"/>
    <x v="0"/>
    <x v="5"/>
    <x v="1"/>
    <x v="14"/>
    <x v="1"/>
    <x v="1"/>
    <n v="7"/>
    <n v="30440.77"/>
    <n v="80910.559999999998"/>
    <x v="0"/>
  </r>
  <r>
    <x v="9"/>
    <x v="0"/>
    <x v="5"/>
    <x v="1"/>
    <x v="16"/>
    <x v="1"/>
    <x v="0"/>
    <n v="1"/>
    <n v="6334.22"/>
    <n v="17349.509999999998"/>
    <x v="0"/>
  </r>
  <r>
    <x v="9"/>
    <x v="0"/>
    <x v="5"/>
    <x v="1"/>
    <x v="16"/>
    <x v="1"/>
    <x v="1"/>
    <n v="5"/>
    <n v="27628.89"/>
    <n v="74153.73"/>
    <x v="0"/>
  </r>
  <r>
    <x v="9"/>
    <x v="0"/>
    <x v="5"/>
    <x v="1"/>
    <x v="17"/>
    <x v="0"/>
    <x v="1"/>
    <n v="1"/>
    <n v="6722.54"/>
    <n v="26367.040000000001"/>
    <x v="0"/>
  </r>
  <r>
    <x v="9"/>
    <x v="0"/>
    <x v="5"/>
    <x v="1"/>
    <x v="17"/>
    <x v="1"/>
    <x v="0"/>
    <n v="1"/>
    <n v="6372.05"/>
    <n v="17055.02"/>
    <x v="0"/>
  </r>
  <r>
    <x v="9"/>
    <x v="0"/>
    <x v="5"/>
    <x v="1"/>
    <x v="17"/>
    <x v="1"/>
    <x v="1"/>
    <n v="3"/>
    <n v="16123.34"/>
    <n v="42675.05"/>
    <x v="0"/>
  </r>
  <r>
    <x v="9"/>
    <x v="0"/>
    <x v="5"/>
    <x v="1"/>
    <x v="18"/>
    <x v="0"/>
    <x v="1"/>
    <n v="19"/>
    <n v="108948.29"/>
    <n v="444119.83"/>
    <x v="0"/>
  </r>
  <r>
    <x v="9"/>
    <x v="0"/>
    <x v="5"/>
    <x v="1"/>
    <x v="18"/>
    <x v="1"/>
    <x v="0"/>
    <n v="7"/>
    <n v="40209.230000000003"/>
    <n v="112813.85"/>
    <x v="0"/>
  </r>
  <r>
    <x v="9"/>
    <x v="0"/>
    <x v="5"/>
    <x v="1"/>
    <x v="18"/>
    <x v="1"/>
    <x v="1"/>
    <n v="45"/>
    <n v="216860.62"/>
    <n v="618529.68999999994"/>
    <x v="0"/>
  </r>
  <r>
    <x v="9"/>
    <x v="0"/>
    <x v="5"/>
    <x v="1"/>
    <x v="19"/>
    <x v="0"/>
    <x v="1"/>
    <n v="4"/>
    <n v="24361.62"/>
    <n v="98052.43"/>
    <x v="0"/>
  </r>
  <r>
    <x v="9"/>
    <x v="0"/>
    <x v="5"/>
    <x v="1"/>
    <x v="19"/>
    <x v="1"/>
    <x v="0"/>
    <n v="8"/>
    <n v="36957.949999999997"/>
    <n v="102185.46"/>
    <x v="0"/>
  </r>
  <r>
    <x v="9"/>
    <x v="0"/>
    <x v="5"/>
    <x v="1"/>
    <x v="19"/>
    <x v="1"/>
    <x v="1"/>
    <n v="13"/>
    <n v="71496.789999999994"/>
    <n v="197706.65"/>
    <x v="0"/>
  </r>
  <r>
    <x v="9"/>
    <x v="0"/>
    <x v="5"/>
    <x v="1"/>
    <x v="20"/>
    <x v="0"/>
    <x v="1"/>
    <n v="8"/>
    <n v="42686.95"/>
    <n v="170561.79"/>
    <x v="0"/>
  </r>
  <r>
    <x v="9"/>
    <x v="0"/>
    <x v="5"/>
    <x v="1"/>
    <x v="20"/>
    <x v="1"/>
    <x v="0"/>
    <n v="15"/>
    <n v="89295.65"/>
    <n v="244192.58"/>
    <x v="0"/>
  </r>
  <r>
    <x v="9"/>
    <x v="0"/>
    <x v="5"/>
    <x v="1"/>
    <x v="20"/>
    <x v="1"/>
    <x v="1"/>
    <n v="16"/>
    <n v="83770.22"/>
    <n v="225072.37"/>
    <x v="0"/>
  </r>
  <r>
    <x v="9"/>
    <x v="0"/>
    <x v="5"/>
    <x v="2"/>
    <x v="21"/>
    <x v="0"/>
    <x v="0"/>
    <n v="2"/>
    <n v="10873.71"/>
    <n v="43670.41"/>
    <x v="0"/>
  </r>
  <r>
    <x v="9"/>
    <x v="0"/>
    <x v="5"/>
    <x v="2"/>
    <x v="22"/>
    <x v="0"/>
    <x v="1"/>
    <n v="2"/>
    <n v="11048.21"/>
    <n v="43670.41"/>
    <x v="0"/>
  </r>
  <r>
    <x v="9"/>
    <x v="0"/>
    <x v="5"/>
    <x v="2"/>
    <x v="22"/>
    <x v="1"/>
    <x v="1"/>
    <n v="18"/>
    <n v="101945.33"/>
    <n v="252404.26"/>
    <x v="0"/>
  </r>
  <r>
    <x v="9"/>
    <x v="0"/>
    <x v="5"/>
    <x v="2"/>
    <x v="29"/>
    <x v="0"/>
    <x v="1"/>
    <n v="2"/>
    <n v="13359.71"/>
    <n v="52734.080000000002"/>
    <x v="0"/>
  </r>
  <r>
    <x v="9"/>
    <x v="0"/>
    <x v="5"/>
    <x v="2"/>
    <x v="23"/>
    <x v="1"/>
    <x v="1"/>
    <n v="12"/>
    <n v="66844.31"/>
    <n v="170917.81"/>
    <x v="0"/>
  </r>
  <r>
    <x v="9"/>
    <x v="0"/>
    <x v="5"/>
    <x v="2"/>
    <x v="24"/>
    <x v="0"/>
    <x v="1"/>
    <n v="2"/>
    <n v="13235.92"/>
    <n v="52734.080000000002"/>
    <x v="0"/>
  </r>
  <r>
    <x v="9"/>
    <x v="0"/>
    <x v="5"/>
    <x v="3"/>
    <x v="25"/>
    <x v="1"/>
    <x v="0"/>
    <n v="7"/>
    <n v="33372.03"/>
    <n v="89627.54"/>
    <x v="0"/>
  </r>
  <r>
    <x v="9"/>
    <x v="0"/>
    <x v="5"/>
    <x v="3"/>
    <x v="25"/>
    <x v="1"/>
    <x v="1"/>
    <n v="12"/>
    <n v="68387.740000000005"/>
    <n v="189928.32000000001"/>
    <x v="0"/>
  </r>
  <r>
    <x v="9"/>
    <x v="0"/>
    <x v="5"/>
    <x v="3"/>
    <x v="26"/>
    <x v="0"/>
    <x v="0"/>
    <n v="2"/>
    <n v="13239.36"/>
    <n v="52734.080000000002"/>
    <x v="0"/>
  </r>
  <r>
    <x v="9"/>
    <x v="0"/>
    <x v="5"/>
    <x v="3"/>
    <x v="26"/>
    <x v="0"/>
    <x v="1"/>
    <n v="1"/>
    <n v="4253.59"/>
    <n v="17303.37"/>
    <x v="0"/>
  </r>
  <r>
    <x v="9"/>
    <x v="0"/>
    <x v="5"/>
    <x v="3"/>
    <x v="26"/>
    <x v="1"/>
    <x v="0"/>
    <n v="1"/>
    <n v="6691.17"/>
    <n v="18193.259999999998"/>
    <x v="0"/>
  </r>
  <r>
    <x v="9"/>
    <x v="0"/>
    <x v="5"/>
    <x v="3"/>
    <x v="26"/>
    <x v="1"/>
    <x v="1"/>
    <n v="11"/>
    <n v="59402.57"/>
    <n v="167259.26"/>
    <x v="0"/>
  </r>
  <r>
    <x v="9"/>
    <x v="0"/>
    <x v="5"/>
    <x v="3"/>
    <x v="27"/>
    <x v="0"/>
    <x v="1"/>
    <n v="7"/>
    <n v="39885.980000000003"/>
    <n v="166441.94"/>
    <x v="0"/>
  </r>
  <r>
    <x v="9"/>
    <x v="0"/>
    <x v="5"/>
    <x v="3"/>
    <x v="27"/>
    <x v="1"/>
    <x v="0"/>
    <n v="12"/>
    <n v="68012.399999999994"/>
    <n v="186193.48"/>
    <x v="0"/>
  </r>
  <r>
    <x v="9"/>
    <x v="0"/>
    <x v="5"/>
    <x v="3"/>
    <x v="27"/>
    <x v="1"/>
    <x v="1"/>
    <n v="25"/>
    <n v="139064.92000000001"/>
    <n v="379322.83"/>
    <x v="0"/>
  </r>
  <r>
    <x v="9"/>
    <x v="0"/>
    <x v="6"/>
    <x v="0"/>
    <x v="0"/>
    <x v="0"/>
    <x v="0"/>
    <n v="2"/>
    <n v="4133.1499999999996"/>
    <n v="14828.8"/>
    <x v="0"/>
  </r>
  <r>
    <x v="9"/>
    <x v="0"/>
    <x v="6"/>
    <x v="0"/>
    <x v="0"/>
    <x v="0"/>
    <x v="1"/>
    <n v="1"/>
    <n v="2113.1999999999998"/>
    <n v="7414.4"/>
    <x v="0"/>
  </r>
  <r>
    <x v="9"/>
    <x v="0"/>
    <x v="6"/>
    <x v="0"/>
    <x v="0"/>
    <x v="1"/>
    <x v="1"/>
    <n v="5"/>
    <n v="15070.85"/>
    <n v="33732.269999999997"/>
    <x v="0"/>
  </r>
  <r>
    <x v="9"/>
    <x v="0"/>
    <x v="6"/>
    <x v="0"/>
    <x v="1"/>
    <x v="0"/>
    <x v="0"/>
    <n v="3"/>
    <n v="8894.6"/>
    <n v="30947.040000000001"/>
    <x v="0"/>
  </r>
  <r>
    <x v="9"/>
    <x v="0"/>
    <x v="6"/>
    <x v="0"/>
    <x v="1"/>
    <x v="0"/>
    <x v="1"/>
    <n v="4"/>
    <n v="10746.89"/>
    <n v="38361.440000000002"/>
    <x v="0"/>
  </r>
  <r>
    <x v="9"/>
    <x v="0"/>
    <x v="6"/>
    <x v="0"/>
    <x v="1"/>
    <x v="1"/>
    <x v="0"/>
    <n v="12"/>
    <n v="35854.61"/>
    <n v="79595.78"/>
    <x v="0"/>
  </r>
  <r>
    <x v="9"/>
    <x v="0"/>
    <x v="6"/>
    <x v="0"/>
    <x v="1"/>
    <x v="1"/>
    <x v="1"/>
    <n v="17"/>
    <n v="46685.2"/>
    <n v="104289.35"/>
    <x v="0"/>
  </r>
  <r>
    <x v="9"/>
    <x v="0"/>
    <x v="6"/>
    <x v="0"/>
    <x v="2"/>
    <x v="0"/>
    <x v="1"/>
    <n v="3"/>
    <n v="8982.33"/>
    <n v="30947.040000000001"/>
    <x v="0"/>
  </r>
  <r>
    <x v="9"/>
    <x v="0"/>
    <x v="6"/>
    <x v="0"/>
    <x v="2"/>
    <x v="1"/>
    <x v="1"/>
    <n v="10"/>
    <n v="27704.5"/>
    <n v="60456.98"/>
    <x v="0"/>
  </r>
  <r>
    <x v="9"/>
    <x v="0"/>
    <x v="6"/>
    <x v="0"/>
    <x v="3"/>
    <x v="0"/>
    <x v="0"/>
    <n v="1"/>
    <n v="3003.22"/>
    <n v="10315.68"/>
    <x v="0"/>
  </r>
  <r>
    <x v="9"/>
    <x v="0"/>
    <x v="6"/>
    <x v="0"/>
    <x v="3"/>
    <x v="0"/>
    <x v="1"/>
    <n v="8"/>
    <n v="18981.32"/>
    <n v="67051.94"/>
    <x v="0"/>
  </r>
  <r>
    <x v="9"/>
    <x v="0"/>
    <x v="6"/>
    <x v="0"/>
    <x v="3"/>
    <x v="1"/>
    <x v="1"/>
    <n v="5"/>
    <n v="12543.85"/>
    <n v="28094.11"/>
    <x v="0"/>
  </r>
  <r>
    <x v="9"/>
    <x v="0"/>
    <x v="6"/>
    <x v="0"/>
    <x v="28"/>
    <x v="1"/>
    <x v="1"/>
    <n v="7"/>
    <n v="16233.5"/>
    <n v="37105.5"/>
    <x v="0"/>
  </r>
  <r>
    <x v="9"/>
    <x v="0"/>
    <x v="6"/>
    <x v="0"/>
    <x v="4"/>
    <x v="0"/>
    <x v="1"/>
    <n v="6"/>
    <n v="18071.419999999998"/>
    <n v="61894.080000000002"/>
    <x v="0"/>
  </r>
  <r>
    <x v="9"/>
    <x v="0"/>
    <x v="6"/>
    <x v="0"/>
    <x v="4"/>
    <x v="1"/>
    <x v="0"/>
    <n v="5"/>
    <n v="11112.06"/>
    <n v="24963.96"/>
    <x v="0"/>
  </r>
  <r>
    <x v="9"/>
    <x v="0"/>
    <x v="6"/>
    <x v="0"/>
    <x v="4"/>
    <x v="1"/>
    <x v="1"/>
    <n v="2"/>
    <n v="5877.8"/>
    <n v="13204.07"/>
    <x v="0"/>
  </r>
  <r>
    <x v="9"/>
    <x v="0"/>
    <x v="6"/>
    <x v="0"/>
    <x v="5"/>
    <x v="0"/>
    <x v="1"/>
    <n v="2"/>
    <n v="5938.93"/>
    <n v="20631.36"/>
    <x v="0"/>
  </r>
  <r>
    <x v="9"/>
    <x v="0"/>
    <x v="6"/>
    <x v="0"/>
    <x v="5"/>
    <x v="1"/>
    <x v="0"/>
    <n v="1"/>
    <n v="1826.12"/>
    <n v="4248.7700000000004"/>
    <x v="0"/>
  </r>
  <r>
    <x v="9"/>
    <x v="0"/>
    <x v="6"/>
    <x v="0"/>
    <x v="5"/>
    <x v="1"/>
    <x v="1"/>
    <n v="18"/>
    <n v="48117.39"/>
    <n v="110892.95"/>
    <x v="0"/>
  </r>
  <r>
    <x v="9"/>
    <x v="0"/>
    <x v="6"/>
    <x v="0"/>
    <x v="6"/>
    <x v="1"/>
    <x v="1"/>
    <n v="1"/>
    <n v="2126.39"/>
    <n v="4871.26"/>
    <x v="0"/>
  </r>
  <r>
    <x v="9"/>
    <x v="0"/>
    <x v="6"/>
    <x v="0"/>
    <x v="7"/>
    <x v="1"/>
    <x v="1"/>
    <n v="4"/>
    <n v="11307.53"/>
    <n v="25625.439999999999"/>
    <x v="0"/>
  </r>
  <r>
    <x v="9"/>
    <x v="0"/>
    <x v="6"/>
    <x v="0"/>
    <x v="8"/>
    <x v="0"/>
    <x v="1"/>
    <n v="1"/>
    <n v="3025.13"/>
    <n v="10315.68"/>
    <x v="0"/>
  </r>
  <r>
    <x v="9"/>
    <x v="0"/>
    <x v="6"/>
    <x v="0"/>
    <x v="8"/>
    <x v="1"/>
    <x v="1"/>
    <n v="5"/>
    <n v="14274.2"/>
    <n v="32855.440000000002"/>
    <x v="0"/>
  </r>
  <r>
    <x v="9"/>
    <x v="0"/>
    <x v="6"/>
    <x v="1"/>
    <x v="31"/>
    <x v="1"/>
    <x v="0"/>
    <n v="2"/>
    <n v="6020.84"/>
    <n v="14338.8"/>
    <x v="0"/>
  </r>
  <r>
    <x v="9"/>
    <x v="0"/>
    <x v="6"/>
    <x v="1"/>
    <x v="10"/>
    <x v="0"/>
    <x v="0"/>
    <n v="1"/>
    <n v="2974.7"/>
    <n v="10315.68"/>
    <x v="0"/>
  </r>
  <r>
    <x v="9"/>
    <x v="0"/>
    <x v="6"/>
    <x v="1"/>
    <x v="10"/>
    <x v="0"/>
    <x v="1"/>
    <n v="3"/>
    <n v="6819.37"/>
    <n v="24177.38"/>
    <x v="0"/>
  </r>
  <r>
    <x v="9"/>
    <x v="0"/>
    <x v="6"/>
    <x v="1"/>
    <x v="10"/>
    <x v="1"/>
    <x v="0"/>
    <n v="11"/>
    <n v="30347.13"/>
    <n v="73155.759999999995"/>
    <x v="0"/>
  </r>
  <r>
    <x v="9"/>
    <x v="0"/>
    <x v="6"/>
    <x v="1"/>
    <x v="10"/>
    <x v="1"/>
    <x v="1"/>
    <n v="18"/>
    <n v="43660.98"/>
    <n v="104869.85"/>
    <x v="0"/>
  </r>
  <r>
    <x v="9"/>
    <x v="0"/>
    <x v="6"/>
    <x v="1"/>
    <x v="11"/>
    <x v="0"/>
    <x v="1"/>
    <n v="9"/>
    <n v="25072.639999999999"/>
    <n v="87038.56"/>
    <x v="0"/>
  </r>
  <r>
    <x v="9"/>
    <x v="0"/>
    <x v="6"/>
    <x v="1"/>
    <x v="11"/>
    <x v="1"/>
    <x v="0"/>
    <n v="7"/>
    <n v="16361.4"/>
    <n v="37507.18"/>
    <x v="0"/>
  </r>
  <r>
    <x v="9"/>
    <x v="0"/>
    <x v="6"/>
    <x v="1"/>
    <x v="11"/>
    <x v="1"/>
    <x v="1"/>
    <n v="26"/>
    <n v="75573.3"/>
    <n v="169364.3"/>
    <x v="0"/>
  </r>
  <r>
    <x v="9"/>
    <x v="0"/>
    <x v="6"/>
    <x v="1"/>
    <x v="13"/>
    <x v="0"/>
    <x v="1"/>
    <n v="3"/>
    <n v="7912.86"/>
    <n v="28045.759999999998"/>
    <x v="0"/>
  </r>
  <r>
    <x v="9"/>
    <x v="0"/>
    <x v="6"/>
    <x v="1"/>
    <x v="13"/>
    <x v="1"/>
    <x v="1"/>
    <n v="29"/>
    <n v="67556.800000000003"/>
    <n v="159275.9"/>
    <x v="0"/>
  </r>
  <r>
    <x v="9"/>
    <x v="0"/>
    <x v="6"/>
    <x v="1"/>
    <x v="14"/>
    <x v="0"/>
    <x v="1"/>
    <n v="3"/>
    <n v="5742.6"/>
    <n v="20309"/>
    <x v="0"/>
  </r>
  <r>
    <x v="9"/>
    <x v="0"/>
    <x v="6"/>
    <x v="1"/>
    <x v="14"/>
    <x v="1"/>
    <x v="0"/>
    <n v="12"/>
    <n v="28148.77"/>
    <n v="65894.009999999995"/>
    <x v="0"/>
  </r>
  <r>
    <x v="9"/>
    <x v="0"/>
    <x v="6"/>
    <x v="1"/>
    <x v="15"/>
    <x v="1"/>
    <x v="0"/>
    <n v="3"/>
    <n v="6284.04"/>
    <n v="15370.05"/>
    <x v="0"/>
  </r>
  <r>
    <x v="9"/>
    <x v="0"/>
    <x v="6"/>
    <x v="1"/>
    <x v="16"/>
    <x v="0"/>
    <x v="1"/>
    <n v="1"/>
    <n v="2090.65"/>
    <n v="7414.4"/>
    <x v="0"/>
  </r>
  <r>
    <x v="9"/>
    <x v="0"/>
    <x v="6"/>
    <x v="1"/>
    <x v="16"/>
    <x v="1"/>
    <x v="0"/>
    <n v="5"/>
    <n v="12735.06"/>
    <n v="29337.78"/>
    <x v="0"/>
  </r>
  <r>
    <x v="9"/>
    <x v="0"/>
    <x v="6"/>
    <x v="1"/>
    <x v="16"/>
    <x v="1"/>
    <x v="1"/>
    <n v="14"/>
    <n v="39926.03"/>
    <n v="90684.43"/>
    <x v="0"/>
  </r>
  <r>
    <x v="9"/>
    <x v="0"/>
    <x v="6"/>
    <x v="1"/>
    <x v="17"/>
    <x v="0"/>
    <x v="1"/>
    <n v="1"/>
    <n v="2988.99"/>
    <n v="10315.68"/>
    <x v="0"/>
  </r>
  <r>
    <x v="9"/>
    <x v="0"/>
    <x v="6"/>
    <x v="1"/>
    <x v="17"/>
    <x v="1"/>
    <x v="0"/>
    <n v="4"/>
    <n v="9316.77"/>
    <n v="21293.86"/>
    <x v="0"/>
  </r>
  <r>
    <x v="9"/>
    <x v="0"/>
    <x v="6"/>
    <x v="1"/>
    <x v="17"/>
    <x v="1"/>
    <x v="1"/>
    <n v="1"/>
    <n v="2956.74"/>
    <n v="6505.95"/>
    <x v="0"/>
  </r>
  <r>
    <x v="9"/>
    <x v="0"/>
    <x v="6"/>
    <x v="1"/>
    <x v="18"/>
    <x v="0"/>
    <x v="1"/>
    <n v="8"/>
    <n v="21381.66"/>
    <n v="73821.600000000006"/>
    <x v="0"/>
  </r>
  <r>
    <x v="9"/>
    <x v="0"/>
    <x v="6"/>
    <x v="1"/>
    <x v="18"/>
    <x v="1"/>
    <x v="0"/>
    <n v="18"/>
    <n v="43119.23"/>
    <n v="105524.6"/>
    <x v="0"/>
  </r>
  <r>
    <x v="9"/>
    <x v="0"/>
    <x v="6"/>
    <x v="1"/>
    <x v="18"/>
    <x v="1"/>
    <x v="1"/>
    <n v="33"/>
    <n v="81421.25"/>
    <n v="197684.96"/>
    <x v="0"/>
  </r>
  <r>
    <x v="9"/>
    <x v="0"/>
    <x v="6"/>
    <x v="1"/>
    <x v="19"/>
    <x v="0"/>
    <x v="1"/>
    <n v="2"/>
    <n v="5837.59"/>
    <n v="20631.36"/>
    <x v="0"/>
  </r>
  <r>
    <x v="9"/>
    <x v="0"/>
    <x v="6"/>
    <x v="1"/>
    <x v="19"/>
    <x v="1"/>
    <x v="0"/>
    <n v="8"/>
    <n v="17723.53"/>
    <n v="41933.9"/>
    <x v="0"/>
  </r>
  <r>
    <x v="9"/>
    <x v="0"/>
    <x v="6"/>
    <x v="1"/>
    <x v="19"/>
    <x v="1"/>
    <x v="1"/>
    <n v="3"/>
    <n v="8845.44"/>
    <n v="20858.3"/>
    <x v="0"/>
  </r>
  <r>
    <x v="9"/>
    <x v="0"/>
    <x v="6"/>
    <x v="1"/>
    <x v="20"/>
    <x v="0"/>
    <x v="1"/>
    <n v="9"/>
    <n v="23913.83"/>
    <n v="83170.179999999993"/>
    <x v="0"/>
  </r>
  <r>
    <x v="9"/>
    <x v="0"/>
    <x v="6"/>
    <x v="1"/>
    <x v="20"/>
    <x v="1"/>
    <x v="0"/>
    <n v="13"/>
    <n v="38362.22"/>
    <n v="88910.86"/>
    <x v="0"/>
  </r>
  <r>
    <x v="9"/>
    <x v="0"/>
    <x v="6"/>
    <x v="1"/>
    <x v="20"/>
    <x v="1"/>
    <x v="1"/>
    <n v="12"/>
    <n v="31478.69"/>
    <n v="72453.81"/>
    <x v="0"/>
  </r>
  <r>
    <x v="9"/>
    <x v="0"/>
    <x v="6"/>
    <x v="2"/>
    <x v="21"/>
    <x v="0"/>
    <x v="0"/>
    <n v="1"/>
    <n v="2119.37"/>
    <n v="7414.4"/>
    <x v="0"/>
  </r>
  <r>
    <x v="9"/>
    <x v="0"/>
    <x v="6"/>
    <x v="2"/>
    <x v="22"/>
    <x v="0"/>
    <x v="1"/>
    <n v="2"/>
    <n v="4706.75"/>
    <n v="16762.98"/>
    <x v="0"/>
  </r>
  <r>
    <x v="9"/>
    <x v="0"/>
    <x v="6"/>
    <x v="2"/>
    <x v="22"/>
    <x v="1"/>
    <x v="0"/>
    <n v="4"/>
    <n v="10044.74"/>
    <n v="21367.47"/>
    <x v="0"/>
  </r>
  <r>
    <x v="9"/>
    <x v="0"/>
    <x v="6"/>
    <x v="2"/>
    <x v="22"/>
    <x v="1"/>
    <x v="1"/>
    <n v="13"/>
    <n v="33945.35"/>
    <n v="72834.850000000006"/>
    <x v="0"/>
  </r>
  <r>
    <x v="9"/>
    <x v="0"/>
    <x v="6"/>
    <x v="2"/>
    <x v="29"/>
    <x v="0"/>
    <x v="1"/>
    <n v="1"/>
    <n v="1842.79"/>
    <n v="6447.3"/>
    <x v="0"/>
  </r>
  <r>
    <x v="9"/>
    <x v="0"/>
    <x v="6"/>
    <x v="2"/>
    <x v="24"/>
    <x v="0"/>
    <x v="1"/>
    <n v="3"/>
    <n v="9126.01"/>
    <n v="30947.040000000001"/>
    <x v="0"/>
  </r>
  <r>
    <x v="9"/>
    <x v="0"/>
    <x v="6"/>
    <x v="2"/>
    <x v="24"/>
    <x v="1"/>
    <x v="0"/>
    <n v="3"/>
    <n v="8817.39"/>
    <n v="19187.16"/>
    <x v="0"/>
  </r>
  <r>
    <x v="9"/>
    <x v="0"/>
    <x v="6"/>
    <x v="3"/>
    <x v="25"/>
    <x v="1"/>
    <x v="0"/>
    <n v="3"/>
    <n v="9030.6299999999992"/>
    <n v="20976.07"/>
    <x v="0"/>
  </r>
  <r>
    <x v="9"/>
    <x v="0"/>
    <x v="6"/>
    <x v="3"/>
    <x v="25"/>
    <x v="1"/>
    <x v="1"/>
    <n v="8"/>
    <n v="16584.86"/>
    <n v="40630.910000000003"/>
    <x v="0"/>
  </r>
  <r>
    <x v="9"/>
    <x v="0"/>
    <x v="6"/>
    <x v="3"/>
    <x v="26"/>
    <x v="0"/>
    <x v="0"/>
    <n v="2"/>
    <n v="5016.21"/>
    <n v="17730.080000000002"/>
    <x v="0"/>
  </r>
  <r>
    <x v="9"/>
    <x v="0"/>
    <x v="6"/>
    <x v="3"/>
    <x v="26"/>
    <x v="0"/>
    <x v="1"/>
    <n v="3"/>
    <n v="8941.23"/>
    <n v="30947.040000000001"/>
    <x v="0"/>
  </r>
  <r>
    <x v="9"/>
    <x v="0"/>
    <x v="6"/>
    <x v="3"/>
    <x v="26"/>
    <x v="1"/>
    <x v="0"/>
    <n v="7"/>
    <n v="16539.650000000001"/>
    <n v="39815.32"/>
    <x v="0"/>
  </r>
  <r>
    <x v="9"/>
    <x v="0"/>
    <x v="6"/>
    <x v="3"/>
    <x v="26"/>
    <x v="1"/>
    <x v="1"/>
    <n v="10"/>
    <n v="28277.13"/>
    <n v="65969.36"/>
    <x v="0"/>
  </r>
  <r>
    <x v="9"/>
    <x v="0"/>
    <x v="6"/>
    <x v="3"/>
    <x v="27"/>
    <x v="0"/>
    <x v="1"/>
    <n v="6"/>
    <n v="16560.78"/>
    <n v="58025.7"/>
    <x v="0"/>
  </r>
  <r>
    <x v="9"/>
    <x v="0"/>
    <x v="6"/>
    <x v="3"/>
    <x v="27"/>
    <x v="1"/>
    <x v="0"/>
    <n v="7"/>
    <n v="20711.919999999998"/>
    <n v="48652.59"/>
    <x v="0"/>
  </r>
  <r>
    <x v="9"/>
    <x v="0"/>
    <x v="6"/>
    <x v="3"/>
    <x v="27"/>
    <x v="1"/>
    <x v="1"/>
    <n v="28"/>
    <n v="71926.820000000007"/>
    <n v="170524.44"/>
    <x v="0"/>
  </r>
  <r>
    <x v="9"/>
    <x v="0"/>
    <x v="7"/>
    <x v="0"/>
    <x v="0"/>
    <x v="0"/>
    <x v="0"/>
    <n v="1"/>
    <n v="4082.48"/>
    <n v="15572.97"/>
    <x v="0"/>
  </r>
  <r>
    <x v="9"/>
    <x v="0"/>
    <x v="7"/>
    <x v="0"/>
    <x v="0"/>
    <x v="1"/>
    <x v="0"/>
    <n v="10"/>
    <n v="44111.21"/>
    <n v="110671.15"/>
    <x v="0"/>
  </r>
  <r>
    <x v="9"/>
    <x v="0"/>
    <x v="7"/>
    <x v="0"/>
    <x v="1"/>
    <x v="0"/>
    <x v="0"/>
    <n v="2"/>
    <n v="7110.47"/>
    <n v="27760.51"/>
    <x v="0"/>
  </r>
  <r>
    <x v="9"/>
    <x v="0"/>
    <x v="7"/>
    <x v="0"/>
    <x v="1"/>
    <x v="0"/>
    <x v="1"/>
    <n v="1"/>
    <n v="5780.68"/>
    <n v="21666.74"/>
    <x v="0"/>
  </r>
  <r>
    <x v="9"/>
    <x v="0"/>
    <x v="7"/>
    <x v="0"/>
    <x v="1"/>
    <x v="1"/>
    <x v="0"/>
    <n v="7"/>
    <n v="26477.279999999999"/>
    <n v="65740.289999999994"/>
    <x v="0"/>
  </r>
  <r>
    <x v="9"/>
    <x v="0"/>
    <x v="7"/>
    <x v="0"/>
    <x v="1"/>
    <x v="1"/>
    <x v="1"/>
    <n v="14"/>
    <n v="67287.320000000007"/>
    <n v="165956.56"/>
    <x v="0"/>
  </r>
  <r>
    <x v="9"/>
    <x v="0"/>
    <x v="7"/>
    <x v="0"/>
    <x v="2"/>
    <x v="0"/>
    <x v="1"/>
    <n v="5"/>
    <n v="22754.11"/>
    <n v="86666.96"/>
    <x v="0"/>
  </r>
  <r>
    <x v="9"/>
    <x v="0"/>
    <x v="7"/>
    <x v="0"/>
    <x v="2"/>
    <x v="1"/>
    <x v="0"/>
    <n v="5"/>
    <n v="28148.3"/>
    <n v="67275.23"/>
    <x v="0"/>
  </r>
  <r>
    <x v="9"/>
    <x v="0"/>
    <x v="7"/>
    <x v="0"/>
    <x v="2"/>
    <x v="1"/>
    <x v="1"/>
    <n v="4"/>
    <n v="16261.22"/>
    <n v="39103.72"/>
    <x v="0"/>
  </r>
  <r>
    <x v="9"/>
    <x v="0"/>
    <x v="7"/>
    <x v="0"/>
    <x v="3"/>
    <x v="0"/>
    <x v="0"/>
    <n v="2"/>
    <n v="9456.3700000000008"/>
    <n v="35885.54"/>
    <x v="0"/>
  </r>
  <r>
    <x v="9"/>
    <x v="0"/>
    <x v="7"/>
    <x v="0"/>
    <x v="3"/>
    <x v="0"/>
    <x v="1"/>
    <n v="3"/>
    <n v="14998.64"/>
    <n v="57552.28"/>
    <x v="0"/>
  </r>
  <r>
    <x v="9"/>
    <x v="0"/>
    <x v="7"/>
    <x v="0"/>
    <x v="3"/>
    <x v="1"/>
    <x v="0"/>
    <n v="5"/>
    <n v="26803.08"/>
    <n v="65172.19"/>
    <x v="0"/>
  </r>
  <r>
    <x v="9"/>
    <x v="0"/>
    <x v="7"/>
    <x v="0"/>
    <x v="3"/>
    <x v="1"/>
    <x v="1"/>
    <n v="12"/>
    <n v="48106.11"/>
    <n v="119062.84"/>
    <x v="0"/>
  </r>
  <r>
    <x v="9"/>
    <x v="0"/>
    <x v="7"/>
    <x v="0"/>
    <x v="4"/>
    <x v="0"/>
    <x v="1"/>
    <n v="2"/>
    <n v="7674.45"/>
    <n v="29791.77"/>
    <x v="0"/>
  </r>
  <r>
    <x v="9"/>
    <x v="0"/>
    <x v="7"/>
    <x v="0"/>
    <x v="4"/>
    <x v="1"/>
    <x v="0"/>
    <n v="4"/>
    <n v="15698.4"/>
    <n v="38133.46"/>
    <x v="0"/>
  </r>
  <r>
    <x v="9"/>
    <x v="0"/>
    <x v="7"/>
    <x v="0"/>
    <x v="4"/>
    <x v="1"/>
    <x v="1"/>
    <n v="3"/>
    <n v="17558.099999999999"/>
    <n v="41600.14"/>
    <x v="0"/>
  </r>
  <r>
    <x v="9"/>
    <x v="0"/>
    <x v="7"/>
    <x v="0"/>
    <x v="5"/>
    <x v="0"/>
    <x v="1"/>
    <n v="3"/>
    <n v="12450.11"/>
    <n v="48750.16"/>
    <x v="0"/>
  </r>
  <r>
    <x v="9"/>
    <x v="0"/>
    <x v="7"/>
    <x v="0"/>
    <x v="5"/>
    <x v="1"/>
    <x v="0"/>
    <n v="2"/>
    <n v="8852.0300000000007"/>
    <n v="23648.57"/>
    <x v="0"/>
  </r>
  <r>
    <x v="9"/>
    <x v="0"/>
    <x v="7"/>
    <x v="0"/>
    <x v="5"/>
    <x v="1"/>
    <x v="1"/>
    <n v="17"/>
    <n v="91554.85"/>
    <n v="232916.1"/>
    <x v="0"/>
  </r>
  <r>
    <x v="9"/>
    <x v="0"/>
    <x v="7"/>
    <x v="0"/>
    <x v="6"/>
    <x v="0"/>
    <x v="1"/>
    <n v="1"/>
    <n v="5687.56"/>
    <n v="21666.74"/>
    <x v="0"/>
  </r>
  <r>
    <x v="9"/>
    <x v="0"/>
    <x v="7"/>
    <x v="0"/>
    <x v="7"/>
    <x v="1"/>
    <x v="1"/>
    <n v="11"/>
    <n v="51555.7"/>
    <n v="133854.54"/>
    <x v="0"/>
  </r>
  <r>
    <x v="9"/>
    <x v="0"/>
    <x v="7"/>
    <x v="0"/>
    <x v="8"/>
    <x v="1"/>
    <x v="1"/>
    <n v="2"/>
    <n v="7277.96"/>
    <n v="18114.75"/>
    <x v="0"/>
  </r>
  <r>
    <x v="9"/>
    <x v="0"/>
    <x v="7"/>
    <x v="1"/>
    <x v="30"/>
    <x v="1"/>
    <x v="0"/>
    <n v="3"/>
    <n v="16792.95"/>
    <n v="44785.15"/>
    <x v="0"/>
  </r>
  <r>
    <x v="9"/>
    <x v="0"/>
    <x v="7"/>
    <x v="1"/>
    <x v="9"/>
    <x v="1"/>
    <x v="1"/>
    <n v="4"/>
    <n v="19020.79"/>
    <n v="49378.51"/>
    <x v="0"/>
  </r>
  <r>
    <x v="9"/>
    <x v="0"/>
    <x v="7"/>
    <x v="1"/>
    <x v="31"/>
    <x v="1"/>
    <x v="0"/>
    <n v="1"/>
    <n v="5673.08"/>
    <n v="15058.38"/>
    <x v="0"/>
  </r>
  <r>
    <x v="9"/>
    <x v="0"/>
    <x v="7"/>
    <x v="1"/>
    <x v="10"/>
    <x v="0"/>
    <x v="1"/>
    <n v="2"/>
    <n v="7698.48"/>
    <n v="29791.77"/>
    <x v="0"/>
  </r>
  <r>
    <x v="9"/>
    <x v="0"/>
    <x v="7"/>
    <x v="1"/>
    <x v="10"/>
    <x v="1"/>
    <x v="0"/>
    <n v="4"/>
    <n v="18352.28"/>
    <n v="48947.87"/>
    <x v="0"/>
  </r>
  <r>
    <x v="9"/>
    <x v="0"/>
    <x v="7"/>
    <x v="1"/>
    <x v="10"/>
    <x v="1"/>
    <x v="1"/>
    <n v="38"/>
    <n v="191430.75"/>
    <n v="497552.61"/>
    <x v="0"/>
  </r>
  <r>
    <x v="9"/>
    <x v="0"/>
    <x v="7"/>
    <x v="1"/>
    <x v="11"/>
    <x v="0"/>
    <x v="1"/>
    <n v="3"/>
    <n v="11027.06"/>
    <n v="42656.4"/>
    <x v="0"/>
  </r>
  <r>
    <x v="9"/>
    <x v="0"/>
    <x v="7"/>
    <x v="1"/>
    <x v="11"/>
    <x v="1"/>
    <x v="0"/>
    <n v="12"/>
    <n v="65307.75"/>
    <n v="159318.24"/>
    <x v="0"/>
  </r>
  <r>
    <x v="9"/>
    <x v="0"/>
    <x v="7"/>
    <x v="1"/>
    <x v="11"/>
    <x v="1"/>
    <x v="1"/>
    <n v="16"/>
    <n v="77589.990000000005"/>
    <n v="193206.38"/>
    <x v="0"/>
  </r>
  <r>
    <x v="9"/>
    <x v="0"/>
    <x v="7"/>
    <x v="1"/>
    <x v="12"/>
    <x v="1"/>
    <x v="0"/>
    <n v="2"/>
    <n v="11651.88"/>
    <n v="29640.1"/>
    <x v="0"/>
  </r>
  <r>
    <x v="9"/>
    <x v="0"/>
    <x v="7"/>
    <x v="1"/>
    <x v="12"/>
    <x v="1"/>
    <x v="1"/>
    <n v="8"/>
    <n v="35509.120000000003"/>
    <n v="93088.45"/>
    <x v="0"/>
  </r>
  <r>
    <x v="9"/>
    <x v="0"/>
    <x v="7"/>
    <x v="1"/>
    <x v="13"/>
    <x v="0"/>
    <x v="1"/>
    <n v="7"/>
    <n v="34126.32"/>
    <n v="130677.53"/>
    <x v="0"/>
  </r>
  <r>
    <x v="9"/>
    <x v="0"/>
    <x v="7"/>
    <x v="1"/>
    <x v="13"/>
    <x v="1"/>
    <x v="1"/>
    <n v="23"/>
    <n v="114824.93"/>
    <n v="298761.96000000002"/>
    <x v="0"/>
  </r>
  <r>
    <x v="9"/>
    <x v="0"/>
    <x v="7"/>
    <x v="1"/>
    <x v="14"/>
    <x v="0"/>
    <x v="1"/>
    <n v="1"/>
    <n v="3431.96"/>
    <n v="13541.71"/>
    <x v="0"/>
  </r>
  <r>
    <x v="9"/>
    <x v="0"/>
    <x v="7"/>
    <x v="1"/>
    <x v="14"/>
    <x v="1"/>
    <x v="0"/>
    <n v="7"/>
    <n v="31832.240000000002"/>
    <n v="82769.649999999994"/>
    <x v="0"/>
  </r>
  <r>
    <x v="9"/>
    <x v="0"/>
    <x v="7"/>
    <x v="1"/>
    <x v="14"/>
    <x v="1"/>
    <x v="1"/>
    <n v="14"/>
    <n v="74174"/>
    <n v="192676.9"/>
    <x v="0"/>
  </r>
  <r>
    <x v="9"/>
    <x v="0"/>
    <x v="7"/>
    <x v="1"/>
    <x v="15"/>
    <x v="1"/>
    <x v="0"/>
    <n v="3"/>
    <n v="17735.25"/>
    <n v="44915.15"/>
    <x v="0"/>
  </r>
  <r>
    <x v="9"/>
    <x v="0"/>
    <x v="7"/>
    <x v="1"/>
    <x v="15"/>
    <x v="1"/>
    <x v="1"/>
    <n v="2"/>
    <n v="9080.0499999999993"/>
    <n v="24796.91"/>
    <x v="0"/>
  </r>
  <r>
    <x v="9"/>
    <x v="0"/>
    <x v="7"/>
    <x v="1"/>
    <x v="16"/>
    <x v="0"/>
    <x v="1"/>
    <n v="2"/>
    <n v="9384.7000000000007"/>
    <n v="37239.71"/>
    <x v="0"/>
  </r>
  <r>
    <x v="9"/>
    <x v="0"/>
    <x v="7"/>
    <x v="1"/>
    <x v="16"/>
    <x v="1"/>
    <x v="1"/>
    <n v="11"/>
    <n v="46145.46"/>
    <n v="118120.39"/>
    <x v="0"/>
  </r>
  <r>
    <x v="9"/>
    <x v="0"/>
    <x v="7"/>
    <x v="1"/>
    <x v="17"/>
    <x v="0"/>
    <x v="1"/>
    <n v="1"/>
    <n v="3642.43"/>
    <n v="14218.8"/>
    <x v="0"/>
  </r>
  <r>
    <x v="9"/>
    <x v="0"/>
    <x v="7"/>
    <x v="1"/>
    <x v="17"/>
    <x v="1"/>
    <x v="0"/>
    <n v="11"/>
    <n v="50194.19"/>
    <n v="128131.7"/>
    <x v="0"/>
  </r>
  <r>
    <x v="9"/>
    <x v="0"/>
    <x v="7"/>
    <x v="1"/>
    <x v="17"/>
    <x v="1"/>
    <x v="1"/>
    <n v="6"/>
    <n v="23925.49"/>
    <n v="61143.54"/>
    <x v="0"/>
  </r>
  <r>
    <x v="9"/>
    <x v="0"/>
    <x v="7"/>
    <x v="1"/>
    <x v="18"/>
    <x v="0"/>
    <x v="1"/>
    <n v="15"/>
    <n v="70446.179999999993"/>
    <n v="272188.43"/>
    <x v="0"/>
  </r>
  <r>
    <x v="9"/>
    <x v="0"/>
    <x v="7"/>
    <x v="1"/>
    <x v="18"/>
    <x v="1"/>
    <x v="0"/>
    <n v="3"/>
    <n v="10653.87"/>
    <n v="29646.2"/>
    <x v="0"/>
  </r>
  <r>
    <x v="9"/>
    <x v="0"/>
    <x v="7"/>
    <x v="1"/>
    <x v="18"/>
    <x v="1"/>
    <x v="1"/>
    <n v="29"/>
    <n v="145323.13"/>
    <n v="389161.1"/>
    <x v="0"/>
  </r>
  <r>
    <x v="9"/>
    <x v="0"/>
    <x v="7"/>
    <x v="1"/>
    <x v="19"/>
    <x v="0"/>
    <x v="1"/>
    <n v="2"/>
    <n v="9351.02"/>
    <n v="35885.54"/>
    <x v="0"/>
  </r>
  <r>
    <x v="9"/>
    <x v="0"/>
    <x v="7"/>
    <x v="1"/>
    <x v="19"/>
    <x v="1"/>
    <x v="0"/>
    <n v="7"/>
    <n v="38243.879999999997"/>
    <n v="96408.5"/>
    <x v="0"/>
  </r>
  <r>
    <x v="9"/>
    <x v="0"/>
    <x v="7"/>
    <x v="1"/>
    <x v="19"/>
    <x v="1"/>
    <x v="1"/>
    <n v="12"/>
    <n v="52565.21"/>
    <n v="137819.41"/>
    <x v="0"/>
  </r>
  <r>
    <x v="9"/>
    <x v="0"/>
    <x v="7"/>
    <x v="1"/>
    <x v="20"/>
    <x v="0"/>
    <x v="0"/>
    <n v="1"/>
    <n v="5651.67"/>
    <n v="21666.74"/>
    <x v="0"/>
  </r>
  <r>
    <x v="9"/>
    <x v="0"/>
    <x v="7"/>
    <x v="1"/>
    <x v="20"/>
    <x v="0"/>
    <x v="1"/>
    <n v="11"/>
    <n v="56468.94"/>
    <n v="215990.32"/>
    <x v="0"/>
  </r>
  <r>
    <x v="9"/>
    <x v="0"/>
    <x v="7"/>
    <x v="1"/>
    <x v="20"/>
    <x v="1"/>
    <x v="0"/>
    <n v="15"/>
    <n v="57043.22"/>
    <n v="147690.66"/>
    <x v="0"/>
  </r>
  <r>
    <x v="9"/>
    <x v="0"/>
    <x v="7"/>
    <x v="1"/>
    <x v="20"/>
    <x v="1"/>
    <x v="1"/>
    <n v="15"/>
    <n v="75353.05"/>
    <n v="193479.25"/>
    <x v="0"/>
  </r>
  <r>
    <x v="9"/>
    <x v="0"/>
    <x v="7"/>
    <x v="2"/>
    <x v="21"/>
    <x v="0"/>
    <x v="0"/>
    <n v="1"/>
    <n v="3418.81"/>
    <n v="13541.71"/>
    <x v="0"/>
  </r>
  <r>
    <x v="9"/>
    <x v="0"/>
    <x v="7"/>
    <x v="2"/>
    <x v="22"/>
    <x v="0"/>
    <x v="1"/>
    <n v="5"/>
    <n v="24110.21"/>
    <n v="92083.64"/>
    <x v="0"/>
  </r>
  <r>
    <x v="9"/>
    <x v="0"/>
    <x v="7"/>
    <x v="2"/>
    <x v="22"/>
    <x v="1"/>
    <x v="0"/>
    <n v="10"/>
    <n v="43325.95"/>
    <n v="103086.27"/>
    <x v="0"/>
  </r>
  <r>
    <x v="9"/>
    <x v="0"/>
    <x v="7"/>
    <x v="2"/>
    <x v="22"/>
    <x v="1"/>
    <x v="1"/>
    <n v="33"/>
    <n v="152011.59"/>
    <n v="355142.19"/>
    <x v="0"/>
  </r>
  <r>
    <x v="9"/>
    <x v="0"/>
    <x v="7"/>
    <x v="2"/>
    <x v="29"/>
    <x v="0"/>
    <x v="1"/>
    <n v="1"/>
    <n v="5689.73"/>
    <n v="21666.74"/>
    <x v="0"/>
  </r>
  <r>
    <x v="9"/>
    <x v="0"/>
    <x v="7"/>
    <x v="2"/>
    <x v="29"/>
    <x v="1"/>
    <x v="1"/>
    <n v="2"/>
    <n v="7362.86"/>
    <n v="18399.13"/>
    <x v="0"/>
  </r>
  <r>
    <x v="9"/>
    <x v="0"/>
    <x v="7"/>
    <x v="2"/>
    <x v="23"/>
    <x v="1"/>
    <x v="1"/>
    <n v="5"/>
    <n v="17227.099999999999"/>
    <n v="42927.22"/>
    <x v="0"/>
  </r>
  <r>
    <x v="9"/>
    <x v="0"/>
    <x v="7"/>
    <x v="2"/>
    <x v="24"/>
    <x v="0"/>
    <x v="1"/>
    <n v="5"/>
    <n v="28315.75"/>
    <n v="108333.7"/>
    <x v="0"/>
  </r>
  <r>
    <x v="9"/>
    <x v="0"/>
    <x v="7"/>
    <x v="2"/>
    <x v="24"/>
    <x v="1"/>
    <x v="0"/>
    <n v="2"/>
    <n v="11570.76"/>
    <n v="26866.76"/>
    <x v="0"/>
  </r>
  <r>
    <x v="9"/>
    <x v="0"/>
    <x v="7"/>
    <x v="2"/>
    <x v="24"/>
    <x v="1"/>
    <x v="1"/>
    <n v="5"/>
    <n v="27228.6"/>
    <n v="67166.89"/>
    <x v="0"/>
  </r>
  <r>
    <x v="9"/>
    <x v="0"/>
    <x v="7"/>
    <x v="3"/>
    <x v="25"/>
    <x v="0"/>
    <x v="1"/>
    <n v="9"/>
    <n v="43965.27"/>
    <n v="171979.75"/>
    <x v="0"/>
  </r>
  <r>
    <x v="9"/>
    <x v="0"/>
    <x v="7"/>
    <x v="3"/>
    <x v="25"/>
    <x v="1"/>
    <x v="0"/>
    <n v="20"/>
    <n v="86289.12"/>
    <n v="228953.02"/>
    <x v="0"/>
  </r>
  <r>
    <x v="9"/>
    <x v="0"/>
    <x v="7"/>
    <x v="3"/>
    <x v="25"/>
    <x v="1"/>
    <x v="1"/>
    <n v="6"/>
    <n v="30930.49"/>
    <n v="80701.83"/>
    <x v="0"/>
  </r>
  <r>
    <x v="9"/>
    <x v="0"/>
    <x v="7"/>
    <x v="3"/>
    <x v="26"/>
    <x v="0"/>
    <x v="0"/>
    <n v="2"/>
    <n v="7544.46"/>
    <n v="29791.77"/>
    <x v="0"/>
  </r>
  <r>
    <x v="9"/>
    <x v="0"/>
    <x v="7"/>
    <x v="3"/>
    <x v="26"/>
    <x v="0"/>
    <x v="1"/>
    <n v="2"/>
    <n v="7041.98"/>
    <n v="27760.51"/>
    <x v="0"/>
  </r>
  <r>
    <x v="9"/>
    <x v="0"/>
    <x v="7"/>
    <x v="3"/>
    <x v="26"/>
    <x v="1"/>
    <x v="0"/>
    <n v="7"/>
    <n v="29665.89"/>
    <n v="78954.960000000006"/>
    <x v="0"/>
  </r>
  <r>
    <x v="9"/>
    <x v="0"/>
    <x v="7"/>
    <x v="3"/>
    <x v="26"/>
    <x v="1"/>
    <x v="1"/>
    <n v="10"/>
    <n v="42635.92"/>
    <n v="112221"/>
    <x v="0"/>
  </r>
  <r>
    <x v="9"/>
    <x v="0"/>
    <x v="7"/>
    <x v="3"/>
    <x v="27"/>
    <x v="0"/>
    <x v="0"/>
    <n v="2"/>
    <n v="11379.54"/>
    <n v="43333.48"/>
    <x v="0"/>
  </r>
  <r>
    <x v="9"/>
    <x v="0"/>
    <x v="7"/>
    <x v="3"/>
    <x v="27"/>
    <x v="0"/>
    <x v="1"/>
    <n v="6"/>
    <n v="27621.98"/>
    <n v="107656.61"/>
    <x v="0"/>
  </r>
  <r>
    <x v="9"/>
    <x v="0"/>
    <x v="7"/>
    <x v="3"/>
    <x v="27"/>
    <x v="1"/>
    <x v="0"/>
    <n v="12"/>
    <n v="59611.74"/>
    <n v="154934.79999999999"/>
    <x v="0"/>
  </r>
  <r>
    <x v="9"/>
    <x v="0"/>
    <x v="7"/>
    <x v="3"/>
    <x v="27"/>
    <x v="1"/>
    <x v="1"/>
    <n v="16"/>
    <n v="75139.64"/>
    <n v="200315.12"/>
    <x v="0"/>
  </r>
  <r>
    <x v="9"/>
    <x v="0"/>
    <x v="8"/>
    <x v="0"/>
    <x v="0"/>
    <x v="0"/>
    <x v="0"/>
    <n v="6"/>
    <n v="18502.580000000002"/>
    <n v="66778.98"/>
    <x v="0"/>
  </r>
  <r>
    <x v="9"/>
    <x v="0"/>
    <x v="8"/>
    <x v="0"/>
    <x v="0"/>
    <x v="0"/>
    <x v="1"/>
    <n v="1"/>
    <n v="2658.52"/>
    <n v="9845.6200000000008"/>
    <x v="0"/>
  </r>
  <r>
    <x v="9"/>
    <x v="0"/>
    <x v="8"/>
    <x v="0"/>
    <x v="0"/>
    <x v="1"/>
    <x v="1"/>
    <n v="13"/>
    <n v="44985.36"/>
    <n v="106024.36"/>
    <x v="0"/>
  </r>
  <r>
    <x v="9"/>
    <x v="0"/>
    <x v="8"/>
    <x v="0"/>
    <x v="1"/>
    <x v="0"/>
    <x v="0"/>
    <n v="2"/>
    <n v="6690.89"/>
    <n v="23543.87"/>
    <x v="0"/>
  </r>
  <r>
    <x v="9"/>
    <x v="0"/>
    <x v="8"/>
    <x v="0"/>
    <x v="1"/>
    <x v="0"/>
    <x v="1"/>
    <n v="7"/>
    <n v="21015.49"/>
    <n v="74912.320000000007"/>
    <x v="0"/>
  </r>
  <r>
    <x v="9"/>
    <x v="0"/>
    <x v="8"/>
    <x v="0"/>
    <x v="1"/>
    <x v="1"/>
    <x v="0"/>
    <n v="7"/>
    <n v="22817.58"/>
    <n v="51746.85"/>
    <x v="0"/>
  </r>
  <r>
    <x v="9"/>
    <x v="0"/>
    <x v="8"/>
    <x v="0"/>
    <x v="1"/>
    <x v="1"/>
    <x v="1"/>
    <n v="18"/>
    <n v="56505.96"/>
    <n v="129917.63"/>
    <x v="0"/>
  </r>
  <r>
    <x v="9"/>
    <x v="0"/>
    <x v="8"/>
    <x v="0"/>
    <x v="2"/>
    <x v="0"/>
    <x v="1"/>
    <n v="11"/>
    <n v="35138.31"/>
    <n v="126708.83"/>
    <x v="0"/>
  </r>
  <r>
    <x v="9"/>
    <x v="0"/>
    <x v="8"/>
    <x v="0"/>
    <x v="2"/>
    <x v="1"/>
    <x v="0"/>
    <n v="8"/>
    <n v="28133"/>
    <n v="62470.44"/>
    <x v="0"/>
  </r>
  <r>
    <x v="9"/>
    <x v="0"/>
    <x v="8"/>
    <x v="0"/>
    <x v="2"/>
    <x v="1"/>
    <x v="1"/>
    <n v="10"/>
    <n v="28491.82"/>
    <n v="63028.91"/>
    <x v="0"/>
  </r>
  <r>
    <x v="9"/>
    <x v="0"/>
    <x v="8"/>
    <x v="0"/>
    <x v="3"/>
    <x v="0"/>
    <x v="0"/>
    <n v="6"/>
    <n v="21310.1"/>
    <n v="74484.240000000005"/>
    <x v="0"/>
  </r>
  <r>
    <x v="9"/>
    <x v="0"/>
    <x v="8"/>
    <x v="0"/>
    <x v="3"/>
    <x v="0"/>
    <x v="1"/>
    <n v="6"/>
    <n v="23763.21"/>
    <n v="82189.5"/>
    <x v="0"/>
  </r>
  <r>
    <x v="9"/>
    <x v="0"/>
    <x v="8"/>
    <x v="0"/>
    <x v="3"/>
    <x v="1"/>
    <x v="0"/>
    <n v="20"/>
    <n v="71137.62"/>
    <n v="162048.6"/>
    <x v="0"/>
  </r>
  <r>
    <x v="9"/>
    <x v="0"/>
    <x v="8"/>
    <x v="0"/>
    <x v="3"/>
    <x v="1"/>
    <x v="1"/>
    <n v="33"/>
    <n v="109898.68"/>
    <n v="249986.01"/>
    <x v="0"/>
  </r>
  <r>
    <x v="9"/>
    <x v="0"/>
    <x v="8"/>
    <x v="0"/>
    <x v="28"/>
    <x v="1"/>
    <x v="1"/>
    <n v="1"/>
    <n v="4014.41"/>
    <n v="8958.66"/>
    <x v="0"/>
  </r>
  <r>
    <x v="9"/>
    <x v="0"/>
    <x v="8"/>
    <x v="0"/>
    <x v="4"/>
    <x v="1"/>
    <x v="0"/>
    <n v="15"/>
    <n v="52422.95"/>
    <n v="115365.57"/>
    <x v="0"/>
  </r>
  <r>
    <x v="9"/>
    <x v="0"/>
    <x v="8"/>
    <x v="0"/>
    <x v="4"/>
    <x v="1"/>
    <x v="1"/>
    <n v="20"/>
    <n v="76236.47"/>
    <n v="168762.44"/>
    <x v="0"/>
  </r>
  <r>
    <x v="9"/>
    <x v="0"/>
    <x v="8"/>
    <x v="0"/>
    <x v="5"/>
    <x v="0"/>
    <x v="1"/>
    <n v="9"/>
    <n v="30210.959999999999"/>
    <n v="107873.73"/>
    <x v="0"/>
  </r>
  <r>
    <x v="9"/>
    <x v="0"/>
    <x v="8"/>
    <x v="0"/>
    <x v="5"/>
    <x v="1"/>
    <x v="0"/>
    <n v="3"/>
    <n v="8094.54"/>
    <n v="18618.490000000002"/>
    <x v="0"/>
  </r>
  <r>
    <x v="9"/>
    <x v="0"/>
    <x v="8"/>
    <x v="0"/>
    <x v="5"/>
    <x v="1"/>
    <x v="1"/>
    <n v="39"/>
    <n v="143314.44"/>
    <n v="332729.48"/>
    <x v="0"/>
  </r>
  <r>
    <x v="9"/>
    <x v="0"/>
    <x v="8"/>
    <x v="0"/>
    <x v="6"/>
    <x v="0"/>
    <x v="1"/>
    <n v="1"/>
    <n v="3825.93"/>
    <n v="13698.25"/>
    <x v="0"/>
  </r>
  <r>
    <x v="9"/>
    <x v="0"/>
    <x v="8"/>
    <x v="0"/>
    <x v="8"/>
    <x v="1"/>
    <x v="1"/>
    <n v="6"/>
    <n v="19922.05"/>
    <n v="44992.34"/>
    <x v="0"/>
  </r>
  <r>
    <x v="9"/>
    <x v="0"/>
    <x v="8"/>
    <x v="1"/>
    <x v="30"/>
    <x v="1"/>
    <x v="0"/>
    <n v="7"/>
    <n v="25112.15"/>
    <n v="60757.73"/>
    <x v="0"/>
  </r>
  <r>
    <x v="9"/>
    <x v="0"/>
    <x v="8"/>
    <x v="1"/>
    <x v="10"/>
    <x v="0"/>
    <x v="1"/>
    <n v="5"/>
    <n v="16072.34"/>
    <n v="56933.36"/>
    <x v="0"/>
  </r>
  <r>
    <x v="9"/>
    <x v="0"/>
    <x v="8"/>
    <x v="1"/>
    <x v="10"/>
    <x v="1"/>
    <x v="0"/>
    <n v="8"/>
    <n v="26927.51"/>
    <n v="64519.62"/>
    <x v="0"/>
  </r>
  <r>
    <x v="9"/>
    <x v="0"/>
    <x v="8"/>
    <x v="1"/>
    <x v="10"/>
    <x v="1"/>
    <x v="1"/>
    <n v="40"/>
    <n v="128291.63"/>
    <n v="308949.56"/>
    <x v="0"/>
  </r>
  <r>
    <x v="9"/>
    <x v="0"/>
    <x v="8"/>
    <x v="1"/>
    <x v="11"/>
    <x v="0"/>
    <x v="1"/>
    <n v="8"/>
    <n v="23988.560000000001"/>
    <n v="84329.87"/>
    <x v="0"/>
  </r>
  <r>
    <x v="9"/>
    <x v="0"/>
    <x v="8"/>
    <x v="1"/>
    <x v="11"/>
    <x v="1"/>
    <x v="0"/>
    <n v="3"/>
    <n v="11634.2"/>
    <n v="26372.33"/>
    <x v="0"/>
  </r>
  <r>
    <x v="9"/>
    <x v="0"/>
    <x v="8"/>
    <x v="1"/>
    <x v="11"/>
    <x v="1"/>
    <x v="1"/>
    <n v="49"/>
    <n v="166768.29"/>
    <n v="380063.63"/>
    <x v="0"/>
  </r>
  <r>
    <x v="9"/>
    <x v="0"/>
    <x v="8"/>
    <x v="1"/>
    <x v="12"/>
    <x v="1"/>
    <x v="0"/>
    <n v="3"/>
    <n v="10622.87"/>
    <n v="25473.61"/>
    <x v="0"/>
  </r>
  <r>
    <x v="9"/>
    <x v="0"/>
    <x v="8"/>
    <x v="1"/>
    <x v="12"/>
    <x v="1"/>
    <x v="1"/>
    <n v="6"/>
    <n v="21742.11"/>
    <n v="53582.42"/>
    <x v="0"/>
  </r>
  <r>
    <x v="9"/>
    <x v="0"/>
    <x v="8"/>
    <x v="1"/>
    <x v="13"/>
    <x v="0"/>
    <x v="1"/>
    <n v="7"/>
    <n v="20477.25"/>
    <n v="72771.97"/>
    <x v="0"/>
  </r>
  <r>
    <x v="9"/>
    <x v="0"/>
    <x v="8"/>
    <x v="1"/>
    <x v="13"/>
    <x v="1"/>
    <x v="0"/>
    <n v="1"/>
    <n v="2711.7"/>
    <n v="6704.87"/>
    <x v="0"/>
  </r>
  <r>
    <x v="9"/>
    <x v="0"/>
    <x v="8"/>
    <x v="1"/>
    <x v="13"/>
    <x v="1"/>
    <x v="1"/>
    <n v="24"/>
    <n v="76894.34"/>
    <n v="184529.58"/>
    <x v="0"/>
  </r>
  <r>
    <x v="9"/>
    <x v="0"/>
    <x v="8"/>
    <x v="1"/>
    <x v="14"/>
    <x v="1"/>
    <x v="0"/>
    <n v="25"/>
    <n v="81652.59"/>
    <n v="189438.33"/>
    <x v="0"/>
  </r>
  <r>
    <x v="9"/>
    <x v="0"/>
    <x v="8"/>
    <x v="1"/>
    <x v="14"/>
    <x v="1"/>
    <x v="1"/>
    <n v="9"/>
    <n v="29054.65"/>
    <n v="69082.490000000005"/>
    <x v="0"/>
  </r>
  <r>
    <x v="9"/>
    <x v="0"/>
    <x v="8"/>
    <x v="1"/>
    <x v="15"/>
    <x v="1"/>
    <x v="0"/>
    <n v="1"/>
    <n v="2478.42"/>
    <n v="6211.73"/>
    <x v="0"/>
  </r>
  <r>
    <x v="9"/>
    <x v="0"/>
    <x v="8"/>
    <x v="1"/>
    <x v="16"/>
    <x v="0"/>
    <x v="1"/>
    <n v="1"/>
    <n v="2662.9"/>
    <n v="9845.6200000000008"/>
    <x v="0"/>
  </r>
  <r>
    <x v="9"/>
    <x v="0"/>
    <x v="8"/>
    <x v="1"/>
    <x v="16"/>
    <x v="1"/>
    <x v="0"/>
    <n v="17"/>
    <n v="55466.37"/>
    <n v="129324.08"/>
    <x v="0"/>
  </r>
  <r>
    <x v="9"/>
    <x v="0"/>
    <x v="8"/>
    <x v="1"/>
    <x v="16"/>
    <x v="1"/>
    <x v="1"/>
    <n v="21"/>
    <n v="66187.199999999997"/>
    <n v="156052.54"/>
    <x v="0"/>
  </r>
  <r>
    <x v="9"/>
    <x v="0"/>
    <x v="8"/>
    <x v="1"/>
    <x v="17"/>
    <x v="0"/>
    <x v="1"/>
    <n v="2"/>
    <n v="6412.84"/>
    <n v="23543.87"/>
    <x v="0"/>
  </r>
  <r>
    <x v="9"/>
    <x v="0"/>
    <x v="8"/>
    <x v="1"/>
    <x v="17"/>
    <x v="1"/>
    <x v="0"/>
    <n v="1"/>
    <n v="3924.78"/>
    <n v="8769.17"/>
    <x v="0"/>
  </r>
  <r>
    <x v="9"/>
    <x v="0"/>
    <x v="8"/>
    <x v="1"/>
    <x v="17"/>
    <x v="1"/>
    <x v="1"/>
    <n v="9"/>
    <n v="30268.54"/>
    <n v="72480.86"/>
    <x v="0"/>
  </r>
  <r>
    <x v="9"/>
    <x v="0"/>
    <x v="8"/>
    <x v="1"/>
    <x v="18"/>
    <x v="0"/>
    <x v="1"/>
    <n v="13"/>
    <n v="42393.52"/>
    <n v="151536.91"/>
    <x v="0"/>
  </r>
  <r>
    <x v="9"/>
    <x v="0"/>
    <x v="8"/>
    <x v="1"/>
    <x v="18"/>
    <x v="1"/>
    <x v="0"/>
    <n v="9"/>
    <n v="31727.98"/>
    <n v="79137.36"/>
    <x v="0"/>
  </r>
  <r>
    <x v="9"/>
    <x v="0"/>
    <x v="8"/>
    <x v="1"/>
    <x v="18"/>
    <x v="1"/>
    <x v="1"/>
    <n v="40"/>
    <n v="126783.26"/>
    <n v="311542.51"/>
    <x v="0"/>
  </r>
  <r>
    <x v="9"/>
    <x v="0"/>
    <x v="8"/>
    <x v="1"/>
    <x v="19"/>
    <x v="0"/>
    <x v="1"/>
    <n v="2"/>
    <n v="5221.6499999999996"/>
    <n v="18835.099999999999"/>
    <x v="0"/>
  </r>
  <r>
    <x v="9"/>
    <x v="0"/>
    <x v="8"/>
    <x v="1"/>
    <x v="19"/>
    <x v="1"/>
    <x v="0"/>
    <n v="12"/>
    <n v="35733"/>
    <n v="86555.839999999997"/>
    <x v="0"/>
  </r>
  <r>
    <x v="9"/>
    <x v="0"/>
    <x v="8"/>
    <x v="1"/>
    <x v="19"/>
    <x v="1"/>
    <x v="1"/>
    <n v="7"/>
    <n v="23291.3"/>
    <n v="54901.69"/>
    <x v="0"/>
  </r>
  <r>
    <x v="9"/>
    <x v="0"/>
    <x v="8"/>
    <x v="1"/>
    <x v="20"/>
    <x v="0"/>
    <x v="0"/>
    <n v="9"/>
    <n v="25886.26"/>
    <n v="93319.35"/>
    <x v="0"/>
  </r>
  <r>
    <x v="9"/>
    <x v="0"/>
    <x v="8"/>
    <x v="1"/>
    <x v="20"/>
    <x v="0"/>
    <x v="1"/>
    <n v="10"/>
    <n v="32006.76"/>
    <n v="114294.79"/>
    <x v="0"/>
  </r>
  <r>
    <x v="9"/>
    <x v="0"/>
    <x v="8"/>
    <x v="1"/>
    <x v="20"/>
    <x v="1"/>
    <x v="0"/>
    <n v="17"/>
    <n v="51407.75"/>
    <n v="120437.01"/>
    <x v="0"/>
  </r>
  <r>
    <x v="9"/>
    <x v="0"/>
    <x v="8"/>
    <x v="1"/>
    <x v="20"/>
    <x v="1"/>
    <x v="1"/>
    <n v="34"/>
    <n v="115485.97"/>
    <n v="270770.40999999997"/>
    <x v="0"/>
  </r>
  <r>
    <x v="9"/>
    <x v="0"/>
    <x v="8"/>
    <x v="2"/>
    <x v="21"/>
    <x v="0"/>
    <x v="0"/>
    <n v="7"/>
    <n v="23195.52"/>
    <n v="83045.649999999994"/>
    <x v="0"/>
  </r>
  <r>
    <x v="9"/>
    <x v="0"/>
    <x v="8"/>
    <x v="2"/>
    <x v="21"/>
    <x v="1"/>
    <x v="1"/>
    <n v="1"/>
    <n v="2712.83"/>
    <n v="5741.58"/>
    <x v="0"/>
  </r>
  <r>
    <x v="9"/>
    <x v="0"/>
    <x v="8"/>
    <x v="2"/>
    <x v="22"/>
    <x v="0"/>
    <x v="1"/>
    <n v="6"/>
    <n v="17949.060000000001"/>
    <n v="65066.7"/>
    <x v="0"/>
  </r>
  <r>
    <x v="9"/>
    <x v="0"/>
    <x v="8"/>
    <x v="2"/>
    <x v="22"/>
    <x v="1"/>
    <x v="0"/>
    <n v="9"/>
    <n v="32431.71"/>
    <n v="69681.87"/>
    <x v="0"/>
  </r>
  <r>
    <x v="9"/>
    <x v="0"/>
    <x v="8"/>
    <x v="2"/>
    <x v="22"/>
    <x v="1"/>
    <x v="1"/>
    <n v="32"/>
    <n v="105440.1"/>
    <n v="226229.27"/>
    <x v="0"/>
  </r>
  <r>
    <x v="9"/>
    <x v="0"/>
    <x v="8"/>
    <x v="2"/>
    <x v="29"/>
    <x v="0"/>
    <x v="1"/>
    <n v="2"/>
    <n v="7742.66"/>
    <n v="27396.5"/>
    <x v="0"/>
  </r>
  <r>
    <x v="9"/>
    <x v="0"/>
    <x v="8"/>
    <x v="2"/>
    <x v="23"/>
    <x v="1"/>
    <x v="1"/>
    <n v="2"/>
    <n v="4977.9399999999996"/>
    <n v="10855.87"/>
    <x v="0"/>
  </r>
  <r>
    <x v="9"/>
    <x v="0"/>
    <x v="8"/>
    <x v="2"/>
    <x v="24"/>
    <x v="1"/>
    <x v="1"/>
    <n v="2"/>
    <n v="7961.06"/>
    <n v="16985.830000000002"/>
    <x v="0"/>
  </r>
  <r>
    <x v="9"/>
    <x v="0"/>
    <x v="8"/>
    <x v="3"/>
    <x v="25"/>
    <x v="0"/>
    <x v="1"/>
    <n v="5"/>
    <n v="14630.25"/>
    <n v="51796.52"/>
    <x v="0"/>
  </r>
  <r>
    <x v="9"/>
    <x v="0"/>
    <x v="8"/>
    <x v="3"/>
    <x v="25"/>
    <x v="1"/>
    <x v="0"/>
    <n v="11"/>
    <n v="41539.480000000003"/>
    <n v="100056.71"/>
    <x v="0"/>
  </r>
  <r>
    <x v="9"/>
    <x v="0"/>
    <x v="8"/>
    <x v="3"/>
    <x v="25"/>
    <x v="1"/>
    <x v="1"/>
    <n v="10"/>
    <n v="31867.13"/>
    <n v="77998.7"/>
    <x v="0"/>
  </r>
  <r>
    <x v="9"/>
    <x v="0"/>
    <x v="8"/>
    <x v="3"/>
    <x v="26"/>
    <x v="0"/>
    <x v="0"/>
    <n v="1"/>
    <n v="2434.4699999999998"/>
    <n v="8561.41"/>
    <x v="0"/>
  </r>
  <r>
    <x v="9"/>
    <x v="0"/>
    <x v="8"/>
    <x v="3"/>
    <x v="26"/>
    <x v="0"/>
    <x v="1"/>
    <n v="1"/>
    <n v="2853.01"/>
    <n v="9845.6200000000008"/>
    <x v="0"/>
  </r>
  <r>
    <x v="9"/>
    <x v="0"/>
    <x v="8"/>
    <x v="3"/>
    <x v="26"/>
    <x v="1"/>
    <x v="0"/>
    <n v="19"/>
    <n v="57218.69"/>
    <n v="143253.75"/>
    <x v="0"/>
  </r>
  <r>
    <x v="9"/>
    <x v="0"/>
    <x v="8"/>
    <x v="3"/>
    <x v="26"/>
    <x v="1"/>
    <x v="1"/>
    <n v="3"/>
    <n v="10569.76"/>
    <n v="24810.95"/>
    <x v="0"/>
  </r>
  <r>
    <x v="9"/>
    <x v="0"/>
    <x v="8"/>
    <x v="3"/>
    <x v="27"/>
    <x v="0"/>
    <x v="0"/>
    <n v="1"/>
    <n v="3881.82"/>
    <n v="13698.25"/>
    <x v="0"/>
  </r>
  <r>
    <x v="9"/>
    <x v="0"/>
    <x v="8"/>
    <x v="3"/>
    <x v="27"/>
    <x v="0"/>
    <x v="1"/>
    <n v="7"/>
    <n v="25807.8"/>
    <n v="91178.98"/>
    <x v="0"/>
  </r>
  <r>
    <x v="9"/>
    <x v="0"/>
    <x v="8"/>
    <x v="3"/>
    <x v="27"/>
    <x v="1"/>
    <x v="0"/>
    <n v="15"/>
    <n v="54301.85"/>
    <n v="128315.85"/>
    <x v="0"/>
  </r>
  <r>
    <x v="9"/>
    <x v="0"/>
    <x v="8"/>
    <x v="3"/>
    <x v="27"/>
    <x v="1"/>
    <x v="1"/>
    <n v="55"/>
    <n v="172279.5"/>
    <n v="410947.97"/>
    <x v="0"/>
  </r>
  <r>
    <x v="9"/>
    <x v="0"/>
    <x v="9"/>
    <x v="0"/>
    <x v="0"/>
    <x v="1"/>
    <x v="0"/>
    <n v="2"/>
    <n v="6631.6"/>
    <n v="15006.5"/>
    <x v="0"/>
  </r>
  <r>
    <x v="9"/>
    <x v="0"/>
    <x v="9"/>
    <x v="0"/>
    <x v="0"/>
    <x v="1"/>
    <x v="1"/>
    <n v="4"/>
    <n v="8986.2099999999991"/>
    <n v="19978.66"/>
    <x v="0"/>
  </r>
  <r>
    <x v="9"/>
    <x v="0"/>
    <x v="9"/>
    <x v="0"/>
    <x v="1"/>
    <x v="0"/>
    <x v="0"/>
    <n v="4"/>
    <n v="10009.719999999999"/>
    <n v="34777.1"/>
    <x v="0"/>
  </r>
  <r>
    <x v="9"/>
    <x v="0"/>
    <x v="9"/>
    <x v="0"/>
    <x v="1"/>
    <x v="0"/>
    <x v="1"/>
    <n v="9"/>
    <n v="25162.52"/>
    <n v="86763.5"/>
    <x v="0"/>
  </r>
  <r>
    <x v="9"/>
    <x v="0"/>
    <x v="9"/>
    <x v="0"/>
    <x v="1"/>
    <x v="1"/>
    <x v="0"/>
    <n v="20"/>
    <n v="48891.25"/>
    <n v="107197.75999999999"/>
    <x v="0"/>
  </r>
  <r>
    <x v="9"/>
    <x v="0"/>
    <x v="9"/>
    <x v="0"/>
    <x v="1"/>
    <x v="1"/>
    <x v="1"/>
    <n v="33"/>
    <n v="95510.1"/>
    <n v="210937.51"/>
    <x v="0"/>
  </r>
  <r>
    <x v="9"/>
    <x v="0"/>
    <x v="9"/>
    <x v="0"/>
    <x v="2"/>
    <x v="0"/>
    <x v="1"/>
    <n v="8"/>
    <n v="22965.64"/>
    <n v="79234.44"/>
    <x v="0"/>
  </r>
  <r>
    <x v="9"/>
    <x v="0"/>
    <x v="9"/>
    <x v="0"/>
    <x v="2"/>
    <x v="1"/>
    <x v="0"/>
    <n v="15"/>
    <n v="42072.45"/>
    <n v="88835.44"/>
    <x v="0"/>
  </r>
  <r>
    <x v="9"/>
    <x v="0"/>
    <x v="9"/>
    <x v="0"/>
    <x v="2"/>
    <x v="1"/>
    <x v="1"/>
    <n v="7"/>
    <n v="19716.490000000002"/>
    <n v="42525.23"/>
    <x v="0"/>
  </r>
  <r>
    <x v="9"/>
    <x v="0"/>
    <x v="9"/>
    <x v="0"/>
    <x v="3"/>
    <x v="0"/>
    <x v="0"/>
    <n v="1"/>
    <n v="2073.48"/>
    <n v="7529.06"/>
    <x v="0"/>
  </r>
  <r>
    <x v="9"/>
    <x v="0"/>
    <x v="9"/>
    <x v="0"/>
    <x v="3"/>
    <x v="0"/>
    <x v="1"/>
    <n v="5"/>
    <n v="15863.25"/>
    <n v="54137.56"/>
    <x v="0"/>
  </r>
  <r>
    <x v="9"/>
    <x v="0"/>
    <x v="9"/>
    <x v="0"/>
    <x v="3"/>
    <x v="1"/>
    <x v="0"/>
    <n v="6"/>
    <n v="18465.38"/>
    <n v="39753.14"/>
    <x v="0"/>
  </r>
  <r>
    <x v="9"/>
    <x v="0"/>
    <x v="9"/>
    <x v="0"/>
    <x v="3"/>
    <x v="1"/>
    <x v="1"/>
    <n v="24"/>
    <n v="64258.28"/>
    <n v="139257.76999999999"/>
    <x v="0"/>
  </r>
  <r>
    <x v="9"/>
    <x v="0"/>
    <x v="9"/>
    <x v="0"/>
    <x v="4"/>
    <x v="0"/>
    <x v="1"/>
    <n v="1"/>
    <n v="2052.0700000000002"/>
    <n v="7170.54"/>
    <x v="0"/>
  </r>
  <r>
    <x v="9"/>
    <x v="0"/>
    <x v="9"/>
    <x v="0"/>
    <x v="4"/>
    <x v="1"/>
    <x v="0"/>
    <n v="10"/>
    <n v="28568.07"/>
    <n v="62561.33"/>
    <x v="0"/>
  </r>
  <r>
    <x v="9"/>
    <x v="0"/>
    <x v="9"/>
    <x v="0"/>
    <x v="4"/>
    <x v="1"/>
    <x v="1"/>
    <n v="7"/>
    <n v="20029.11"/>
    <n v="43196.09"/>
    <x v="0"/>
  </r>
  <r>
    <x v="9"/>
    <x v="0"/>
    <x v="9"/>
    <x v="0"/>
    <x v="5"/>
    <x v="0"/>
    <x v="1"/>
    <n v="4"/>
    <n v="9662.25"/>
    <n v="33343"/>
    <x v="0"/>
  </r>
  <r>
    <x v="9"/>
    <x v="0"/>
    <x v="9"/>
    <x v="0"/>
    <x v="5"/>
    <x v="1"/>
    <x v="0"/>
    <n v="6"/>
    <n v="18870"/>
    <n v="40681.300000000003"/>
    <x v="0"/>
  </r>
  <r>
    <x v="9"/>
    <x v="0"/>
    <x v="9"/>
    <x v="0"/>
    <x v="5"/>
    <x v="1"/>
    <x v="1"/>
    <n v="27"/>
    <n v="62931.76"/>
    <n v="143608.12"/>
    <x v="0"/>
  </r>
  <r>
    <x v="9"/>
    <x v="0"/>
    <x v="9"/>
    <x v="0"/>
    <x v="6"/>
    <x v="0"/>
    <x v="1"/>
    <n v="1"/>
    <n v="2050.37"/>
    <n v="7170.54"/>
    <x v="0"/>
  </r>
  <r>
    <x v="9"/>
    <x v="0"/>
    <x v="9"/>
    <x v="0"/>
    <x v="6"/>
    <x v="1"/>
    <x v="1"/>
    <n v="1"/>
    <n v="2108.15"/>
    <n v="4711.04"/>
    <x v="0"/>
  </r>
  <r>
    <x v="9"/>
    <x v="0"/>
    <x v="9"/>
    <x v="0"/>
    <x v="7"/>
    <x v="1"/>
    <x v="1"/>
    <n v="1"/>
    <n v="3455.06"/>
    <n v="7663.87"/>
    <x v="0"/>
  </r>
  <r>
    <x v="9"/>
    <x v="0"/>
    <x v="9"/>
    <x v="0"/>
    <x v="8"/>
    <x v="0"/>
    <x v="1"/>
    <n v="3"/>
    <n v="8921.9699999999993"/>
    <n v="30116.26"/>
    <x v="0"/>
  </r>
  <r>
    <x v="9"/>
    <x v="0"/>
    <x v="9"/>
    <x v="0"/>
    <x v="8"/>
    <x v="1"/>
    <x v="1"/>
    <n v="6"/>
    <n v="16493.64"/>
    <n v="35627.54"/>
    <x v="0"/>
  </r>
  <r>
    <x v="9"/>
    <x v="0"/>
    <x v="9"/>
    <x v="1"/>
    <x v="9"/>
    <x v="1"/>
    <x v="1"/>
    <n v="5"/>
    <n v="16734.75"/>
    <n v="39466.639999999999"/>
    <x v="0"/>
  </r>
  <r>
    <x v="9"/>
    <x v="0"/>
    <x v="9"/>
    <x v="1"/>
    <x v="10"/>
    <x v="0"/>
    <x v="0"/>
    <n v="4"/>
    <n v="10295.41"/>
    <n v="35494.160000000003"/>
    <x v="0"/>
  </r>
  <r>
    <x v="9"/>
    <x v="0"/>
    <x v="9"/>
    <x v="1"/>
    <x v="10"/>
    <x v="0"/>
    <x v="1"/>
    <n v="4"/>
    <n v="11025.52"/>
    <n v="37645.32"/>
    <x v="0"/>
  </r>
  <r>
    <x v="9"/>
    <x v="0"/>
    <x v="9"/>
    <x v="1"/>
    <x v="10"/>
    <x v="1"/>
    <x v="0"/>
    <n v="5"/>
    <n v="14533.22"/>
    <n v="33743.11"/>
    <x v="0"/>
  </r>
  <r>
    <x v="9"/>
    <x v="0"/>
    <x v="9"/>
    <x v="1"/>
    <x v="10"/>
    <x v="1"/>
    <x v="1"/>
    <n v="20"/>
    <n v="60726.720000000001"/>
    <n v="140878.63"/>
    <x v="0"/>
  </r>
  <r>
    <x v="9"/>
    <x v="0"/>
    <x v="9"/>
    <x v="1"/>
    <x v="11"/>
    <x v="0"/>
    <x v="1"/>
    <n v="7"/>
    <n v="19572.55"/>
    <n v="67761.58"/>
    <x v="0"/>
  </r>
  <r>
    <x v="9"/>
    <x v="0"/>
    <x v="9"/>
    <x v="1"/>
    <x v="11"/>
    <x v="1"/>
    <x v="0"/>
    <n v="7"/>
    <n v="18743.560000000001"/>
    <n v="41714.61"/>
    <x v="0"/>
  </r>
  <r>
    <x v="9"/>
    <x v="0"/>
    <x v="9"/>
    <x v="1"/>
    <x v="11"/>
    <x v="1"/>
    <x v="1"/>
    <n v="11"/>
    <n v="29537.49"/>
    <n v="66019.88"/>
    <x v="0"/>
  </r>
  <r>
    <x v="9"/>
    <x v="0"/>
    <x v="9"/>
    <x v="1"/>
    <x v="12"/>
    <x v="1"/>
    <x v="0"/>
    <n v="2"/>
    <n v="6687.64"/>
    <n v="15694.87"/>
    <x v="0"/>
  </r>
  <r>
    <x v="9"/>
    <x v="0"/>
    <x v="9"/>
    <x v="1"/>
    <x v="12"/>
    <x v="1"/>
    <x v="1"/>
    <n v="2"/>
    <n v="4032.86"/>
    <n v="9809.2999999999993"/>
    <x v="0"/>
  </r>
  <r>
    <x v="9"/>
    <x v="0"/>
    <x v="9"/>
    <x v="1"/>
    <x v="13"/>
    <x v="0"/>
    <x v="1"/>
    <n v="4"/>
    <n v="11296.81"/>
    <n v="38720.9"/>
    <x v="0"/>
  </r>
  <r>
    <x v="9"/>
    <x v="0"/>
    <x v="9"/>
    <x v="1"/>
    <x v="13"/>
    <x v="1"/>
    <x v="0"/>
    <n v="2"/>
    <n v="6632.38"/>
    <n v="15626.04"/>
    <x v="0"/>
  </r>
  <r>
    <x v="9"/>
    <x v="0"/>
    <x v="9"/>
    <x v="1"/>
    <x v="13"/>
    <x v="1"/>
    <x v="1"/>
    <n v="8"/>
    <n v="19761.73"/>
    <n v="47854.74"/>
    <x v="0"/>
  </r>
  <r>
    <x v="9"/>
    <x v="0"/>
    <x v="9"/>
    <x v="1"/>
    <x v="14"/>
    <x v="0"/>
    <x v="1"/>
    <n v="3"/>
    <n v="7787.81"/>
    <n v="26889.52"/>
    <x v="0"/>
  </r>
  <r>
    <x v="9"/>
    <x v="0"/>
    <x v="9"/>
    <x v="1"/>
    <x v="14"/>
    <x v="1"/>
    <x v="0"/>
    <n v="3"/>
    <n v="6230.13"/>
    <n v="14252.21"/>
    <x v="0"/>
  </r>
  <r>
    <x v="9"/>
    <x v="0"/>
    <x v="9"/>
    <x v="1"/>
    <x v="15"/>
    <x v="1"/>
    <x v="0"/>
    <n v="5"/>
    <n v="10374"/>
    <n v="26012.9"/>
    <x v="0"/>
  </r>
  <r>
    <x v="9"/>
    <x v="0"/>
    <x v="9"/>
    <x v="1"/>
    <x v="16"/>
    <x v="0"/>
    <x v="1"/>
    <n v="3"/>
    <n v="7803.37"/>
    <n v="26889.52"/>
    <x v="0"/>
  </r>
  <r>
    <x v="9"/>
    <x v="0"/>
    <x v="9"/>
    <x v="1"/>
    <x v="16"/>
    <x v="1"/>
    <x v="0"/>
    <n v="2"/>
    <n v="6864.96"/>
    <n v="15098.28"/>
    <x v="0"/>
  </r>
  <r>
    <x v="9"/>
    <x v="0"/>
    <x v="9"/>
    <x v="1"/>
    <x v="16"/>
    <x v="1"/>
    <x v="1"/>
    <n v="22"/>
    <n v="64521.53"/>
    <n v="146216.1"/>
    <x v="0"/>
  </r>
  <r>
    <x v="9"/>
    <x v="0"/>
    <x v="9"/>
    <x v="1"/>
    <x v="17"/>
    <x v="0"/>
    <x v="1"/>
    <n v="2"/>
    <n v="5762.26"/>
    <n v="19718.98"/>
    <x v="0"/>
  </r>
  <r>
    <x v="9"/>
    <x v="0"/>
    <x v="9"/>
    <x v="1"/>
    <x v="17"/>
    <x v="1"/>
    <x v="0"/>
    <n v="10"/>
    <n v="23090.5"/>
    <n v="52373.599999999999"/>
    <x v="0"/>
  </r>
  <r>
    <x v="9"/>
    <x v="0"/>
    <x v="9"/>
    <x v="1"/>
    <x v="17"/>
    <x v="1"/>
    <x v="1"/>
    <n v="10"/>
    <n v="27445.8"/>
    <n v="63086.38"/>
    <x v="0"/>
  </r>
  <r>
    <x v="9"/>
    <x v="0"/>
    <x v="9"/>
    <x v="1"/>
    <x v="18"/>
    <x v="0"/>
    <x v="1"/>
    <n v="11"/>
    <n v="31135.01"/>
    <n v="106482.48"/>
    <x v="0"/>
  </r>
  <r>
    <x v="9"/>
    <x v="0"/>
    <x v="9"/>
    <x v="1"/>
    <x v="18"/>
    <x v="1"/>
    <x v="0"/>
    <n v="6"/>
    <n v="13302.55"/>
    <n v="31315.71"/>
    <x v="0"/>
  </r>
  <r>
    <x v="9"/>
    <x v="0"/>
    <x v="9"/>
    <x v="1"/>
    <x v="18"/>
    <x v="1"/>
    <x v="1"/>
    <n v="22"/>
    <n v="47477.440000000002"/>
    <n v="115368.59"/>
    <x v="0"/>
  </r>
  <r>
    <x v="9"/>
    <x v="0"/>
    <x v="9"/>
    <x v="1"/>
    <x v="19"/>
    <x v="0"/>
    <x v="1"/>
    <n v="4"/>
    <n v="10037.959999999999"/>
    <n v="34777.1"/>
    <x v="0"/>
  </r>
  <r>
    <x v="9"/>
    <x v="0"/>
    <x v="9"/>
    <x v="1"/>
    <x v="19"/>
    <x v="1"/>
    <x v="0"/>
    <n v="5"/>
    <n v="14333.34"/>
    <n v="33347.300000000003"/>
    <x v="0"/>
  </r>
  <r>
    <x v="9"/>
    <x v="0"/>
    <x v="9"/>
    <x v="1"/>
    <x v="19"/>
    <x v="1"/>
    <x v="1"/>
    <n v="8"/>
    <n v="20365.43"/>
    <n v="47362.85"/>
    <x v="0"/>
  </r>
  <r>
    <x v="9"/>
    <x v="0"/>
    <x v="9"/>
    <x v="1"/>
    <x v="20"/>
    <x v="0"/>
    <x v="0"/>
    <n v="2"/>
    <n v="4490.12"/>
    <n v="15416.66"/>
    <x v="0"/>
  </r>
  <r>
    <x v="9"/>
    <x v="0"/>
    <x v="9"/>
    <x v="1"/>
    <x v="20"/>
    <x v="0"/>
    <x v="1"/>
    <n v="10"/>
    <n v="25244.66"/>
    <n v="86404.98"/>
    <x v="0"/>
  </r>
  <r>
    <x v="9"/>
    <x v="0"/>
    <x v="9"/>
    <x v="1"/>
    <x v="20"/>
    <x v="1"/>
    <x v="0"/>
    <n v="12"/>
    <n v="29102.78"/>
    <n v="67507.72"/>
    <x v="0"/>
  </r>
  <r>
    <x v="9"/>
    <x v="0"/>
    <x v="9"/>
    <x v="1"/>
    <x v="20"/>
    <x v="1"/>
    <x v="1"/>
    <n v="12"/>
    <n v="32032.97"/>
    <n v="72974.899999999994"/>
    <x v="0"/>
  </r>
  <r>
    <x v="9"/>
    <x v="0"/>
    <x v="9"/>
    <x v="2"/>
    <x v="21"/>
    <x v="0"/>
    <x v="0"/>
    <n v="2"/>
    <n v="6784.44"/>
    <n v="22945.72"/>
    <x v="0"/>
  </r>
  <r>
    <x v="9"/>
    <x v="0"/>
    <x v="9"/>
    <x v="2"/>
    <x v="22"/>
    <x v="0"/>
    <x v="1"/>
    <n v="2"/>
    <n v="5813.4"/>
    <n v="19718.98"/>
    <x v="0"/>
  </r>
  <r>
    <x v="9"/>
    <x v="0"/>
    <x v="9"/>
    <x v="2"/>
    <x v="22"/>
    <x v="1"/>
    <x v="0"/>
    <n v="9"/>
    <n v="20746.53"/>
    <n v="43450.22"/>
    <x v="0"/>
  </r>
  <r>
    <x v="9"/>
    <x v="0"/>
    <x v="9"/>
    <x v="2"/>
    <x v="22"/>
    <x v="1"/>
    <x v="1"/>
    <n v="19"/>
    <n v="49158.3"/>
    <n v="104260.47"/>
    <x v="0"/>
  </r>
  <r>
    <x v="9"/>
    <x v="0"/>
    <x v="9"/>
    <x v="2"/>
    <x v="29"/>
    <x v="0"/>
    <x v="1"/>
    <n v="1"/>
    <n v="3257.39"/>
    <n v="11472.86"/>
    <x v="0"/>
  </r>
  <r>
    <x v="9"/>
    <x v="0"/>
    <x v="9"/>
    <x v="2"/>
    <x v="24"/>
    <x v="0"/>
    <x v="1"/>
    <n v="2"/>
    <n v="6709.44"/>
    <n v="22945.72"/>
    <x v="0"/>
  </r>
  <r>
    <x v="9"/>
    <x v="0"/>
    <x v="9"/>
    <x v="2"/>
    <x v="24"/>
    <x v="1"/>
    <x v="1"/>
    <n v="2"/>
    <n v="4894.42"/>
    <n v="10225.19"/>
    <x v="0"/>
  </r>
  <r>
    <x v="9"/>
    <x v="0"/>
    <x v="9"/>
    <x v="3"/>
    <x v="25"/>
    <x v="1"/>
    <x v="0"/>
    <n v="10"/>
    <n v="30415.42"/>
    <n v="68392.789999999994"/>
    <x v="0"/>
  </r>
  <r>
    <x v="9"/>
    <x v="0"/>
    <x v="9"/>
    <x v="3"/>
    <x v="25"/>
    <x v="1"/>
    <x v="1"/>
    <n v="9"/>
    <n v="23184.41"/>
    <n v="53784.42"/>
    <x v="0"/>
  </r>
  <r>
    <x v="9"/>
    <x v="0"/>
    <x v="9"/>
    <x v="3"/>
    <x v="26"/>
    <x v="0"/>
    <x v="1"/>
    <n v="1"/>
    <n v="2025.61"/>
    <n v="7170.54"/>
    <x v="0"/>
  </r>
  <r>
    <x v="9"/>
    <x v="0"/>
    <x v="9"/>
    <x v="3"/>
    <x v="26"/>
    <x v="1"/>
    <x v="0"/>
    <n v="7"/>
    <n v="14856.92"/>
    <n v="35128.46"/>
    <x v="0"/>
  </r>
  <r>
    <x v="9"/>
    <x v="0"/>
    <x v="9"/>
    <x v="3"/>
    <x v="26"/>
    <x v="1"/>
    <x v="1"/>
    <n v="8"/>
    <n v="18918.400000000001"/>
    <n v="45765.97"/>
    <x v="0"/>
  </r>
  <r>
    <x v="9"/>
    <x v="0"/>
    <x v="9"/>
    <x v="3"/>
    <x v="27"/>
    <x v="0"/>
    <x v="0"/>
    <n v="2"/>
    <n v="4317.78"/>
    <n v="15058.12"/>
    <x v="0"/>
  </r>
  <r>
    <x v="9"/>
    <x v="0"/>
    <x v="9"/>
    <x v="3"/>
    <x v="27"/>
    <x v="0"/>
    <x v="1"/>
    <n v="10"/>
    <n v="26346.58"/>
    <n v="90707.3"/>
    <x v="0"/>
  </r>
  <r>
    <x v="9"/>
    <x v="0"/>
    <x v="9"/>
    <x v="3"/>
    <x v="27"/>
    <x v="1"/>
    <x v="0"/>
    <n v="5"/>
    <n v="13015.74"/>
    <n v="30583.07"/>
    <x v="0"/>
  </r>
  <r>
    <x v="9"/>
    <x v="0"/>
    <x v="9"/>
    <x v="3"/>
    <x v="27"/>
    <x v="1"/>
    <x v="1"/>
    <n v="52"/>
    <n v="124165.79"/>
    <n v="291353.32"/>
    <x v="0"/>
  </r>
  <r>
    <x v="10"/>
    <x v="0"/>
    <x v="0"/>
    <x v="0"/>
    <x v="0"/>
    <x v="0"/>
    <x v="0"/>
    <n v="4"/>
    <n v="26956.61"/>
    <n v="117385.41"/>
    <x v="0"/>
  </r>
  <r>
    <x v="10"/>
    <x v="0"/>
    <x v="0"/>
    <x v="0"/>
    <x v="0"/>
    <x v="0"/>
    <x v="1"/>
    <n v="5"/>
    <n v="32497.34"/>
    <n v="142467.76999999999"/>
    <x v="0"/>
  </r>
  <r>
    <x v="10"/>
    <x v="0"/>
    <x v="0"/>
    <x v="0"/>
    <x v="0"/>
    <x v="1"/>
    <x v="0"/>
    <n v="8"/>
    <n v="42910.9"/>
    <n v="120732.43"/>
    <x v="0"/>
  </r>
  <r>
    <x v="10"/>
    <x v="0"/>
    <x v="0"/>
    <x v="0"/>
    <x v="0"/>
    <x v="1"/>
    <x v="1"/>
    <n v="7"/>
    <n v="36201.9"/>
    <n v="104328.57"/>
    <x v="0"/>
  </r>
  <r>
    <x v="10"/>
    <x v="0"/>
    <x v="0"/>
    <x v="0"/>
    <x v="1"/>
    <x v="0"/>
    <x v="0"/>
    <n v="9"/>
    <n v="56040.34"/>
    <n v="241793.9"/>
    <x v="0"/>
  </r>
  <r>
    <x v="10"/>
    <x v="0"/>
    <x v="0"/>
    <x v="0"/>
    <x v="1"/>
    <x v="0"/>
    <x v="1"/>
    <n v="10"/>
    <n v="62454.18"/>
    <n v="271892.71999999997"/>
    <x v="0"/>
  </r>
  <r>
    <x v="10"/>
    <x v="0"/>
    <x v="0"/>
    <x v="0"/>
    <x v="1"/>
    <x v="1"/>
    <x v="0"/>
    <n v="21"/>
    <n v="152044.65"/>
    <n v="415563.19"/>
    <x v="0"/>
  </r>
  <r>
    <x v="10"/>
    <x v="0"/>
    <x v="0"/>
    <x v="0"/>
    <x v="1"/>
    <x v="1"/>
    <x v="1"/>
    <n v="21"/>
    <n v="141784.81"/>
    <n v="398683.01"/>
    <x v="0"/>
  </r>
  <r>
    <x v="10"/>
    <x v="0"/>
    <x v="0"/>
    <x v="0"/>
    <x v="2"/>
    <x v="0"/>
    <x v="1"/>
    <n v="7"/>
    <n v="47650.43"/>
    <n v="206678.59"/>
    <x v="0"/>
  </r>
  <r>
    <x v="10"/>
    <x v="0"/>
    <x v="0"/>
    <x v="0"/>
    <x v="2"/>
    <x v="1"/>
    <x v="0"/>
    <n v="5"/>
    <n v="32063.83"/>
    <n v="88472.49"/>
    <x v="0"/>
  </r>
  <r>
    <x v="10"/>
    <x v="0"/>
    <x v="0"/>
    <x v="0"/>
    <x v="2"/>
    <x v="1"/>
    <x v="1"/>
    <n v="16"/>
    <n v="104309.37"/>
    <n v="279762.13"/>
    <x v="0"/>
  </r>
  <r>
    <x v="10"/>
    <x v="0"/>
    <x v="0"/>
    <x v="0"/>
    <x v="3"/>
    <x v="0"/>
    <x v="0"/>
    <n v="3"/>
    <n v="21757.66"/>
    <n v="96316.23"/>
    <x v="0"/>
  </r>
  <r>
    <x v="10"/>
    <x v="0"/>
    <x v="0"/>
    <x v="0"/>
    <x v="3"/>
    <x v="0"/>
    <x v="1"/>
    <n v="8"/>
    <n v="48725.41"/>
    <n v="211695.08"/>
    <x v="0"/>
  </r>
  <r>
    <x v="10"/>
    <x v="0"/>
    <x v="0"/>
    <x v="0"/>
    <x v="3"/>
    <x v="1"/>
    <x v="0"/>
    <n v="1"/>
    <n v="5256.34"/>
    <n v="14906.95"/>
    <x v="0"/>
  </r>
  <r>
    <x v="10"/>
    <x v="0"/>
    <x v="0"/>
    <x v="0"/>
    <x v="3"/>
    <x v="1"/>
    <x v="1"/>
    <n v="45"/>
    <n v="300416.24"/>
    <n v="851826.49"/>
    <x v="0"/>
  </r>
  <r>
    <x v="10"/>
    <x v="0"/>
    <x v="0"/>
    <x v="0"/>
    <x v="28"/>
    <x v="1"/>
    <x v="1"/>
    <n v="1"/>
    <n v="5388.6"/>
    <n v="15091.55"/>
    <x v="0"/>
  </r>
  <r>
    <x v="10"/>
    <x v="0"/>
    <x v="0"/>
    <x v="0"/>
    <x v="4"/>
    <x v="0"/>
    <x v="1"/>
    <n v="4"/>
    <n v="24779.15"/>
    <n v="108355.77"/>
    <x v="0"/>
  </r>
  <r>
    <x v="10"/>
    <x v="0"/>
    <x v="0"/>
    <x v="0"/>
    <x v="4"/>
    <x v="1"/>
    <x v="0"/>
    <n v="7"/>
    <n v="34096.67"/>
    <n v="96958.36"/>
    <x v="0"/>
  </r>
  <r>
    <x v="10"/>
    <x v="0"/>
    <x v="0"/>
    <x v="0"/>
    <x v="4"/>
    <x v="1"/>
    <x v="1"/>
    <n v="18"/>
    <n v="119388.94"/>
    <n v="334538.39"/>
    <x v="0"/>
  </r>
  <r>
    <x v="10"/>
    <x v="0"/>
    <x v="0"/>
    <x v="0"/>
    <x v="5"/>
    <x v="0"/>
    <x v="1"/>
    <n v="4"/>
    <n v="29700.54"/>
    <n v="128421.64"/>
    <x v="0"/>
  </r>
  <r>
    <x v="10"/>
    <x v="0"/>
    <x v="0"/>
    <x v="0"/>
    <x v="5"/>
    <x v="1"/>
    <x v="0"/>
    <n v="1"/>
    <n v="7483.54"/>
    <n v="21157.47"/>
    <x v="0"/>
  </r>
  <r>
    <x v="10"/>
    <x v="0"/>
    <x v="0"/>
    <x v="0"/>
    <x v="5"/>
    <x v="1"/>
    <x v="1"/>
    <n v="25"/>
    <n v="164602.85"/>
    <n v="466525.68"/>
    <x v="0"/>
  </r>
  <r>
    <x v="10"/>
    <x v="0"/>
    <x v="0"/>
    <x v="0"/>
    <x v="6"/>
    <x v="0"/>
    <x v="1"/>
    <n v="5"/>
    <n v="32788.93"/>
    <n v="142467.76999999999"/>
    <x v="0"/>
  </r>
  <r>
    <x v="10"/>
    <x v="0"/>
    <x v="0"/>
    <x v="0"/>
    <x v="6"/>
    <x v="1"/>
    <x v="1"/>
    <n v="12"/>
    <n v="79904.240000000005"/>
    <n v="228185.64"/>
    <x v="0"/>
  </r>
  <r>
    <x v="10"/>
    <x v="0"/>
    <x v="0"/>
    <x v="0"/>
    <x v="7"/>
    <x v="1"/>
    <x v="1"/>
    <n v="18"/>
    <n v="128550.17"/>
    <n v="373971.84"/>
    <x v="0"/>
  </r>
  <r>
    <x v="10"/>
    <x v="0"/>
    <x v="0"/>
    <x v="0"/>
    <x v="8"/>
    <x v="0"/>
    <x v="1"/>
    <n v="4"/>
    <n v="28253.67"/>
    <n v="119392"/>
    <x v="0"/>
  </r>
  <r>
    <x v="10"/>
    <x v="0"/>
    <x v="0"/>
    <x v="0"/>
    <x v="8"/>
    <x v="1"/>
    <x v="1"/>
    <n v="6"/>
    <n v="35770.28"/>
    <n v="96983.97"/>
    <x v="0"/>
  </r>
  <r>
    <x v="10"/>
    <x v="0"/>
    <x v="0"/>
    <x v="1"/>
    <x v="30"/>
    <x v="1"/>
    <x v="0"/>
    <n v="5"/>
    <n v="30939.360000000001"/>
    <n v="95395.21"/>
    <x v="0"/>
  </r>
  <r>
    <x v="10"/>
    <x v="0"/>
    <x v="0"/>
    <x v="1"/>
    <x v="9"/>
    <x v="1"/>
    <x v="1"/>
    <n v="9"/>
    <n v="61386.79"/>
    <n v="186371.91"/>
    <x v="0"/>
  </r>
  <r>
    <x v="10"/>
    <x v="0"/>
    <x v="0"/>
    <x v="1"/>
    <x v="31"/>
    <x v="1"/>
    <x v="0"/>
    <n v="3"/>
    <n v="21251.85"/>
    <n v="66939.78"/>
    <x v="0"/>
  </r>
  <r>
    <x v="10"/>
    <x v="0"/>
    <x v="0"/>
    <x v="1"/>
    <x v="10"/>
    <x v="0"/>
    <x v="0"/>
    <n v="2"/>
    <n v="14905.67"/>
    <n v="64210.82"/>
    <x v="0"/>
  </r>
  <r>
    <x v="10"/>
    <x v="0"/>
    <x v="0"/>
    <x v="1"/>
    <x v="10"/>
    <x v="0"/>
    <x v="1"/>
    <n v="5"/>
    <n v="32932.69"/>
    <n v="140461.18"/>
    <x v="0"/>
  </r>
  <r>
    <x v="10"/>
    <x v="0"/>
    <x v="0"/>
    <x v="1"/>
    <x v="10"/>
    <x v="1"/>
    <x v="0"/>
    <n v="4"/>
    <n v="25011.97"/>
    <n v="75267.13"/>
    <x v="0"/>
  </r>
  <r>
    <x v="10"/>
    <x v="0"/>
    <x v="0"/>
    <x v="1"/>
    <x v="10"/>
    <x v="1"/>
    <x v="1"/>
    <n v="26"/>
    <n v="169778.67"/>
    <n v="503016.41"/>
    <x v="0"/>
  </r>
  <r>
    <x v="10"/>
    <x v="0"/>
    <x v="0"/>
    <x v="1"/>
    <x v="11"/>
    <x v="0"/>
    <x v="1"/>
    <n v="21"/>
    <n v="129498.97"/>
    <n v="566861.21"/>
    <x v="0"/>
  </r>
  <r>
    <x v="10"/>
    <x v="0"/>
    <x v="0"/>
    <x v="1"/>
    <x v="11"/>
    <x v="1"/>
    <x v="0"/>
    <n v="11"/>
    <n v="71510.59"/>
    <n v="200207.35"/>
    <x v="0"/>
  </r>
  <r>
    <x v="10"/>
    <x v="0"/>
    <x v="0"/>
    <x v="1"/>
    <x v="11"/>
    <x v="1"/>
    <x v="1"/>
    <n v="44"/>
    <n v="285886.64"/>
    <n v="815828.62"/>
    <x v="0"/>
  </r>
  <r>
    <x v="10"/>
    <x v="0"/>
    <x v="0"/>
    <x v="1"/>
    <x v="12"/>
    <x v="1"/>
    <x v="0"/>
    <n v="2"/>
    <n v="14477.04"/>
    <n v="43920.2"/>
    <x v="0"/>
  </r>
  <r>
    <x v="10"/>
    <x v="0"/>
    <x v="0"/>
    <x v="1"/>
    <x v="12"/>
    <x v="1"/>
    <x v="1"/>
    <n v="3"/>
    <n v="21658.29"/>
    <n v="65880.3"/>
    <x v="0"/>
  </r>
  <r>
    <x v="10"/>
    <x v="0"/>
    <x v="0"/>
    <x v="1"/>
    <x v="13"/>
    <x v="0"/>
    <x v="1"/>
    <n v="9"/>
    <n v="57673.32"/>
    <n v="250823.54"/>
    <x v="0"/>
  </r>
  <r>
    <x v="10"/>
    <x v="0"/>
    <x v="0"/>
    <x v="1"/>
    <x v="13"/>
    <x v="1"/>
    <x v="0"/>
    <n v="11"/>
    <n v="69429.05"/>
    <n v="203606.52"/>
    <x v="0"/>
  </r>
  <r>
    <x v="10"/>
    <x v="0"/>
    <x v="0"/>
    <x v="1"/>
    <x v="13"/>
    <x v="1"/>
    <x v="1"/>
    <n v="24"/>
    <n v="160776.19"/>
    <n v="473722.29"/>
    <x v="0"/>
  </r>
  <r>
    <x v="10"/>
    <x v="0"/>
    <x v="0"/>
    <x v="1"/>
    <x v="14"/>
    <x v="1"/>
    <x v="0"/>
    <n v="16"/>
    <n v="99645.440000000002"/>
    <n v="286175.61"/>
    <x v="0"/>
  </r>
  <r>
    <x v="10"/>
    <x v="0"/>
    <x v="0"/>
    <x v="1"/>
    <x v="14"/>
    <x v="1"/>
    <x v="1"/>
    <n v="9"/>
    <n v="55472.79"/>
    <n v="159080.88"/>
    <x v="0"/>
  </r>
  <r>
    <x v="10"/>
    <x v="0"/>
    <x v="0"/>
    <x v="1"/>
    <x v="15"/>
    <x v="1"/>
    <x v="1"/>
    <n v="3"/>
    <n v="17644.759999999998"/>
    <n v="52581.82"/>
    <x v="0"/>
  </r>
  <r>
    <x v="10"/>
    <x v="0"/>
    <x v="0"/>
    <x v="1"/>
    <x v="16"/>
    <x v="0"/>
    <x v="1"/>
    <n v="2"/>
    <n v="12828.07"/>
    <n v="55181.18"/>
    <x v="0"/>
  </r>
  <r>
    <x v="10"/>
    <x v="0"/>
    <x v="0"/>
    <x v="1"/>
    <x v="16"/>
    <x v="1"/>
    <x v="0"/>
    <n v="2"/>
    <n v="11056.44"/>
    <n v="30367.71"/>
    <x v="0"/>
  </r>
  <r>
    <x v="10"/>
    <x v="0"/>
    <x v="0"/>
    <x v="1"/>
    <x v="16"/>
    <x v="1"/>
    <x v="1"/>
    <n v="14"/>
    <n v="91087.89"/>
    <n v="257783.63"/>
    <x v="0"/>
  </r>
  <r>
    <x v="10"/>
    <x v="0"/>
    <x v="0"/>
    <x v="1"/>
    <x v="17"/>
    <x v="0"/>
    <x v="1"/>
    <n v="2"/>
    <n v="10918.73"/>
    <n v="46151.54"/>
    <x v="0"/>
  </r>
  <r>
    <x v="10"/>
    <x v="0"/>
    <x v="0"/>
    <x v="1"/>
    <x v="17"/>
    <x v="1"/>
    <x v="0"/>
    <n v="13"/>
    <n v="80492.92"/>
    <n v="235133.06"/>
    <x v="0"/>
  </r>
  <r>
    <x v="10"/>
    <x v="0"/>
    <x v="0"/>
    <x v="1"/>
    <x v="17"/>
    <x v="1"/>
    <x v="1"/>
    <n v="9"/>
    <n v="54874.51"/>
    <n v="157886.39000000001"/>
    <x v="0"/>
  </r>
  <r>
    <x v="10"/>
    <x v="0"/>
    <x v="0"/>
    <x v="1"/>
    <x v="18"/>
    <x v="0"/>
    <x v="1"/>
    <n v="15"/>
    <n v="95740.35"/>
    <n v="416367.08"/>
    <x v="0"/>
  </r>
  <r>
    <x v="10"/>
    <x v="0"/>
    <x v="0"/>
    <x v="1"/>
    <x v="18"/>
    <x v="1"/>
    <x v="0"/>
    <n v="20"/>
    <n v="131783.13"/>
    <n v="402336"/>
    <x v="0"/>
  </r>
  <r>
    <x v="10"/>
    <x v="0"/>
    <x v="0"/>
    <x v="1"/>
    <x v="18"/>
    <x v="1"/>
    <x v="1"/>
    <n v="42"/>
    <n v="266569.73"/>
    <n v="799093.72"/>
    <x v="0"/>
  </r>
  <r>
    <x v="10"/>
    <x v="0"/>
    <x v="0"/>
    <x v="1"/>
    <x v="19"/>
    <x v="0"/>
    <x v="1"/>
    <n v="2"/>
    <n v="13036.89"/>
    <n v="55181.18"/>
    <x v="0"/>
  </r>
  <r>
    <x v="10"/>
    <x v="0"/>
    <x v="0"/>
    <x v="1"/>
    <x v="19"/>
    <x v="1"/>
    <x v="0"/>
    <n v="18"/>
    <n v="120948.6"/>
    <n v="346901"/>
    <x v="0"/>
  </r>
  <r>
    <x v="10"/>
    <x v="0"/>
    <x v="0"/>
    <x v="1"/>
    <x v="19"/>
    <x v="1"/>
    <x v="1"/>
    <n v="11"/>
    <n v="64276.31"/>
    <n v="187989.26"/>
    <x v="0"/>
  </r>
  <r>
    <x v="10"/>
    <x v="0"/>
    <x v="0"/>
    <x v="1"/>
    <x v="20"/>
    <x v="0"/>
    <x v="0"/>
    <n v="2"/>
    <n v="12426.9"/>
    <n v="55181.18"/>
    <x v="0"/>
  </r>
  <r>
    <x v="10"/>
    <x v="0"/>
    <x v="0"/>
    <x v="1"/>
    <x v="20"/>
    <x v="0"/>
    <x v="1"/>
    <n v="12"/>
    <n v="82008.88"/>
    <n v="356169.41"/>
    <x v="0"/>
  </r>
  <r>
    <x v="10"/>
    <x v="0"/>
    <x v="0"/>
    <x v="1"/>
    <x v="20"/>
    <x v="1"/>
    <x v="0"/>
    <n v="10"/>
    <n v="56829.97"/>
    <n v="162304.92000000001"/>
    <x v="0"/>
  </r>
  <r>
    <x v="10"/>
    <x v="0"/>
    <x v="0"/>
    <x v="1"/>
    <x v="20"/>
    <x v="1"/>
    <x v="1"/>
    <n v="31"/>
    <n v="198056.29"/>
    <n v="570727.9"/>
    <x v="0"/>
  </r>
  <r>
    <x v="10"/>
    <x v="0"/>
    <x v="0"/>
    <x v="2"/>
    <x v="21"/>
    <x v="0"/>
    <x v="0"/>
    <n v="1"/>
    <n v="7622.28"/>
    <n v="32105.41"/>
    <x v="0"/>
  </r>
  <r>
    <x v="10"/>
    <x v="0"/>
    <x v="0"/>
    <x v="2"/>
    <x v="22"/>
    <x v="0"/>
    <x v="1"/>
    <n v="3"/>
    <n v="19924.28"/>
    <n v="87286.59"/>
    <x v="0"/>
  </r>
  <r>
    <x v="10"/>
    <x v="0"/>
    <x v="0"/>
    <x v="2"/>
    <x v="22"/>
    <x v="1"/>
    <x v="0"/>
    <n v="16"/>
    <n v="101496.62"/>
    <n v="268842.7"/>
    <x v="0"/>
  </r>
  <r>
    <x v="10"/>
    <x v="0"/>
    <x v="0"/>
    <x v="2"/>
    <x v="22"/>
    <x v="1"/>
    <x v="1"/>
    <n v="35"/>
    <n v="229577.74"/>
    <n v="604896.05000000005"/>
    <x v="0"/>
  </r>
  <r>
    <x v="10"/>
    <x v="0"/>
    <x v="0"/>
    <x v="2"/>
    <x v="29"/>
    <x v="0"/>
    <x v="1"/>
    <n v="9"/>
    <n v="58914.73"/>
    <n v="252830.13"/>
    <x v="0"/>
  </r>
  <r>
    <x v="10"/>
    <x v="0"/>
    <x v="0"/>
    <x v="2"/>
    <x v="29"/>
    <x v="1"/>
    <x v="1"/>
    <n v="4"/>
    <n v="23673.82"/>
    <n v="67635.03"/>
    <x v="0"/>
  </r>
  <r>
    <x v="10"/>
    <x v="0"/>
    <x v="0"/>
    <x v="2"/>
    <x v="24"/>
    <x v="0"/>
    <x v="1"/>
    <n v="4"/>
    <n v="25251.64"/>
    <n v="108355.77"/>
    <x v="0"/>
  </r>
  <r>
    <x v="10"/>
    <x v="0"/>
    <x v="0"/>
    <x v="2"/>
    <x v="24"/>
    <x v="1"/>
    <x v="0"/>
    <n v="4"/>
    <n v="21604.21"/>
    <n v="56860.33"/>
    <x v="0"/>
  </r>
  <r>
    <x v="10"/>
    <x v="0"/>
    <x v="0"/>
    <x v="2"/>
    <x v="24"/>
    <x v="1"/>
    <x v="1"/>
    <n v="6"/>
    <n v="43253.38"/>
    <n v="118015.79"/>
    <x v="0"/>
  </r>
  <r>
    <x v="10"/>
    <x v="0"/>
    <x v="0"/>
    <x v="3"/>
    <x v="25"/>
    <x v="1"/>
    <x v="0"/>
    <n v="17"/>
    <n v="117278.48"/>
    <n v="342191.81"/>
    <x v="0"/>
  </r>
  <r>
    <x v="10"/>
    <x v="0"/>
    <x v="0"/>
    <x v="3"/>
    <x v="25"/>
    <x v="1"/>
    <x v="1"/>
    <n v="27"/>
    <n v="177227.92"/>
    <n v="531936.53"/>
    <x v="0"/>
  </r>
  <r>
    <x v="10"/>
    <x v="0"/>
    <x v="0"/>
    <x v="3"/>
    <x v="26"/>
    <x v="0"/>
    <x v="0"/>
    <n v="2"/>
    <n v="15132.92"/>
    <n v="64210.82"/>
    <x v="0"/>
  </r>
  <r>
    <x v="10"/>
    <x v="0"/>
    <x v="0"/>
    <x v="3"/>
    <x v="26"/>
    <x v="1"/>
    <x v="0"/>
    <n v="5"/>
    <n v="28529.66"/>
    <n v="87419.61"/>
    <x v="0"/>
  </r>
  <r>
    <x v="10"/>
    <x v="0"/>
    <x v="0"/>
    <x v="3"/>
    <x v="26"/>
    <x v="1"/>
    <x v="1"/>
    <n v="42"/>
    <n v="254381.06"/>
    <n v="767641.59999999998"/>
    <x v="0"/>
  </r>
  <r>
    <x v="10"/>
    <x v="0"/>
    <x v="0"/>
    <x v="3"/>
    <x v="27"/>
    <x v="0"/>
    <x v="0"/>
    <n v="4"/>
    <n v="22214.7"/>
    <n v="97319.54"/>
    <x v="0"/>
  </r>
  <r>
    <x v="10"/>
    <x v="0"/>
    <x v="0"/>
    <x v="3"/>
    <x v="27"/>
    <x v="0"/>
    <x v="1"/>
    <n v="10"/>
    <n v="71303.789999999994"/>
    <n v="312024.46000000002"/>
    <x v="0"/>
  </r>
  <r>
    <x v="10"/>
    <x v="0"/>
    <x v="0"/>
    <x v="3"/>
    <x v="27"/>
    <x v="1"/>
    <x v="0"/>
    <n v="20"/>
    <n v="130544.11"/>
    <n v="389198.88"/>
    <x v="0"/>
  </r>
  <r>
    <x v="10"/>
    <x v="0"/>
    <x v="0"/>
    <x v="3"/>
    <x v="27"/>
    <x v="1"/>
    <x v="1"/>
    <n v="47"/>
    <n v="331418.25"/>
    <n v="973896.79"/>
    <x v="0"/>
  </r>
  <r>
    <x v="10"/>
    <x v="0"/>
    <x v="1"/>
    <x v="0"/>
    <x v="0"/>
    <x v="0"/>
    <x v="0"/>
    <n v="1"/>
    <n v="3322.26"/>
    <n v="11175.26"/>
    <x v="0"/>
  </r>
  <r>
    <x v="10"/>
    <x v="0"/>
    <x v="1"/>
    <x v="0"/>
    <x v="0"/>
    <x v="0"/>
    <x v="1"/>
    <n v="3"/>
    <n v="9629.68"/>
    <n v="33525.78"/>
    <x v="0"/>
  </r>
  <r>
    <x v="10"/>
    <x v="0"/>
    <x v="1"/>
    <x v="0"/>
    <x v="0"/>
    <x v="1"/>
    <x v="1"/>
    <n v="6"/>
    <n v="16544.28"/>
    <n v="37939.699999999997"/>
    <x v="0"/>
  </r>
  <r>
    <x v="10"/>
    <x v="0"/>
    <x v="1"/>
    <x v="0"/>
    <x v="1"/>
    <x v="0"/>
    <x v="0"/>
    <n v="4"/>
    <n v="13015.43"/>
    <n v="44701.04"/>
    <x v="0"/>
  </r>
  <r>
    <x v="10"/>
    <x v="0"/>
    <x v="1"/>
    <x v="0"/>
    <x v="1"/>
    <x v="0"/>
    <x v="1"/>
    <n v="4"/>
    <n v="11833.14"/>
    <n v="40859.54"/>
    <x v="0"/>
  </r>
  <r>
    <x v="10"/>
    <x v="0"/>
    <x v="1"/>
    <x v="0"/>
    <x v="1"/>
    <x v="1"/>
    <x v="0"/>
    <n v="10"/>
    <n v="25507.25"/>
    <n v="58383.76"/>
    <x v="0"/>
  </r>
  <r>
    <x v="10"/>
    <x v="0"/>
    <x v="1"/>
    <x v="0"/>
    <x v="1"/>
    <x v="1"/>
    <x v="1"/>
    <n v="16"/>
    <n v="44679.25"/>
    <n v="99476.93"/>
    <x v="0"/>
  </r>
  <r>
    <x v="10"/>
    <x v="0"/>
    <x v="1"/>
    <x v="0"/>
    <x v="2"/>
    <x v="0"/>
    <x v="1"/>
    <n v="3"/>
    <n v="8411.83"/>
    <n v="29684.28"/>
    <x v="0"/>
  </r>
  <r>
    <x v="10"/>
    <x v="0"/>
    <x v="1"/>
    <x v="0"/>
    <x v="2"/>
    <x v="1"/>
    <x v="0"/>
    <n v="1"/>
    <n v="3128.24"/>
    <n v="6939.84"/>
    <x v="0"/>
  </r>
  <r>
    <x v="10"/>
    <x v="0"/>
    <x v="1"/>
    <x v="0"/>
    <x v="2"/>
    <x v="1"/>
    <x v="1"/>
    <n v="11"/>
    <n v="28747.11"/>
    <n v="61645.8"/>
    <x v="0"/>
  </r>
  <r>
    <x v="10"/>
    <x v="0"/>
    <x v="1"/>
    <x v="0"/>
    <x v="3"/>
    <x v="0"/>
    <x v="1"/>
    <n v="6"/>
    <n v="18032.05"/>
    <n v="62860.84"/>
    <x v="0"/>
  </r>
  <r>
    <x v="10"/>
    <x v="0"/>
    <x v="1"/>
    <x v="0"/>
    <x v="3"/>
    <x v="1"/>
    <x v="0"/>
    <n v="5"/>
    <n v="10822.1"/>
    <n v="23688.04"/>
    <x v="0"/>
  </r>
  <r>
    <x v="10"/>
    <x v="0"/>
    <x v="1"/>
    <x v="0"/>
    <x v="3"/>
    <x v="1"/>
    <x v="1"/>
    <n v="18"/>
    <n v="47282.78"/>
    <n v="106934.65"/>
    <x v="0"/>
  </r>
  <r>
    <x v="10"/>
    <x v="0"/>
    <x v="1"/>
    <x v="0"/>
    <x v="4"/>
    <x v="0"/>
    <x v="1"/>
    <n v="3"/>
    <n v="7588.63"/>
    <n v="25842.78"/>
    <x v="0"/>
  </r>
  <r>
    <x v="10"/>
    <x v="0"/>
    <x v="1"/>
    <x v="0"/>
    <x v="4"/>
    <x v="1"/>
    <x v="0"/>
    <n v="3"/>
    <n v="8698.6"/>
    <n v="18997.939999999999"/>
    <x v="0"/>
  </r>
  <r>
    <x v="10"/>
    <x v="0"/>
    <x v="1"/>
    <x v="0"/>
    <x v="4"/>
    <x v="1"/>
    <x v="1"/>
    <n v="17"/>
    <n v="48725.56"/>
    <n v="107974.07"/>
    <x v="0"/>
  </r>
  <r>
    <x v="10"/>
    <x v="0"/>
    <x v="1"/>
    <x v="0"/>
    <x v="5"/>
    <x v="0"/>
    <x v="1"/>
    <n v="2"/>
    <n v="5162.3"/>
    <n v="18159.8"/>
    <x v="0"/>
  </r>
  <r>
    <x v="10"/>
    <x v="0"/>
    <x v="1"/>
    <x v="0"/>
    <x v="5"/>
    <x v="1"/>
    <x v="0"/>
    <n v="1"/>
    <n v="2084.4299999999998"/>
    <n v="4832.95"/>
    <x v="0"/>
  </r>
  <r>
    <x v="10"/>
    <x v="0"/>
    <x v="1"/>
    <x v="0"/>
    <x v="5"/>
    <x v="1"/>
    <x v="1"/>
    <n v="15"/>
    <n v="42779.7"/>
    <n v="96659.02"/>
    <x v="0"/>
  </r>
  <r>
    <x v="10"/>
    <x v="0"/>
    <x v="1"/>
    <x v="0"/>
    <x v="6"/>
    <x v="0"/>
    <x v="1"/>
    <n v="1"/>
    <n v="1949.1"/>
    <n v="6984.54"/>
    <x v="0"/>
  </r>
  <r>
    <x v="10"/>
    <x v="0"/>
    <x v="1"/>
    <x v="0"/>
    <x v="6"/>
    <x v="1"/>
    <x v="1"/>
    <n v="13"/>
    <n v="33009.67"/>
    <n v="75256.97"/>
    <x v="0"/>
  </r>
  <r>
    <x v="10"/>
    <x v="0"/>
    <x v="1"/>
    <x v="0"/>
    <x v="7"/>
    <x v="1"/>
    <x v="1"/>
    <n v="8"/>
    <n v="22382"/>
    <n v="52022.23"/>
    <x v="0"/>
  </r>
  <r>
    <x v="10"/>
    <x v="0"/>
    <x v="1"/>
    <x v="0"/>
    <x v="8"/>
    <x v="0"/>
    <x v="1"/>
    <n v="1"/>
    <n v="1940.41"/>
    <n v="6984.54"/>
    <x v="0"/>
  </r>
  <r>
    <x v="10"/>
    <x v="0"/>
    <x v="1"/>
    <x v="1"/>
    <x v="9"/>
    <x v="1"/>
    <x v="1"/>
    <n v="5"/>
    <n v="15471.21"/>
    <n v="38442.9"/>
    <x v="0"/>
  </r>
  <r>
    <x v="10"/>
    <x v="0"/>
    <x v="1"/>
    <x v="1"/>
    <x v="10"/>
    <x v="0"/>
    <x v="1"/>
    <n v="9"/>
    <n v="25438.97"/>
    <n v="89052.84"/>
    <x v="0"/>
  </r>
  <r>
    <x v="10"/>
    <x v="0"/>
    <x v="1"/>
    <x v="1"/>
    <x v="10"/>
    <x v="1"/>
    <x v="0"/>
    <n v="4"/>
    <n v="11579.21"/>
    <n v="27866.2"/>
    <x v="0"/>
  </r>
  <r>
    <x v="10"/>
    <x v="0"/>
    <x v="1"/>
    <x v="1"/>
    <x v="10"/>
    <x v="1"/>
    <x v="1"/>
    <n v="36"/>
    <n v="98850.13"/>
    <n v="234230"/>
    <x v="0"/>
  </r>
  <r>
    <x v="10"/>
    <x v="0"/>
    <x v="1"/>
    <x v="1"/>
    <x v="11"/>
    <x v="0"/>
    <x v="1"/>
    <n v="9"/>
    <n v="23984.73"/>
    <n v="81369.84"/>
    <x v="0"/>
  </r>
  <r>
    <x v="10"/>
    <x v="0"/>
    <x v="1"/>
    <x v="1"/>
    <x v="11"/>
    <x v="1"/>
    <x v="1"/>
    <n v="23"/>
    <n v="65947.72"/>
    <n v="147094.35"/>
    <x v="0"/>
  </r>
  <r>
    <x v="10"/>
    <x v="0"/>
    <x v="1"/>
    <x v="1"/>
    <x v="12"/>
    <x v="1"/>
    <x v="0"/>
    <n v="1"/>
    <n v="2026.76"/>
    <n v="5016.29"/>
    <x v="0"/>
  </r>
  <r>
    <x v="10"/>
    <x v="0"/>
    <x v="1"/>
    <x v="1"/>
    <x v="12"/>
    <x v="1"/>
    <x v="1"/>
    <n v="3"/>
    <n v="7575.42"/>
    <n v="17676.46"/>
    <x v="0"/>
  </r>
  <r>
    <x v="10"/>
    <x v="0"/>
    <x v="1"/>
    <x v="1"/>
    <x v="13"/>
    <x v="0"/>
    <x v="1"/>
    <n v="3"/>
    <n v="7209.45"/>
    <n v="25144.34"/>
    <x v="0"/>
  </r>
  <r>
    <x v="10"/>
    <x v="0"/>
    <x v="1"/>
    <x v="1"/>
    <x v="13"/>
    <x v="1"/>
    <x v="0"/>
    <n v="5"/>
    <n v="12308.2"/>
    <n v="30203.57"/>
    <x v="0"/>
  </r>
  <r>
    <x v="10"/>
    <x v="0"/>
    <x v="1"/>
    <x v="1"/>
    <x v="13"/>
    <x v="1"/>
    <x v="1"/>
    <n v="1"/>
    <n v="3156.81"/>
    <n v="7610.35"/>
    <x v="0"/>
  </r>
  <r>
    <x v="10"/>
    <x v="0"/>
    <x v="1"/>
    <x v="1"/>
    <x v="14"/>
    <x v="0"/>
    <x v="1"/>
    <n v="4"/>
    <n v="13071.08"/>
    <n v="44701.04"/>
    <x v="0"/>
  </r>
  <r>
    <x v="10"/>
    <x v="0"/>
    <x v="1"/>
    <x v="1"/>
    <x v="14"/>
    <x v="1"/>
    <x v="0"/>
    <n v="19"/>
    <n v="58782.36"/>
    <n v="136237.60999999999"/>
    <x v="0"/>
  </r>
  <r>
    <x v="10"/>
    <x v="0"/>
    <x v="1"/>
    <x v="1"/>
    <x v="14"/>
    <x v="1"/>
    <x v="1"/>
    <n v="10"/>
    <n v="24283.46"/>
    <n v="56687.88"/>
    <x v="0"/>
  </r>
  <r>
    <x v="10"/>
    <x v="0"/>
    <x v="1"/>
    <x v="1"/>
    <x v="16"/>
    <x v="1"/>
    <x v="1"/>
    <n v="3"/>
    <n v="6357.88"/>
    <n v="14476.84"/>
    <x v="0"/>
  </r>
  <r>
    <x v="10"/>
    <x v="0"/>
    <x v="1"/>
    <x v="1"/>
    <x v="17"/>
    <x v="0"/>
    <x v="1"/>
    <n v="1"/>
    <n v="2069.5700000000002"/>
    <n v="7333.76"/>
    <x v="0"/>
  </r>
  <r>
    <x v="10"/>
    <x v="0"/>
    <x v="1"/>
    <x v="1"/>
    <x v="17"/>
    <x v="1"/>
    <x v="0"/>
    <n v="2"/>
    <n v="5386.95"/>
    <n v="12289.99"/>
    <x v="0"/>
  </r>
  <r>
    <x v="10"/>
    <x v="0"/>
    <x v="1"/>
    <x v="1"/>
    <x v="17"/>
    <x v="1"/>
    <x v="1"/>
    <n v="1"/>
    <n v="3155.24"/>
    <n v="7420.37"/>
    <x v="0"/>
  </r>
  <r>
    <x v="10"/>
    <x v="0"/>
    <x v="1"/>
    <x v="1"/>
    <x v="18"/>
    <x v="0"/>
    <x v="1"/>
    <n v="6"/>
    <n v="14636.25"/>
    <n v="51336.34"/>
    <x v="0"/>
  </r>
  <r>
    <x v="10"/>
    <x v="0"/>
    <x v="1"/>
    <x v="1"/>
    <x v="18"/>
    <x v="1"/>
    <x v="0"/>
    <n v="10"/>
    <n v="29773.99"/>
    <n v="71445.179999999993"/>
    <x v="0"/>
  </r>
  <r>
    <x v="10"/>
    <x v="0"/>
    <x v="1"/>
    <x v="1"/>
    <x v="18"/>
    <x v="1"/>
    <x v="1"/>
    <n v="14"/>
    <n v="39278.83"/>
    <n v="95386.06"/>
    <x v="0"/>
  </r>
  <r>
    <x v="10"/>
    <x v="0"/>
    <x v="1"/>
    <x v="1"/>
    <x v="19"/>
    <x v="0"/>
    <x v="1"/>
    <n v="6"/>
    <n v="19014.419999999998"/>
    <n v="67051.56"/>
    <x v="0"/>
  </r>
  <r>
    <x v="10"/>
    <x v="0"/>
    <x v="1"/>
    <x v="1"/>
    <x v="19"/>
    <x v="1"/>
    <x v="0"/>
    <n v="6"/>
    <n v="19826.13"/>
    <n v="45192.76"/>
    <x v="0"/>
  </r>
  <r>
    <x v="10"/>
    <x v="0"/>
    <x v="1"/>
    <x v="1"/>
    <x v="19"/>
    <x v="1"/>
    <x v="1"/>
    <n v="9"/>
    <n v="27210.99"/>
    <n v="62044.93"/>
    <x v="0"/>
  </r>
  <r>
    <x v="10"/>
    <x v="0"/>
    <x v="1"/>
    <x v="1"/>
    <x v="20"/>
    <x v="0"/>
    <x v="0"/>
    <n v="1"/>
    <n v="2083.04"/>
    <n v="7333.76"/>
    <x v="0"/>
  </r>
  <r>
    <x v="10"/>
    <x v="0"/>
    <x v="1"/>
    <x v="1"/>
    <x v="20"/>
    <x v="0"/>
    <x v="1"/>
    <n v="11"/>
    <n v="31925.040000000001"/>
    <n v="111403.36"/>
    <x v="0"/>
  </r>
  <r>
    <x v="10"/>
    <x v="0"/>
    <x v="1"/>
    <x v="1"/>
    <x v="20"/>
    <x v="1"/>
    <x v="0"/>
    <n v="20"/>
    <n v="56344.24"/>
    <n v="132207.85999999999"/>
    <x v="0"/>
  </r>
  <r>
    <x v="10"/>
    <x v="0"/>
    <x v="1"/>
    <x v="1"/>
    <x v="20"/>
    <x v="1"/>
    <x v="1"/>
    <n v="15"/>
    <n v="46568.95"/>
    <n v="105812.61"/>
    <x v="0"/>
  </r>
  <r>
    <x v="10"/>
    <x v="0"/>
    <x v="1"/>
    <x v="2"/>
    <x v="21"/>
    <x v="0"/>
    <x v="0"/>
    <n v="1"/>
    <n v="2206.41"/>
    <n v="7333.76"/>
    <x v="0"/>
  </r>
  <r>
    <x v="10"/>
    <x v="0"/>
    <x v="1"/>
    <x v="2"/>
    <x v="21"/>
    <x v="1"/>
    <x v="1"/>
    <n v="6"/>
    <n v="19172.22"/>
    <n v="40834.400000000001"/>
    <x v="0"/>
  </r>
  <r>
    <x v="10"/>
    <x v="0"/>
    <x v="1"/>
    <x v="2"/>
    <x v="22"/>
    <x v="0"/>
    <x v="1"/>
    <n v="2"/>
    <n v="6347.63"/>
    <n v="22350.52"/>
    <x v="0"/>
  </r>
  <r>
    <x v="10"/>
    <x v="0"/>
    <x v="1"/>
    <x v="2"/>
    <x v="22"/>
    <x v="1"/>
    <x v="0"/>
    <n v="4"/>
    <n v="8249.26"/>
    <n v="17652.36"/>
    <x v="0"/>
  </r>
  <r>
    <x v="10"/>
    <x v="0"/>
    <x v="1"/>
    <x v="2"/>
    <x v="22"/>
    <x v="1"/>
    <x v="1"/>
    <n v="7"/>
    <n v="19127.650000000001"/>
    <n v="39865.760000000002"/>
    <x v="0"/>
  </r>
  <r>
    <x v="10"/>
    <x v="0"/>
    <x v="1"/>
    <x v="2"/>
    <x v="29"/>
    <x v="0"/>
    <x v="1"/>
    <n v="1"/>
    <n v="3268.4"/>
    <n v="11175.26"/>
    <x v="0"/>
  </r>
  <r>
    <x v="10"/>
    <x v="0"/>
    <x v="1"/>
    <x v="2"/>
    <x v="29"/>
    <x v="1"/>
    <x v="1"/>
    <n v="1"/>
    <n v="2022.78"/>
    <n v="4744.9399999999996"/>
    <x v="0"/>
  </r>
  <r>
    <x v="10"/>
    <x v="0"/>
    <x v="1"/>
    <x v="2"/>
    <x v="23"/>
    <x v="1"/>
    <x v="1"/>
    <n v="2"/>
    <n v="5241.1499999999996"/>
    <n v="11734.71"/>
    <x v="0"/>
  </r>
  <r>
    <x v="10"/>
    <x v="0"/>
    <x v="1"/>
    <x v="2"/>
    <x v="24"/>
    <x v="0"/>
    <x v="1"/>
    <n v="1"/>
    <n v="1959.73"/>
    <n v="6984.54"/>
    <x v="0"/>
  </r>
  <r>
    <x v="10"/>
    <x v="0"/>
    <x v="1"/>
    <x v="2"/>
    <x v="24"/>
    <x v="1"/>
    <x v="0"/>
    <n v="2"/>
    <n v="6297.12"/>
    <n v="13857.32"/>
    <x v="0"/>
  </r>
  <r>
    <x v="10"/>
    <x v="0"/>
    <x v="1"/>
    <x v="2"/>
    <x v="24"/>
    <x v="1"/>
    <x v="1"/>
    <n v="5"/>
    <n v="10845.95"/>
    <n v="22734.66"/>
    <x v="0"/>
  </r>
  <r>
    <x v="10"/>
    <x v="0"/>
    <x v="1"/>
    <x v="3"/>
    <x v="25"/>
    <x v="0"/>
    <x v="1"/>
    <n v="3"/>
    <n v="8423.8700000000008"/>
    <n v="29335.06"/>
    <x v="0"/>
  </r>
  <r>
    <x v="10"/>
    <x v="0"/>
    <x v="1"/>
    <x v="3"/>
    <x v="25"/>
    <x v="1"/>
    <x v="0"/>
    <n v="4"/>
    <n v="10561.3"/>
    <n v="25357.360000000001"/>
    <x v="0"/>
  </r>
  <r>
    <x v="10"/>
    <x v="0"/>
    <x v="1"/>
    <x v="3"/>
    <x v="25"/>
    <x v="1"/>
    <x v="1"/>
    <n v="5"/>
    <n v="16676.400000000001"/>
    <n v="38275.269999999997"/>
    <x v="0"/>
  </r>
  <r>
    <x v="10"/>
    <x v="0"/>
    <x v="1"/>
    <x v="3"/>
    <x v="26"/>
    <x v="0"/>
    <x v="0"/>
    <n v="2"/>
    <n v="5345.49"/>
    <n v="18509.02"/>
    <x v="0"/>
  </r>
  <r>
    <x v="10"/>
    <x v="0"/>
    <x v="1"/>
    <x v="3"/>
    <x v="26"/>
    <x v="0"/>
    <x v="1"/>
    <n v="2"/>
    <n v="6335.44"/>
    <n v="22350.52"/>
    <x v="0"/>
  </r>
  <r>
    <x v="10"/>
    <x v="0"/>
    <x v="1"/>
    <x v="3"/>
    <x v="26"/>
    <x v="1"/>
    <x v="0"/>
    <n v="3"/>
    <n v="6035.7"/>
    <n v="15180.88"/>
    <x v="0"/>
  </r>
  <r>
    <x v="10"/>
    <x v="0"/>
    <x v="1"/>
    <x v="3"/>
    <x v="26"/>
    <x v="1"/>
    <x v="1"/>
    <n v="23"/>
    <n v="67350.03"/>
    <n v="159925.91"/>
    <x v="0"/>
  </r>
  <r>
    <x v="10"/>
    <x v="0"/>
    <x v="1"/>
    <x v="3"/>
    <x v="27"/>
    <x v="0"/>
    <x v="0"/>
    <n v="3"/>
    <n v="8714.85"/>
    <n v="29684.28"/>
    <x v="0"/>
  </r>
  <r>
    <x v="10"/>
    <x v="0"/>
    <x v="1"/>
    <x v="3"/>
    <x v="27"/>
    <x v="0"/>
    <x v="1"/>
    <n v="9"/>
    <n v="21072.31"/>
    <n v="72988.399999999994"/>
    <x v="0"/>
  </r>
  <r>
    <x v="10"/>
    <x v="0"/>
    <x v="1"/>
    <x v="3"/>
    <x v="27"/>
    <x v="1"/>
    <x v="0"/>
    <n v="18"/>
    <n v="55756.6"/>
    <n v="130980.33"/>
    <x v="0"/>
  </r>
  <r>
    <x v="10"/>
    <x v="0"/>
    <x v="1"/>
    <x v="3"/>
    <x v="27"/>
    <x v="1"/>
    <x v="1"/>
    <n v="22"/>
    <n v="61290.36"/>
    <n v="143556.78"/>
    <x v="0"/>
  </r>
  <r>
    <x v="10"/>
    <x v="0"/>
    <x v="2"/>
    <x v="0"/>
    <x v="0"/>
    <x v="0"/>
    <x v="0"/>
    <n v="1"/>
    <n v="5274.28"/>
    <n v="21853.47"/>
    <x v="0"/>
  </r>
  <r>
    <x v="10"/>
    <x v="0"/>
    <x v="2"/>
    <x v="0"/>
    <x v="0"/>
    <x v="1"/>
    <x v="0"/>
    <n v="3"/>
    <n v="13893.27"/>
    <n v="39148.120000000003"/>
    <x v="0"/>
  </r>
  <r>
    <x v="10"/>
    <x v="0"/>
    <x v="2"/>
    <x v="0"/>
    <x v="0"/>
    <x v="1"/>
    <x v="1"/>
    <n v="5"/>
    <n v="22166.240000000002"/>
    <n v="63382.67"/>
    <x v="0"/>
  </r>
  <r>
    <x v="10"/>
    <x v="0"/>
    <x v="2"/>
    <x v="0"/>
    <x v="1"/>
    <x v="0"/>
    <x v="0"/>
    <n v="6"/>
    <n v="34710.75"/>
    <n v="149173.70000000001"/>
    <x v="0"/>
  </r>
  <r>
    <x v="10"/>
    <x v="0"/>
    <x v="2"/>
    <x v="0"/>
    <x v="1"/>
    <x v="0"/>
    <x v="1"/>
    <n v="9"/>
    <n v="50653.69"/>
    <n v="217584.56"/>
    <x v="0"/>
  </r>
  <r>
    <x v="10"/>
    <x v="0"/>
    <x v="2"/>
    <x v="0"/>
    <x v="1"/>
    <x v="1"/>
    <x v="0"/>
    <n v="36"/>
    <n v="200701.56"/>
    <n v="549158.86"/>
    <x v="0"/>
  </r>
  <r>
    <x v="10"/>
    <x v="0"/>
    <x v="2"/>
    <x v="0"/>
    <x v="1"/>
    <x v="1"/>
    <x v="1"/>
    <n v="12"/>
    <n v="67493.820000000007"/>
    <n v="185729"/>
    <x v="0"/>
  </r>
  <r>
    <x v="10"/>
    <x v="0"/>
    <x v="2"/>
    <x v="0"/>
    <x v="2"/>
    <x v="0"/>
    <x v="1"/>
    <n v="10"/>
    <n v="55627.71"/>
    <n v="234687.28"/>
    <x v="0"/>
  </r>
  <r>
    <x v="10"/>
    <x v="0"/>
    <x v="2"/>
    <x v="0"/>
    <x v="2"/>
    <x v="1"/>
    <x v="0"/>
    <n v="7"/>
    <n v="31608.36"/>
    <n v="86736.43"/>
    <x v="0"/>
  </r>
  <r>
    <x v="10"/>
    <x v="0"/>
    <x v="2"/>
    <x v="0"/>
    <x v="2"/>
    <x v="1"/>
    <x v="1"/>
    <n v="26"/>
    <n v="136907.22"/>
    <n v="359553.09"/>
    <x v="0"/>
  </r>
  <r>
    <x v="10"/>
    <x v="0"/>
    <x v="2"/>
    <x v="0"/>
    <x v="3"/>
    <x v="0"/>
    <x v="0"/>
    <n v="3"/>
    <n v="21235.85"/>
    <n v="91214.49"/>
    <x v="0"/>
  </r>
  <r>
    <x v="10"/>
    <x v="0"/>
    <x v="2"/>
    <x v="0"/>
    <x v="3"/>
    <x v="0"/>
    <x v="1"/>
    <n v="6"/>
    <n v="35170.730000000003"/>
    <n v="149173.70000000001"/>
    <x v="0"/>
  </r>
  <r>
    <x v="10"/>
    <x v="0"/>
    <x v="2"/>
    <x v="0"/>
    <x v="3"/>
    <x v="1"/>
    <x v="0"/>
    <n v="30"/>
    <n v="164917.79999999999"/>
    <n v="451117.95"/>
    <x v="0"/>
  </r>
  <r>
    <x v="10"/>
    <x v="0"/>
    <x v="2"/>
    <x v="0"/>
    <x v="3"/>
    <x v="1"/>
    <x v="1"/>
    <n v="28"/>
    <n v="163035.76"/>
    <n v="450111.32"/>
    <x v="0"/>
  </r>
  <r>
    <x v="10"/>
    <x v="0"/>
    <x v="2"/>
    <x v="0"/>
    <x v="28"/>
    <x v="1"/>
    <x v="1"/>
    <n v="2"/>
    <n v="10427.719999999999"/>
    <n v="28584.34"/>
    <x v="0"/>
  </r>
  <r>
    <x v="10"/>
    <x v="0"/>
    <x v="2"/>
    <x v="0"/>
    <x v="4"/>
    <x v="0"/>
    <x v="1"/>
    <n v="1"/>
    <n v="5324.13"/>
    <n v="21853.47"/>
    <x v="0"/>
  </r>
  <r>
    <x v="10"/>
    <x v="0"/>
    <x v="2"/>
    <x v="0"/>
    <x v="4"/>
    <x v="1"/>
    <x v="0"/>
    <n v="2"/>
    <n v="9930.56"/>
    <n v="26756.25"/>
    <x v="0"/>
  </r>
  <r>
    <x v="10"/>
    <x v="0"/>
    <x v="2"/>
    <x v="0"/>
    <x v="4"/>
    <x v="1"/>
    <x v="1"/>
    <n v="7"/>
    <n v="33910.080000000002"/>
    <n v="91822.58"/>
    <x v="0"/>
  </r>
  <r>
    <x v="10"/>
    <x v="0"/>
    <x v="2"/>
    <x v="0"/>
    <x v="5"/>
    <x v="0"/>
    <x v="1"/>
    <n v="1"/>
    <n v="4637.8"/>
    <n v="19953.169999999998"/>
    <x v="0"/>
  </r>
  <r>
    <x v="10"/>
    <x v="0"/>
    <x v="2"/>
    <x v="0"/>
    <x v="5"/>
    <x v="1"/>
    <x v="0"/>
    <n v="1"/>
    <n v="7242.88"/>
    <n v="20036.78"/>
    <x v="0"/>
  </r>
  <r>
    <x v="10"/>
    <x v="0"/>
    <x v="2"/>
    <x v="0"/>
    <x v="5"/>
    <x v="1"/>
    <x v="1"/>
    <n v="17"/>
    <n v="98362.79"/>
    <n v="274867.15000000002"/>
    <x v="0"/>
  </r>
  <r>
    <x v="10"/>
    <x v="0"/>
    <x v="2"/>
    <x v="0"/>
    <x v="6"/>
    <x v="0"/>
    <x v="1"/>
    <n v="5"/>
    <n v="25379.42"/>
    <n v="107367.05"/>
    <x v="0"/>
  </r>
  <r>
    <x v="10"/>
    <x v="0"/>
    <x v="2"/>
    <x v="0"/>
    <x v="6"/>
    <x v="1"/>
    <x v="1"/>
    <n v="3"/>
    <n v="13798.36"/>
    <n v="38758.18"/>
    <x v="0"/>
  </r>
  <r>
    <x v="10"/>
    <x v="0"/>
    <x v="2"/>
    <x v="0"/>
    <x v="7"/>
    <x v="1"/>
    <x v="1"/>
    <n v="9"/>
    <n v="40729.97"/>
    <n v="113554.07"/>
    <x v="0"/>
  </r>
  <r>
    <x v="10"/>
    <x v="0"/>
    <x v="2"/>
    <x v="0"/>
    <x v="8"/>
    <x v="0"/>
    <x v="1"/>
    <n v="2"/>
    <n v="8672.65"/>
    <n v="38006.04"/>
    <x v="0"/>
  </r>
  <r>
    <x v="10"/>
    <x v="0"/>
    <x v="2"/>
    <x v="0"/>
    <x v="8"/>
    <x v="1"/>
    <x v="1"/>
    <n v="11"/>
    <n v="52509.17"/>
    <n v="143443.35"/>
    <x v="0"/>
  </r>
  <r>
    <x v="10"/>
    <x v="0"/>
    <x v="2"/>
    <x v="1"/>
    <x v="30"/>
    <x v="1"/>
    <x v="0"/>
    <n v="9"/>
    <n v="55522.02"/>
    <n v="163180.41"/>
    <x v="0"/>
  </r>
  <r>
    <x v="10"/>
    <x v="0"/>
    <x v="2"/>
    <x v="1"/>
    <x v="9"/>
    <x v="1"/>
    <x v="1"/>
    <n v="9"/>
    <n v="43121.84"/>
    <n v="129433.36"/>
    <x v="0"/>
  </r>
  <r>
    <x v="10"/>
    <x v="0"/>
    <x v="2"/>
    <x v="1"/>
    <x v="10"/>
    <x v="0"/>
    <x v="0"/>
    <n v="3"/>
    <n v="15689.28"/>
    <n v="68410.87"/>
    <x v="0"/>
  </r>
  <r>
    <x v="10"/>
    <x v="0"/>
    <x v="2"/>
    <x v="1"/>
    <x v="10"/>
    <x v="0"/>
    <x v="1"/>
    <n v="10"/>
    <n v="50567.8"/>
    <n v="216634.42"/>
    <x v="0"/>
  </r>
  <r>
    <x v="10"/>
    <x v="0"/>
    <x v="2"/>
    <x v="1"/>
    <x v="10"/>
    <x v="1"/>
    <x v="0"/>
    <n v="2"/>
    <n v="12281.19"/>
    <n v="35640.160000000003"/>
    <x v="0"/>
  </r>
  <r>
    <x v="10"/>
    <x v="0"/>
    <x v="2"/>
    <x v="1"/>
    <x v="10"/>
    <x v="1"/>
    <x v="1"/>
    <n v="51"/>
    <n v="269692.18"/>
    <n v="778775.5"/>
    <x v="0"/>
  </r>
  <r>
    <x v="10"/>
    <x v="0"/>
    <x v="2"/>
    <x v="1"/>
    <x v="11"/>
    <x v="0"/>
    <x v="1"/>
    <n v="14"/>
    <n v="78568.73"/>
    <n v="339203.88"/>
    <x v="0"/>
  </r>
  <r>
    <x v="10"/>
    <x v="0"/>
    <x v="2"/>
    <x v="1"/>
    <x v="11"/>
    <x v="1"/>
    <x v="0"/>
    <n v="5"/>
    <n v="22474.1"/>
    <n v="61229.120000000003"/>
    <x v="0"/>
  </r>
  <r>
    <x v="10"/>
    <x v="0"/>
    <x v="2"/>
    <x v="1"/>
    <x v="11"/>
    <x v="1"/>
    <x v="1"/>
    <n v="53"/>
    <n v="265769.21999999997"/>
    <n v="735903.66"/>
    <x v="0"/>
  </r>
  <r>
    <x v="10"/>
    <x v="0"/>
    <x v="2"/>
    <x v="1"/>
    <x v="12"/>
    <x v="1"/>
    <x v="0"/>
    <n v="5"/>
    <n v="25895.95"/>
    <n v="74738.87"/>
    <x v="0"/>
  </r>
  <r>
    <x v="10"/>
    <x v="0"/>
    <x v="2"/>
    <x v="1"/>
    <x v="12"/>
    <x v="1"/>
    <x v="1"/>
    <n v="8"/>
    <n v="40581.449999999997"/>
    <n v="119582.19"/>
    <x v="0"/>
  </r>
  <r>
    <x v="10"/>
    <x v="0"/>
    <x v="2"/>
    <x v="1"/>
    <x v="13"/>
    <x v="0"/>
    <x v="1"/>
    <n v="5"/>
    <n v="29405.21"/>
    <n v="124469.77"/>
    <x v="0"/>
  </r>
  <r>
    <x v="10"/>
    <x v="0"/>
    <x v="2"/>
    <x v="1"/>
    <x v="13"/>
    <x v="1"/>
    <x v="1"/>
    <n v="1"/>
    <n v="4374.12"/>
    <n v="12582.37"/>
    <x v="0"/>
  </r>
  <r>
    <x v="10"/>
    <x v="0"/>
    <x v="2"/>
    <x v="1"/>
    <x v="14"/>
    <x v="0"/>
    <x v="1"/>
    <n v="1"/>
    <n v="4548.93"/>
    <n v="19953.169999999998"/>
    <x v="0"/>
  </r>
  <r>
    <x v="10"/>
    <x v="0"/>
    <x v="2"/>
    <x v="1"/>
    <x v="14"/>
    <x v="1"/>
    <x v="0"/>
    <n v="21"/>
    <n v="113561.93"/>
    <n v="323703.33"/>
    <x v="0"/>
  </r>
  <r>
    <x v="10"/>
    <x v="0"/>
    <x v="2"/>
    <x v="1"/>
    <x v="14"/>
    <x v="1"/>
    <x v="1"/>
    <n v="6"/>
    <n v="33272.370000000003"/>
    <n v="92601.68"/>
    <x v="0"/>
  </r>
  <r>
    <x v="10"/>
    <x v="0"/>
    <x v="2"/>
    <x v="1"/>
    <x v="15"/>
    <x v="1"/>
    <x v="0"/>
    <n v="1"/>
    <n v="6847.27"/>
    <n v="21009.74"/>
    <x v="0"/>
  </r>
  <r>
    <x v="10"/>
    <x v="0"/>
    <x v="2"/>
    <x v="1"/>
    <x v="16"/>
    <x v="0"/>
    <x v="1"/>
    <n v="1"/>
    <n v="5319.64"/>
    <n v="21853.47"/>
    <x v="0"/>
  </r>
  <r>
    <x v="10"/>
    <x v="0"/>
    <x v="2"/>
    <x v="1"/>
    <x v="16"/>
    <x v="1"/>
    <x v="0"/>
    <n v="16"/>
    <n v="82995.350000000006"/>
    <n v="234851.47"/>
    <x v="0"/>
  </r>
  <r>
    <x v="10"/>
    <x v="0"/>
    <x v="2"/>
    <x v="1"/>
    <x v="16"/>
    <x v="1"/>
    <x v="1"/>
    <n v="21"/>
    <n v="111076.36"/>
    <n v="313224.87"/>
    <x v="0"/>
  </r>
  <r>
    <x v="10"/>
    <x v="0"/>
    <x v="2"/>
    <x v="1"/>
    <x v="17"/>
    <x v="0"/>
    <x v="1"/>
    <n v="1"/>
    <n v="7282.86"/>
    <n v="30404.83"/>
    <x v="0"/>
  </r>
  <r>
    <x v="10"/>
    <x v="0"/>
    <x v="2"/>
    <x v="1"/>
    <x v="17"/>
    <x v="1"/>
    <x v="0"/>
    <n v="6"/>
    <n v="27259"/>
    <n v="76894.67"/>
    <x v="0"/>
  </r>
  <r>
    <x v="10"/>
    <x v="0"/>
    <x v="2"/>
    <x v="1"/>
    <x v="17"/>
    <x v="1"/>
    <x v="1"/>
    <n v="8"/>
    <n v="38612.089999999997"/>
    <n v="111669.35"/>
    <x v="0"/>
  </r>
  <r>
    <x v="10"/>
    <x v="0"/>
    <x v="2"/>
    <x v="1"/>
    <x v="18"/>
    <x v="0"/>
    <x v="1"/>
    <n v="15"/>
    <n v="79116.149999999994"/>
    <n v="341104.19"/>
    <x v="0"/>
  </r>
  <r>
    <x v="10"/>
    <x v="0"/>
    <x v="2"/>
    <x v="1"/>
    <x v="18"/>
    <x v="1"/>
    <x v="0"/>
    <n v="13"/>
    <n v="64037.54"/>
    <n v="190182.2"/>
    <x v="0"/>
  </r>
  <r>
    <x v="10"/>
    <x v="0"/>
    <x v="2"/>
    <x v="1"/>
    <x v="18"/>
    <x v="1"/>
    <x v="1"/>
    <n v="44"/>
    <n v="245034.44"/>
    <n v="718058.22"/>
    <x v="0"/>
  </r>
  <r>
    <x v="10"/>
    <x v="0"/>
    <x v="2"/>
    <x v="1"/>
    <x v="19"/>
    <x v="0"/>
    <x v="1"/>
    <n v="6"/>
    <n v="30371.64"/>
    <n v="130170.68"/>
    <x v="0"/>
  </r>
  <r>
    <x v="10"/>
    <x v="0"/>
    <x v="2"/>
    <x v="1"/>
    <x v="19"/>
    <x v="1"/>
    <x v="0"/>
    <n v="23"/>
    <n v="126675.94"/>
    <n v="371953.21"/>
    <x v="0"/>
  </r>
  <r>
    <x v="10"/>
    <x v="0"/>
    <x v="2"/>
    <x v="1"/>
    <x v="19"/>
    <x v="1"/>
    <x v="1"/>
    <n v="5"/>
    <n v="27386.25"/>
    <n v="79409.820000000007"/>
    <x v="0"/>
  </r>
  <r>
    <x v="10"/>
    <x v="0"/>
    <x v="2"/>
    <x v="1"/>
    <x v="20"/>
    <x v="0"/>
    <x v="0"/>
    <n v="4"/>
    <n v="20953.330000000002"/>
    <n v="90264.34"/>
    <x v="0"/>
  </r>
  <r>
    <x v="10"/>
    <x v="0"/>
    <x v="2"/>
    <x v="1"/>
    <x v="20"/>
    <x v="0"/>
    <x v="1"/>
    <n v="12"/>
    <n v="65965.440000000002"/>
    <n v="283144.98"/>
    <x v="0"/>
  </r>
  <r>
    <x v="10"/>
    <x v="0"/>
    <x v="2"/>
    <x v="1"/>
    <x v="20"/>
    <x v="1"/>
    <x v="0"/>
    <n v="20"/>
    <n v="98575.54"/>
    <n v="276989.45"/>
    <x v="0"/>
  </r>
  <r>
    <x v="10"/>
    <x v="0"/>
    <x v="2"/>
    <x v="1"/>
    <x v="20"/>
    <x v="1"/>
    <x v="1"/>
    <n v="38"/>
    <n v="204068.15"/>
    <n v="572303.61"/>
    <x v="0"/>
  </r>
  <r>
    <x v="10"/>
    <x v="0"/>
    <x v="2"/>
    <x v="2"/>
    <x v="21"/>
    <x v="0"/>
    <x v="0"/>
    <n v="3"/>
    <n v="16771.97"/>
    <n v="74111.77"/>
    <x v="0"/>
  </r>
  <r>
    <x v="10"/>
    <x v="0"/>
    <x v="2"/>
    <x v="2"/>
    <x v="21"/>
    <x v="1"/>
    <x v="1"/>
    <n v="2"/>
    <n v="11609.61"/>
    <n v="30668.02"/>
    <x v="0"/>
  </r>
  <r>
    <x v="10"/>
    <x v="0"/>
    <x v="2"/>
    <x v="2"/>
    <x v="22"/>
    <x v="1"/>
    <x v="0"/>
    <n v="15"/>
    <n v="87058.38"/>
    <n v="226248.99"/>
    <x v="0"/>
  </r>
  <r>
    <x v="10"/>
    <x v="0"/>
    <x v="2"/>
    <x v="2"/>
    <x v="22"/>
    <x v="1"/>
    <x v="1"/>
    <n v="32"/>
    <n v="192682.53"/>
    <n v="499467.41"/>
    <x v="0"/>
  </r>
  <r>
    <x v="10"/>
    <x v="0"/>
    <x v="2"/>
    <x v="2"/>
    <x v="29"/>
    <x v="0"/>
    <x v="1"/>
    <n v="2"/>
    <n v="11545.44"/>
    <n v="49407.85"/>
    <x v="0"/>
  </r>
  <r>
    <x v="10"/>
    <x v="0"/>
    <x v="2"/>
    <x v="2"/>
    <x v="29"/>
    <x v="1"/>
    <x v="1"/>
    <n v="2"/>
    <n v="8824.65"/>
    <n v="25204.65"/>
    <x v="0"/>
  </r>
  <r>
    <x v="10"/>
    <x v="0"/>
    <x v="2"/>
    <x v="2"/>
    <x v="23"/>
    <x v="1"/>
    <x v="1"/>
    <n v="5"/>
    <n v="22464.15"/>
    <n v="60239.57"/>
    <x v="0"/>
  </r>
  <r>
    <x v="10"/>
    <x v="0"/>
    <x v="2"/>
    <x v="2"/>
    <x v="24"/>
    <x v="0"/>
    <x v="1"/>
    <n v="1"/>
    <n v="6925.91"/>
    <n v="30404.83"/>
    <x v="0"/>
  </r>
  <r>
    <x v="10"/>
    <x v="0"/>
    <x v="2"/>
    <x v="2"/>
    <x v="24"/>
    <x v="1"/>
    <x v="0"/>
    <n v="8"/>
    <n v="40527.01"/>
    <n v="110160.5"/>
    <x v="0"/>
  </r>
  <r>
    <x v="10"/>
    <x v="0"/>
    <x v="2"/>
    <x v="3"/>
    <x v="25"/>
    <x v="0"/>
    <x v="1"/>
    <n v="3"/>
    <n v="16804.88"/>
    <n v="71261.320000000007"/>
    <x v="0"/>
  </r>
  <r>
    <x v="10"/>
    <x v="0"/>
    <x v="2"/>
    <x v="3"/>
    <x v="25"/>
    <x v="1"/>
    <x v="0"/>
    <n v="7"/>
    <n v="33194.160000000003"/>
    <n v="97628.01"/>
    <x v="0"/>
  </r>
  <r>
    <x v="10"/>
    <x v="0"/>
    <x v="2"/>
    <x v="3"/>
    <x v="25"/>
    <x v="1"/>
    <x v="1"/>
    <n v="25"/>
    <n v="119271.05"/>
    <n v="351437.53"/>
    <x v="0"/>
  </r>
  <r>
    <x v="10"/>
    <x v="0"/>
    <x v="2"/>
    <x v="3"/>
    <x v="26"/>
    <x v="0"/>
    <x v="0"/>
    <n v="3"/>
    <n v="16343.7"/>
    <n v="70311.17"/>
    <x v="0"/>
  </r>
  <r>
    <x v="10"/>
    <x v="0"/>
    <x v="2"/>
    <x v="3"/>
    <x v="26"/>
    <x v="1"/>
    <x v="0"/>
    <n v="3"/>
    <n v="16294.37"/>
    <n v="48514.7"/>
    <x v="0"/>
  </r>
  <r>
    <x v="10"/>
    <x v="0"/>
    <x v="2"/>
    <x v="3"/>
    <x v="26"/>
    <x v="1"/>
    <x v="1"/>
    <n v="30"/>
    <n v="151434.99"/>
    <n v="440283.36"/>
    <x v="0"/>
  </r>
  <r>
    <x v="10"/>
    <x v="0"/>
    <x v="2"/>
    <x v="3"/>
    <x v="27"/>
    <x v="0"/>
    <x v="0"/>
    <n v="3"/>
    <n v="14814.9"/>
    <n v="62709.96"/>
    <x v="0"/>
  </r>
  <r>
    <x v="10"/>
    <x v="0"/>
    <x v="2"/>
    <x v="3"/>
    <x v="27"/>
    <x v="0"/>
    <x v="1"/>
    <n v="6"/>
    <n v="36364.589999999997"/>
    <n v="153924.45000000001"/>
    <x v="0"/>
  </r>
  <r>
    <x v="10"/>
    <x v="0"/>
    <x v="2"/>
    <x v="3"/>
    <x v="27"/>
    <x v="1"/>
    <x v="0"/>
    <n v="23"/>
    <n v="133356.62"/>
    <n v="385951.31"/>
    <x v="0"/>
  </r>
  <r>
    <x v="10"/>
    <x v="0"/>
    <x v="2"/>
    <x v="3"/>
    <x v="27"/>
    <x v="1"/>
    <x v="1"/>
    <n v="62"/>
    <n v="346455.03"/>
    <n v="1001253.28"/>
    <x v="0"/>
  </r>
  <r>
    <x v="10"/>
    <x v="0"/>
    <x v="3"/>
    <x v="0"/>
    <x v="0"/>
    <x v="0"/>
    <x v="0"/>
    <n v="1"/>
    <n v="4936.5200000000004"/>
    <n v="22881.03"/>
    <x v="0"/>
  </r>
  <r>
    <x v="10"/>
    <x v="0"/>
    <x v="3"/>
    <x v="0"/>
    <x v="0"/>
    <x v="0"/>
    <x v="1"/>
    <n v="2"/>
    <n v="10439.64"/>
    <n v="47941.21"/>
    <x v="0"/>
  </r>
  <r>
    <x v="10"/>
    <x v="0"/>
    <x v="3"/>
    <x v="0"/>
    <x v="0"/>
    <x v="1"/>
    <x v="0"/>
    <n v="12"/>
    <n v="71661.19"/>
    <n v="213514.59"/>
    <x v="0"/>
  </r>
  <r>
    <x v="10"/>
    <x v="0"/>
    <x v="3"/>
    <x v="0"/>
    <x v="0"/>
    <x v="1"/>
    <x v="1"/>
    <n v="14"/>
    <n v="78902.17"/>
    <n v="233910.08"/>
    <x v="0"/>
  </r>
  <r>
    <x v="10"/>
    <x v="0"/>
    <x v="3"/>
    <x v="0"/>
    <x v="1"/>
    <x v="0"/>
    <x v="0"/>
    <n v="4"/>
    <n v="29940.62"/>
    <n v="134577.72"/>
    <x v="0"/>
  </r>
  <r>
    <x v="10"/>
    <x v="0"/>
    <x v="3"/>
    <x v="0"/>
    <x v="1"/>
    <x v="0"/>
    <x v="1"/>
    <n v="2"/>
    <n v="9777.8799999999992"/>
    <n v="43582.92"/>
    <x v="0"/>
  </r>
  <r>
    <x v="10"/>
    <x v="0"/>
    <x v="3"/>
    <x v="0"/>
    <x v="1"/>
    <x v="1"/>
    <x v="0"/>
    <n v="12"/>
    <n v="63651.85"/>
    <n v="179170.54"/>
    <x v="0"/>
  </r>
  <r>
    <x v="10"/>
    <x v="0"/>
    <x v="3"/>
    <x v="0"/>
    <x v="1"/>
    <x v="1"/>
    <x v="1"/>
    <n v="19"/>
    <n v="128339.24"/>
    <n v="375741.32"/>
    <x v="0"/>
  </r>
  <r>
    <x v="10"/>
    <x v="0"/>
    <x v="3"/>
    <x v="0"/>
    <x v="2"/>
    <x v="0"/>
    <x v="1"/>
    <n v="7"/>
    <n v="40425.300000000003"/>
    <n v="183873.17"/>
    <x v="0"/>
  </r>
  <r>
    <x v="10"/>
    <x v="0"/>
    <x v="3"/>
    <x v="0"/>
    <x v="2"/>
    <x v="1"/>
    <x v="0"/>
    <n v="7"/>
    <n v="43111.72"/>
    <n v="117568.36"/>
    <x v="0"/>
  </r>
  <r>
    <x v="10"/>
    <x v="0"/>
    <x v="3"/>
    <x v="0"/>
    <x v="2"/>
    <x v="1"/>
    <x v="1"/>
    <n v="23"/>
    <n v="128361.7"/>
    <n v="359041.23"/>
    <x v="0"/>
  </r>
  <r>
    <x v="10"/>
    <x v="0"/>
    <x v="3"/>
    <x v="0"/>
    <x v="3"/>
    <x v="0"/>
    <x v="0"/>
    <n v="5"/>
    <n v="27394.48"/>
    <n v="123121.75"/>
    <x v="0"/>
  </r>
  <r>
    <x v="10"/>
    <x v="0"/>
    <x v="3"/>
    <x v="0"/>
    <x v="3"/>
    <x v="0"/>
    <x v="1"/>
    <n v="14"/>
    <n v="79381.59"/>
    <n v="360251.66"/>
    <x v="0"/>
  </r>
  <r>
    <x v="10"/>
    <x v="0"/>
    <x v="3"/>
    <x v="0"/>
    <x v="3"/>
    <x v="1"/>
    <x v="0"/>
    <n v="8"/>
    <n v="48860.51"/>
    <n v="141924.10999999999"/>
    <x v="0"/>
  </r>
  <r>
    <x v="10"/>
    <x v="0"/>
    <x v="3"/>
    <x v="0"/>
    <x v="3"/>
    <x v="1"/>
    <x v="1"/>
    <n v="35"/>
    <n v="199878.19"/>
    <n v="569597.04"/>
    <x v="0"/>
  </r>
  <r>
    <x v="10"/>
    <x v="0"/>
    <x v="3"/>
    <x v="0"/>
    <x v="28"/>
    <x v="1"/>
    <x v="1"/>
    <n v="3"/>
    <n v="22003.32"/>
    <n v="66010.37"/>
    <x v="0"/>
  </r>
  <r>
    <x v="10"/>
    <x v="0"/>
    <x v="3"/>
    <x v="0"/>
    <x v="4"/>
    <x v="0"/>
    <x v="1"/>
    <n v="3"/>
    <n v="16677.05"/>
    <n v="75180.539999999994"/>
    <x v="0"/>
  </r>
  <r>
    <x v="10"/>
    <x v="0"/>
    <x v="3"/>
    <x v="0"/>
    <x v="4"/>
    <x v="1"/>
    <x v="0"/>
    <n v="8"/>
    <n v="51594.46"/>
    <n v="151593.76999999999"/>
    <x v="0"/>
  </r>
  <r>
    <x v="10"/>
    <x v="0"/>
    <x v="3"/>
    <x v="0"/>
    <x v="4"/>
    <x v="1"/>
    <x v="1"/>
    <n v="14"/>
    <n v="78662.69"/>
    <n v="225849.19"/>
    <x v="0"/>
  </r>
  <r>
    <x v="10"/>
    <x v="0"/>
    <x v="3"/>
    <x v="0"/>
    <x v="5"/>
    <x v="0"/>
    <x v="1"/>
    <n v="7"/>
    <n v="41257.51"/>
    <n v="187141.89"/>
    <x v="0"/>
  </r>
  <r>
    <x v="10"/>
    <x v="0"/>
    <x v="3"/>
    <x v="0"/>
    <x v="5"/>
    <x v="1"/>
    <x v="0"/>
    <n v="4"/>
    <n v="25567.61"/>
    <n v="75512.759999999995"/>
    <x v="0"/>
  </r>
  <r>
    <x v="10"/>
    <x v="0"/>
    <x v="3"/>
    <x v="0"/>
    <x v="5"/>
    <x v="1"/>
    <x v="1"/>
    <n v="28"/>
    <n v="168336.32"/>
    <n v="500015.57"/>
    <x v="0"/>
  </r>
  <r>
    <x v="10"/>
    <x v="0"/>
    <x v="3"/>
    <x v="0"/>
    <x v="6"/>
    <x v="0"/>
    <x v="1"/>
    <n v="2"/>
    <n v="10916.66"/>
    <n v="50120.36"/>
    <x v="0"/>
  </r>
  <r>
    <x v="10"/>
    <x v="0"/>
    <x v="3"/>
    <x v="0"/>
    <x v="6"/>
    <x v="1"/>
    <x v="1"/>
    <n v="2"/>
    <n v="10761.14"/>
    <n v="32929.08"/>
    <x v="0"/>
  </r>
  <r>
    <x v="10"/>
    <x v="0"/>
    <x v="3"/>
    <x v="0"/>
    <x v="7"/>
    <x v="1"/>
    <x v="1"/>
    <n v="16"/>
    <n v="97727.06"/>
    <n v="298609.71000000002"/>
    <x v="0"/>
  </r>
  <r>
    <x v="10"/>
    <x v="0"/>
    <x v="3"/>
    <x v="0"/>
    <x v="8"/>
    <x v="0"/>
    <x v="1"/>
    <n v="5"/>
    <n v="26934.75"/>
    <n v="123121.75"/>
    <x v="0"/>
  </r>
  <r>
    <x v="10"/>
    <x v="0"/>
    <x v="3"/>
    <x v="0"/>
    <x v="8"/>
    <x v="1"/>
    <x v="1"/>
    <n v="4"/>
    <n v="29710.48"/>
    <n v="85726.01"/>
    <x v="0"/>
  </r>
  <r>
    <x v="10"/>
    <x v="0"/>
    <x v="3"/>
    <x v="1"/>
    <x v="30"/>
    <x v="1"/>
    <x v="0"/>
    <n v="19"/>
    <n v="138702.84"/>
    <n v="437245.1"/>
    <x v="0"/>
  </r>
  <r>
    <x v="10"/>
    <x v="0"/>
    <x v="3"/>
    <x v="1"/>
    <x v="9"/>
    <x v="1"/>
    <x v="1"/>
    <n v="11"/>
    <n v="65447.14"/>
    <n v="207373.33"/>
    <x v="0"/>
  </r>
  <r>
    <x v="10"/>
    <x v="0"/>
    <x v="3"/>
    <x v="1"/>
    <x v="31"/>
    <x v="1"/>
    <x v="0"/>
    <n v="3"/>
    <n v="16376.19"/>
    <n v="52250.48"/>
    <x v="0"/>
  </r>
  <r>
    <x v="10"/>
    <x v="0"/>
    <x v="3"/>
    <x v="1"/>
    <x v="10"/>
    <x v="0"/>
    <x v="1"/>
    <n v="4"/>
    <n v="21483.23"/>
    <n v="98061.57"/>
    <x v="0"/>
  </r>
  <r>
    <x v="10"/>
    <x v="0"/>
    <x v="3"/>
    <x v="1"/>
    <x v="10"/>
    <x v="1"/>
    <x v="0"/>
    <n v="12"/>
    <n v="73582.58"/>
    <n v="228510.34"/>
    <x v="0"/>
  </r>
  <r>
    <x v="10"/>
    <x v="0"/>
    <x v="3"/>
    <x v="1"/>
    <x v="10"/>
    <x v="1"/>
    <x v="1"/>
    <n v="41"/>
    <n v="228111.18"/>
    <n v="697807.99"/>
    <x v="0"/>
  </r>
  <r>
    <x v="10"/>
    <x v="0"/>
    <x v="3"/>
    <x v="1"/>
    <x v="11"/>
    <x v="0"/>
    <x v="1"/>
    <n v="12"/>
    <n v="71169.63"/>
    <n v="321027.03999999998"/>
    <x v="0"/>
  </r>
  <r>
    <x v="10"/>
    <x v="0"/>
    <x v="3"/>
    <x v="1"/>
    <x v="11"/>
    <x v="1"/>
    <x v="0"/>
    <n v="15"/>
    <n v="108799.57"/>
    <n v="310756.2"/>
    <x v="0"/>
  </r>
  <r>
    <x v="10"/>
    <x v="0"/>
    <x v="3"/>
    <x v="1"/>
    <x v="11"/>
    <x v="1"/>
    <x v="1"/>
    <n v="34"/>
    <n v="207011.51"/>
    <n v="610809.17000000004"/>
    <x v="0"/>
  </r>
  <r>
    <x v="10"/>
    <x v="0"/>
    <x v="3"/>
    <x v="1"/>
    <x v="12"/>
    <x v="1"/>
    <x v="1"/>
    <n v="3"/>
    <n v="16190.99"/>
    <n v="49932.95"/>
    <x v="0"/>
  </r>
  <r>
    <x v="10"/>
    <x v="0"/>
    <x v="3"/>
    <x v="1"/>
    <x v="13"/>
    <x v="0"/>
    <x v="1"/>
    <n v="10"/>
    <n v="65375.49"/>
    <n v="290254.33"/>
    <x v="0"/>
  </r>
  <r>
    <x v="10"/>
    <x v="0"/>
    <x v="3"/>
    <x v="1"/>
    <x v="13"/>
    <x v="1"/>
    <x v="0"/>
    <n v="1"/>
    <n v="4893.7"/>
    <n v="14839.98"/>
    <x v="0"/>
  </r>
  <r>
    <x v="10"/>
    <x v="0"/>
    <x v="3"/>
    <x v="1"/>
    <x v="13"/>
    <x v="1"/>
    <x v="1"/>
    <n v="23"/>
    <n v="144663.35"/>
    <n v="444409.85"/>
    <x v="0"/>
  </r>
  <r>
    <x v="10"/>
    <x v="0"/>
    <x v="3"/>
    <x v="1"/>
    <x v="14"/>
    <x v="0"/>
    <x v="1"/>
    <n v="1"/>
    <n v="5545.56"/>
    <n v="25060.18"/>
    <x v="0"/>
  </r>
  <r>
    <x v="10"/>
    <x v="0"/>
    <x v="3"/>
    <x v="1"/>
    <x v="14"/>
    <x v="1"/>
    <x v="0"/>
    <n v="21"/>
    <n v="124674.05"/>
    <n v="372297.82"/>
    <x v="0"/>
  </r>
  <r>
    <x v="10"/>
    <x v="0"/>
    <x v="3"/>
    <x v="1"/>
    <x v="14"/>
    <x v="1"/>
    <x v="1"/>
    <n v="7"/>
    <n v="40754.559999999998"/>
    <n v="120182.76"/>
    <x v="0"/>
  </r>
  <r>
    <x v="10"/>
    <x v="0"/>
    <x v="3"/>
    <x v="1"/>
    <x v="15"/>
    <x v="1"/>
    <x v="0"/>
    <n v="1"/>
    <n v="5449.01"/>
    <n v="17316.580000000002"/>
    <x v="0"/>
  </r>
  <r>
    <x v="10"/>
    <x v="0"/>
    <x v="3"/>
    <x v="1"/>
    <x v="15"/>
    <x v="1"/>
    <x v="1"/>
    <n v="1"/>
    <n v="7138.36"/>
    <n v="21868.85"/>
    <x v="0"/>
  </r>
  <r>
    <x v="10"/>
    <x v="0"/>
    <x v="3"/>
    <x v="1"/>
    <x v="16"/>
    <x v="0"/>
    <x v="1"/>
    <n v="1"/>
    <n v="7466.55"/>
    <n v="33644.43"/>
    <x v="0"/>
  </r>
  <r>
    <x v="10"/>
    <x v="0"/>
    <x v="3"/>
    <x v="1"/>
    <x v="16"/>
    <x v="1"/>
    <x v="0"/>
    <n v="5"/>
    <n v="27574.63"/>
    <n v="82448"/>
    <x v="0"/>
  </r>
  <r>
    <x v="10"/>
    <x v="0"/>
    <x v="3"/>
    <x v="1"/>
    <x v="16"/>
    <x v="1"/>
    <x v="1"/>
    <n v="6"/>
    <n v="33279.410000000003"/>
    <n v="97503.71"/>
    <x v="0"/>
  </r>
  <r>
    <x v="10"/>
    <x v="0"/>
    <x v="3"/>
    <x v="1"/>
    <x v="17"/>
    <x v="0"/>
    <x v="1"/>
    <n v="2"/>
    <n v="12828.83"/>
    <n v="58704.61"/>
    <x v="0"/>
  </r>
  <r>
    <x v="10"/>
    <x v="0"/>
    <x v="3"/>
    <x v="1"/>
    <x v="17"/>
    <x v="1"/>
    <x v="0"/>
    <n v="4"/>
    <n v="23843.45"/>
    <n v="70812.820000000007"/>
    <x v="0"/>
  </r>
  <r>
    <x v="10"/>
    <x v="0"/>
    <x v="3"/>
    <x v="1"/>
    <x v="17"/>
    <x v="1"/>
    <x v="1"/>
    <n v="1"/>
    <n v="4928.7299999999996"/>
    <n v="14469.53"/>
    <x v="0"/>
  </r>
  <r>
    <x v="10"/>
    <x v="0"/>
    <x v="3"/>
    <x v="1"/>
    <x v="18"/>
    <x v="0"/>
    <x v="1"/>
    <n v="16"/>
    <n v="100128.84"/>
    <n v="460787.95"/>
    <x v="0"/>
  </r>
  <r>
    <x v="10"/>
    <x v="0"/>
    <x v="3"/>
    <x v="1"/>
    <x v="18"/>
    <x v="1"/>
    <x v="0"/>
    <n v="7"/>
    <n v="47532.79"/>
    <n v="151748.04"/>
    <x v="0"/>
  </r>
  <r>
    <x v="10"/>
    <x v="0"/>
    <x v="3"/>
    <x v="1"/>
    <x v="18"/>
    <x v="1"/>
    <x v="1"/>
    <n v="26"/>
    <n v="157206.79999999999"/>
    <n v="492122.44"/>
    <x v="0"/>
  </r>
  <r>
    <x v="10"/>
    <x v="0"/>
    <x v="3"/>
    <x v="1"/>
    <x v="19"/>
    <x v="0"/>
    <x v="1"/>
    <n v="4"/>
    <n v="24434.71"/>
    <n v="108824.97"/>
    <x v="0"/>
  </r>
  <r>
    <x v="10"/>
    <x v="0"/>
    <x v="3"/>
    <x v="1"/>
    <x v="19"/>
    <x v="1"/>
    <x v="0"/>
    <n v="11"/>
    <n v="61856.54"/>
    <n v="187086.5"/>
    <x v="0"/>
  </r>
  <r>
    <x v="10"/>
    <x v="0"/>
    <x v="3"/>
    <x v="1"/>
    <x v="19"/>
    <x v="1"/>
    <x v="1"/>
    <n v="3"/>
    <n v="15222.14"/>
    <n v="46265.45"/>
    <x v="0"/>
  </r>
  <r>
    <x v="10"/>
    <x v="0"/>
    <x v="3"/>
    <x v="1"/>
    <x v="20"/>
    <x v="0"/>
    <x v="0"/>
    <n v="2"/>
    <n v="12544.52"/>
    <n v="56525.46"/>
    <x v="0"/>
  </r>
  <r>
    <x v="10"/>
    <x v="0"/>
    <x v="3"/>
    <x v="1"/>
    <x v="20"/>
    <x v="0"/>
    <x v="1"/>
    <n v="14"/>
    <n v="80387.33"/>
    <n v="365567.19"/>
    <x v="0"/>
  </r>
  <r>
    <x v="10"/>
    <x v="0"/>
    <x v="3"/>
    <x v="1"/>
    <x v="20"/>
    <x v="1"/>
    <x v="0"/>
    <n v="24"/>
    <n v="150234.87"/>
    <n v="454138.64"/>
    <x v="0"/>
  </r>
  <r>
    <x v="10"/>
    <x v="0"/>
    <x v="3"/>
    <x v="1"/>
    <x v="20"/>
    <x v="1"/>
    <x v="1"/>
    <n v="32"/>
    <n v="177065.08"/>
    <n v="529793.31999999995"/>
    <x v="0"/>
  </r>
  <r>
    <x v="10"/>
    <x v="0"/>
    <x v="3"/>
    <x v="2"/>
    <x v="21"/>
    <x v="0"/>
    <x v="0"/>
    <n v="2"/>
    <n v="12258.81"/>
    <n v="56525.46"/>
    <x v="0"/>
  </r>
  <r>
    <x v="10"/>
    <x v="0"/>
    <x v="3"/>
    <x v="2"/>
    <x v="21"/>
    <x v="1"/>
    <x v="1"/>
    <n v="6"/>
    <n v="34753.93"/>
    <n v="96797.71"/>
    <x v="0"/>
  </r>
  <r>
    <x v="10"/>
    <x v="0"/>
    <x v="3"/>
    <x v="2"/>
    <x v="22"/>
    <x v="0"/>
    <x v="1"/>
    <n v="6"/>
    <n v="39558.120000000003"/>
    <n v="176113.83"/>
    <x v="0"/>
  </r>
  <r>
    <x v="10"/>
    <x v="0"/>
    <x v="3"/>
    <x v="2"/>
    <x v="22"/>
    <x v="1"/>
    <x v="0"/>
    <n v="16"/>
    <n v="99550.07"/>
    <n v="267671.23"/>
    <x v="0"/>
  </r>
  <r>
    <x v="10"/>
    <x v="0"/>
    <x v="3"/>
    <x v="2"/>
    <x v="22"/>
    <x v="1"/>
    <x v="1"/>
    <n v="29"/>
    <n v="160555.6"/>
    <n v="444485.95"/>
    <x v="0"/>
  </r>
  <r>
    <x v="10"/>
    <x v="0"/>
    <x v="3"/>
    <x v="2"/>
    <x v="29"/>
    <x v="0"/>
    <x v="1"/>
    <n v="6"/>
    <n v="35344.04"/>
    <n v="158812.99"/>
    <x v="0"/>
  </r>
  <r>
    <x v="10"/>
    <x v="0"/>
    <x v="3"/>
    <x v="2"/>
    <x v="29"/>
    <x v="1"/>
    <x v="1"/>
    <n v="12"/>
    <n v="70762.75"/>
    <n v="206999.54"/>
    <x v="0"/>
  </r>
  <r>
    <x v="10"/>
    <x v="0"/>
    <x v="3"/>
    <x v="2"/>
    <x v="24"/>
    <x v="0"/>
    <x v="1"/>
    <n v="6"/>
    <n v="38360.379999999997"/>
    <n v="172845.11"/>
    <x v="0"/>
  </r>
  <r>
    <x v="10"/>
    <x v="0"/>
    <x v="3"/>
    <x v="2"/>
    <x v="24"/>
    <x v="1"/>
    <x v="0"/>
    <n v="1"/>
    <n v="4970.8599999999997"/>
    <n v="14186.24"/>
    <x v="0"/>
  </r>
  <r>
    <x v="10"/>
    <x v="0"/>
    <x v="3"/>
    <x v="3"/>
    <x v="25"/>
    <x v="0"/>
    <x v="1"/>
    <n v="10"/>
    <n v="56051.12"/>
    <n v="255784.99"/>
    <x v="0"/>
  </r>
  <r>
    <x v="10"/>
    <x v="0"/>
    <x v="3"/>
    <x v="3"/>
    <x v="25"/>
    <x v="1"/>
    <x v="0"/>
    <n v="5"/>
    <n v="25963.85"/>
    <n v="78764.58"/>
    <x v="0"/>
  </r>
  <r>
    <x v="10"/>
    <x v="0"/>
    <x v="3"/>
    <x v="3"/>
    <x v="25"/>
    <x v="1"/>
    <x v="1"/>
    <n v="18"/>
    <n v="102869.79"/>
    <n v="310616.25"/>
    <x v="0"/>
  </r>
  <r>
    <x v="10"/>
    <x v="0"/>
    <x v="3"/>
    <x v="3"/>
    <x v="26"/>
    <x v="0"/>
    <x v="0"/>
    <n v="3"/>
    <n v="20146.439999999999"/>
    <n v="90169.89"/>
    <x v="0"/>
  </r>
  <r>
    <x v="10"/>
    <x v="0"/>
    <x v="3"/>
    <x v="3"/>
    <x v="26"/>
    <x v="0"/>
    <x v="1"/>
    <n v="3"/>
    <n v="20152.2"/>
    <n v="92349.04"/>
    <x v="0"/>
  </r>
  <r>
    <x v="10"/>
    <x v="0"/>
    <x v="3"/>
    <x v="3"/>
    <x v="26"/>
    <x v="1"/>
    <x v="0"/>
    <n v="6"/>
    <n v="39044.019999999997"/>
    <n v="124434.45"/>
    <x v="0"/>
  </r>
  <r>
    <x v="10"/>
    <x v="0"/>
    <x v="3"/>
    <x v="3"/>
    <x v="26"/>
    <x v="1"/>
    <x v="1"/>
    <n v="44"/>
    <n v="261093.39"/>
    <n v="806801.4"/>
    <x v="0"/>
  </r>
  <r>
    <x v="10"/>
    <x v="0"/>
    <x v="3"/>
    <x v="3"/>
    <x v="27"/>
    <x v="0"/>
    <x v="0"/>
    <n v="5"/>
    <n v="26735.52"/>
    <n v="118763.46"/>
    <x v="0"/>
  </r>
  <r>
    <x v="10"/>
    <x v="0"/>
    <x v="3"/>
    <x v="3"/>
    <x v="27"/>
    <x v="0"/>
    <x v="1"/>
    <n v="11"/>
    <n v="68985.39"/>
    <n v="312045.78000000003"/>
    <x v="0"/>
  </r>
  <r>
    <x v="10"/>
    <x v="0"/>
    <x v="3"/>
    <x v="3"/>
    <x v="27"/>
    <x v="1"/>
    <x v="0"/>
    <n v="12"/>
    <n v="69341.59"/>
    <n v="210228.81"/>
    <x v="0"/>
  </r>
  <r>
    <x v="10"/>
    <x v="0"/>
    <x v="3"/>
    <x v="3"/>
    <x v="27"/>
    <x v="1"/>
    <x v="1"/>
    <n v="35"/>
    <n v="213492.72"/>
    <n v="649174.78"/>
    <x v="0"/>
  </r>
  <r>
    <x v="10"/>
    <x v="0"/>
    <x v="4"/>
    <x v="0"/>
    <x v="0"/>
    <x v="0"/>
    <x v="0"/>
    <n v="1"/>
    <n v="6958.84"/>
    <n v="32535.42"/>
    <x v="0"/>
  </r>
  <r>
    <x v="10"/>
    <x v="0"/>
    <x v="4"/>
    <x v="0"/>
    <x v="0"/>
    <x v="0"/>
    <x v="1"/>
    <n v="2"/>
    <n v="11691.6"/>
    <n v="54194.78"/>
    <x v="0"/>
  </r>
  <r>
    <x v="10"/>
    <x v="0"/>
    <x v="4"/>
    <x v="0"/>
    <x v="0"/>
    <x v="1"/>
    <x v="0"/>
    <n v="5"/>
    <n v="24861.34"/>
    <n v="75783.94"/>
    <x v="0"/>
  </r>
  <r>
    <x v="10"/>
    <x v="0"/>
    <x v="4"/>
    <x v="0"/>
    <x v="0"/>
    <x v="1"/>
    <x v="1"/>
    <n v="12"/>
    <n v="58391.26"/>
    <n v="169982.66"/>
    <x v="0"/>
  </r>
  <r>
    <x v="10"/>
    <x v="0"/>
    <x v="4"/>
    <x v="0"/>
    <x v="1"/>
    <x v="0"/>
    <x v="1"/>
    <n v="4"/>
    <n v="19798.84"/>
    <n v="92052.29"/>
    <x v="0"/>
  </r>
  <r>
    <x v="10"/>
    <x v="0"/>
    <x v="4"/>
    <x v="0"/>
    <x v="1"/>
    <x v="1"/>
    <x v="0"/>
    <n v="26"/>
    <n v="145582.22"/>
    <n v="426676.92"/>
    <x v="0"/>
  </r>
  <r>
    <x v="10"/>
    <x v="0"/>
    <x v="4"/>
    <x v="0"/>
    <x v="1"/>
    <x v="1"/>
    <x v="1"/>
    <n v="21"/>
    <n v="105938.84"/>
    <n v="311951.78999999998"/>
    <x v="0"/>
  </r>
  <r>
    <x v="10"/>
    <x v="0"/>
    <x v="4"/>
    <x v="0"/>
    <x v="2"/>
    <x v="0"/>
    <x v="1"/>
    <n v="5"/>
    <n v="23548.7"/>
    <n v="109379.77"/>
    <x v="0"/>
  </r>
  <r>
    <x v="10"/>
    <x v="0"/>
    <x v="4"/>
    <x v="0"/>
    <x v="2"/>
    <x v="1"/>
    <x v="0"/>
    <n v="11"/>
    <n v="52870.68"/>
    <n v="147955.09"/>
    <x v="0"/>
  </r>
  <r>
    <x v="10"/>
    <x v="0"/>
    <x v="4"/>
    <x v="0"/>
    <x v="2"/>
    <x v="1"/>
    <x v="1"/>
    <n v="38"/>
    <n v="198840.33"/>
    <n v="569465.79"/>
    <x v="0"/>
  </r>
  <r>
    <x v="10"/>
    <x v="0"/>
    <x v="4"/>
    <x v="0"/>
    <x v="3"/>
    <x v="0"/>
    <x v="0"/>
    <n v="3"/>
    <n v="17653.060000000001"/>
    <n v="82351.960000000006"/>
    <x v="0"/>
  </r>
  <r>
    <x v="10"/>
    <x v="0"/>
    <x v="4"/>
    <x v="0"/>
    <x v="3"/>
    <x v="0"/>
    <x v="1"/>
    <n v="2"/>
    <n v="10239.48"/>
    <n v="46567.63"/>
    <x v="0"/>
  </r>
  <r>
    <x v="10"/>
    <x v="0"/>
    <x v="4"/>
    <x v="0"/>
    <x v="3"/>
    <x v="1"/>
    <x v="0"/>
    <n v="20"/>
    <n v="103718.76"/>
    <n v="305467.94"/>
    <x v="0"/>
  </r>
  <r>
    <x v="10"/>
    <x v="0"/>
    <x v="4"/>
    <x v="0"/>
    <x v="3"/>
    <x v="1"/>
    <x v="1"/>
    <n v="36"/>
    <n v="180922.9"/>
    <n v="538995.66"/>
    <x v="0"/>
  </r>
  <r>
    <x v="10"/>
    <x v="0"/>
    <x v="4"/>
    <x v="0"/>
    <x v="4"/>
    <x v="0"/>
    <x v="1"/>
    <n v="4"/>
    <n v="20467.28"/>
    <n v="93135.26"/>
    <x v="0"/>
  </r>
  <r>
    <x v="10"/>
    <x v="0"/>
    <x v="4"/>
    <x v="0"/>
    <x v="4"/>
    <x v="1"/>
    <x v="0"/>
    <n v="8"/>
    <n v="40260"/>
    <n v="117104.58"/>
    <x v="0"/>
  </r>
  <r>
    <x v="10"/>
    <x v="0"/>
    <x v="4"/>
    <x v="0"/>
    <x v="4"/>
    <x v="1"/>
    <x v="1"/>
    <n v="12"/>
    <n v="66747.850000000006"/>
    <n v="195543.13"/>
    <x v="0"/>
  </r>
  <r>
    <x v="10"/>
    <x v="0"/>
    <x v="4"/>
    <x v="0"/>
    <x v="5"/>
    <x v="0"/>
    <x v="1"/>
    <n v="2"/>
    <n v="9740.77"/>
    <n v="43318.720000000001"/>
    <x v="0"/>
  </r>
  <r>
    <x v="10"/>
    <x v="0"/>
    <x v="4"/>
    <x v="0"/>
    <x v="5"/>
    <x v="1"/>
    <x v="0"/>
    <n v="6"/>
    <n v="29801.11"/>
    <n v="85641.11"/>
    <x v="0"/>
  </r>
  <r>
    <x v="10"/>
    <x v="0"/>
    <x v="4"/>
    <x v="0"/>
    <x v="5"/>
    <x v="1"/>
    <x v="1"/>
    <n v="17"/>
    <n v="87615.96"/>
    <n v="269314.62"/>
    <x v="0"/>
  </r>
  <r>
    <x v="10"/>
    <x v="0"/>
    <x v="4"/>
    <x v="0"/>
    <x v="6"/>
    <x v="1"/>
    <x v="1"/>
    <n v="5"/>
    <n v="28095.63"/>
    <n v="87576.67"/>
    <x v="0"/>
  </r>
  <r>
    <x v="10"/>
    <x v="0"/>
    <x v="4"/>
    <x v="0"/>
    <x v="7"/>
    <x v="1"/>
    <x v="1"/>
    <n v="8"/>
    <n v="43194.13"/>
    <n v="133109.79"/>
    <x v="0"/>
  </r>
  <r>
    <x v="10"/>
    <x v="0"/>
    <x v="4"/>
    <x v="0"/>
    <x v="8"/>
    <x v="0"/>
    <x v="1"/>
    <n v="1"/>
    <n v="5001.79"/>
    <n v="21659.360000000001"/>
    <x v="0"/>
  </r>
  <r>
    <x v="10"/>
    <x v="0"/>
    <x v="4"/>
    <x v="0"/>
    <x v="8"/>
    <x v="1"/>
    <x v="1"/>
    <n v="1"/>
    <n v="5268.54"/>
    <n v="15866.57"/>
    <x v="0"/>
  </r>
  <r>
    <x v="10"/>
    <x v="0"/>
    <x v="4"/>
    <x v="1"/>
    <x v="9"/>
    <x v="1"/>
    <x v="1"/>
    <n v="1"/>
    <n v="4692.66"/>
    <n v="14901.64"/>
    <x v="0"/>
  </r>
  <r>
    <x v="10"/>
    <x v="0"/>
    <x v="4"/>
    <x v="1"/>
    <x v="10"/>
    <x v="0"/>
    <x v="0"/>
    <n v="2"/>
    <n v="9562.92"/>
    <n v="45484.66"/>
    <x v="0"/>
  </r>
  <r>
    <x v="10"/>
    <x v="0"/>
    <x v="4"/>
    <x v="1"/>
    <x v="10"/>
    <x v="0"/>
    <x v="1"/>
    <n v="2"/>
    <n v="9656.5"/>
    <n v="43318.720000000001"/>
    <x v="0"/>
  </r>
  <r>
    <x v="10"/>
    <x v="0"/>
    <x v="4"/>
    <x v="1"/>
    <x v="10"/>
    <x v="1"/>
    <x v="0"/>
    <n v="11"/>
    <n v="54280.06"/>
    <n v="166181.44"/>
    <x v="0"/>
  </r>
  <r>
    <x v="10"/>
    <x v="0"/>
    <x v="4"/>
    <x v="1"/>
    <x v="10"/>
    <x v="1"/>
    <x v="1"/>
    <n v="45"/>
    <n v="233258.23"/>
    <n v="727933.96"/>
    <x v="0"/>
  </r>
  <r>
    <x v="10"/>
    <x v="0"/>
    <x v="4"/>
    <x v="1"/>
    <x v="11"/>
    <x v="0"/>
    <x v="1"/>
    <n v="8"/>
    <n v="39355.96"/>
    <n v="176523.79"/>
    <x v="0"/>
  </r>
  <r>
    <x v="10"/>
    <x v="0"/>
    <x v="4"/>
    <x v="1"/>
    <x v="11"/>
    <x v="1"/>
    <x v="0"/>
    <n v="8"/>
    <n v="38094.25"/>
    <n v="112020.35"/>
    <x v="0"/>
  </r>
  <r>
    <x v="10"/>
    <x v="0"/>
    <x v="4"/>
    <x v="1"/>
    <x v="11"/>
    <x v="1"/>
    <x v="1"/>
    <n v="25"/>
    <n v="125377.52"/>
    <n v="370266.79"/>
    <x v="0"/>
  </r>
  <r>
    <x v="10"/>
    <x v="0"/>
    <x v="4"/>
    <x v="1"/>
    <x v="12"/>
    <x v="1"/>
    <x v="0"/>
    <n v="10"/>
    <n v="49520.65"/>
    <n v="154816.78"/>
    <x v="0"/>
  </r>
  <r>
    <x v="10"/>
    <x v="0"/>
    <x v="4"/>
    <x v="1"/>
    <x v="12"/>
    <x v="1"/>
    <x v="1"/>
    <n v="14"/>
    <n v="70711.990000000005"/>
    <n v="218628.52"/>
    <x v="0"/>
  </r>
  <r>
    <x v="10"/>
    <x v="0"/>
    <x v="4"/>
    <x v="1"/>
    <x v="13"/>
    <x v="1"/>
    <x v="0"/>
    <n v="2"/>
    <n v="9944.26"/>
    <n v="29500.05"/>
    <x v="0"/>
  </r>
  <r>
    <x v="10"/>
    <x v="0"/>
    <x v="4"/>
    <x v="1"/>
    <x v="13"/>
    <x v="1"/>
    <x v="1"/>
    <n v="29"/>
    <n v="145265.38"/>
    <n v="444630.2"/>
    <x v="0"/>
  </r>
  <r>
    <x v="10"/>
    <x v="0"/>
    <x v="4"/>
    <x v="1"/>
    <x v="14"/>
    <x v="0"/>
    <x v="1"/>
    <n v="1"/>
    <n v="4629.0200000000004"/>
    <n v="21659.360000000001"/>
    <x v="0"/>
  </r>
  <r>
    <x v="10"/>
    <x v="0"/>
    <x v="4"/>
    <x v="1"/>
    <x v="14"/>
    <x v="1"/>
    <x v="0"/>
    <n v="34"/>
    <n v="174693.49"/>
    <n v="534764.22"/>
    <x v="0"/>
  </r>
  <r>
    <x v="10"/>
    <x v="0"/>
    <x v="4"/>
    <x v="1"/>
    <x v="16"/>
    <x v="1"/>
    <x v="0"/>
    <n v="14"/>
    <n v="70743.89"/>
    <n v="213978.86"/>
    <x v="0"/>
  </r>
  <r>
    <x v="10"/>
    <x v="0"/>
    <x v="4"/>
    <x v="1"/>
    <x v="16"/>
    <x v="1"/>
    <x v="1"/>
    <n v="11"/>
    <n v="51196.71"/>
    <n v="155753.09"/>
    <x v="0"/>
  </r>
  <r>
    <x v="10"/>
    <x v="0"/>
    <x v="4"/>
    <x v="1"/>
    <x v="17"/>
    <x v="1"/>
    <x v="0"/>
    <n v="5"/>
    <n v="25228.73"/>
    <n v="76223.63"/>
    <x v="0"/>
  </r>
  <r>
    <x v="10"/>
    <x v="0"/>
    <x v="4"/>
    <x v="1"/>
    <x v="17"/>
    <x v="1"/>
    <x v="1"/>
    <n v="11"/>
    <n v="51766.73"/>
    <n v="154201.92000000001"/>
    <x v="0"/>
  </r>
  <r>
    <x v="10"/>
    <x v="0"/>
    <x v="4"/>
    <x v="1"/>
    <x v="18"/>
    <x v="0"/>
    <x v="1"/>
    <n v="13"/>
    <n v="64620.5"/>
    <n v="295650.28999999998"/>
    <x v="0"/>
  </r>
  <r>
    <x v="10"/>
    <x v="0"/>
    <x v="4"/>
    <x v="1"/>
    <x v="18"/>
    <x v="1"/>
    <x v="0"/>
    <n v="5"/>
    <n v="25621.08"/>
    <n v="82792.92"/>
    <x v="0"/>
  </r>
  <r>
    <x v="10"/>
    <x v="0"/>
    <x v="4"/>
    <x v="1"/>
    <x v="18"/>
    <x v="1"/>
    <x v="1"/>
    <n v="43"/>
    <n v="232166.57"/>
    <n v="728461.79"/>
    <x v="0"/>
  </r>
  <r>
    <x v="10"/>
    <x v="0"/>
    <x v="4"/>
    <x v="1"/>
    <x v="19"/>
    <x v="0"/>
    <x v="1"/>
    <n v="1"/>
    <n v="4986.05"/>
    <n v="21659.360000000001"/>
    <x v="0"/>
  </r>
  <r>
    <x v="10"/>
    <x v="0"/>
    <x v="4"/>
    <x v="1"/>
    <x v="19"/>
    <x v="1"/>
    <x v="0"/>
    <n v="12"/>
    <n v="61744.41"/>
    <n v="189080.67"/>
    <x v="0"/>
  </r>
  <r>
    <x v="10"/>
    <x v="0"/>
    <x v="4"/>
    <x v="1"/>
    <x v="19"/>
    <x v="1"/>
    <x v="1"/>
    <n v="15"/>
    <n v="77272.28"/>
    <n v="235912.56"/>
    <x v="0"/>
  </r>
  <r>
    <x v="10"/>
    <x v="0"/>
    <x v="4"/>
    <x v="1"/>
    <x v="20"/>
    <x v="0"/>
    <x v="0"/>
    <n v="3"/>
    <n v="15234.35"/>
    <n v="68226.990000000005"/>
    <x v="0"/>
  </r>
  <r>
    <x v="10"/>
    <x v="0"/>
    <x v="4"/>
    <x v="1"/>
    <x v="20"/>
    <x v="0"/>
    <x v="1"/>
    <n v="4"/>
    <n v="22321.96"/>
    <n v="100762.41"/>
    <x v="0"/>
  </r>
  <r>
    <x v="10"/>
    <x v="0"/>
    <x v="4"/>
    <x v="1"/>
    <x v="20"/>
    <x v="1"/>
    <x v="0"/>
    <n v="24"/>
    <n v="122786.81"/>
    <n v="372646.12"/>
    <x v="0"/>
  </r>
  <r>
    <x v="10"/>
    <x v="0"/>
    <x v="4"/>
    <x v="1"/>
    <x v="20"/>
    <x v="1"/>
    <x v="1"/>
    <n v="24"/>
    <n v="115317.73"/>
    <n v="351096.95"/>
    <x v="0"/>
  </r>
  <r>
    <x v="10"/>
    <x v="0"/>
    <x v="4"/>
    <x v="2"/>
    <x v="21"/>
    <x v="0"/>
    <x v="0"/>
    <n v="1"/>
    <n v="4660.37"/>
    <n v="21659.360000000001"/>
    <x v="0"/>
  </r>
  <r>
    <x v="10"/>
    <x v="0"/>
    <x v="4"/>
    <x v="2"/>
    <x v="22"/>
    <x v="0"/>
    <x v="1"/>
    <n v="2"/>
    <n v="9626.52"/>
    <n v="43318.720000000001"/>
    <x v="0"/>
  </r>
  <r>
    <x v="10"/>
    <x v="0"/>
    <x v="4"/>
    <x v="2"/>
    <x v="22"/>
    <x v="1"/>
    <x v="0"/>
    <n v="28"/>
    <n v="151056.9"/>
    <n v="416303.11"/>
    <x v="0"/>
  </r>
  <r>
    <x v="10"/>
    <x v="0"/>
    <x v="4"/>
    <x v="2"/>
    <x v="22"/>
    <x v="1"/>
    <x v="1"/>
    <n v="22"/>
    <n v="113626.99"/>
    <n v="317317.48"/>
    <x v="0"/>
  </r>
  <r>
    <x v="10"/>
    <x v="0"/>
    <x v="4"/>
    <x v="2"/>
    <x v="29"/>
    <x v="0"/>
    <x v="1"/>
    <n v="4"/>
    <n v="20263.25"/>
    <n v="93135.26"/>
    <x v="0"/>
  </r>
  <r>
    <x v="10"/>
    <x v="0"/>
    <x v="4"/>
    <x v="2"/>
    <x v="29"/>
    <x v="1"/>
    <x v="1"/>
    <n v="3"/>
    <n v="14667.36"/>
    <n v="42040.82"/>
    <x v="0"/>
  </r>
  <r>
    <x v="10"/>
    <x v="0"/>
    <x v="4"/>
    <x v="2"/>
    <x v="23"/>
    <x v="1"/>
    <x v="1"/>
    <n v="2"/>
    <n v="9476.64"/>
    <n v="27464.07"/>
    <x v="0"/>
  </r>
  <r>
    <x v="10"/>
    <x v="0"/>
    <x v="4"/>
    <x v="2"/>
    <x v="24"/>
    <x v="0"/>
    <x v="1"/>
    <n v="5"/>
    <n v="24683.52"/>
    <n v="111545.71"/>
    <x v="0"/>
  </r>
  <r>
    <x v="10"/>
    <x v="0"/>
    <x v="4"/>
    <x v="2"/>
    <x v="24"/>
    <x v="1"/>
    <x v="1"/>
    <n v="1"/>
    <n v="4921.47"/>
    <n v="13428.8"/>
    <x v="0"/>
  </r>
  <r>
    <x v="10"/>
    <x v="0"/>
    <x v="4"/>
    <x v="3"/>
    <x v="25"/>
    <x v="0"/>
    <x v="1"/>
    <n v="1"/>
    <n v="5355.54"/>
    <n v="24908.27"/>
    <x v="0"/>
  </r>
  <r>
    <x v="10"/>
    <x v="0"/>
    <x v="4"/>
    <x v="3"/>
    <x v="25"/>
    <x v="1"/>
    <x v="0"/>
    <n v="11"/>
    <n v="53704.68"/>
    <n v="167654.28"/>
    <x v="0"/>
  </r>
  <r>
    <x v="10"/>
    <x v="0"/>
    <x v="4"/>
    <x v="3"/>
    <x v="25"/>
    <x v="1"/>
    <x v="1"/>
    <n v="10"/>
    <n v="49897.279999999999"/>
    <n v="155816.70000000001"/>
    <x v="0"/>
  </r>
  <r>
    <x v="10"/>
    <x v="0"/>
    <x v="4"/>
    <x v="3"/>
    <x v="26"/>
    <x v="0"/>
    <x v="0"/>
    <n v="1"/>
    <n v="4918.6099999999997"/>
    <n v="21659.360000000001"/>
    <x v="0"/>
  </r>
  <r>
    <x v="10"/>
    <x v="0"/>
    <x v="4"/>
    <x v="3"/>
    <x v="26"/>
    <x v="1"/>
    <x v="0"/>
    <n v="14"/>
    <n v="79683.039999999994"/>
    <n v="254252.92"/>
    <x v="0"/>
  </r>
  <r>
    <x v="10"/>
    <x v="0"/>
    <x v="4"/>
    <x v="3"/>
    <x v="26"/>
    <x v="1"/>
    <x v="1"/>
    <n v="22"/>
    <n v="111307.47"/>
    <n v="353512.3"/>
    <x v="0"/>
  </r>
  <r>
    <x v="10"/>
    <x v="0"/>
    <x v="4"/>
    <x v="3"/>
    <x v="27"/>
    <x v="0"/>
    <x v="0"/>
    <n v="1"/>
    <n v="4858.72"/>
    <n v="21659.360000000001"/>
    <x v="0"/>
  </r>
  <r>
    <x v="10"/>
    <x v="0"/>
    <x v="4"/>
    <x v="3"/>
    <x v="27"/>
    <x v="0"/>
    <x v="1"/>
    <n v="4"/>
    <n v="22421.13"/>
    <n v="105094.29"/>
    <x v="0"/>
  </r>
  <r>
    <x v="10"/>
    <x v="0"/>
    <x v="4"/>
    <x v="3"/>
    <x v="27"/>
    <x v="1"/>
    <x v="0"/>
    <n v="25"/>
    <n v="130851.25"/>
    <n v="411120.34"/>
    <x v="0"/>
  </r>
  <r>
    <x v="10"/>
    <x v="0"/>
    <x v="4"/>
    <x v="3"/>
    <x v="27"/>
    <x v="1"/>
    <x v="1"/>
    <n v="55"/>
    <n v="276067.23"/>
    <n v="853688.54"/>
    <x v="0"/>
  </r>
  <r>
    <x v="10"/>
    <x v="0"/>
    <x v="5"/>
    <x v="0"/>
    <x v="0"/>
    <x v="0"/>
    <x v="0"/>
    <n v="1"/>
    <n v="6192.22"/>
    <n v="26367.040000000001"/>
    <x v="0"/>
  </r>
  <r>
    <x v="10"/>
    <x v="0"/>
    <x v="5"/>
    <x v="0"/>
    <x v="0"/>
    <x v="0"/>
    <x v="1"/>
    <n v="1"/>
    <n v="4560.01"/>
    <n v="18951.310000000001"/>
    <x v="0"/>
  </r>
  <r>
    <x v="10"/>
    <x v="0"/>
    <x v="5"/>
    <x v="0"/>
    <x v="0"/>
    <x v="1"/>
    <x v="0"/>
    <n v="5"/>
    <n v="26518.31"/>
    <n v="70592.800000000003"/>
    <x v="0"/>
  </r>
  <r>
    <x v="10"/>
    <x v="0"/>
    <x v="5"/>
    <x v="0"/>
    <x v="0"/>
    <x v="1"/>
    <x v="1"/>
    <n v="1"/>
    <n v="4736.49"/>
    <n v="12394.16"/>
    <x v="0"/>
  </r>
  <r>
    <x v="10"/>
    <x v="0"/>
    <x v="5"/>
    <x v="0"/>
    <x v="1"/>
    <x v="0"/>
    <x v="0"/>
    <n v="7"/>
    <n v="35133.83"/>
    <n v="144194.75"/>
    <x v="0"/>
  </r>
  <r>
    <x v="10"/>
    <x v="0"/>
    <x v="5"/>
    <x v="0"/>
    <x v="1"/>
    <x v="0"/>
    <x v="1"/>
    <n v="1"/>
    <n v="4781.1099999999997"/>
    <n v="18951.310000000001"/>
    <x v="0"/>
  </r>
  <r>
    <x v="10"/>
    <x v="0"/>
    <x v="5"/>
    <x v="0"/>
    <x v="1"/>
    <x v="1"/>
    <x v="0"/>
    <n v="17"/>
    <n v="97450.57"/>
    <n v="254085.17"/>
    <x v="0"/>
  </r>
  <r>
    <x v="10"/>
    <x v="0"/>
    <x v="5"/>
    <x v="0"/>
    <x v="1"/>
    <x v="1"/>
    <x v="1"/>
    <n v="3"/>
    <n v="17741.73"/>
    <n v="46093.7"/>
    <x v="0"/>
  </r>
  <r>
    <x v="10"/>
    <x v="0"/>
    <x v="5"/>
    <x v="0"/>
    <x v="2"/>
    <x v="0"/>
    <x v="1"/>
    <n v="8"/>
    <n v="41488.19"/>
    <n v="168913.85"/>
    <x v="0"/>
  </r>
  <r>
    <x v="10"/>
    <x v="0"/>
    <x v="5"/>
    <x v="0"/>
    <x v="2"/>
    <x v="1"/>
    <x v="0"/>
    <n v="16"/>
    <n v="84438.64"/>
    <n v="209451.01"/>
    <x v="0"/>
  </r>
  <r>
    <x v="10"/>
    <x v="0"/>
    <x v="5"/>
    <x v="0"/>
    <x v="2"/>
    <x v="1"/>
    <x v="1"/>
    <n v="13"/>
    <n v="73466.92"/>
    <n v="183183.35999999999"/>
    <x v="0"/>
  </r>
  <r>
    <x v="10"/>
    <x v="0"/>
    <x v="5"/>
    <x v="0"/>
    <x v="3"/>
    <x v="0"/>
    <x v="0"/>
    <n v="1"/>
    <n v="6454.25"/>
    <n v="26367.040000000001"/>
    <x v="0"/>
  </r>
  <r>
    <x v="10"/>
    <x v="0"/>
    <x v="5"/>
    <x v="0"/>
    <x v="3"/>
    <x v="0"/>
    <x v="1"/>
    <n v="12"/>
    <n v="63328.87"/>
    <n v="256254.67"/>
    <x v="0"/>
  </r>
  <r>
    <x v="10"/>
    <x v="0"/>
    <x v="5"/>
    <x v="0"/>
    <x v="3"/>
    <x v="1"/>
    <x v="0"/>
    <n v="14"/>
    <n v="83395.73"/>
    <n v="217172.12"/>
    <x v="0"/>
  </r>
  <r>
    <x v="10"/>
    <x v="0"/>
    <x v="5"/>
    <x v="0"/>
    <x v="3"/>
    <x v="1"/>
    <x v="1"/>
    <n v="24"/>
    <n v="129571.61"/>
    <n v="333210.17"/>
    <x v="0"/>
  </r>
  <r>
    <x v="10"/>
    <x v="0"/>
    <x v="5"/>
    <x v="0"/>
    <x v="28"/>
    <x v="1"/>
    <x v="1"/>
    <n v="8"/>
    <n v="49068.49"/>
    <n v="133102.47"/>
    <x v="0"/>
  </r>
  <r>
    <x v="10"/>
    <x v="0"/>
    <x v="5"/>
    <x v="0"/>
    <x v="4"/>
    <x v="0"/>
    <x v="1"/>
    <n v="1"/>
    <n v="6628.81"/>
    <n v="26367.040000000001"/>
    <x v="0"/>
  </r>
  <r>
    <x v="10"/>
    <x v="0"/>
    <x v="5"/>
    <x v="0"/>
    <x v="4"/>
    <x v="1"/>
    <x v="0"/>
    <n v="4"/>
    <n v="25438.05"/>
    <n v="67499.63"/>
    <x v="0"/>
  </r>
  <r>
    <x v="10"/>
    <x v="0"/>
    <x v="5"/>
    <x v="0"/>
    <x v="4"/>
    <x v="1"/>
    <x v="1"/>
    <n v="12"/>
    <n v="67186.78"/>
    <n v="173039.98"/>
    <x v="0"/>
  </r>
  <r>
    <x v="10"/>
    <x v="0"/>
    <x v="5"/>
    <x v="0"/>
    <x v="5"/>
    <x v="0"/>
    <x v="1"/>
    <n v="2"/>
    <n v="10866.42"/>
    <n v="43670.41"/>
    <x v="0"/>
  </r>
  <r>
    <x v="10"/>
    <x v="0"/>
    <x v="5"/>
    <x v="0"/>
    <x v="5"/>
    <x v="1"/>
    <x v="0"/>
    <n v="1"/>
    <n v="6751.8"/>
    <n v="17375.88"/>
    <x v="0"/>
  </r>
  <r>
    <x v="10"/>
    <x v="0"/>
    <x v="5"/>
    <x v="0"/>
    <x v="5"/>
    <x v="1"/>
    <x v="1"/>
    <n v="8"/>
    <n v="47528.22"/>
    <n v="128431.08"/>
    <x v="0"/>
  </r>
  <r>
    <x v="10"/>
    <x v="0"/>
    <x v="5"/>
    <x v="0"/>
    <x v="6"/>
    <x v="0"/>
    <x v="1"/>
    <n v="1"/>
    <n v="6262.21"/>
    <n v="26367.040000000001"/>
    <x v="0"/>
  </r>
  <r>
    <x v="10"/>
    <x v="0"/>
    <x v="5"/>
    <x v="0"/>
    <x v="7"/>
    <x v="1"/>
    <x v="1"/>
    <n v="4"/>
    <n v="18761.34"/>
    <n v="50637.9"/>
    <x v="0"/>
  </r>
  <r>
    <x v="10"/>
    <x v="0"/>
    <x v="5"/>
    <x v="0"/>
    <x v="8"/>
    <x v="0"/>
    <x v="1"/>
    <n v="3"/>
    <n v="15680.33"/>
    <n v="60973.78"/>
    <x v="0"/>
  </r>
  <r>
    <x v="10"/>
    <x v="0"/>
    <x v="5"/>
    <x v="0"/>
    <x v="8"/>
    <x v="1"/>
    <x v="1"/>
    <n v="2"/>
    <n v="8390"/>
    <n v="22044.49"/>
    <x v="0"/>
  </r>
  <r>
    <x v="10"/>
    <x v="0"/>
    <x v="5"/>
    <x v="1"/>
    <x v="30"/>
    <x v="1"/>
    <x v="0"/>
    <n v="1"/>
    <n v="4772.1899999999996"/>
    <n v="13057.45"/>
    <x v="0"/>
  </r>
  <r>
    <x v="10"/>
    <x v="0"/>
    <x v="5"/>
    <x v="1"/>
    <x v="9"/>
    <x v="1"/>
    <x v="1"/>
    <n v="9"/>
    <n v="56650.66"/>
    <n v="153060.67000000001"/>
    <x v="0"/>
  </r>
  <r>
    <x v="10"/>
    <x v="0"/>
    <x v="5"/>
    <x v="1"/>
    <x v="31"/>
    <x v="1"/>
    <x v="0"/>
    <n v="3"/>
    <n v="13667.28"/>
    <n v="37222.839999999997"/>
    <x v="0"/>
  </r>
  <r>
    <x v="10"/>
    <x v="0"/>
    <x v="5"/>
    <x v="1"/>
    <x v="10"/>
    <x v="0"/>
    <x v="1"/>
    <n v="4"/>
    <n v="25960.67"/>
    <n v="105468.16"/>
    <x v="0"/>
  </r>
  <r>
    <x v="10"/>
    <x v="0"/>
    <x v="5"/>
    <x v="1"/>
    <x v="10"/>
    <x v="1"/>
    <x v="0"/>
    <n v="9"/>
    <n v="51617.120000000003"/>
    <n v="145993.46"/>
    <x v="0"/>
  </r>
  <r>
    <x v="10"/>
    <x v="0"/>
    <x v="5"/>
    <x v="1"/>
    <x v="10"/>
    <x v="1"/>
    <x v="1"/>
    <n v="35"/>
    <n v="194004.57"/>
    <n v="537480.15"/>
    <x v="0"/>
  </r>
  <r>
    <x v="10"/>
    <x v="0"/>
    <x v="5"/>
    <x v="1"/>
    <x v="11"/>
    <x v="0"/>
    <x v="1"/>
    <n v="12"/>
    <n v="71252.59"/>
    <n v="292509.34999999998"/>
    <x v="0"/>
  </r>
  <r>
    <x v="10"/>
    <x v="0"/>
    <x v="5"/>
    <x v="1"/>
    <x v="11"/>
    <x v="1"/>
    <x v="0"/>
    <n v="1"/>
    <n v="6383.32"/>
    <n v="17138.580000000002"/>
    <x v="0"/>
  </r>
  <r>
    <x v="10"/>
    <x v="0"/>
    <x v="5"/>
    <x v="1"/>
    <x v="11"/>
    <x v="1"/>
    <x v="1"/>
    <n v="25"/>
    <n v="124997.59"/>
    <n v="332106.31"/>
    <x v="0"/>
  </r>
  <r>
    <x v="10"/>
    <x v="0"/>
    <x v="5"/>
    <x v="1"/>
    <x v="12"/>
    <x v="1"/>
    <x v="0"/>
    <n v="3"/>
    <n v="18506.78"/>
    <n v="54105.17"/>
    <x v="0"/>
  </r>
  <r>
    <x v="10"/>
    <x v="0"/>
    <x v="5"/>
    <x v="1"/>
    <x v="12"/>
    <x v="1"/>
    <x v="1"/>
    <n v="7"/>
    <n v="44957.24"/>
    <n v="126245.39"/>
    <x v="0"/>
  </r>
  <r>
    <x v="10"/>
    <x v="0"/>
    <x v="5"/>
    <x v="1"/>
    <x v="13"/>
    <x v="0"/>
    <x v="1"/>
    <n v="7"/>
    <n v="35618.39"/>
    <n v="145842.69"/>
    <x v="0"/>
  </r>
  <r>
    <x v="10"/>
    <x v="0"/>
    <x v="5"/>
    <x v="1"/>
    <x v="13"/>
    <x v="1"/>
    <x v="0"/>
    <n v="10"/>
    <n v="48539.93"/>
    <n v="137475.26"/>
    <x v="0"/>
  </r>
  <r>
    <x v="10"/>
    <x v="0"/>
    <x v="5"/>
    <x v="1"/>
    <x v="13"/>
    <x v="1"/>
    <x v="1"/>
    <n v="17"/>
    <n v="92658.51"/>
    <n v="253066.71"/>
    <x v="0"/>
  </r>
  <r>
    <x v="10"/>
    <x v="0"/>
    <x v="5"/>
    <x v="1"/>
    <x v="14"/>
    <x v="0"/>
    <x v="1"/>
    <n v="1"/>
    <n v="6372.34"/>
    <n v="26367.040000000001"/>
    <x v="0"/>
  </r>
  <r>
    <x v="10"/>
    <x v="0"/>
    <x v="5"/>
    <x v="1"/>
    <x v="14"/>
    <x v="1"/>
    <x v="0"/>
    <n v="22"/>
    <n v="114762.82"/>
    <n v="310432.36"/>
    <x v="0"/>
  </r>
  <r>
    <x v="10"/>
    <x v="0"/>
    <x v="5"/>
    <x v="1"/>
    <x v="14"/>
    <x v="1"/>
    <x v="1"/>
    <n v="1"/>
    <n v="4631.58"/>
    <n v="12659.48"/>
    <x v="0"/>
  </r>
  <r>
    <x v="10"/>
    <x v="0"/>
    <x v="5"/>
    <x v="1"/>
    <x v="16"/>
    <x v="0"/>
    <x v="1"/>
    <n v="2"/>
    <n v="11065.62"/>
    <n v="45318.35"/>
    <x v="0"/>
  </r>
  <r>
    <x v="10"/>
    <x v="0"/>
    <x v="5"/>
    <x v="1"/>
    <x v="16"/>
    <x v="1"/>
    <x v="0"/>
    <n v="11"/>
    <n v="49091.5"/>
    <n v="129579.17"/>
    <x v="0"/>
  </r>
  <r>
    <x v="10"/>
    <x v="0"/>
    <x v="5"/>
    <x v="1"/>
    <x v="16"/>
    <x v="1"/>
    <x v="1"/>
    <n v="8"/>
    <n v="39491.07"/>
    <n v="105315.57"/>
    <x v="0"/>
  </r>
  <r>
    <x v="10"/>
    <x v="0"/>
    <x v="5"/>
    <x v="1"/>
    <x v="17"/>
    <x v="0"/>
    <x v="1"/>
    <n v="1"/>
    <n v="4677.04"/>
    <n v="18951.310000000001"/>
    <x v="0"/>
  </r>
  <r>
    <x v="10"/>
    <x v="0"/>
    <x v="5"/>
    <x v="1"/>
    <x v="17"/>
    <x v="1"/>
    <x v="0"/>
    <n v="7"/>
    <n v="34424.86"/>
    <n v="92462.62"/>
    <x v="0"/>
  </r>
  <r>
    <x v="10"/>
    <x v="0"/>
    <x v="5"/>
    <x v="1"/>
    <x v="17"/>
    <x v="1"/>
    <x v="1"/>
    <n v="2"/>
    <n v="13143.42"/>
    <n v="35015.43"/>
    <x v="0"/>
  </r>
  <r>
    <x v="10"/>
    <x v="0"/>
    <x v="5"/>
    <x v="1"/>
    <x v="18"/>
    <x v="0"/>
    <x v="1"/>
    <n v="18"/>
    <n v="98752.65"/>
    <n v="399625.45"/>
    <x v="0"/>
  </r>
  <r>
    <x v="10"/>
    <x v="0"/>
    <x v="5"/>
    <x v="1"/>
    <x v="18"/>
    <x v="1"/>
    <x v="0"/>
    <n v="7"/>
    <n v="31998.92"/>
    <n v="89232.320000000007"/>
    <x v="0"/>
  </r>
  <r>
    <x v="10"/>
    <x v="0"/>
    <x v="5"/>
    <x v="1"/>
    <x v="18"/>
    <x v="1"/>
    <x v="1"/>
    <n v="44"/>
    <n v="241161.37"/>
    <n v="668682.65"/>
    <x v="0"/>
  </r>
  <r>
    <x v="10"/>
    <x v="0"/>
    <x v="5"/>
    <x v="1"/>
    <x v="19"/>
    <x v="0"/>
    <x v="1"/>
    <n v="5"/>
    <n v="23572.52"/>
    <n v="97228.46"/>
    <x v="0"/>
  </r>
  <r>
    <x v="10"/>
    <x v="0"/>
    <x v="5"/>
    <x v="1"/>
    <x v="19"/>
    <x v="1"/>
    <x v="0"/>
    <n v="13"/>
    <n v="68027.710000000006"/>
    <n v="182563.98"/>
    <x v="0"/>
  </r>
  <r>
    <x v="10"/>
    <x v="0"/>
    <x v="5"/>
    <x v="1"/>
    <x v="19"/>
    <x v="1"/>
    <x v="1"/>
    <n v="18"/>
    <n v="104669.44"/>
    <n v="288784.99"/>
    <x v="0"/>
  </r>
  <r>
    <x v="10"/>
    <x v="0"/>
    <x v="5"/>
    <x v="1"/>
    <x v="20"/>
    <x v="0"/>
    <x v="0"/>
    <n v="4"/>
    <n v="21440.25"/>
    <n v="88988.76"/>
    <x v="0"/>
  </r>
  <r>
    <x v="10"/>
    <x v="0"/>
    <x v="5"/>
    <x v="1"/>
    <x v="20"/>
    <x v="0"/>
    <x v="1"/>
    <n v="7"/>
    <n v="38653.06"/>
    <n v="154906.35999999999"/>
    <x v="0"/>
  </r>
  <r>
    <x v="10"/>
    <x v="0"/>
    <x v="5"/>
    <x v="1"/>
    <x v="20"/>
    <x v="1"/>
    <x v="0"/>
    <n v="11"/>
    <n v="58888.54"/>
    <n v="156239.54999999999"/>
    <x v="0"/>
  </r>
  <r>
    <x v="10"/>
    <x v="0"/>
    <x v="5"/>
    <x v="1"/>
    <x v="20"/>
    <x v="1"/>
    <x v="1"/>
    <n v="27"/>
    <n v="138379.03"/>
    <n v="376623.67"/>
    <x v="0"/>
  </r>
  <r>
    <x v="10"/>
    <x v="0"/>
    <x v="5"/>
    <x v="2"/>
    <x v="21"/>
    <x v="0"/>
    <x v="0"/>
    <n v="4"/>
    <n v="19957.71"/>
    <n v="81573.03"/>
    <x v="0"/>
  </r>
  <r>
    <x v="10"/>
    <x v="0"/>
    <x v="5"/>
    <x v="2"/>
    <x v="22"/>
    <x v="0"/>
    <x v="1"/>
    <n v="1"/>
    <n v="4459.82"/>
    <n v="17303.37"/>
    <x v="0"/>
  </r>
  <r>
    <x v="10"/>
    <x v="0"/>
    <x v="5"/>
    <x v="2"/>
    <x v="22"/>
    <x v="1"/>
    <x v="0"/>
    <n v="12"/>
    <n v="66426.490000000005"/>
    <n v="154804.72"/>
    <x v="0"/>
  </r>
  <r>
    <x v="10"/>
    <x v="0"/>
    <x v="5"/>
    <x v="2"/>
    <x v="22"/>
    <x v="1"/>
    <x v="1"/>
    <n v="7"/>
    <n v="38382.160000000003"/>
    <n v="92987.15"/>
    <x v="0"/>
  </r>
  <r>
    <x v="10"/>
    <x v="0"/>
    <x v="5"/>
    <x v="2"/>
    <x v="29"/>
    <x v="0"/>
    <x v="1"/>
    <n v="1"/>
    <n v="4578.84"/>
    <n v="18951.310000000001"/>
    <x v="0"/>
  </r>
  <r>
    <x v="10"/>
    <x v="0"/>
    <x v="5"/>
    <x v="2"/>
    <x v="24"/>
    <x v="0"/>
    <x v="1"/>
    <n v="1"/>
    <n v="4741.07"/>
    <n v="18951.310000000001"/>
    <x v="0"/>
  </r>
  <r>
    <x v="10"/>
    <x v="0"/>
    <x v="5"/>
    <x v="2"/>
    <x v="24"/>
    <x v="1"/>
    <x v="0"/>
    <n v="3"/>
    <n v="19862.66"/>
    <n v="49042.69"/>
    <x v="0"/>
  </r>
  <r>
    <x v="10"/>
    <x v="0"/>
    <x v="5"/>
    <x v="2"/>
    <x v="24"/>
    <x v="1"/>
    <x v="1"/>
    <n v="4"/>
    <n v="19701.310000000001"/>
    <n v="50575.27"/>
    <x v="0"/>
  </r>
  <r>
    <x v="10"/>
    <x v="0"/>
    <x v="5"/>
    <x v="3"/>
    <x v="25"/>
    <x v="0"/>
    <x v="1"/>
    <n v="4"/>
    <n v="23911.360000000001"/>
    <n v="96404.49"/>
    <x v="0"/>
  </r>
  <r>
    <x v="10"/>
    <x v="0"/>
    <x v="5"/>
    <x v="3"/>
    <x v="25"/>
    <x v="1"/>
    <x v="0"/>
    <n v="4"/>
    <n v="18265.349999999999"/>
    <n v="50797.75"/>
    <x v="0"/>
  </r>
  <r>
    <x v="10"/>
    <x v="0"/>
    <x v="5"/>
    <x v="3"/>
    <x v="25"/>
    <x v="1"/>
    <x v="1"/>
    <n v="16"/>
    <n v="87226.63"/>
    <n v="241571.52"/>
    <x v="0"/>
  </r>
  <r>
    <x v="10"/>
    <x v="0"/>
    <x v="5"/>
    <x v="3"/>
    <x v="26"/>
    <x v="0"/>
    <x v="0"/>
    <n v="1"/>
    <n v="4622.34"/>
    <n v="18951.310000000001"/>
    <x v="0"/>
  </r>
  <r>
    <x v="10"/>
    <x v="0"/>
    <x v="5"/>
    <x v="3"/>
    <x v="26"/>
    <x v="1"/>
    <x v="0"/>
    <n v="3"/>
    <n v="17756.32"/>
    <n v="49462.92"/>
    <x v="0"/>
  </r>
  <r>
    <x v="10"/>
    <x v="0"/>
    <x v="5"/>
    <x v="3"/>
    <x v="26"/>
    <x v="1"/>
    <x v="1"/>
    <n v="7"/>
    <n v="44400.32"/>
    <n v="121712.18"/>
    <x v="0"/>
  </r>
  <r>
    <x v="10"/>
    <x v="0"/>
    <x v="5"/>
    <x v="3"/>
    <x v="27"/>
    <x v="0"/>
    <x v="0"/>
    <n v="2"/>
    <n v="10831.2"/>
    <n v="43670.41"/>
    <x v="0"/>
  </r>
  <r>
    <x v="10"/>
    <x v="0"/>
    <x v="5"/>
    <x v="3"/>
    <x v="27"/>
    <x v="0"/>
    <x v="1"/>
    <n v="7"/>
    <n v="39132.04"/>
    <n v="157378.26999999999"/>
    <x v="0"/>
  </r>
  <r>
    <x v="10"/>
    <x v="0"/>
    <x v="5"/>
    <x v="3"/>
    <x v="27"/>
    <x v="1"/>
    <x v="0"/>
    <n v="16"/>
    <n v="82412.41"/>
    <n v="222807.17"/>
    <x v="0"/>
  </r>
  <r>
    <x v="10"/>
    <x v="0"/>
    <x v="5"/>
    <x v="3"/>
    <x v="27"/>
    <x v="1"/>
    <x v="1"/>
    <n v="23"/>
    <n v="127677.83"/>
    <n v="348774.46"/>
    <x v="0"/>
  </r>
  <r>
    <x v="10"/>
    <x v="0"/>
    <x v="6"/>
    <x v="0"/>
    <x v="0"/>
    <x v="0"/>
    <x v="0"/>
    <n v="3"/>
    <n v="9067.9"/>
    <n v="30947.040000000001"/>
    <x v="0"/>
  </r>
  <r>
    <x v="10"/>
    <x v="0"/>
    <x v="6"/>
    <x v="0"/>
    <x v="0"/>
    <x v="0"/>
    <x v="1"/>
    <n v="1"/>
    <n v="1807.21"/>
    <n v="6447.3"/>
    <x v="0"/>
  </r>
  <r>
    <x v="10"/>
    <x v="0"/>
    <x v="6"/>
    <x v="0"/>
    <x v="0"/>
    <x v="1"/>
    <x v="0"/>
    <n v="2"/>
    <n v="5884.08"/>
    <n v="13492.9"/>
    <x v="0"/>
  </r>
  <r>
    <x v="10"/>
    <x v="0"/>
    <x v="6"/>
    <x v="0"/>
    <x v="0"/>
    <x v="1"/>
    <x v="1"/>
    <n v="2"/>
    <n v="4215.8999999999996"/>
    <n v="9698.0400000000009"/>
    <x v="0"/>
  </r>
  <r>
    <x v="10"/>
    <x v="0"/>
    <x v="6"/>
    <x v="0"/>
    <x v="1"/>
    <x v="0"/>
    <x v="0"/>
    <n v="2"/>
    <n v="5023.6899999999996"/>
    <n v="17730.080000000002"/>
    <x v="0"/>
  </r>
  <r>
    <x v="10"/>
    <x v="0"/>
    <x v="6"/>
    <x v="0"/>
    <x v="1"/>
    <x v="0"/>
    <x v="1"/>
    <n v="3"/>
    <n v="6005.53"/>
    <n v="21276.1"/>
    <x v="0"/>
  </r>
  <r>
    <x v="10"/>
    <x v="0"/>
    <x v="6"/>
    <x v="0"/>
    <x v="1"/>
    <x v="1"/>
    <x v="0"/>
    <n v="9"/>
    <n v="20680.919999999998"/>
    <n v="46638.17"/>
    <x v="0"/>
  </r>
  <r>
    <x v="10"/>
    <x v="0"/>
    <x v="6"/>
    <x v="0"/>
    <x v="1"/>
    <x v="1"/>
    <x v="1"/>
    <n v="32"/>
    <n v="84156.43"/>
    <n v="188026.97"/>
    <x v="0"/>
  </r>
  <r>
    <x v="10"/>
    <x v="0"/>
    <x v="6"/>
    <x v="0"/>
    <x v="2"/>
    <x v="0"/>
    <x v="1"/>
    <n v="1"/>
    <n v="3008.64"/>
    <n v="10315.68"/>
    <x v="0"/>
  </r>
  <r>
    <x v="10"/>
    <x v="0"/>
    <x v="6"/>
    <x v="0"/>
    <x v="2"/>
    <x v="1"/>
    <x v="0"/>
    <n v="4"/>
    <n v="9507.7199999999993"/>
    <n v="20600.12"/>
    <x v="0"/>
  </r>
  <r>
    <x v="10"/>
    <x v="0"/>
    <x v="6"/>
    <x v="0"/>
    <x v="2"/>
    <x v="1"/>
    <x v="1"/>
    <n v="19"/>
    <n v="50251.15"/>
    <n v="107301.13"/>
    <x v="0"/>
  </r>
  <r>
    <x v="10"/>
    <x v="0"/>
    <x v="6"/>
    <x v="0"/>
    <x v="3"/>
    <x v="0"/>
    <x v="0"/>
    <n v="2"/>
    <n v="4746.26"/>
    <n v="16762.98"/>
    <x v="0"/>
  </r>
  <r>
    <x v="10"/>
    <x v="0"/>
    <x v="6"/>
    <x v="0"/>
    <x v="3"/>
    <x v="0"/>
    <x v="1"/>
    <n v="6"/>
    <n v="16634.09"/>
    <n v="58992.800000000003"/>
    <x v="0"/>
  </r>
  <r>
    <x v="10"/>
    <x v="0"/>
    <x v="6"/>
    <x v="0"/>
    <x v="3"/>
    <x v="1"/>
    <x v="0"/>
    <n v="12"/>
    <n v="30278.13"/>
    <n v="68721.789999999994"/>
    <x v="0"/>
  </r>
  <r>
    <x v="10"/>
    <x v="0"/>
    <x v="6"/>
    <x v="0"/>
    <x v="3"/>
    <x v="1"/>
    <x v="1"/>
    <n v="50"/>
    <n v="127925.14"/>
    <n v="288215"/>
    <x v="0"/>
  </r>
  <r>
    <x v="10"/>
    <x v="0"/>
    <x v="6"/>
    <x v="0"/>
    <x v="28"/>
    <x v="1"/>
    <x v="1"/>
    <n v="5"/>
    <n v="14661.7"/>
    <n v="33732.269999999997"/>
    <x v="0"/>
  </r>
  <r>
    <x v="10"/>
    <x v="0"/>
    <x v="6"/>
    <x v="0"/>
    <x v="4"/>
    <x v="0"/>
    <x v="1"/>
    <n v="5"/>
    <n v="11119.24"/>
    <n v="39006.18"/>
    <x v="0"/>
  </r>
  <r>
    <x v="10"/>
    <x v="0"/>
    <x v="6"/>
    <x v="0"/>
    <x v="4"/>
    <x v="1"/>
    <x v="0"/>
    <n v="18"/>
    <n v="51591.28"/>
    <n v="113885.12"/>
    <x v="0"/>
  </r>
  <r>
    <x v="10"/>
    <x v="0"/>
    <x v="6"/>
    <x v="0"/>
    <x v="4"/>
    <x v="1"/>
    <x v="1"/>
    <n v="16"/>
    <n v="45185.59"/>
    <n v="99452.04"/>
    <x v="0"/>
  </r>
  <r>
    <x v="10"/>
    <x v="0"/>
    <x v="6"/>
    <x v="0"/>
    <x v="5"/>
    <x v="0"/>
    <x v="1"/>
    <n v="7"/>
    <n v="18925.330000000002"/>
    <n v="66407.199999999997"/>
    <x v="0"/>
  </r>
  <r>
    <x v="10"/>
    <x v="0"/>
    <x v="6"/>
    <x v="0"/>
    <x v="5"/>
    <x v="1"/>
    <x v="0"/>
    <n v="3"/>
    <n v="8796.9"/>
    <n v="20394.099999999999"/>
    <x v="0"/>
  </r>
  <r>
    <x v="10"/>
    <x v="0"/>
    <x v="6"/>
    <x v="0"/>
    <x v="5"/>
    <x v="1"/>
    <x v="1"/>
    <n v="9"/>
    <n v="25844.33"/>
    <n v="59075.5"/>
    <x v="0"/>
  </r>
  <r>
    <x v="10"/>
    <x v="0"/>
    <x v="6"/>
    <x v="0"/>
    <x v="6"/>
    <x v="0"/>
    <x v="1"/>
    <n v="6"/>
    <n v="17718.189999999999"/>
    <n v="61894.080000000002"/>
    <x v="0"/>
  </r>
  <r>
    <x v="10"/>
    <x v="0"/>
    <x v="6"/>
    <x v="0"/>
    <x v="6"/>
    <x v="1"/>
    <x v="1"/>
    <n v="2"/>
    <n v="6019.82"/>
    <n v="13554.8"/>
    <x v="0"/>
  </r>
  <r>
    <x v="10"/>
    <x v="0"/>
    <x v="6"/>
    <x v="0"/>
    <x v="8"/>
    <x v="0"/>
    <x v="1"/>
    <n v="2"/>
    <n v="3963.35"/>
    <n v="13861.7"/>
    <x v="0"/>
  </r>
  <r>
    <x v="10"/>
    <x v="0"/>
    <x v="6"/>
    <x v="1"/>
    <x v="30"/>
    <x v="1"/>
    <x v="0"/>
    <n v="3"/>
    <n v="6661.04"/>
    <n v="15991.88"/>
    <x v="0"/>
  </r>
  <r>
    <x v="10"/>
    <x v="0"/>
    <x v="6"/>
    <x v="1"/>
    <x v="9"/>
    <x v="1"/>
    <x v="1"/>
    <n v="12"/>
    <n v="32883.53"/>
    <n v="79178.02"/>
    <x v="0"/>
  </r>
  <r>
    <x v="10"/>
    <x v="0"/>
    <x v="6"/>
    <x v="1"/>
    <x v="10"/>
    <x v="0"/>
    <x v="1"/>
    <n v="4"/>
    <n v="9876.43"/>
    <n v="34493.06"/>
    <x v="0"/>
  </r>
  <r>
    <x v="10"/>
    <x v="0"/>
    <x v="6"/>
    <x v="1"/>
    <x v="10"/>
    <x v="1"/>
    <x v="0"/>
    <n v="14"/>
    <n v="35860.519999999997"/>
    <n v="86622.07"/>
    <x v="0"/>
  </r>
  <r>
    <x v="10"/>
    <x v="0"/>
    <x v="6"/>
    <x v="1"/>
    <x v="10"/>
    <x v="1"/>
    <x v="1"/>
    <n v="29"/>
    <n v="81848.14"/>
    <n v="192151.46"/>
    <x v="0"/>
  </r>
  <r>
    <x v="10"/>
    <x v="0"/>
    <x v="6"/>
    <x v="1"/>
    <x v="11"/>
    <x v="0"/>
    <x v="1"/>
    <n v="18"/>
    <n v="49676.58"/>
    <n v="171175.84"/>
    <x v="0"/>
  </r>
  <r>
    <x v="10"/>
    <x v="0"/>
    <x v="6"/>
    <x v="1"/>
    <x v="11"/>
    <x v="1"/>
    <x v="0"/>
    <n v="8"/>
    <n v="22835.53"/>
    <n v="51755.7"/>
    <x v="0"/>
  </r>
  <r>
    <x v="10"/>
    <x v="0"/>
    <x v="6"/>
    <x v="1"/>
    <x v="11"/>
    <x v="1"/>
    <x v="1"/>
    <n v="27"/>
    <n v="67381.8"/>
    <n v="152056.57999999999"/>
    <x v="0"/>
  </r>
  <r>
    <x v="10"/>
    <x v="0"/>
    <x v="6"/>
    <x v="1"/>
    <x v="12"/>
    <x v="1"/>
    <x v="1"/>
    <n v="5"/>
    <n v="14735.25"/>
    <n v="35279.629999999997"/>
    <x v="0"/>
  </r>
  <r>
    <x v="10"/>
    <x v="0"/>
    <x v="6"/>
    <x v="1"/>
    <x v="13"/>
    <x v="0"/>
    <x v="1"/>
    <n v="6"/>
    <n v="15051.51"/>
    <n v="52223.14"/>
    <x v="0"/>
  </r>
  <r>
    <x v="10"/>
    <x v="0"/>
    <x v="6"/>
    <x v="1"/>
    <x v="13"/>
    <x v="1"/>
    <x v="1"/>
    <n v="13"/>
    <n v="38514.949999999997"/>
    <n v="91140.39"/>
    <x v="0"/>
  </r>
  <r>
    <x v="10"/>
    <x v="0"/>
    <x v="6"/>
    <x v="1"/>
    <x v="14"/>
    <x v="1"/>
    <x v="0"/>
    <n v="14"/>
    <n v="39131.589999999997"/>
    <n v="90412.97"/>
    <x v="0"/>
  </r>
  <r>
    <x v="10"/>
    <x v="0"/>
    <x v="6"/>
    <x v="1"/>
    <x v="14"/>
    <x v="1"/>
    <x v="1"/>
    <n v="11"/>
    <n v="32241.759999999998"/>
    <n v="72360.78"/>
    <x v="0"/>
  </r>
  <r>
    <x v="10"/>
    <x v="0"/>
    <x v="6"/>
    <x v="1"/>
    <x v="15"/>
    <x v="1"/>
    <x v="0"/>
    <n v="1"/>
    <n v="3013.83"/>
    <n v="6874.95"/>
    <x v="0"/>
  </r>
  <r>
    <x v="10"/>
    <x v="0"/>
    <x v="6"/>
    <x v="1"/>
    <x v="16"/>
    <x v="0"/>
    <x v="1"/>
    <n v="3"/>
    <n v="7116.81"/>
    <n v="25144.48"/>
    <x v="0"/>
  </r>
  <r>
    <x v="10"/>
    <x v="0"/>
    <x v="6"/>
    <x v="1"/>
    <x v="16"/>
    <x v="1"/>
    <x v="0"/>
    <n v="12"/>
    <n v="26912.99"/>
    <n v="62362.2"/>
    <x v="0"/>
  </r>
  <r>
    <x v="10"/>
    <x v="0"/>
    <x v="6"/>
    <x v="1"/>
    <x v="16"/>
    <x v="1"/>
    <x v="1"/>
    <n v="18"/>
    <n v="47749.14"/>
    <n v="110088.31"/>
    <x v="0"/>
  </r>
  <r>
    <x v="10"/>
    <x v="0"/>
    <x v="6"/>
    <x v="1"/>
    <x v="17"/>
    <x v="0"/>
    <x v="1"/>
    <n v="2"/>
    <n v="5855.24"/>
    <n v="20631.36"/>
    <x v="0"/>
  </r>
  <r>
    <x v="10"/>
    <x v="0"/>
    <x v="6"/>
    <x v="1"/>
    <x v="17"/>
    <x v="1"/>
    <x v="0"/>
    <n v="5"/>
    <n v="12321.08"/>
    <n v="28468.7"/>
    <x v="0"/>
  </r>
  <r>
    <x v="10"/>
    <x v="0"/>
    <x v="6"/>
    <x v="1"/>
    <x v="17"/>
    <x v="1"/>
    <x v="1"/>
    <n v="3"/>
    <n v="6352.8"/>
    <n v="14769.48"/>
    <x v="0"/>
  </r>
  <r>
    <x v="10"/>
    <x v="0"/>
    <x v="6"/>
    <x v="1"/>
    <x v="18"/>
    <x v="0"/>
    <x v="1"/>
    <n v="10"/>
    <n v="24359.18"/>
    <n v="85749.1"/>
    <x v="0"/>
  </r>
  <r>
    <x v="10"/>
    <x v="0"/>
    <x v="6"/>
    <x v="1"/>
    <x v="18"/>
    <x v="1"/>
    <x v="0"/>
    <n v="9"/>
    <n v="18814.03"/>
    <n v="46377.08"/>
    <x v="0"/>
  </r>
  <r>
    <x v="10"/>
    <x v="0"/>
    <x v="6"/>
    <x v="1"/>
    <x v="18"/>
    <x v="1"/>
    <x v="1"/>
    <n v="12"/>
    <n v="30131"/>
    <n v="73262.31"/>
    <x v="0"/>
  </r>
  <r>
    <x v="10"/>
    <x v="0"/>
    <x v="6"/>
    <x v="1"/>
    <x v="19"/>
    <x v="0"/>
    <x v="1"/>
    <n v="6"/>
    <n v="16275.31"/>
    <n v="56091.519999999997"/>
    <x v="0"/>
  </r>
  <r>
    <x v="10"/>
    <x v="0"/>
    <x v="6"/>
    <x v="1"/>
    <x v="19"/>
    <x v="1"/>
    <x v="0"/>
    <n v="9"/>
    <n v="27118.15"/>
    <n v="62574.91"/>
    <x v="0"/>
  </r>
  <r>
    <x v="10"/>
    <x v="0"/>
    <x v="6"/>
    <x v="1"/>
    <x v="19"/>
    <x v="1"/>
    <x v="1"/>
    <n v="19"/>
    <n v="49145.67"/>
    <n v="114923.12"/>
    <x v="0"/>
  </r>
  <r>
    <x v="10"/>
    <x v="0"/>
    <x v="6"/>
    <x v="1"/>
    <x v="20"/>
    <x v="0"/>
    <x v="0"/>
    <n v="4"/>
    <n v="8920.86"/>
    <n v="31591.78"/>
    <x v="0"/>
  </r>
  <r>
    <x v="10"/>
    <x v="0"/>
    <x v="6"/>
    <x v="1"/>
    <x v="20"/>
    <x v="0"/>
    <x v="1"/>
    <n v="10"/>
    <n v="24106.47"/>
    <n v="83814.92"/>
    <x v="0"/>
  </r>
  <r>
    <x v="10"/>
    <x v="0"/>
    <x v="6"/>
    <x v="1"/>
    <x v="20"/>
    <x v="1"/>
    <x v="0"/>
    <n v="19"/>
    <n v="56185.99"/>
    <n v="126013.91"/>
    <x v="0"/>
  </r>
  <r>
    <x v="10"/>
    <x v="0"/>
    <x v="6"/>
    <x v="1"/>
    <x v="20"/>
    <x v="1"/>
    <x v="1"/>
    <n v="42"/>
    <n v="117322.32"/>
    <n v="267229.67"/>
    <x v="0"/>
  </r>
  <r>
    <x v="10"/>
    <x v="0"/>
    <x v="6"/>
    <x v="2"/>
    <x v="21"/>
    <x v="0"/>
    <x v="0"/>
    <n v="1"/>
    <n v="2077.71"/>
    <n v="7414.4"/>
    <x v="0"/>
  </r>
  <r>
    <x v="10"/>
    <x v="0"/>
    <x v="6"/>
    <x v="2"/>
    <x v="21"/>
    <x v="1"/>
    <x v="1"/>
    <n v="10"/>
    <n v="27522.639999999999"/>
    <n v="58110.81"/>
    <x v="0"/>
  </r>
  <r>
    <x v="10"/>
    <x v="0"/>
    <x v="6"/>
    <x v="2"/>
    <x v="22"/>
    <x v="0"/>
    <x v="1"/>
    <n v="2"/>
    <n v="5962.7"/>
    <n v="20631.36"/>
    <x v="0"/>
  </r>
  <r>
    <x v="10"/>
    <x v="0"/>
    <x v="6"/>
    <x v="2"/>
    <x v="22"/>
    <x v="1"/>
    <x v="0"/>
    <n v="15"/>
    <n v="39152.61"/>
    <n v="83336.78"/>
    <x v="0"/>
  </r>
  <r>
    <x v="10"/>
    <x v="0"/>
    <x v="6"/>
    <x v="2"/>
    <x v="22"/>
    <x v="1"/>
    <x v="1"/>
    <n v="5"/>
    <n v="13997.73"/>
    <n v="29061.05"/>
    <x v="0"/>
  </r>
  <r>
    <x v="10"/>
    <x v="0"/>
    <x v="6"/>
    <x v="2"/>
    <x v="29"/>
    <x v="0"/>
    <x v="1"/>
    <n v="3"/>
    <n v="6516.83"/>
    <n v="23210.28"/>
    <x v="0"/>
  </r>
  <r>
    <x v="10"/>
    <x v="0"/>
    <x v="6"/>
    <x v="2"/>
    <x v="29"/>
    <x v="1"/>
    <x v="1"/>
    <n v="5"/>
    <n v="9042.9500000000007"/>
    <n v="20857.02"/>
    <x v="0"/>
  </r>
  <r>
    <x v="10"/>
    <x v="0"/>
    <x v="6"/>
    <x v="2"/>
    <x v="24"/>
    <x v="1"/>
    <x v="0"/>
    <n v="8"/>
    <n v="23605.51"/>
    <n v="51165.760000000002"/>
    <x v="0"/>
  </r>
  <r>
    <x v="10"/>
    <x v="0"/>
    <x v="6"/>
    <x v="3"/>
    <x v="25"/>
    <x v="0"/>
    <x v="1"/>
    <n v="1"/>
    <n v="3008.67"/>
    <n v="10315.68"/>
    <x v="0"/>
  </r>
  <r>
    <x v="10"/>
    <x v="0"/>
    <x v="6"/>
    <x v="3"/>
    <x v="25"/>
    <x v="1"/>
    <x v="0"/>
    <n v="1"/>
    <n v="2111.73"/>
    <n v="5078.8599999999997"/>
    <x v="0"/>
  </r>
  <r>
    <x v="10"/>
    <x v="0"/>
    <x v="6"/>
    <x v="3"/>
    <x v="25"/>
    <x v="1"/>
    <x v="1"/>
    <n v="12"/>
    <n v="29331.98"/>
    <n v="69558.3"/>
    <x v="0"/>
  </r>
  <r>
    <x v="10"/>
    <x v="0"/>
    <x v="6"/>
    <x v="3"/>
    <x v="26"/>
    <x v="0"/>
    <x v="0"/>
    <n v="3"/>
    <n v="7134.03"/>
    <n v="25144.48"/>
    <x v="0"/>
  </r>
  <r>
    <x v="10"/>
    <x v="0"/>
    <x v="6"/>
    <x v="3"/>
    <x v="26"/>
    <x v="0"/>
    <x v="1"/>
    <n v="1"/>
    <n v="1834.98"/>
    <n v="6447.3"/>
    <x v="0"/>
  </r>
  <r>
    <x v="10"/>
    <x v="0"/>
    <x v="6"/>
    <x v="3"/>
    <x v="26"/>
    <x v="1"/>
    <x v="0"/>
    <n v="2"/>
    <n v="4151.72"/>
    <n v="10231.870000000001"/>
    <x v="0"/>
  </r>
  <r>
    <x v="10"/>
    <x v="0"/>
    <x v="6"/>
    <x v="3"/>
    <x v="26"/>
    <x v="1"/>
    <x v="1"/>
    <n v="16"/>
    <n v="47288.25"/>
    <n v="113885.12"/>
    <x v="0"/>
  </r>
  <r>
    <x v="10"/>
    <x v="0"/>
    <x v="6"/>
    <x v="3"/>
    <x v="27"/>
    <x v="0"/>
    <x v="0"/>
    <n v="6"/>
    <n v="15603.69"/>
    <n v="55124.42"/>
    <x v="0"/>
  </r>
  <r>
    <x v="10"/>
    <x v="0"/>
    <x v="6"/>
    <x v="3"/>
    <x v="27"/>
    <x v="0"/>
    <x v="1"/>
    <n v="7"/>
    <n v="18781.82"/>
    <n v="65440.1"/>
    <x v="0"/>
  </r>
  <r>
    <x v="10"/>
    <x v="0"/>
    <x v="6"/>
    <x v="3"/>
    <x v="27"/>
    <x v="1"/>
    <x v="0"/>
    <n v="13"/>
    <n v="32734.69"/>
    <n v="77218.179999999993"/>
    <x v="0"/>
  </r>
  <r>
    <x v="10"/>
    <x v="0"/>
    <x v="6"/>
    <x v="3"/>
    <x v="27"/>
    <x v="1"/>
    <x v="1"/>
    <n v="30"/>
    <n v="74240.89"/>
    <n v="174199.01"/>
    <x v="0"/>
  </r>
  <r>
    <x v="10"/>
    <x v="0"/>
    <x v="7"/>
    <x v="0"/>
    <x v="0"/>
    <x v="0"/>
    <x v="0"/>
    <n v="3"/>
    <n v="14344.51"/>
    <n v="56875.19"/>
    <x v="0"/>
  </r>
  <r>
    <x v="10"/>
    <x v="0"/>
    <x v="7"/>
    <x v="0"/>
    <x v="0"/>
    <x v="0"/>
    <x v="1"/>
    <n v="2"/>
    <n v="9319"/>
    <n v="35885.54"/>
    <x v="0"/>
  </r>
  <r>
    <x v="10"/>
    <x v="0"/>
    <x v="7"/>
    <x v="0"/>
    <x v="0"/>
    <x v="1"/>
    <x v="0"/>
    <n v="9"/>
    <n v="42020.03"/>
    <n v="103175.67999999999"/>
    <x v="0"/>
  </r>
  <r>
    <x v="10"/>
    <x v="0"/>
    <x v="7"/>
    <x v="0"/>
    <x v="0"/>
    <x v="1"/>
    <x v="1"/>
    <n v="13"/>
    <n v="56797.440000000002"/>
    <n v="145243.01999999999"/>
    <x v="0"/>
  </r>
  <r>
    <x v="10"/>
    <x v="0"/>
    <x v="7"/>
    <x v="0"/>
    <x v="1"/>
    <x v="0"/>
    <x v="0"/>
    <n v="1"/>
    <n v="5495.37"/>
    <n v="21666.74"/>
    <x v="0"/>
  </r>
  <r>
    <x v="10"/>
    <x v="0"/>
    <x v="7"/>
    <x v="0"/>
    <x v="1"/>
    <x v="0"/>
    <x v="1"/>
    <n v="5"/>
    <n v="20352.62"/>
    <n v="78541.94"/>
    <x v="0"/>
  </r>
  <r>
    <x v="10"/>
    <x v="0"/>
    <x v="7"/>
    <x v="0"/>
    <x v="1"/>
    <x v="1"/>
    <x v="0"/>
    <n v="26"/>
    <n v="115572.95"/>
    <n v="286035.5"/>
    <x v="0"/>
  </r>
  <r>
    <x v="10"/>
    <x v="0"/>
    <x v="7"/>
    <x v="0"/>
    <x v="1"/>
    <x v="1"/>
    <x v="1"/>
    <n v="26"/>
    <n v="120096.7"/>
    <n v="303450.15999999997"/>
    <x v="0"/>
  </r>
  <r>
    <x v="10"/>
    <x v="0"/>
    <x v="7"/>
    <x v="0"/>
    <x v="2"/>
    <x v="0"/>
    <x v="1"/>
    <n v="7"/>
    <n v="31282.959999999999"/>
    <n v="121875.41"/>
    <x v="0"/>
  </r>
  <r>
    <x v="10"/>
    <x v="0"/>
    <x v="7"/>
    <x v="0"/>
    <x v="2"/>
    <x v="1"/>
    <x v="0"/>
    <n v="7"/>
    <n v="34757.410000000003"/>
    <n v="81836.86"/>
    <x v="0"/>
  </r>
  <r>
    <x v="10"/>
    <x v="0"/>
    <x v="7"/>
    <x v="0"/>
    <x v="2"/>
    <x v="1"/>
    <x v="1"/>
    <n v="12"/>
    <n v="58925.24"/>
    <n v="142101.91"/>
    <x v="0"/>
  </r>
  <r>
    <x v="10"/>
    <x v="0"/>
    <x v="7"/>
    <x v="0"/>
    <x v="3"/>
    <x v="0"/>
    <x v="0"/>
    <n v="1"/>
    <n v="5630.1"/>
    <n v="21666.74"/>
    <x v="0"/>
  </r>
  <r>
    <x v="10"/>
    <x v="0"/>
    <x v="7"/>
    <x v="0"/>
    <x v="3"/>
    <x v="0"/>
    <x v="1"/>
    <n v="8"/>
    <n v="30266.84"/>
    <n v="119167.07"/>
    <x v="0"/>
  </r>
  <r>
    <x v="10"/>
    <x v="0"/>
    <x v="7"/>
    <x v="0"/>
    <x v="3"/>
    <x v="1"/>
    <x v="0"/>
    <n v="21"/>
    <n v="84915.83"/>
    <n v="210447.45"/>
    <x v="0"/>
  </r>
  <r>
    <x v="10"/>
    <x v="0"/>
    <x v="7"/>
    <x v="0"/>
    <x v="3"/>
    <x v="1"/>
    <x v="1"/>
    <n v="39"/>
    <n v="200539.43"/>
    <n v="497123.81"/>
    <x v="0"/>
  </r>
  <r>
    <x v="10"/>
    <x v="0"/>
    <x v="7"/>
    <x v="0"/>
    <x v="28"/>
    <x v="1"/>
    <x v="1"/>
    <n v="5"/>
    <n v="29233.8"/>
    <n v="70850.240000000005"/>
    <x v="0"/>
  </r>
  <r>
    <x v="10"/>
    <x v="0"/>
    <x v="7"/>
    <x v="0"/>
    <x v="4"/>
    <x v="0"/>
    <x v="1"/>
    <n v="1"/>
    <n v="3437.21"/>
    <n v="13541.71"/>
    <x v="0"/>
  </r>
  <r>
    <x v="10"/>
    <x v="0"/>
    <x v="7"/>
    <x v="0"/>
    <x v="4"/>
    <x v="1"/>
    <x v="0"/>
    <n v="3"/>
    <n v="17171.88"/>
    <n v="41600.14"/>
    <x v="0"/>
  </r>
  <r>
    <x v="10"/>
    <x v="0"/>
    <x v="7"/>
    <x v="0"/>
    <x v="4"/>
    <x v="1"/>
    <x v="1"/>
    <n v="3"/>
    <n v="11190.52"/>
    <n v="27300.09"/>
    <x v="0"/>
  </r>
  <r>
    <x v="10"/>
    <x v="0"/>
    <x v="7"/>
    <x v="0"/>
    <x v="5"/>
    <x v="0"/>
    <x v="1"/>
    <n v="6"/>
    <n v="26611.37"/>
    <n v="102239.93"/>
    <x v="0"/>
  </r>
  <r>
    <x v="10"/>
    <x v="0"/>
    <x v="7"/>
    <x v="0"/>
    <x v="5"/>
    <x v="1"/>
    <x v="0"/>
    <n v="3"/>
    <n v="17043.43"/>
    <n v="42835.14"/>
    <x v="0"/>
  </r>
  <r>
    <x v="10"/>
    <x v="0"/>
    <x v="7"/>
    <x v="0"/>
    <x v="5"/>
    <x v="1"/>
    <x v="1"/>
    <n v="10"/>
    <n v="51437.01"/>
    <n v="132967.42000000001"/>
    <x v="0"/>
  </r>
  <r>
    <x v="10"/>
    <x v="0"/>
    <x v="7"/>
    <x v="0"/>
    <x v="6"/>
    <x v="0"/>
    <x v="1"/>
    <n v="4"/>
    <n v="16432.22"/>
    <n v="64323.13"/>
    <x v="0"/>
  </r>
  <r>
    <x v="10"/>
    <x v="0"/>
    <x v="7"/>
    <x v="0"/>
    <x v="6"/>
    <x v="1"/>
    <x v="1"/>
    <n v="5"/>
    <n v="26666"/>
    <n v="67899.27"/>
    <x v="0"/>
  </r>
  <r>
    <x v="10"/>
    <x v="0"/>
    <x v="7"/>
    <x v="0"/>
    <x v="7"/>
    <x v="1"/>
    <x v="1"/>
    <n v="5"/>
    <n v="23979.54"/>
    <n v="62416.46"/>
    <x v="0"/>
  </r>
  <r>
    <x v="10"/>
    <x v="0"/>
    <x v="7"/>
    <x v="0"/>
    <x v="8"/>
    <x v="0"/>
    <x v="1"/>
    <n v="4"/>
    <n v="16459.82"/>
    <n v="63646.05"/>
    <x v="0"/>
  </r>
  <r>
    <x v="10"/>
    <x v="0"/>
    <x v="7"/>
    <x v="0"/>
    <x v="8"/>
    <x v="1"/>
    <x v="1"/>
    <n v="1"/>
    <n v="3448.44"/>
    <n v="8399.1200000000008"/>
    <x v="0"/>
  </r>
  <r>
    <x v="10"/>
    <x v="0"/>
    <x v="7"/>
    <x v="1"/>
    <x v="10"/>
    <x v="0"/>
    <x v="0"/>
    <n v="2"/>
    <n v="9491.2199999999993"/>
    <n v="37239.71"/>
    <x v="0"/>
  </r>
  <r>
    <x v="10"/>
    <x v="0"/>
    <x v="7"/>
    <x v="1"/>
    <x v="10"/>
    <x v="1"/>
    <x v="0"/>
    <n v="9"/>
    <n v="44934.64"/>
    <n v="115166.71"/>
    <x v="0"/>
  </r>
  <r>
    <x v="10"/>
    <x v="0"/>
    <x v="7"/>
    <x v="1"/>
    <x v="10"/>
    <x v="1"/>
    <x v="1"/>
    <n v="33"/>
    <n v="122287.9"/>
    <n v="317626.34999999998"/>
    <x v="0"/>
  </r>
  <r>
    <x v="10"/>
    <x v="0"/>
    <x v="7"/>
    <x v="1"/>
    <x v="11"/>
    <x v="0"/>
    <x v="1"/>
    <n v="9"/>
    <n v="41075.360000000001"/>
    <n v="157760.95000000001"/>
    <x v="0"/>
  </r>
  <r>
    <x v="10"/>
    <x v="0"/>
    <x v="7"/>
    <x v="1"/>
    <x v="11"/>
    <x v="1"/>
    <x v="1"/>
    <n v="21"/>
    <n v="89190.17"/>
    <n v="224013.77"/>
    <x v="0"/>
  </r>
  <r>
    <x v="10"/>
    <x v="0"/>
    <x v="7"/>
    <x v="1"/>
    <x v="12"/>
    <x v="1"/>
    <x v="0"/>
    <n v="4"/>
    <n v="15763.03"/>
    <n v="41936.11"/>
    <x v="0"/>
  </r>
  <r>
    <x v="10"/>
    <x v="0"/>
    <x v="7"/>
    <x v="1"/>
    <x v="12"/>
    <x v="1"/>
    <x v="1"/>
    <n v="7"/>
    <n v="29389.08"/>
    <n v="78268.399999999994"/>
    <x v="0"/>
  </r>
  <r>
    <x v="10"/>
    <x v="0"/>
    <x v="7"/>
    <x v="1"/>
    <x v="13"/>
    <x v="0"/>
    <x v="1"/>
    <n v="2"/>
    <n v="9345.5300000000007"/>
    <n v="35885.54"/>
    <x v="0"/>
  </r>
  <r>
    <x v="10"/>
    <x v="0"/>
    <x v="7"/>
    <x v="1"/>
    <x v="13"/>
    <x v="1"/>
    <x v="0"/>
    <n v="2"/>
    <n v="7047.4"/>
    <n v="19366.009999999998"/>
    <x v="0"/>
  </r>
  <r>
    <x v="10"/>
    <x v="0"/>
    <x v="7"/>
    <x v="1"/>
    <x v="13"/>
    <x v="1"/>
    <x v="1"/>
    <n v="10"/>
    <n v="40360.269999999997"/>
    <n v="106974.12"/>
    <x v="0"/>
  </r>
  <r>
    <x v="10"/>
    <x v="0"/>
    <x v="7"/>
    <x v="1"/>
    <x v="14"/>
    <x v="1"/>
    <x v="0"/>
    <n v="20"/>
    <n v="95777.5"/>
    <n v="247635.37"/>
    <x v="0"/>
  </r>
  <r>
    <x v="10"/>
    <x v="0"/>
    <x v="7"/>
    <x v="1"/>
    <x v="14"/>
    <x v="1"/>
    <x v="1"/>
    <n v="4"/>
    <n v="14228.3"/>
    <n v="37540.339999999997"/>
    <x v="0"/>
  </r>
  <r>
    <x v="10"/>
    <x v="0"/>
    <x v="7"/>
    <x v="1"/>
    <x v="15"/>
    <x v="1"/>
    <x v="0"/>
    <n v="7"/>
    <n v="30466.73"/>
    <n v="84215.91"/>
    <x v="0"/>
  </r>
  <r>
    <x v="10"/>
    <x v="0"/>
    <x v="7"/>
    <x v="1"/>
    <x v="16"/>
    <x v="0"/>
    <x v="1"/>
    <n v="3"/>
    <n v="15172.29"/>
    <n v="57552.28"/>
    <x v="0"/>
  </r>
  <r>
    <x v="10"/>
    <x v="0"/>
    <x v="7"/>
    <x v="1"/>
    <x v="16"/>
    <x v="1"/>
    <x v="0"/>
    <n v="12"/>
    <n v="54064.480000000003"/>
    <n v="139448.49"/>
    <x v="0"/>
  </r>
  <r>
    <x v="10"/>
    <x v="0"/>
    <x v="7"/>
    <x v="1"/>
    <x v="16"/>
    <x v="1"/>
    <x v="1"/>
    <n v="8"/>
    <n v="43143.61"/>
    <n v="114053.71"/>
    <x v="0"/>
  </r>
  <r>
    <x v="10"/>
    <x v="0"/>
    <x v="7"/>
    <x v="1"/>
    <x v="17"/>
    <x v="0"/>
    <x v="1"/>
    <n v="2"/>
    <n v="7393.93"/>
    <n v="28437.599999999999"/>
    <x v="0"/>
  </r>
  <r>
    <x v="10"/>
    <x v="0"/>
    <x v="7"/>
    <x v="1"/>
    <x v="17"/>
    <x v="1"/>
    <x v="0"/>
    <n v="20"/>
    <n v="80381.77"/>
    <n v="206359.46"/>
    <x v="0"/>
  </r>
  <r>
    <x v="10"/>
    <x v="0"/>
    <x v="7"/>
    <x v="1"/>
    <x v="17"/>
    <x v="1"/>
    <x v="1"/>
    <n v="6"/>
    <n v="32675.13"/>
    <n v="80925.279999999999"/>
    <x v="0"/>
  </r>
  <r>
    <x v="10"/>
    <x v="0"/>
    <x v="7"/>
    <x v="1"/>
    <x v="18"/>
    <x v="0"/>
    <x v="1"/>
    <n v="16"/>
    <n v="78194.570000000007"/>
    <n v="301980.2"/>
    <x v="0"/>
  </r>
  <r>
    <x v="10"/>
    <x v="0"/>
    <x v="7"/>
    <x v="1"/>
    <x v="18"/>
    <x v="1"/>
    <x v="0"/>
    <n v="8"/>
    <n v="35287.15"/>
    <n v="94585.48"/>
    <x v="0"/>
  </r>
  <r>
    <x v="10"/>
    <x v="0"/>
    <x v="7"/>
    <x v="1"/>
    <x v="18"/>
    <x v="1"/>
    <x v="1"/>
    <n v="32"/>
    <n v="145720.16"/>
    <n v="393308.44"/>
    <x v="0"/>
  </r>
  <r>
    <x v="10"/>
    <x v="0"/>
    <x v="7"/>
    <x v="1"/>
    <x v="19"/>
    <x v="0"/>
    <x v="1"/>
    <n v="3"/>
    <n v="12667.56"/>
    <n v="50104.34"/>
    <x v="0"/>
  </r>
  <r>
    <x v="10"/>
    <x v="0"/>
    <x v="7"/>
    <x v="1"/>
    <x v="19"/>
    <x v="1"/>
    <x v="0"/>
    <n v="10"/>
    <n v="57151.5"/>
    <n v="146033.82999999999"/>
    <x v="0"/>
  </r>
  <r>
    <x v="10"/>
    <x v="0"/>
    <x v="7"/>
    <x v="1"/>
    <x v="19"/>
    <x v="1"/>
    <x v="1"/>
    <n v="17"/>
    <n v="77788.75"/>
    <n v="198058.39"/>
    <x v="0"/>
  </r>
  <r>
    <x v="10"/>
    <x v="0"/>
    <x v="7"/>
    <x v="1"/>
    <x v="20"/>
    <x v="0"/>
    <x v="0"/>
    <n v="1"/>
    <n v="3737.29"/>
    <n v="14218.8"/>
    <x v="0"/>
  </r>
  <r>
    <x v="10"/>
    <x v="0"/>
    <x v="7"/>
    <x v="1"/>
    <x v="20"/>
    <x v="0"/>
    <x v="1"/>
    <n v="14"/>
    <n v="62476.02"/>
    <n v="244427.92"/>
    <x v="0"/>
  </r>
  <r>
    <x v="10"/>
    <x v="0"/>
    <x v="7"/>
    <x v="1"/>
    <x v="20"/>
    <x v="1"/>
    <x v="0"/>
    <n v="33"/>
    <n v="135118.75"/>
    <n v="343414.46"/>
    <x v="0"/>
  </r>
  <r>
    <x v="10"/>
    <x v="0"/>
    <x v="7"/>
    <x v="1"/>
    <x v="20"/>
    <x v="1"/>
    <x v="1"/>
    <n v="25"/>
    <n v="113922.37"/>
    <n v="294512.67"/>
    <x v="0"/>
  </r>
  <r>
    <x v="10"/>
    <x v="0"/>
    <x v="7"/>
    <x v="2"/>
    <x v="21"/>
    <x v="0"/>
    <x v="0"/>
    <n v="2"/>
    <n v="11149.81"/>
    <n v="43333.48"/>
    <x v="0"/>
  </r>
  <r>
    <x v="10"/>
    <x v="0"/>
    <x v="7"/>
    <x v="2"/>
    <x v="21"/>
    <x v="1"/>
    <x v="1"/>
    <n v="1"/>
    <n v="3615.04"/>
    <n v="8659.25"/>
    <x v="0"/>
  </r>
  <r>
    <x v="10"/>
    <x v="0"/>
    <x v="7"/>
    <x v="2"/>
    <x v="22"/>
    <x v="1"/>
    <x v="0"/>
    <n v="16"/>
    <n v="75832.58"/>
    <n v="178545.45"/>
    <x v="0"/>
  </r>
  <r>
    <x v="10"/>
    <x v="0"/>
    <x v="7"/>
    <x v="2"/>
    <x v="22"/>
    <x v="1"/>
    <x v="1"/>
    <n v="16"/>
    <n v="73281.19"/>
    <n v="174834.34"/>
    <x v="0"/>
  </r>
  <r>
    <x v="10"/>
    <x v="0"/>
    <x v="7"/>
    <x v="2"/>
    <x v="29"/>
    <x v="0"/>
    <x v="1"/>
    <n v="3"/>
    <n v="16784.419999999998"/>
    <n v="65000.22"/>
    <x v="0"/>
  </r>
  <r>
    <x v="10"/>
    <x v="0"/>
    <x v="7"/>
    <x v="2"/>
    <x v="29"/>
    <x v="1"/>
    <x v="1"/>
    <n v="5"/>
    <n v="24668.74"/>
    <n v="62206.559999999998"/>
    <x v="0"/>
  </r>
  <r>
    <x v="10"/>
    <x v="0"/>
    <x v="7"/>
    <x v="2"/>
    <x v="24"/>
    <x v="1"/>
    <x v="1"/>
    <n v="5"/>
    <n v="23713.79"/>
    <n v="54701.73"/>
    <x v="0"/>
  </r>
  <r>
    <x v="10"/>
    <x v="0"/>
    <x v="7"/>
    <x v="3"/>
    <x v="25"/>
    <x v="0"/>
    <x v="1"/>
    <n v="6"/>
    <n v="26059.3"/>
    <n v="102917.02"/>
    <x v="0"/>
  </r>
  <r>
    <x v="10"/>
    <x v="0"/>
    <x v="7"/>
    <x v="3"/>
    <x v="25"/>
    <x v="1"/>
    <x v="0"/>
    <n v="5"/>
    <n v="21920.78"/>
    <n v="56510.93"/>
    <x v="0"/>
  </r>
  <r>
    <x v="10"/>
    <x v="0"/>
    <x v="7"/>
    <x v="3"/>
    <x v="25"/>
    <x v="1"/>
    <x v="1"/>
    <n v="8"/>
    <n v="39347.24"/>
    <n v="104355.82"/>
    <x v="0"/>
  </r>
  <r>
    <x v="10"/>
    <x v="0"/>
    <x v="7"/>
    <x v="3"/>
    <x v="26"/>
    <x v="0"/>
    <x v="0"/>
    <n v="1"/>
    <n v="5471.59"/>
    <n v="21666.74"/>
    <x v="0"/>
  </r>
  <r>
    <x v="10"/>
    <x v="0"/>
    <x v="7"/>
    <x v="3"/>
    <x v="26"/>
    <x v="1"/>
    <x v="0"/>
    <n v="7"/>
    <n v="25699.15"/>
    <n v="69611.179999999993"/>
    <x v="0"/>
  </r>
  <r>
    <x v="10"/>
    <x v="0"/>
    <x v="7"/>
    <x v="3"/>
    <x v="26"/>
    <x v="1"/>
    <x v="1"/>
    <n v="21"/>
    <n v="95601.78"/>
    <n v="254477.76"/>
    <x v="0"/>
  </r>
  <r>
    <x v="10"/>
    <x v="0"/>
    <x v="7"/>
    <x v="3"/>
    <x v="27"/>
    <x v="0"/>
    <x v="0"/>
    <n v="2"/>
    <n v="9325.83"/>
    <n v="35885.54"/>
    <x v="0"/>
  </r>
  <r>
    <x v="10"/>
    <x v="0"/>
    <x v="7"/>
    <x v="3"/>
    <x v="27"/>
    <x v="0"/>
    <x v="1"/>
    <n v="5"/>
    <n v="26000.97"/>
    <n v="100885.75999999999"/>
    <x v="0"/>
  </r>
  <r>
    <x v="10"/>
    <x v="0"/>
    <x v="7"/>
    <x v="3"/>
    <x v="27"/>
    <x v="1"/>
    <x v="0"/>
    <n v="11"/>
    <n v="51989.62"/>
    <n v="134765.76999999999"/>
    <x v="0"/>
  </r>
  <r>
    <x v="10"/>
    <x v="0"/>
    <x v="7"/>
    <x v="3"/>
    <x v="27"/>
    <x v="1"/>
    <x v="1"/>
    <n v="37"/>
    <n v="170345.15"/>
    <n v="443332.58"/>
    <x v="0"/>
  </r>
  <r>
    <x v="10"/>
    <x v="0"/>
    <x v="8"/>
    <x v="0"/>
    <x v="0"/>
    <x v="0"/>
    <x v="0"/>
    <n v="1"/>
    <n v="3857.76"/>
    <n v="13698.25"/>
    <x v="0"/>
  </r>
  <r>
    <x v="10"/>
    <x v="0"/>
    <x v="8"/>
    <x v="0"/>
    <x v="0"/>
    <x v="0"/>
    <x v="1"/>
    <n v="3"/>
    <n v="9956.85"/>
    <n v="36385.980000000003"/>
    <x v="0"/>
  </r>
  <r>
    <x v="10"/>
    <x v="0"/>
    <x v="8"/>
    <x v="0"/>
    <x v="0"/>
    <x v="1"/>
    <x v="0"/>
    <n v="10"/>
    <n v="29394.09"/>
    <n v="69429.600000000006"/>
    <x v="0"/>
  </r>
  <r>
    <x v="10"/>
    <x v="0"/>
    <x v="8"/>
    <x v="0"/>
    <x v="0"/>
    <x v="1"/>
    <x v="1"/>
    <n v="10"/>
    <n v="32275.56"/>
    <n v="73307.09"/>
    <x v="0"/>
  </r>
  <r>
    <x v="10"/>
    <x v="0"/>
    <x v="8"/>
    <x v="0"/>
    <x v="1"/>
    <x v="0"/>
    <x v="0"/>
    <n v="10"/>
    <n v="31702.22"/>
    <n v="113010.58"/>
    <x v="0"/>
  </r>
  <r>
    <x v="10"/>
    <x v="0"/>
    <x v="8"/>
    <x v="0"/>
    <x v="1"/>
    <x v="0"/>
    <x v="1"/>
    <n v="6"/>
    <n v="20437.02"/>
    <n v="73628.100000000006"/>
    <x v="0"/>
  </r>
  <r>
    <x v="10"/>
    <x v="0"/>
    <x v="8"/>
    <x v="0"/>
    <x v="1"/>
    <x v="1"/>
    <x v="0"/>
    <n v="18"/>
    <n v="61577.3"/>
    <n v="141736.18"/>
    <x v="0"/>
  </r>
  <r>
    <x v="10"/>
    <x v="0"/>
    <x v="8"/>
    <x v="0"/>
    <x v="1"/>
    <x v="1"/>
    <x v="1"/>
    <n v="33"/>
    <n v="108222.55"/>
    <n v="246712.17"/>
    <x v="0"/>
  </r>
  <r>
    <x v="10"/>
    <x v="0"/>
    <x v="8"/>
    <x v="0"/>
    <x v="2"/>
    <x v="0"/>
    <x v="1"/>
    <n v="7"/>
    <n v="24794.14"/>
    <n v="85614.07"/>
    <x v="0"/>
  </r>
  <r>
    <x v="10"/>
    <x v="0"/>
    <x v="8"/>
    <x v="0"/>
    <x v="2"/>
    <x v="1"/>
    <x v="0"/>
    <n v="15"/>
    <n v="45682.17"/>
    <n v="97960.09"/>
    <x v="0"/>
  </r>
  <r>
    <x v="10"/>
    <x v="0"/>
    <x v="8"/>
    <x v="0"/>
    <x v="2"/>
    <x v="1"/>
    <x v="1"/>
    <n v="30"/>
    <n v="93334.39"/>
    <n v="202794.91"/>
    <x v="0"/>
  </r>
  <r>
    <x v="10"/>
    <x v="0"/>
    <x v="8"/>
    <x v="0"/>
    <x v="3"/>
    <x v="0"/>
    <x v="0"/>
    <n v="2"/>
    <n v="7830.38"/>
    <n v="27396.5"/>
    <x v="0"/>
  </r>
  <r>
    <x v="10"/>
    <x v="0"/>
    <x v="8"/>
    <x v="0"/>
    <x v="3"/>
    <x v="0"/>
    <x v="1"/>
    <n v="4"/>
    <n v="13988.5"/>
    <n v="49656.160000000003"/>
    <x v="0"/>
  </r>
  <r>
    <x v="10"/>
    <x v="0"/>
    <x v="8"/>
    <x v="0"/>
    <x v="3"/>
    <x v="1"/>
    <x v="0"/>
    <n v="11"/>
    <n v="39903.43"/>
    <n v="94021.37"/>
    <x v="0"/>
  </r>
  <r>
    <x v="10"/>
    <x v="0"/>
    <x v="8"/>
    <x v="0"/>
    <x v="3"/>
    <x v="1"/>
    <x v="1"/>
    <n v="30"/>
    <n v="108332.3"/>
    <n v="248050.5"/>
    <x v="0"/>
  </r>
  <r>
    <x v="10"/>
    <x v="0"/>
    <x v="8"/>
    <x v="0"/>
    <x v="28"/>
    <x v="1"/>
    <x v="1"/>
    <n v="3"/>
    <n v="11744.28"/>
    <n v="26875.97"/>
    <x v="0"/>
  </r>
  <r>
    <x v="10"/>
    <x v="0"/>
    <x v="8"/>
    <x v="0"/>
    <x v="4"/>
    <x v="1"/>
    <x v="0"/>
    <n v="26"/>
    <n v="80009.320000000007"/>
    <n v="182800.02"/>
    <x v="0"/>
  </r>
  <r>
    <x v="10"/>
    <x v="0"/>
    <x v="8"/>
    <x v="0"/>
    <x v="4"/>
    <x v="1"/>
    <x v="1"/>
    <n v="31"/>
    <n v="111988.4"/>
    <n v="258349.01"/>
    <x v="0"/>
  </r>
  <r>
    <x v="10"/>
    <x v="0"/>
    <x v="8"/>
    <x v="0"/>
    <x v="5"/>
    <x v="0"/>
    <x v="1"/>
    <n v="2"/>
    <n v="7484.9"/>
    <n v="27396.5"/>
    <x v="0"/>
  </r>
  <r>
    <x v="10"/>
    <x v="0"/>
    <x v="8"/>
    <x v="0"/>
    <x v="5"/>
    <x v="1"/>
    <x v="0"/>
    <n v="2"/>
    <n v="7629.84"/>
    <n v="18054.29"/>
    <x v="0"/>
  </r>
  <r>
    <x v="10"/>
    <x v="0"/>
    <x v="8"/>
    <x v="0"/>
    <x v="5"/>
    <x v="1"/>
    <x v="1"/>
    <n v="24"/>
    <n v="77511.09"/>
    <n v="186260.01"/>
    <x v="0"/>
  </r>
  <r>
    <x v="10"/>
    <x v="0"/>
    <x v="8"/>
    <x v="0"/>
    <x v="6"/>
    <x v="0"/>
    <x v="1"/>
    <n v="2"/>
    <n v="6434.79"/>
    <n v="22259.66"/>
    <x v="0"/>
  </r>
  <r>
    <x v="10"/>
    <x v="0"/>
    <x v="8"/>
    <x v="0"/>
    <x v="6"/>
    <x v="1"/>
    <x v="1"/>
    <n v="2"/>
    <n v="7795.05"/>
    <n v="17999.5"/>
    <x v="0"/>
  </r>
  <r>
    <x v="10"/>
    <x v="0"/>
    <x v="8"/>
    <x v="0"/>
    <x v="7"/>
    <x v="1"/>
    <x v="1"/>
    <n v="9"/>
    <n v="27360.39"/>
    <n v="64302.86"/>
    <x v="0"/>
  </r>
  <r>
    <x v="10"/>
    <x v="0"/>
    <x v="8"/>
    <x v="0"/>
    <x v="8"/>
    <x v="0"/>
    <x v="1"/>
    <n v="2"/>
    <n v="6420.95"/>
    <n v="22687.73"/>
    <x v="0"/>
  </r>
  <r>
    <x v="10"/>
    <x v="0"/>
    <x v="8"/>
    <x v="0"/>
    <x v="8"/>
    <x v="1"/>
    <x v="1"/>
    <n v="2"/>
    <n v="5355.9"/>
    <n v="12543.32"/>
    <x v="0"/>
  </r>
  <r>
    <x v="10"/>
    <x v="0"/>
    <x v="8"/>
    <x v="1"/>
    <x v="30"/>
    <x v="1"/>
    <x v="0"/>
    <n v="7"/>
    <n v="25918.66"/>
    <n v="62339.03"/>
    <x v="0"/>
  </r>
  <r>
    <x v="10"/>
    <x v="0"/>
    <x v="8"/>
    <x v="1"/>
    <x v="9"/>
    <x v="1"/>
    <x v="1"/>
    <n v="4"/>
    <n v="12736.68"/>
    <n v="32396.36"/>
    <x v="0"/>
  </r>
  <r>
    <x v="10"/>
    <x v="0"/>
    <x v="8"/>
    <x v="1"/>
    <x v="10"/>
    <x v="0"/>
    <x v="0"/>
    <n v="2"/>
    <n v="6399.19"/>
    <n v="22687.73"/>
    <x v="0"/>
  </r>
  <r>
    <x v="10"/>
    <x v="0"/>
    <x v="8"/>
    <x v="1"/>
    <x v="10"/>
    <x v="0"/>
    <x v="1"/>
    <n v="10"/>
    <n v="31103.24"/>
    <n v="111298.3"/>
    <x v="0"/>
  </r>
  <r>
    <x v="10"/>
    <x v="0"/>
    <x v="8"/>
    <x v="1"/>
    <x v="10"/>
    <x v="1"/>
    <x v="0"/>
    <n v="16"/>
    <n v="55096.51"/>
    <n v="133418.4"/>
    <x v="0"/>
  </r>
  <r>
    <x v="10"/>
    <x v="0"/>
    <x v="8"/>
    <x v="1"/>
    <x v="10"/>
    <x v="1"/>
    <x v="1"/>
    <n v="39"/>
    <n v="130052.63"/>
    <n v="319425.71000000002"/>
    <x v="0"/>
  </r>
  <r>
    <x v="10"/>
    <x v="0"/>
    <x v="8"/>
    <x v="1"/>
    <x v="11"/>
    <x v="0"/>
    <x v="1"/>
    <n v="24"/>
    <n v="76555.95"/>
    <n v="270968.55"/>
    <x v="0"/>
  </r>
  <r>
    <x v="10"/>
    <x v="0"/>
    <x v="8"/>
    <x v="1"/>
    <x v="11"/>
    <x v="1"/>
    <x v="0"/>
    <n v="7"/>
    <n v="18767.95"/>
    <n v="44256.05"/>
    <x v="0"/>
  </r>
  <r>
    <x v="10"/>
    <x v="0"/>
    <x v="8"/>
    <x v="1"/>
    <x v="11"/>
    <x v="1"/>
    <x v="1"/>
    <n v="34"/>
    <n v="115360.5"/>
    <n v="263786.01"/>
    <x v="0"/>
  </r>
  <r>
    <x v="10"/>
    <x v="0"/>
    <x v="8"/>
    <x v="1"/>
    <x v="12"/>
    <x v="1"/>
    <x v="0"/>
    <n v="5"/>
    <n v="19158.490000000002"/>
    <n v="46848.02"/>
    <x v="0"/>
  </r>
  <r>
    <x v="10"/>
    <x v="0"/>
    <x v="8"/>
    <x v="1"/>
    <x v="12"/>
    <x v="1"/>
    <x v="1"/>
    <n v="11"/>
    <n v="35320.910000000003"/>
    <n v="84166.59"/>
    <x v="0"/>
  </r>
  <r>
    <x v="10"/>
    <x v="0"/>
    <x v="8"/>
    <x v="1"/>
    <x v="13"/>
    <x v="0"/>
    <x v="1"/>
    <n v="5"/>
    <n v="16224.34"/>
    <n v="56933.36"/>
    <x v="0"/>
  </r>
  <r>
    <x v="10"/>
    <x v="0"/>
    <x v="8"/>
    <x v="1"/>
    <x v="13"/>
    <x v="1"/>
    <x v="0"/>
    <n v="6"/>
    <n v="20991.119999999999"/>
    <n v="50723.76"/>
    <x v="0"/>
  </r>
  <r>
    <x v="10"/>
    <x v="0"/>
    <x v="8"/>
    <x v="1"/>
    <x v="13"/>
    <x v="1"/>
    <x v="1"/>
    <n v="19"/>
    <n v="61030.37"/>
    <n v="148090.09"/>
    <x v="0"/>
  </r>
  <r>
    <x v="10"/>
    <x v="0"/>
    <x v="8"/>
    <x v="1"/>
    <x v="14"/>
    <x v="0"/>
    <x v="1"/>
    <n v="3"/>
    <n v="10333.709999999999"/>
    <n v="35957.910000000003"/>
    <x v="0"/>
  </r>
  <r>
    <x v="10"/>
    <x v="0"/>
    <x v="8"/>
    <x v="1"/>
    <x v="14"/>
    <x v="1"/>
    <x v="0"/>
    <n v="27"/>
    <n v="91136.7"/>
    <n v="214953.77"/>
    <x v="0"/>
  </r>
  <r>
    <x v="10"/>
    <x v="0"/>
    <x v="8"/>
    <x v="1"/>
    <x v="14"/>
    <x v="1"/>
    <x v="1"/>
    <n v="5"/>
    <n v="12838.74"/>
    <n v="30310.81"/>
    <x v="0"/>
  </r>
  <r>
    <x v="10"/>
    <x v="0"/>
    <x v="8"/>
    <x v="1"/>
    <x v="15"/>
    <x v="1"/>
    <x v="0"/>
    <n v="2"/>
    <n v="4941.1000000000004"/>
    <n v="11222.33"/>
    <x v="0"/>
  </r>
  <r>
    <x v="10"/>
    <x v="0"/>
    <x v="8"/>
    <x v="1"/>
    <x v="15"/>
    <x v="1"/>
    <x v="1"/>
    <n v="1"/>
    <n v="4004.93"/>
    <n v="9465.49"/>
    <x v="0"/>
  </r>
  <r>
    <x v="10"/>
    <x v="0"/>
    <x v="8"/>
    <x v="1"/>
    <x v="16"/>
    <x v="0"/>
    <x v="1"/>
    <n v="2"/>
    <n v="5363.11"/>
    <n v="18835.099999999999"/>
    <x v="0"/>
  </r>
  <r>
    <x v="10"/>
    <x v="0"/>
    <x v="8"/>
    <x v="1"/>
    <x v="16"/>
    <x v="1"/>
    <x v="0"/>
    <n v="11"/>
    <n v="33154.519999999997"/>
    <n v="78016.850000000006"/>
    <x v="0"/>
  </r>
  <r>
    <x v="10"/>
    <x v="0"/>
    <x v="8"/>
    <x v="1"/>
    <x v="16"/>
    <x v="1"/>
    <x v="1"/>
    <n v="19"/>
    <n v="65210.04"/>
    <n v="148256.10999999999"/>
    <x v="0"/>
  </r>
  <r>
    <x v="10"/>
    <x v="0"/>
    <x v="8"/>
    <x v="1"/>
    <x v="17"/>
    <x v="0"/>
    <x v="1"/>
    <n v="4"/>
    <n v="13975.49"/>
    <n v="50940.37"/>
    <x v="0"/>
  </r>
  <r>
    <x v="10"/>
    <x v="0"/>
    <x v="8"/>
    <x v="1"/>
    <x v="17"/>
    <x v="1"/>
    <x v="0"/>
    <n v="22"/>
    <n v="71172.39"/>
    <n v="169406.28"/>
    <x v="0"/>
  </r>
  <r>
    <x v="10"/>
    <x v="0"/>
    <x v="8"/>
    <x v="1"/>
    <x v="17"/>
    <x v="1"/>
    <x v="1"/>
    <n v="3"/>
    <n v="9158.32"/>
    <n v="22170.62"/>
    <x v="0"/>
  </r>
  <r>
    <x v="10"/>
    <x v="0"/>
    <x v="8"/>
    <x v="1"/>
    <x v="18"/>
    <x v="0"/>
    <x v="1"/>
    <n v="18"/>
    <n v="57627.85"/>
    <n v="205901.85"/>
    <x v="0"/>
  </r>
  <r>
    <x v="10"/>
    <x v="0"/>
    <x v="8"/>
    <x v="1"/>
    <x v="18"/>
    <x v="1"/>
    <x v="0"/>
    <n v="8"/>
    <n v="27869.13"/>
    <n v="69914.59"/>
    <x v="0"/>
  </r>
  <r>
    <x v="10"/>
    <x v="0"/>
    <x v="8"/>
    <x v="1"/>
    <x v="18"/>
    <x v="1"/>
    <x v="1"/>
    <n v="43"/>
    <n v="140937.39000000001"/>
    <n v="344664.39"/>
    <x v="0"/>
  </r>
  <r>
    <x v="10"/>
    <x v="0"/>
    <x v="8"/>
    <x v="1"/>
    <x v="19"/>
    <x v="0"/>
    <x v="1"/>
    <n v="4"/>
    <n v="11710.57"/>
    <n v="41950.9"/>
    <x v="0"/>
  </r>
  <r>
    <x v="10"/>
    <x v="0"/>
    <x v="8"/>
    <x v="1"/>
    <x v="19"/>
    <x v="1"/>
    <x v="0"/>
    <n v="4"/>
    <n v="14457.31"/>
    <n v="34333.81"/>
    <x v="0"/>
  </r>
  <r>
    <x v="10"/>
    <x v="0"/>
    <x v="8"/>
    <x v="1"/>
    <x v="19"/>
    <x v="1"/>
    <x v="1"/>
    <n v="11"/>
    <n v="33361.919999999998"/>
    <n v="80321.41"/>
    <x v="0"/>
  </r>
  <r>
    <x v="10"/>
    <x v="0"/>
    <x v="8"/>
    <x v="1"/>
    <x v="20"/>
    <x v="0"/>
    <x v="0"/>
    <n v="4"/>
    <n v="14302.02"/>
    <n v="49656.160000000003"/>
    <x v="0"/>
  </r>
  <r>
    <x v="10"/>
    <x v="0"/>
    <x v="8"/>
    <x v="1"/>
    <x v="20"/>
    <x v="0"/>
    <x v="1"/>
    <n v="19"/>
    <n v="60687.07"/>
    <n v="215747.47"/>
    <x v="0"/>
  </r>
  <r>
    <x v="10"/>
    <x v="0"/>
    <x v="8"/>
    <x v="1"/>
    <x v="20"/>
    <x v="1"/>
    <x v="0"/>
    <n v="18"/>
    <n v="56747.29"/>
    <n v="130517.38"/>
    <x v="0"/>
  </r>
  <r>
    <x v="10"/>
    <x v="0"/>
    <x v="8"/>
    <x v="1"/>
    <x v="20"/>
    <x v="1"/>
    <x v="1"/>
    <n v="53"/>
    <n v="172022.16"/>
    <n v="406723.06"/>
    <x v="0"/>
  </r>
  <r>
    <x v="10"/>
    <x v="0"/>
    <x v="8"/>
    <x v="2"/>
    <x v="21"/>
    <x v="1"/>
    <x v="1"/>
    <n v="4"/>
    <n v="14219.76"/>
    <n v="31022.68"/>
    <x v="0"/>
  </r>
  <r>
    <x v="10"/>
    <x v="0"/>
    <x v="8"/>
    <x v="2"/>
    <x v="22"/>
    <x v="0"/>
    <x v="1"/>
    <n v="1"/>
    <n v="3887.19"/>
    <n v="13698.25"/>
    <x v="0"/>
  </r>
  <r>
    <x v="10"/>
    <x v="0"/>
    <x v="8"/>
    <x v="2"/>
    <x v="22"/>
    <x v="1"/>
    <x v="0"/>
    <n v="12"/>
    <n v="44071.18"/>
    <n v="93068.05"/>
    <x v="0"/>
  </r>
  <r>
    <x v="10"/>
    <x v="0"/>
    <x v="8"/>
    <x v="2"/>
    <x v="22"/>
    <x v="1"/>
    <x v="1"/>
    <n v="37"/>
    <n v="118434.72"/>
    <n v="252501.55"/>
    <x v="0"/>
  </r>
  <r>
    <x v="10"/>
    <x v="0"/>
    <x v="8"/>
    <x v="2"/>
    <x v="29"/>
    <x v="0"/>
    <x v="1"/>
    <n v="4"/>
    <n v="14528.87"/>
    <n v="50940.37"/>
    <x v="0"/>
  </r>
  <r>
    <x v="10"/>
    <x v="0"/>
    <x v="8"/>
    <x v="2"/>
    <x v="29"/>
    <x v="1"/>
    <x v="1"/>
    <n v="6"/>
    <n v="21941.91"/>
    <n v="49882.69"/>
    <x v="0"/>
  </r>
  <r>
    <x v="10"/>
    <x v="0"/>
    <x v="8"/>
    <x v="2"/>
    <x v="23"/>
    <x v="1"/>
    <x v="1"/>
    <n v="1"/>
    <n v="3895.54"/>
    <n v="8684.69"/>
    <x v="0"/>
  </r>
  <r>
    <x v="10"/>
    <x v="0"/>
    <x v="8"/>
    <x v="2"/>
    <x v="24"/>
    <x v="0"/>
    <x v="1"/>
    <n v="5"/>
    <n v="16769.060000000001"/>
    <n v="58645.64"/>
    <x v="0"/>
  </r>
  <r>
    <x v="10"/>
    <x v="0"/>
    <x v="8"/>
    <x v="2"/>
    <x v="24"/>
    <x v="1"/>
    <x v="1"/>
    <n v="7"/>
    <n v="27204.86"/>
    <n v="59450.400000000001"/>
    <x v="0"/>
  </r>
  <r>
    <x v="10"/>
    <x v="0"/>
    <x v="8"/>
    <x v="3"/>
    <x v="25"/>
    <x v="0"/>
    <x v="1"/>
    <n v="14"/>
    <n v="47573.99"/>
    <n v="170372"/>
    <x v="0"/>
  </r>
  <r>
    <x v="10"/>
    <x v="0"/>
    <x v="8"/>
    <x v="3"/>
    <x v="25"/>
    <x v="1"/>
    <x v="0"/>
    <n v="19"/>
    <n v="67916.61"/>
    <n v="162709.32"/>
    <x v="0"/>
  </r>
  <r>
    <x v="10"/>
    <x v="0"/>
    <x v="8"/>
    <x v="3"/>
    <x v="25"/>
    <x v="1"/>
    <x v="1"/>
    <n v="11"/>
    <n v="36550.129999999997"/>
    <n v="88848.15"/>
    <x v="0"/>
  </r>
  <r>
    <x v="10"/>
    <x v="0"/>
    <x v="8"/>
    <x v="3"/>
    <x v="26"/>
    <x v="0"/>
    <x v="0"/>
    <n v="2"/>
    <n v="5348.68"/>
    <n v="18407.03"/>
    <x v="0"/>
  </r>
  <r>
    <x v="10"/>
    <x v="0"/>
    <x v="8"/>
    <x v="3"/>
    <x v="26"/>
    <x v="0"/>
    <x v="1"/>
    <n v="2"/>
    <n v="6545.42"/>
    <n v="23543.87"/>
    <x v="0"/>
  </r>
  <r>
    <x v="10"/>
    <x v="0"/>
    <x v="8"/>
    <x v="3"/>
    <x v="26"/>
    <x v="1"/>
    <x v="0"/>
    <n v="5"/>
    <n v="19563.330000000002"/>
    <n v="46615.91"/>
    <x v="0"/>
  </r>
  <r>
    <x v="10"/>
    <x v="0"/>
    <x v="8"/>
    <x v="3"/>
    <x v="26"/>
    <x v="1"/>
    <x v="1"/>
    <n v="19"/>
    <n v="62932.73"/>
    <n v="153296.26999999999"/>
    <x v="0"/>
  </r>
  <r>
    <x v="10"/>
    <x v="0"/>
    <x v="8"/>
    <x v="3"/>
    <x v="27"/>
    <x v="0"/>
    <x v="0"/>
    <n v="3"/>
    <n v="8893.77"/>
    <n v="31677.21"/>
    <x v="0"/>
  </r>
  <r>
    <x v="10"/>
    <x v="0"/>
    <x v="8"/>
    <x v="3"/>
    <x v="27"/>
    <x v="0"/>
    <x v="1"/>
    <n v="9"/>
    <n v="30175.61"/>
    <n v="106161.45"/>
    <x v="0"/>
  </r>
  <r>
    <x v="10"/>
    <x v="0"/>
    <x v="8"/>
    <x v="3"/>
    <x v="27"/>
    <x v="1"/>
    <x v="0"/>
    <n v="17"/>
    <n v="60332.89"/>
    <n v="144612.01999999999"/>
    <x v="0"/>
  </r>
  <r>
    <x v="10"/>
    <x v="0"/>
    <x v="8"/>
    <x v="3"/>
    <x v="27"/>
    <x v="1"/>
    <x v="1"/>
    <n v="53"/>
    <n v="183825.22"/>
    <n v="435671.69"/>
    <x v="0"/>
  </r>
  <r>
    <x v="10"/>
    <x v="0"/>
    <x v="9"/>
    <x v="0"/>
    <x v="0"/>
    <x v="0"/>
    <x v="0"/>
    <n v="1"/>
    <n v="3380.74"/>
    <n v="11472.86"/>
    <x v="0"/>
  </r>
  <r>
    <x v="10"/>
    <x v="0"/>
    <x v="9"/>
    <x v="0"/>
    <x v="0"/>
    <x v="1"/>
    <x v="0"/>
    <n v="1"/>
    <n v="2448.2199999999998"/>
    <n v="5392.96"/>
    <x v="0"/>
  </r>
  <r>
    <x v="10"/>
    <x v="0"/>
    <x v="9"/>
    <x v="0"/>
    <x v="0"/>
    <x v="1"/>
    <x v="1"/>
    <n v="9"/>
    <n v="26117.5"/>
    <n v="59557.05"/>
    <x v="0"/>
  </r>
  <r>
    <x v="10"/>
    <x v="0"/>
    <x v="9"/>
    <x v="0"/>
    <x v="1"/>
    <x v="0"/>
    <x v="0"/>
    <n v="5"/>
    <n v="14408.46"/>
    <n v="49118.18"/>
    <x v="0"/>
  </r>
  <r>
    <x v="10"/>
    <x v="0"/>
    <x v="9"/>
    <x v="0"/>
    <x v="1"/>
    <x v="0"/>
    <x v="1"/>
    <n v="5"/>
    <n v="13498.54"/>
    <n v="45891.44"/>
    <x v="0"/>
  </r>
  <r>
    <x v="10"/>
    <x v="0"/>
    <x v="9"/>
    <x v="0"/>
    <x v="1"/>
    <x v="1"/>
    <x v="0"/>
    <n v="20"/>
    <n v="63003.26"/>
    <n v="134416.72"/>
    <x v="0"/>
  </r>
  <r>
    <x v="10"/>
    <x v="0"/>
    <x v="9"/>
    <x v="0"/>
    <x v="1"/>
    <x v="1"/>
    <x v="1"/>
    <n v="16"/>
    <n v="42141.64"/>
    <n v="91217.25"/>
    <x v="0"/>
  </r>
  <r>
    <x v="10"/>
    <x v="0"/>
    <x v="9"/>
    <x v="0"/>
    <x v="2"/>
    <x v="0"/>
    <x v="1"/>
    <n v="7"/>
    <n v="17299.04"/>
    <n v="59515.46"/>
    <x v="0"/>
  </r>
  <r>
    <x v="10"/>
    <x v="0"/>
    <x v="9"/>
    <x v="0"/>
    <x v="2"/>
    <x v="1"/>
    <x v="0"/>
    <n v="12"/>
    <n v="27289.22"/>
    <n v="59489.81"/>
    <x v="0"/>
  </r>
  <r>
    <x v="10"/>
    <x v="0"/>
    <x v="9"/>
    <x v="0"/>
    <x v="2"/>
    <x v="1"/>
    <x v="1"/>
    <n v="26"/>
    <n v="76938.460000000006"/>
    <n v="163421.57"/>
    <x v="0"/>
  </r>
  <r>
    <x v="10"/>
    <x v="0"/>
    <x v="9"/>
    <x v="0"/>
    <x v="3"/>
    <x v="0"/>
    <x v="1"/>
    <n v="9"/>
    <n v="25268.14"/>
    <n v="86763.5"/>
    <x v="0"/>
  </r>
  <r>
    <x v="10"/>
    <x v="0"/>
    <x v="9"/>
    <x v="0"/>
    <x v="3"/>
    <x v="1"/>
    <x v="0"/>
    <n v="13"/>
    <n v="31443.37"/>
    <n v="69250.899999999994"/>
    <x v="0"/>
  </r>
  <r>
    <x v="10"/>
    <x v="0"/>
    <x v="9"/>
    <x v="0"/>
    <x v="3"/>
    <x v="1"/>
    <x v="1"/>
    <n v="33"/>
    <n v="85588.32"/>
    <n v="191744.92"/>
    <x v="0"/>
  </r>
  <r>
    <x v="10"/>
    <x v="0"/>
    <x v="9"/>
    <x v="0"/>
    <x v="28"/>
    <x v="1"/>
    <x v="1"/>
    <n v="4"/>
    <n v="8419.7199999999993"/>
    <n v="19696.02"/>
    <x v="0"/>
  </r>
  <r>
    <x v="10"/>
    <x v="0"/>
    <x v="9"/>
    <x v="0"/>
    <x v="4"/>
    <x v="0"/>
    <x v="1"/>
    <n v="2"/>
    <n v="5398.84"/>
    <n v="18643.400000000001"/>
    <x v="0"/>
  </r>
  <r>
    <x v="10"/>
    <x v="0"/>
    <x v="9"/>
    <x v="0"/>
    <x v="4"/>
    <x v="1"/>
    <x v="0"/>
    <n v="14"/>
    <n v="29685.8"/>
    <n v="67001.53"/>
    <x v="0"/>
  </r>
  <r>
    <x v="10"/>
    <x v="0"/>
    <x v="9"/>
    <x v="0"/>
    <x v="4"/>
    <x v="1"/>
    <x v="1"/>
    <n v="12"/>
    <n v="29949.599999999999"/>
    <n v="65217.8"/>
    <x v="0"/>
  </r>
  <r>
    <x v="10"/>
    <x v="0"/>
    <x v="9"/>
    <x v="0"/>
    <x v="5"/>
    <x v="0"/>
    <x v="1"/>
    <n v="3"/>
    <n v="6095.15"/>
    <n v="21511.62"/>
    <x v="0"/>
  </r>
  <r>
    <x v="10"/>
    <x v="0"/>
    <x v="9"/>
    <x v="0"/>
    <x v="5"/>
    <x v="1"/>
    <x v="0"/>
    <n v="4"/>
    <n v="13688.15"/>
    <n v="30242.45"/>
    <x v="0"/>
  </r>
  <r>
    <x v="10"/>
    <x v="0"/>
    <x v="9"/>
    <x v="0"/>
    <x v="5"/>
    <x v="1"/>
    <x v="1"/>
    <n v="16"/>
    <n v="38000"/>
    <n v="86605.61"/>
    <x v="0"/>
  </r>
  <r>
    <x v="10"/>
    <x v="0"/>
    <x v="9"/>
    <x v="0"/>
    <x v="6"/>
    <x v="0"/>
    <x v="1"/>
    <n v="3"/>
    <n v="6349.55"/>
    <n v="21870.14"/>
    <x v="0"/>
  </r>
  <r>
    <x v="10"/>
    <x v="0"/>
    <x v="9"/>
    <x v="0"/>
    <x v="7"/>
    <x v="1"/>
    <x v="1"/>
    <n v="8"/>
    <n v="16816.82"/>
    <n v="38248.83"/>
    <x v="0"/>
  </r>
  <r>
    <x v="10"/>
    <x v="0"/>
    <x v="9"/>
    <x v="0"/>
    <x v="8"/>
    <x v="0"/>
    <x v="1"/>
    <n v="1"/>
    <n v="3300.71"/>
    <n v="11472.86"/>
    <x v="0"/>
  </r>
  <r>
    <x v="10"/>
    <x v="0"/>
    <x v="9"/>
    <x v="0"/>
    <x v="8"/>
    <x v="1"/>
    <x v="1"/>
    <n v="5"/>
    <n v="13111.66"/>
    <n v="28797.33"/>
    <x v="0"/>
  </r>
  <r>
    <x v="10"/>
    <x v="0"/>
    <x v="9"/>
    <x v="1"/>
    <x v="30"/>
    <x v="1"/>
    <x v="0"/>
    <n v="1"/>
    <n v="3341.17"/>
    <n v="7904.8"/>
    <x v="0"/>
  </r>
  <r>
    <x v="10"/>
    <x v="0"/>
    <x v="9"/>
    <x v="1"/>
    <x v="9"/>
    <x v="1"/>
    <x v="1"/>
    <n v="8"/>
    <n v="16835.900000000001"/>
    <n v="40699.96"/>
    <x v="0"/>
  </r>
  <r>
    <x v="10"/>
    <x v="0"/>
    <x v="9"/>
    <x v="1"/>
    <x v="10"/>
    <x v="0"/>
    <x v="0"/>
    <n v="3"/>
    <n v="8707.91"/>
    <n v="30116.26"/>
    <x v="0"/>
  </r>
  <r>
    <x v="10"/>
    <x v="0"/>
    <x v="9"/>
    <x v="1"/>
    <x v="10"/>
    <x v="0"/>
    <x v="1"/>
    <n v="5"/>
    <n v="10737.61"/>
    <n v="37286.800000000003"/>
    <x v="0"/>
  </r>
  <r>
    <x v="10"/>
    <x v="0"/>
    <x v="9"/>
    <x v="1"/>
    <x v="10"/>
    <x v="1"/>
    <x v="0"/>
    <n v="2"/>
    <n v="6565.1"/>
    <n v="15648.98"/>
    <x v="0"/>
  </r>
  <r>
    <x v="10"/>
    <x v="0"/>
    <x v="9"/>
    <x v="1"/>
    <x v="10"/>
    <x v="1"/>
    <x v="1"/>
    <n v="31"/>
    <n v="94874.96"/>
    <n v="218462.07"/>
    <x v="0"/>
  </r>
  <r>
    <x v="10"/>
    <x v="0"/>
    <x v="9"/>
    <x v="1"/>
    <x v="11"/>
    <x v="0"/>
    <x v="1"/>
    <n v="17"/>
    <n v="43404.62"/>
    <n v="149864.24"/>
    <x v="0"/>
  </r>
  <r>
    <x v="10"/>
    <x v="0"/>
    <x v="9"/>
    <x v="1"/>
    <x v="11"/>
    <x v="1"/>
    <x v="0"/>
    <n v="6"/>
    <n v="14591.9"/>
    <n v="32263.67"/>
    <x v="0"/>
  </r>
  <r>
    <x v="10"/>
    <x v="0"/>
    <x v="9"/>
    <x v="1"/>
    <x v="11"/>
    <x v="1"/>
    <x v="1"/>
    <n v="35"/>
    <n v="85146.81"/>
    <n v="189686.9"/>
    <x v="0"/>
  </r>
  <r>
    <x v="10"/>
    <x v="0"/>
    <x v="9"/>
    <x v="1"/>
    <x v="12"/>
    <x v="1"/>
    <x v="0"/>
    <n v="6"/>
    <n v="13585.54"/>
    <n v="32370.69"/>
    <x v="0"/>
  </r>
  <r>
    <x v="10"/>
    <x v="0"/>
    <x v="9"/>
    <x v="1"/>
    <x v="12"/>
    <x v="1"/>
    <x v="1"/>
    <n v="4"/>
    <n v="11123.02"/>
    <n v="25504.17"/>
    <x v="0"/>
  </r>
  <r>
    <x v="10"/>
    <x v="0"/>
    <x v="9"/>
    <x v="1"/>
    <x v="13"/>
    <x v="0"/>
    <x v="1"/>
    <n v="5"/>
    <n v="13341.98"/>
    <n v="45891.44"/>
    <x v="0"/>
  </r>
  <r>
    <x v="10"/>
    <x v="0"/>
    <x v="9"/>
    <x v="1"/>
    <x v="13"/>
    <x v="1"/>
    <x v="0"/>
    <n v="11"/>
    <n v="32057.3"/>
    <n v="74223.679999999993"/>
    <x v="0"/>
  </r>
  <r>
    <x v="10"/>
    <x v="0"/>
    <x v="9"/>
    <x v="1"/>
    <x v="13"/>
    <x v="1"/>
    <x v="1"/>
    <n v="19"/>
    <n v="41977.41"/>
    <n v="99658.1"/>
    <x v="0"/>
  </r>
  <r>
    <x v="10"/>
    <x v="0"/>
    <x v="9"/>
    <x v="1"/>
    <x v="14"/>
    <x v="0"/>
    <x v="1"/>
    <n v="1"/>
    <n v="3323.1"/>
    <n v="11472.86"/>
    <x v="0"/>
  </r>
  <r>
    <x v="10"/>
    <x v="0"/>
    <x v="9"/>
    <x v="1"/>
    <x v="14"/>
    <x v="1"/>
    <x v="0"/>
    <n v="25"/>
    <n v="61522.1"/>
    <n v="142504.39000000001"/>
    <x v="0"/>
  </r>
  <r>
    <x v="10"/>
    <x v="0"/>
    <x v="9"/>
    <x v="1"/>
    <x v="14"/>
    <x v="1"/>
    <x v="1"/>
    <n v="11"/>
    <n v="32161.22"/>
    <n v="73285.75"/>
    <x v="0"/>
  </r>
  <r>
    <x v="10"/>
    <x v="0"/>
    <x v="9"/>
    <x v="1"/>
    <x v="15"/>
    <x v="1"/>
    <x v="0"/>
    <n v="4"/>
    <n v="8365.2999999999993"/>
    <n v="20314.849999999999"/>
    <x v="0"/>
  </r>
  <r>
    <x v="10"/>
    <x v="0"/>
    <x v="9"/>
    <x v="1"/>
    <x v="15"/>
    <x v="1"/>
    <x v="1"/>
    <n v="2"/>
    <n v="5431.14"/>
    <n v="12882.59"/>
    <x v="0"/>
  </r>
  <r>
    <x v="10"/>
    <x v="0"/>
    <x v="9"/>
    <x v="1"/>
    <x v="16"/>
    <x v="1"/>
    <x v="0"/>
    <n v="8"/>
    <n v="25500.74"/>
    <n v="57562.21"/>
    <x v="0"/>
  </r>
  <r>
    <x v="10"/>
    <x v="0"/>
    <x v="9"/>
    <x v="1"/>
    <x v="16"/>
    <x v="1"/>
    <x v="1"/>
    <n v="3"/>
    <n v="6268.95"/>
    <n v="14626.46"/>
    <x v="0"/>
  </r>
  <r>
    <x v="10"/>
    <x v="0"/>
    <x v="9"/>
    <x v="1"/>
    <x v="17"/>
    <x v="1"/>
    <x v="0"/>
    <n v="11"/>
    <n v="27583.63"/>
    <n v="62680.75"/>
    <x v="0"/>
  </r>
  <r>
    <x v="10"/>
    <x v="0"/>
    <x v="9"/>
    <x v="1"/>
    <x v="17"/>
    <x v="1"/>
    <x v="1"/>
    <n v="1"/>
    <n v="3413.85"/>
    <n v="7617.98"/>
    <x v="0"/>
  </r>
  <r>
    <x v="10"/>
    <x v="0"/>
    <x v="9"/>
    <x v="1"/>
    <x v="18"/>
    <x v="0"/>
    <x v="1"/>
    <n v="17"/>
    <n v="45387.85"/>
    <n v="156676.24"/>
    <x v="0"/>
  </r>
  <r>
    <x v="10"/>
    <x v="0"/>
    <x v="9"/>
    <x v="1"/>
    <x v="18"/>
    <x v="1"/>
    <x v="0"/>
    <n v="5"/>
    <n v="13009.94"/>
    <n v="31645.37"/>
    <x v="0"/>
  </r>
  <r>
    <x v="10"/>
    <x v="0"/>
    <x v="9"/>
    <x v="1"/>
    <x v="18"/>
    <x v="1"/>
    <x v="1"/>
    <n v="31"/>
    <n v="80183.61"/>
    <n v="191367.31"/>
    <x v="0"/>
  </r>
  <r>
    <x v="10"/>
    <x v="0"/>
    <x v="9"/>
    <x v="1"/>
    <x v="19"/>
    <x v="0"/>
    <x v="1"/>
    <n v="2"/>
    <n v="6660.01"/>
    <n v="22945.72"/>
    <x v="0"/>
  </r>
  <r>
    <x v="10"/>
    <x v="0"/>
    <x v="9"/>
    <x v="1"/>
    <x v="19"/>
    <x v="1"/>
    <x v="0"/>
    <n v="11"/>
    <n v="34019.599999999999"/>
    <n v="79260.259999999995"/>
    <x v="0"/>
  </r>
  <r>
    <x v="10"/>
    <x v="0"/>
    <x v="9"/>
    <x v="1"/>
    <x v="19"/>
    <x v="1"/>
    <x v="1"/>
    <n v="10"/>
    <n v="24158.9"/>
    <n v="56508.74"/>
    <x v="0"/>
  </r>
  <r>
    <x v="10"/>
    <x v="0"/>
    <x v="9"/>
    <x v="1"/>
    <x v="20"/>
    <x v="0"/>
    <x v="0"/>
    <n v="4"/>
    <n v="12404.39"/>
    <n v="41947.64"/>
    <x v="0"/>
  </r>
  <r>
    <x v="10"/>
    <x v="0"/>
    <x v="9"/>
    <x v="1"/>
    <x v="20"/>
    <x v="0"/>
    <x v="1"/>
    <n v="19"/>
    <n v="51360.3"/>
    <n v="175678.18"/>
    <x v="0"/>
  </r>
  <r>
    <x v="10"/>
    <x v="0"/>
    <x v="9"/>
    <x v="1"/>
    <x v="20"/>
    <x v="1"/>
    <x v="0"/>
    <n v="25"/>
    <n v="68180.960000000006"/>
    <n v="155220.29"/>
    <x v="0"/>
  </r>
  <r>
    <x v="10"/>
    <x v="0"/>
    <x v="9"/>
    <x v="1"/>
    <x v="20"/>
    <x v="1"/>
    <x v="1"/>
    <n v="17"/>
    <n v="44015.94"/>
    <n v="98876.99"/>
    <x v="0"/>
  </r>
  <r>
    <x v="10"/>
    <x v="0"/>
    <x v="9"/>
    <x v="2"/>
    <x v="21"/>
    <x v="0"/>
    <x v="0"/>
    <n v="2"/>
    <n v="5403.49"/>
    <n v="18643.400000000001"/>
    <x v="0"/>
  </r>
  <r>
    <x v="10"/>
    <x v="0"/>
    <x v="9"/>
    <x v="2"/>
    <x v="21"/>
    <x v="1"/>
    <x v="1"/>
    <n v="7"/>
    <n v="20899.03"/>
    <n v="44105.26"/>
    <x v="0"/>
  </r>
  <r>
    <x v="10"/>
    <x v="0"/>
    <x v="9"/>
    <x v="2"/>
    <x v="22"/>
    <x v="0"/>
    <x v="1"/>
    <n v="1"/>
    <n v="2205.7399999999998"/>
    <n v="7529.06"/>
    <x v="0"/>
  </r>
  <r>
    <x v="10"/>
    <x v="0"/>
    <x v="9"/>
    <x v="2"/>
    <x v="22"/>
    <x v="1"/>
    <x v="0"/>
    <n v="5"/>
    <n v="14225.06"/>
    <n v="29291.98"/>
    <x v="0"/>
  </r>
  <r>
    <x v="10"/>
    <x v="0"/>
    <x v="9"/>
    <x v="2"/>
    <x v="22"/>
    <x v="1"/>
    <x v="1"/>
    <n v="13"/>
    <n v="33144.639999999999"/>
    <n v="69869.740000000005"/>
    <x v="0"/>
  </r>
  <r>
    <x v="10"/>
    <x v="0"/>
    <x v="9"/>
    <x v="2"/>
    <x v="29"/>
    <x v="0"/>
    <x v="1"/>
    <n v="4"/>
    <n v="10911.33"/>
    <n v="38003.839999999997"/>
    <x v="0"/>
  </r>
  <r>
    <x v="10"/>
    <x v="0"/>
    <x v="9"/>
    <x v="2"/>
    <x v="24"/>
    <x v="1"/>
    <x v="1"/>
    <n v="7"/>
    <n v="20692.919999999998"/>
    <n v="44457.34"/>
    <x v="0"/>
  </r>
  <r>
    <x v="10"/>
    <x v="0"/>
    <x v="9"/>
    <x v="3"/>
    <x v="25"/>
    <x v="0"/>
    <x v="1"/>
    <n v="1"/>
    <n v="2410.87"/>
    <n v="8246.1200000000008"/>
    <x v="0"/>
  </r>
  <r>
    <x v="10"/>
    <x v="0"/>
    <x v="9"/>
    <x v="3"/>
    <x v="25"/>
    <x v="1"/>
    <x v="0"/>
    <n v="6"/>
    <n v="16321.06"/>
    <n v="39048.949999999997"/>
    <x v="0"/>
  </r>
  <r>
    <x v="10"/>
    <x v="0"/>
    <x v="9"/>
    <x v="3"/>
    <x v="25"/>
    <x v="1"/>
    <x v="1"/>
    <n v="18"/>
    <n v="45413.81"/>
    <n v="108060"/>
    <x v="0"/>
  </r>
  <r>
    <x v="10"/>
    <x v="0"/>
    <x v="9"/>
    <x v="3"/>
    <x v="26"/>
    <x v="0"/>
    <x v="0"/>
    <n v="3"/>
    <n v="7432.52"/>
    <n v="26530.98"/>
    <x v="0"/>
  </r>
  <r>
    <x v="10"/>
    <x v="0"/>
    <x v="9"/>
    <x v="3"/>
    <x v="26"/>
    <x v="0"/>
    <x v="1"/>
    <n v="3"/>
    <n v="8956.92"/>
    <n v="30474.78"/>
    <x v="0"/>
  </r>
  <r>
    <x v="10"/>
    <x v="0"/>
    <x v="9"/>
    <x v="3"/>
    <x v="26"/>
    <x v="1"/>
    <x v="0"/>
    <n v="8"/>
    <n v="20608.64"/>
    <n v="48487.18"/>
    <x v="0"/>
  </r>
  <r>
    <x v="10"/>
    <x v="0"/>
    <x v="9"/>
    <x v="3"/>
    <x v="26"/>
    <x v="1"/>
    <x v="1"/>
    <n v="18"/>
    <n v="47773.02"/>
    <n v="112534.77"/>
    <x v="0"/>
  </r>
  <r>
    <x v="10"/>
    <x v="0"/>
    <x v="9"/>
    <x v="3"/>
    <x v="27"/>
    <x v="0"/>
    <x v="0"/>
    <n v="4"/>
    <n v="10839.98"/>
    <n v="37645.32"/>
    <x v="0"/>
  </r>
  <r>
    <x v="10"/>
    <x v="0"/>
    <x v="9"/>
    <x v="3"/>
    <x v="27"/>
    <x v="0"/>
    <x v="1"/>
    <n v="4"/>
    <n v="9536.5300000000007"/>
    <n v="33343"/>
    <x v="0"/>
  </r>
  <r>
    <x v="10"/>
    <x v="0"/>
    <x v="9"/>
    <x v="3"/>
    <x v="27"/>
    <x v="1"/>
    <x v="0"/>
    <n v="6"/>
    <n v="14745.49"/>
    <n v="34662.26"/>
    <x v="0"/>
  </r>
  <r>
    <x v="10"/>
    <x v="0"/>
    <x v="9"/>
    <x v="3"/>
    <x v="27"/>
    <x v="1"/>
    <x v="1"/>
    <n v="33"/>
    <n v="92086.85"/>
    <n v="212208.66"/>
    <x v="0"/>
  </r>
  <r>
    <x v="11"/>
    <x v="0"/>
    <x v="0"/>
    <x v="0"/>
    <x v="0"/>
    <x v="0"/>
    <x v="0"/>
    <n v="11"/>
    <n v="69677.58"/>
    <n v="303998.13"/>
    <x v="0"/>
  </r>
  <r>
    <x v="11"/>
    <x v="0"/>
    <x v="0"/>
    <x v="0"/>
    <x v="0"/>
    <x v="0"/>
    <x v="1"/>
    <n v="5"/>
    <n v="33491.410000000003"/>
    <n v="142467.76999999999"/>
    <x v="0"/>
  </r>
  <r>
    <x v="11"/>
    <x v="0"/>
    <x v="0"/>
    <x v="0"/>
    <x v="0"/>
    <x v="1"/>
    <x v="0"/>
    <n v="5"/>
    <n v="36873.69"/>
    <n v="104232.09"/>
    <x v="0"/>
  </r>
  <r>
    <x v="11"/>
    <x v="0"/>
    <x v="0"/>
    <x v="0"/>
    <x v="0"/>
    <x v="1"/>
    <x v="1"/>
    <n v="21"/>
    <n v="139180.23000000001"/>
    <n v="394348.78"/>
    <x v="0"/>
  </r>
  <r>
    <x v="11"/>
    <x v="0"/>
    <x v="0"/>
    <x v="0"/>
    <x v="1"/>
    <x v="0"/>
    <x v="0"/>
    <n v="7"/>
    <n v="41662.120000000003"/>
    <n v="179589.67"/>
    <x v="0"/>
  </r>
  <r>
    <x v="11"/>
    <x v="0"/>
    <x v="0"/>
    <x v="0"/>
    <x v="1"/>
    <x v="0"/>
    <x v="1"/>
    <n v="8"/>
    <n v="49651.98"/>
    <n v="211695.08"/>
    <x v="0"/>
  </r>
  <r>
    <x v="11"/>
    <x v="0"/>
    <x v="0"/>
    <x v="0"/>
    <x v="1"/>
    <x v="1"/>
    <x v="0"/>
    <n v="25"/>
    <n v="171781.7"/>
    <n v="474161.84"/>
    <x v="0"/>
  </r>
  <r>
    <x v="11"/>
    <x v="0"/>
    <x v="0"/>
    <x v="0"/>
    <x v="1"/>
    <x v="1"/>
    <x v="1"/>
    <n v="44"/>
    <n v="269596.17"/>
    <n v="753765.84"/>
    <x v="0"/>
  </r>
  <r>
    <x v="11"/>
    <x v="0"/>
    <x v="0"/>
    <x v="0"/>
    <x v="2"/>
    <x v="0"/>
    <x v="1"/>
    <n v="10"/>
    <n v="60637.98"/>
    <n v="262863.08"/>
    <x v="0"/>
  </r>
  <r>
    <x v="11"/>
    <x v="0"/>
    <x v="0"/>
    <x v="0"/>
    <x v="2"/>
    <x v="1"/>
    <x v="0"/>
    <n v="7"/>
    <n v="38260.199999999997"/>
    <n v="102815.16"/>
    <x v="0"/>
  </r>
  <r>
    <x v="11"/>
    <x v="0"/>
    <x v="0"/>
    <x v="0"/>
    <x v="2"/>
    <x v="1"/>
    <x v="1"/>
    <n v="24"/>
    <n v="171205.12"/>
    <n v="459968.02"/>
    <x v="0"/>
  </r>
  <r>
    <x v="11"/>
    <x v="0"/>
    <x v="0"/>
    <x v="0"/>
    <x v="3"/>
    <x v="0"/>
    <x v="0"/>
    <n v="3"/>
    <n v="18189.71"/>
    <n v="78256.95"/>
    <x v="0"/>
  </r>
  <r>
    <x v="11"/>
    <x v="0"/>
    <x v="0"/>
    <x v="0"/>
    <x v="3"/>
    <x v="0"/>
    <x v="1"/>
    <n v="15"/>
    <n v="103190.36"/>
    <n v="445462.59"/>
    <x v="0"/>
  </r>
  <r>
    <x v="11"/>
    <x v="0"/>
    <x v="0"/>
    <x v="0"/>
    <x v="3"/>
    <x v="1"/>
    <x v="0"/>
    <n v="15"/>
    <n v="100982.65"/>
    <n v="280519.76"/>
    <x v="0"/>
  </r>
  <r>
    <x v="11"/>
    <x v="0"/>
    <x v="0"/>
    <x v="0"/>
    <x v="3"/>
    <x v="1"/>
    <x v="1"/>
    <n v="40"/>
    <n v="255107.96"/>
    <n v="710440.11"/>
    <x v="0"/>
  </r>
  <r>
    <x v="11"/>
    <x v="0"/>
    <x v="0"/>
    <x v="0"/>
    <x v="28"/>
    <x v="1"/>
    <x v="1"/>
    <n v="7"/>
    <n v="52873.08"/>
    <n v="146978.57"/>
    <x v="0"/>
  </r>
  <r>
    <x v="11"/>
    <x v="0"/>
    <x v="0"/>
    <x v="0"/>
    <x v="4"/>
    <x v="0"/>
    <x v="1"/>
    <n v="1"/>
    <n v="7465.3"/>
    <n v="32105.41"/>
    <x v="0"/>
  </r>
  <r>
    <x v="11"/>
    <x v="0"/>
    <x v="0"/>
    <x v="0"/>
    <x v="4"/>
    <x v="1"/>
    <x v="0"/>
    <n v="12"/>
    <n v="67437.03"/>
    <n v="186211.42"/>
    <x v="0"/>
  </r>
  <r>
    <x v="11"/>
    <x v="0"/>
    <x v="0"/>
    <x v="0"/>
    <x v="4"/>
    <x v="1"/>
    <x v="1"/>
    <n v="9"/>
    <n v="56422.15"/>
    <n v="159242.84"/>
    <x v="0"/>
  </r>
  <r>
    <x v="11"/>
    <x v="0"/>
    <x v="0"/>
    <x v="0"/>
    <x v="5"/>
    <x v="0"/>
    <x v="1"/>
    <n v="10"/>
    <n v="69332.03"/>
    <n v="302994.82"/>
    <x v="0"/>
  </r>
  <r>
    <x v="11"/>
    <x v="0"/>
    <x v="0"/>
    <x v="0"/>
    <x v="5"/>
    <x v="1"/>
    <x v="0"/>
    <n v="2"/>
    <n v="10708"/>
    <n v="30413.86"/>
    <x v="0"/>
  </r>
  <r>
    <x v="11"/>
    <x v="0"/>
    <x v="0"/>
    <x v="0"/>
    <x v="5"/>
    <x v="1"/>
    <x v="1"/>
    <n v="42"/>
    <n v="278300.98"/>
    <n v="795971.26"/>
    <x v="0"/>
  </r>
  <r>
    <x v="11"/>
    <x v="0"/>
    <x v="0"/>
    <x v="0"/>
    <x v="6"/>
    <x v="0"/>
    <x v="1"/>
    <n v="2"/>
    <n v="11770.63"/>
    <n v="53174.59"/>
    <x v="0"/>
  </r>
  <r>
    <x v="11"/>
    <x v="0"/>
    <x v="0"/>
    <x v="0"/>
    <x v="6"/>
    <x v="1"/>
    <x v="1"/>
    <n v="7"/>
    <n v="49168.67"/>
    <n v="131699.07"/>
    <x v="0"/>
  </r>
  <r>
    <x v="11"/>
    <x v="0"/>
    <x v="0"/>
    <x v="0"/>
    <x v="7"/>
    <x v="1"/>
    <x v="1"/>
    <n v="5"/>
    <n v="36900.639999999999"/>
    <n v="106614.58"/>
    <x v="0"/>
  </r>
  <r>
    <x v="11"/>
    <x v="0"/>
    <x v="0"/>
    <x v="0"/>
    <x v="8"/>
    <x v="0"/>
    <x v="1"/>
    <n v="6"/>
    <n v="41800.86"/>
    <n v="183602.82"/>
    <x v="0"/>
  </r>
  <r>
    <x v="11"/>
    <x v="0"/>
    <x v="0"/>
    <x v="1"/>
    <x v="30"/>
    <x v="1"/>
    <x v="0"/>
    <n v="6"/>
    <n v="41369.11"/>
    <n v="126502.35"/>
    <x v="0"/>
  </r>
  <r>
    <x v="11"/>
    <x v="0"/>
    <x v="0"/>
    <x v="1"/>
    <x v="9"/>
    <x v="1"/>
    <x v="1"/>
    <n v="6"/>
    <n v="31105.48"/>
    <n v="92495.71"/>
    <x v="0"/>
  </r>
  <r>
    <x v="11"/>
    <x v="0"/>
    <x v="0"/>
    <x v="1"/>
    <x v="10"/>
    <x v="0"/>
    <x v="0"/>
    <n v="3"/>
    <n v="22769.16"/>
    <n v="96316.23"/>
    <x v="0"/>
  </r>
  <r>
    <x v="11"/>
    <x v="0"/>
    <x v="0"/>
    <x v="1"/>
    <x v="10"/>
    <x v="0"/>
    <x v="1"/>
    <n v="5"/>
    <n v="33084.54"/>
    <n v="142467.76999999999"/>
    <x v="0"/>
  </r>
  <r>
    <x v="11"/>
    <x v="0"/>
    <x v="0"/>
    <x v="1"/>
    <x v="10"/>
    <x v="1"/>
    <x v="0"/>
    <n v="8"/>
    <n v="53909.38"/>
    <n v="162850.69"/>
    <x v="0"/>
  </r>
  <r>
    <x v="11"/>
    <x v="0"/>
    <x v="0"/>
    <x v="1"/>
    <x v="10"/>
    <x v="1"/>
    <x v="1"/>
    <n v="60"/>
    <n v="387479.52"/>
    <n v="1134457.5900000001"/>
    <x v="0"/>
  </r>
  <r>
    <x v="11"/>
    <x v="0"/>
    <x v="0"/>
    <x v="1"/>
    <x v="11"/>
    <x v="0"/>
    <x v="1"/>
    <n v="18"/>
    <n v="112404.58"/>
    <n v="490610.85"/>
    <x v="0"/>
  </r>
  <r>
    <x v="11"/>
    <x v="0"/>
    <x v="0"/>
    <x v="1"/>
    <x v="11"/>
    <x v="1"/>
    <x v="0"/>
    <n v="12"/>
    <n v="73254.240000000005"/>
    <n v="203468.06"/>
    <x v="0"/>
  </r>
  <r>
    <x v="11"/>
    <x v="0"/>
    <x v="0"/>
    <x v="1"/>
    <x v="11"/>
    <x v="1"/>
    <x v="1"/>
    <n v="59"/>
    <n v="372459.18"/>
    <n v="1049928.26"/>
    <x v="0"/>
  </r>
  <r>
    <x v="11"/>
    <x v="0"/>
    <x v="0"/>
    <x v="1"/>
    <x v="13"/>
    <x v="0"/>
    <x v="1"/>
    <n v="3"/>
    <n v="19801.98"/>
    <n v="85280"/>
    <x v="0"/>
  </r>
  <r>
    <x v="11"/>
    <x v="0"/>
    <x v="0"/>
    <x v="1"/>
    <x v="13"/>
    <x v="1"/>
    <x v="0"/>
    <n v="4"/>
    <n v="26509.61"/>
    <n v="81305.95"/>
    <x v="0"/>
  </r>
  <r>
    <x v="11"/>
    <x v="0"/>
    <x v="0"/>
    <x v="1"/>
    <x v="13"/>
    <x v="1"/>
    <x v="1"/>
    <n v="15"/>
    <n v="94834.49"/>
    <n v="281414.90999999997"/>
    <x v="0"/>
  </r>
  <r>
    <x v="11"/>
    <x v="0"/>
    <x v="0"/>
    <x v="1"/>
    <x v="14"/>
    <x v="0"/>
    <x v="1"/>
    <n v="2"/>
    <n v="10874.1"/>
    <n v="46151.54"/>
    <x v="0"/>
  </r>
  <r>
    <x v="11"/>
    <x v="0"/>
    <x v="0"/>
    <x v="1"/>
    <x v="14"/>
    <x v="1"/>
    <x v="0"/>
    <n v="36"/>
    <n v="248783.35999999999"/>
    <n v="708845.66"/>
    <x v="0"/>
  </r>
  <r>
    <x v="11"/>
    <x v="0"/>
    <x v="0"/>
    <x v="1"/>
    <x v="14"/>
    <x v="1"/>
    <x v="1"/>
    <n v="6"/>
    <n v="45056.89"/>
    <n v="128678.48"/>
    <x v="0"/>
  </r>
  <r>
    <x v="11"/>
    <x v="0"/>
    <x v="0"/>
    <x v="1"/>
    <x v="15"/>
    <x v="1"/>
    <x v="0"/>
    <n v="1"/>
    <n v="5353.73"/>
    <n v="15116.5"/>
    <x v="0"/>
  </r>
  <r>
    <x v="11"/>
    <x v="0"/>
    <x v="0"/>
    <x v="1"/>
    <x v="15"/>
    <x v="1"/>
    <x v="1"/>
    <n v="1"/>
    <n v="7395.29"/>
    <n v="22184.84"/>
    <x v="0"/>
  </r>
  <r>
    <x v="11"/>
    <x v="0"/>
    <x v="0"/>
    <x v="1"/>
    <x v="16"/>
    <x v="0"/>
    <x v="1"/>
    <n v="6"/>
    <n v="41034.85"/>
    <n v="174573.18"/>
    <x v="0"/>
  </r>
  <r>
    <x v="11"/>
    <x v="0"/>
    <x v="0"/>
    <x v="1"/>
    <x v="16"/>
    <x v="1"/>
    <x v="1"/>
    <n v="19"/>
    <n v="133928"/>
    <n v="383557.33"/>
    <x v="0"/>
  </r>
  <r>
    <x v="11"/>
    <x v="0"/>
    <x v="0"/>
    <x v="1"/>
    <x v="17"/>
    <x v="0"/>
    <x v="1"/>
    <n v="3"/>
    <n v="19790.560000000001"/>
    <n v="87286.59"/>
    <x v="0"/>
  </r>
  <r>
    <x v="11"/>
    <x v="0"/>
    <x v="0"/>
    <x v="1"/>
    <x v="17"/>
    <x v="1"/>
    <x v="0"/>
    <n v="15"/>
    <n v="111822.26"/>
    <n v="318204.25"/>
    <x v="0"/>
  </r>
  <r>
    <x v="11"/>
    <x v="0"/>
    <x v="0"/>
    <x v="1"/>
    <x v="17"/>
    <x v="1"/>
    <x v="1"/>
    <n v="9"/>
    <n v="54229.279999999999"/>
    <n v="155242.23000000001"/>
    <x v="0"/>
  </r>
  <r>
    <x v="11"/>
    <x v="0"/>
    <x v="0"/>
    <x v="1"/>
    <x v="18"/>
    <x v="0"/>
    <x v="1"/>
    <n v="20"/>
    <n v="136261.16"/>
    <n v="594953.41"/>
    <x v="0"/>
  </r>
  <r>
    <x v="11"/>
    <x v="0"/>
    <x v="0"/>
    <x v="1"/>
    <x v="18"/>
    <x v="1"/>
    <x v="0"/>
    <n v="5"/>
    <n v="28507.73"/>
    <n v="83485.66"/>
    <x v="0"/>
  </r>
  <r>
    <x v="11"/>
    <x v="0"/>
    <x v="0"/>
    <x v="1"/>
    <x v="18"/>
    <x v="1"/>
    <x v="1"/>
    <n v="25"/>
    <n v="152332.62"/>
    <n v="459076.44"/>
    <x v="0"/>
  </r>
  <r>
    <x v="11"/>
    <x v="0"/>
    <x v="0"/>
    <x v="1"/>
    <x v="19"/>
    <x v="0"/>
    <x v="1"/>
    <n v="7"/>
    <n v="39541.760000000002"/>
    <n v="175576.49"/>
    <x v="0"/>
  </r>
  <r>
    <x v="11"/>
    <x v="0"/>
    <x v="0"/>
    <x v="1"/>
    <x v="19"/>
    <x v="1"/>
    <x v="0"/>
    <n v="23"/>
    <n v="140212.99"/>
    <n v="408281.9"/>
    <x v="0"/>
  </r>
  <r>
    <x v="11"/>
    <x v="0"/>
    <x v="0"/>
    <x v="1"/>
    <x v="19"/>
    <x v="1"/>
    <x v="1"/>
    <n v="17"/>
    <n v="115869.7"/>
    <n v="337433.89"/>
    <x v="0"/>
  </r>
  <r>
    <x v="11"/>
    <x v="0"/>
    <x v="0"/>
    <x v="1"/>
    <x v="20"/>
    <x v="0"/>
    <x v="0"/>
    <n v="5"/>
    <n v="37301.89"/>
    <n v="160527.04999999999"/>
    <x v="0"/>
  </r>
  <r>
    <x v="11"/>
    <x v="0"/>
    <x v="0"/>
    <x v="1"/>
    <x v="20"/>
    <x v="0"/>
    <x v="1"/>
    <n v="14"/>
    <n v="92648.6"/>
    <n v="404327.54"/>
    <x v="0"/>
  </r>
  <r>
    <x v="11"/>
    <x v="0"/>
    <x v="0"/>
    <x v="1"/>
    <x v="20"/>
    <x v="1"/>
    <x v="0"/>
    <n v="8"/>
    <n v="45586.42"/>
    <n v="131706.44"/>
    <x v="0"/>
  </r>
  <r>
    <x v="11"/>
    <x v="0"/>
    <x v="0"/>
    <x v="1"/>
    <x v="20"/>
    <x v="1"/>
    <x v="1"/>
    <n v="49"/>
    <n v="314874.84999999998"/>
    <n v="900311.11"/>
    <x v="0"/>
  </r>
  <r>
    <x v="11"/>
    <x v="0"/>
    <x v="0"/>
    <x v="2"/>
    <x v="21"/>
    <x v="0"/>
    <x v="0"/>
    <n v="1"/>
    <n v="4620.99"/>
    <n v="21069.18"/>
    <x v="0"/>
  </r>
  <r>
    <x v="11"/>
    <x v="0"/>
    <x v="0"/>
    <x v="2"/>
    <x v="21"/>
    <x v="1"/>
    <x v="1"/>
    <n v="5"/>
    <n v="26660.9"/>
    <n v="70265.72"/>
    <x v="0"/>
  </r>
  <r>
    <x v="11"/>
    <x v="0"/>
    <x v="0"/>
    <x v="2"/>
    <x v="22"/>
    <x v="0"/>
    <x v="1"/>
    <n v="4"/>
    <n v="27033.86"/>
    <n v="119392"/>
    <x v="0"/>
  </r>
  <r>
    <x v="11"/>
    <x v="0"/>
    <x v="0"/>
    <x v="2"/>
    <x v="22"/>
    <x v="1"/>
    <x v="0"/>
    <n v="5"/>
    <n v="36457.1"/>
    <n v="97125.95"/>
    <x v="0"/>
  </r>
  <r>
    <x v="11"/>
    <x v="0"/>
    <x v="0"/>
    <x v="2"/>
    <x v="22"/>
    <x v="1"/>
    <x v="1"/>
    <n v="33"/>
    <n v="211832.39"/>
    <n v="554491.68999999994"/>
    <x v="0"/>
  </r>
  <r>
    <x v="11"/>
    <x v="0"/>
    <x v="0"/>
    <x v="2"/>
    <x v="29"/>
    <x v="0"/>
    <x v="1"/>
    <n v="5"/>
    <n v="33611.760000000002"/>
    <n v="142467.76999999999"/>
    <x v="0"/>
  </r>
  <r>
    <x v="11"/>
    <x v="0"/>
    <x v="0"/>
    <x v="2"/>
    <x v="29"/>
    <x v="1"/>
    <x v="1"/>
    <n v="1"/>
    <n v="7474.89"/>
    <n v="19851.95"/>
    <x v="0"/>
  </r>
  <r>
    <x v="11"/>
    <x v="0"/>
    <x v="0"/>
    <x v="2"/>
    <x v="24"/>
    <x v="0"/>
    <x v="1"/>
    <n v="2"/>
    <n v="12052.09"/>
    <n v="53174.59"/>
    <x v="0"/>
  </r>
  <r>
    <x v="11"/>
    <x v="0"/>
    <x v="0"/>
    <x v="2"/>
    <x v="24"/>
    <x v="1"/>
    <x v="1"/>
    <n v="12"/>
    <n v="77255.039999999994"/>
    <n v="205273.98"/>
    <x v="0"/>
  </r>
  <r>
    <x v="11"/>
    <x v="0"/>
    <x v="0"/>
    <x v="3"/>
    <x v="25"/>
    <x v="0"/>
    <x v="1"/>
    <n v="3"/>
    <n v="17746.009999999998"/>
    <n v="78256.95"/>
    <x v="0"/>
  </r>
  <r>
    <x v="11"/>
    <x v="0"/>
    <x v="0"/>
    <x v="3"/>
    <x v="25"/>
    <x v="1"/>
    <x v="0"/>
    <n v="16"/>
    <n v="106009.71"/>
    <n v="310546.27"/>
    <x v="0"/>
  </r>
  <r>
    <x v="11"/>
    <x v="0"/>
    <x v="0"/>
    <x v="3"/>
    <x v="25"/>
    <x v="1"/>
    <x v="1"/>
    <n v="10"/>
    <n v="68518.210000000006"/>
    <n v="199991.63"/>
    <x v="0"/>
  </r>
  <r>
    <x v="11"/>
    <x v="0"/>
    <x v="0"/>
    <x v="3"/>
    <x v="26"/>
    <x v="0"/>
    <x v="0"/>
    <n v="3"/>
    <n v="19842.560000000001"/>
    <n v="87286.59"/>
    <x v="0"/>
  </r>
  <r>
    <x v="11"/>
    <x v="0"/>
    <x v="0"/>
    <x v="3"/>
    <x v="26"/>
    <x v="0"/>
    <x v="1"/>
    <n v="1"/>
    <n v="7356.38"/>
    <n v="32105.41"/>
    <x v="0"/>
  </r>
  <r>
    <x v="11"/>
    <x v="0"/>
    <x v="0"/>
    <x v="3"/>
    <x v="26"/>
    <x v="1"/>
    <x v="0"/>
    <n v="8"/>
    <n v="60044.04"/>
    <n v="177221.88"/>
    <x v="0"/>
  </r>
  <r>
    <x v="11"/>
    <x v="0"/>
    <x v="0"/>
    <x v="3"/>
    <x v="26"/>
    <x v="1"/>
    <x v="1"/>
    <n v="39"/>
    <n v="260189.8"/>
    <n v="770258.24"/>
    <x v="0"/>
  </r>
  <r>
    <x v="11"/>
    <x v="0"/>
    <x v="0"/>
    <x v="3"/>
    <x v="27"/>
    <x v="0"/>
    <x v="0"/>
    <n v="2"/>
    <n v="13001.44"/>
    <n v="55181.18"/>
    <x v="0"/>
  </r>
  <r>
    <x v="11"/>
    <x v="0"/>
    <x v="0"/>
    <x v="3"/>
    <x v="27"/>
    <x v="0"/>
    <x v="1"/>
    <n v="19"/>
    <n v="124953.08"/>
    <n v="542782.13"/>
    <x v="0"/>
  </r>
  <r>
    <x v="11"/>
    <x v="0"/>
    <x v="0"/>
    <x v="3"/>
    <x v="27"/>
    <x v="1"/>
    <x v="0"/>
    <n v="19"/>
    <n v="126721.12"/>
    <n v="373943.14"/>
    <x v="0"/>
  </r>
  <r>
    <x v="11"/>
    <x v="0"/>
    <x v="0"/>
    <x v="3"/>
    <x v="27"/>
    <x v="1"/>
    <x v="1"/>
    <n v="60"/>
    <n v="387893"/>
    <n v="1144977.8"/>
    <x v="0"/>
  </r>
  <r>
    <x v="11"/>
    <x v="0"/>
    <x v="1"/>
    <x v="0"/>
    <x v="0"/>
    <x v="0"/>
    <x v="0"/>
    <n v="3"/>
    <n v="6560.26"/>
    <n v="22001.279999999999"/>
    <x v="0"/>
  </r>
  <r>
    <x v="11"/>
    <x v="0"/>
    <x v="1"/>
    <x v="0"/>
    <x v="0"/>
    <x v="0"/>
    <x v="1"/>
    <n v="1"/>
    <n v="2199.0700000000002"/>
    <n v="7333.76"/>
    <x v="0"/>
  </r>
  <r>
    <x v="11"/>
    <x v="0"/>
    <x v="1"/>
    <x v="0"/>
    <x v="0"/>
    <x v="1"/>
    <x v="1"/>
    <n v="21"/>
    <n v="55065.24"/>
    <n v="125845.28"/>
    <x v="0"/>
  </r>
  <r>
    <x v="11"/>
    <x v="0"/>
    <x v="1"/>
    <x v="0"/>
    <x v="1"/>
    <x v="0"/>
    <x v="1"/>
    <n v="2"/>
    <n v="5422.67"/>
    <n v="18509.02"/>
    <x v="0"/>
  </r>
  <r>
    <x v="11"/>
    <x v="0"/>
    <x v="1"/>
    <x v="0"/>
    <x v="1"/>
    <x v="1"/>
    <x v="0"/>
    <n v="11"/>
    <n v="31248.81"/>
    <n v="71632.350000000006"/>
    <x v="0"/>
  </r>
  <r>
    <x v="11"/>
    <x v="0"/>
    <x v="1"/>
    <x v="0"/>
    <x v="1"/>
    <x v="1"/>
    <x v="1"/>
    <n v="15"/>
    <n v="34772.93"/>
    <n v="79940.81"/>
    <x v="0"/>
  </r>
  <r>
    <x v="11"/>
    <x v="0"/>
    <x v="1"/>
    <x v="0"/>
    <x v="2"/>
    <x v="0"/>
    <x v="1"/>
    <n v="3"/>
    <n v="8429.34"/>
    <n v="29684.28"/>
    <x v="0"/>
  </r>
  <r>
    <x v="11"/>
    <x v="0"/>
    <x v="1"/>
    <x v="0"/>
    <x v="2"/>
    <x v="1"/>
    <x v="1"/>
    <n v="29"/>
    <n v="81496.479999999996"/>
    <n v="175013.95"/>
    <x v="0"/>
  </r>
  <r>
    <x v="11"/>
    <x v="0"/>
    <x v="1"/>
    <x v="0"/>
    <x v="3"/>
    <x v="0"/>
    <x v="0"/>
    <n v="1"/>
    <n v="3237.89"/>
    <n v="11175.26"/>
    <x v="0"/>
  </r>
  <r>
    <x v="11"/>
    <x v="0"/>
    <x v="1"/>
    <x v="0"/>
    <x v="3"/>
    <x v="0"/>
    <x v="1"/>
    <n v="8"/>
    <n v="19719.919999999998"/>
    <n v="69496.14"/>
    <x v="0"/>
  </r>
  <r>
    <x v="11"/>
    <x v="0"/>
    <x v="1"/>
    <x v="0"/>
    <x v="3"/>
    <x v="1"/>
    <x v="0"/>
    <n v="7"/>
    <n v="20507.73"/>
    <n v="45438"/>
    <x v="0"/>
  </r>
  <r>
    <x v="11"/>
    <x v="0"/>
    <x v="1"/>
    <x v="0"/>
    <x v="3"/>
    <x v="1"/>
    <x v="1"/>
    <n v="15"/>
    <n v="38770.9"/>
    <n v="87814.71"/>
    <x v="0"/>
  </r>
  <r>
    <x v="11"/>
    <x v="0"/>
    <x v="1"/>
    <x v="0"/>
    <x v="28"/>
    <x v="1"/>
    <x v="1"/>
    <n v="3"/>
    <n v="6560.31"/>
    <n v="14388.84"/>
    <x v="0"/>
  </r>
  <r>
    <x v="11"/>
    <x v="0"/>
    <x v="1"/>
    <x v="0"/>
    <x v="4"/>
    <x v="0"/>
    <x v="1"/>
    <n v="3"/>
    <n v="6259.77"/>
    <n v="22001.279999999999"/>
    <x v="0"/>
  </r>
  <r>
    <x v="11"/>
    <x v="0"/>
    <x v="1"/>
    <x v="0"/>
    <x v="4"/>
    <x v="1"/>
    <x v="0"/>
    <n v="3"/>
    <n v="7301.45"/>
    <n v="16539.38"/>
    <x v="0"/>
  </r>
  <r>
    <x v="11"/>
    <x v="0"/>
    <x v="1"/>
    <x v="0"/>
    <x v="4"/>
    <x v="1"/>
    <x v="1"/>
    <n v="6"/>
    <n v="16897.400000000001"/>
    <n v="37995.879999999997"/>
    <x v="0"/>
  </r>
  <r>
    <x v="11"/>
    <x v="0"/>
    <x v="1"/>
    <x v="0"/>
    <x v="5"/>
    <x v="0"/>
    <x v="1"/>
    <n v="6"/>
    <n v="15842.77"/>
    <n v="55527.06"/>
    <x v="0"/>
  </r>
  <r>
    <x v="11"/>
    <x v="0"/>
    <x v="1"/>
    <x v="0"/>
    <x v="5"/>
    <x v="1"/>
    <x v="1"/>
    <n v="27"/>
    <n v="69625.22"/>
    <n v="159947.64000000001"/>
    <x v="0"/>
  </r>
  <r>
    <x v="11"/>
    <x v="0"/>
    <x v="1"/>
    <x v="0"/>
    <x v="6"/>
    <x v="0"/>
    <x v="1"/>
    <n v="2"/>
    <n v="6378.91"/>
    <n v="22350.52"/>
    <x v="0"/>
  </r>
  <r>
    <x v="11"/>
    <x v="0"/>
    <x v="1"/>
    <x v="0"/>
    <x v="6"/>
    <x v="1"/>
    <x v="1"/>
    <n v="1"/>
    <n v="3249.41"/>
    <n v="7342.15"/>
    <x v="0"/>
  </r>
  <r>
    <x v="11"/>
    <x v="0"/>
    <x v="1"/>
    <x v="0"/>
    <x v="7"/>
    <x v="1"/>
    <x v="1"/>
    <n v="5"/>
    <n v="10141.549999999999"/>
    <n v="24494.76"/>
    <x v="0"/>
  </r>
  <r>
    <x v="11"/>
    <x v="0"/>
    <x v="1"/>
    <x v="0"/>
    <x v="8"/>
    <x v="0"/>
    <x v="1"/>
    <n v="1"/>
    <n v="2076.5500000000002"/>
    <n v="7333.76"/>
    <x v="0"/>
  </r>
  <r>
    <x v="11"/>
    <x v="0"/>
    <x v="1"/>
    <x v="0"/>
    <x v="8"/>
    <x v="1"/>
    <x v="1"/>
    <n v="9"/>
    <n v="29029.93"/>
    <n v="64067.76"/>
    <x v="0"/>
  </r>
  <r>
    <x v="11"/>
    <x v="0"/>
    <x v="1"/>
    <x v="1"/>
    <x v="30"/>
    <x v="1"/>
    <x v="0"/>
    <n v="2"/>
    <n v="6621.66"/>
    <n v="15399.51"/>
    <x v="0"/>
  </r>
  <r>
    <x v="11"/>
    <x v="0"/>
    <x v="1"/>
    <x v="1"/>
    <x v="9"/>
    <x v="1"/>
    <x v="1"/>
    <n v="2"/>
    <n v="4023.3"/>
    <n v="9850.99"/>
    <x v="0"/>
  </r>
  <r>
    <x v="11"/>
    <x v="0"/>
    <x v="1"/>
    <x v="1"/>
    <x v="10"/>
    <x v="0"/>
    <x v="0"/>
    <n v="2"/>
    <n v="6486.46"/>
    <n v="22350.52"/>
    <x v="0"/>
  </r>
  <r>
    <x v="11"/>
    <x v="0"/>
    <x v="1"/>
    <x v="1"/>
    <x v="10"/>
    <x v="0"/>
    <x v="1"/>
    <n v="2"/>
    <n v="6536.6"/>
    <n v="22350.52"/>
    <x v="0"/>
  </r>
  <r>
    <x v="11"/>
    <x v="0"/>
    <x v="1"/>
    <x v="1"/>
    <x v="10"/>
    <x v="1"/>
    <x v="0"/>
    <n v="3"/>
    <n v="7273.15"/>
    <n v="17624.78"/>
    <x v="0"/>
  </r>
  <r>
    <x v="11"/>
    <x v="0"/>
    <x v="1"/>
    <x v="1"/>
    <x v="10"/>
    <x v="1"/>
    <x v="1"/>
    <n v="19"/>
    <n v="49219.51"/>
    <n v="117220.71"/>
    <x v="0"/>
  </r>
  <r>
    <x v="11"/>
    <x v="0"/>
    <x v="1"/>
    <x v="1"/>
    <x v="11"/>
    <x v="0"/>
    <x v="1"/>
    <n v="12"/>
    <n v="29347.39"/>
    <n v="102672.68"/>
    <x v="0"/>
  </r>
  <r>
    <x v="11"/>
    <x v="0"/>
    <x v="1"/>
    <x v="1"/>
    <x v="11"/>
    <x v="1"/>
    <x v="0"/>
    <n v="9"/>
    <n v="26055.09"/>
    <n v="60381.33"/>
    <x v="0"/>
  </r>
  <r>
    <x v="11"/>
    <x v="0"/>
    <x v="1"/>
    <x v="1"/>
    <x v="11"/>
    <x v="1"/>
    <x v="1"/>
    <n v="19"/>
    <n v="52799.35"/>
    <n v="119605.15"/>
    <x v="0"/>
  </r>
  <r>
    <x v="11"/>
    <x v="0"/>
    <x v="1"/>
    <x v="1"/>
    <x v="12"/>
    <x v="1"/>
    <x v="0"/>
    <n v="5"/>
    <n v="16283.33"/>
    <n v="38219.39"/>
    <x v="0"/>
  </r>
  <r>
    <x v="11"/>
    <x v="0"/>
    <x v="1"/>
    <x v="1"/>
    <x v="12"/>
    <x v="1"/>
    <x v="1"/>
    <n v="2"/>
    <n v="4327.22"/>
    <n v="9804.7099999999991"/>
    <x v="0"/>
  </r>
  <r>
    <x v="11"/>
    <x v="0"/>
    <x v="1"/>
    <x v="1"/>
    <x v="13"/>
    <x v="0"/>
    <x v="1"/>
    <n v="2"/>
    <n v="6283.44"/>
    <n v="22350.52"/>
    <x v="0"/>
  </r>
  <r>
    <x v="11"/>
    <x v="0"/>
    <x v="1"/>
    <x v="1"/>
    <x v="13"/>
    <x v="1"/>
    <x v="0"/>
    <n v="1"/>
    <n v="2093.1999999999998"/>
    <n v="4994.29"/>
    <x v="0"/>
  </r>
  <r>
    <x v="11"/>
    <x v="0"/>
    <x v="1"/>
    <x v="1"/>
    <x v="13"/>
    <x v="1"/>
    <x v="1"/>
    <n v="8"/>
    <n v="19149.939999999999"/>
    <n v="45186.44"/>
    <x v="0"/>
  </r>
  <r>
    <x v="11"/>
    <x v="0"/>
    <x v="1"/>
    <x v="1"/>
    <x v="14"/>
    <x v="0"/>
    <x v="1"/>
    <n v="2"/>
    <n v="5222.75"/>
    <n v="18509.02"/>
    <x v="0"/>
  </r>
  <r>
    <x v="11"/>
    <x v="0"/>
    <x v="1"/>
    <x v="1"/>
    <x v="14"/>
    <x v="1"/>
    <x v="0"/>
    <n v="18"/>
    <n v="52812.9"/>
    <n v="123023.8"/>
    <x v="0"/>
  </r>
  <r>
    <x v="11"/>
    <x v="0"/>
    <x v="1"/>
    <x v="1"/>
    <x v="14"/>
    <x v="1"/>
    <x v="1"/>
    <n v="5"/>
    <n v="12583.16"/>
    <n v="29160.45"/>
    <x v="0"/>
  </r>
  <r>
    <x v="11"/>
    <x v="0"/>
    <x v="1"/>
    <x v="1"/>
    <x v="15"/>
    <x v="1"/>
    <x v="0"/>
    <n v="1"/>
    <n v="2176.79"/>
    <n v="5067.63"/>
    <x v="0"/>
  </r>
  <r>
    <x v="11"/>
    <x v="0"/>
    <x v="1"/>
    <x v="1"/>
    <x v="16"/>
    <x v="0"/>
    <x v="1"/>
    <n v="3"/>
    <n v="6084.42"/>
    <n v="21652.06"/>
    <x v="0"/>
  </r>
  <r>
    <x v="11"/>
    <x v="0"/>
    <x v="1"/>
    <x v="1"/>
    <x v="16"/>
    <x v="1"/>
    <x v="0"/>
    <n v="2"/>
    <n v="5309.73"/>
    <n v="12178.93"/>
    <x v="0"/>
  </r>
  <r>
    <x v="11"/>
    <x v="0"/>
    <x v="1"/>
    <x v="1"/>
    <x v="16"/>
    <x v="1"/>
    <x v="1"/>
    <n v="8"/>
    <n v="26281.67"/>
    <n v="58826.57"/>
    <x v="0"/>
  </r>
  <r>
    <x v="11"/>
    <x v="0"/>
    <x v="1"/>
    <x v="1"/>
    <x v="17"/>
    <x v="0"/>
    <x v="1"/>
    <n v="2"/>
    <n v="6513.02"/>
    <n v="22350.52"/>
    <x v="0"/>
  </r>
  <r>
    <x v="11"/>
    <x v="0"/>
    <x v="1"/>
    <x v="1"/>
    <x v="17"/>
    <x v="1"/>
    <x v="0"/>
    <n v="9"/>
    <n v="27755.57"/>
    <n v="64232.61"/>
    <x v="0"/>
  </r>
  <r>
    <x v="11"/>
    <x v="0"/>
    <x v="1"/>
    <x v="1"/>
    <x v="17"/>
    <x v="1"/>
    <x v="1"/>
    <n v="3"/>
    <n v="9171.7199999999993"/>
    <n v="22261.119999999999"/>
    <x v="0"/>
  </r>
  <r>
    <x v="11"/>
    <x v="0"/>
    <x v="1"/>
    <x v="1"/>
    <x v="18"/>
    <x v="0"/>
    <x v="1"/>
    <n v="13"/>
    <n v="35732.47"/>
    <n v="125372.44"/>
    <x v="0"/>
  </r>
  <r>
    <x v="11"/>
    <x v="0"/>
    <x v="1"/>
    <x v="1"/>
    <x v="18"/>
    <x v="1"/>
    <x v="0"/>
    <n v="2"/>
    <n v="5206.28"/>
    <n v="12388.48"/>
    <x v="0"/>
  </r>
  <r>
    <x v="11"/>
    <x v="0"/>
    <x v="1"/>
    <x v="1"/>
    <x v="18"/>
    <x v="1"/>
    <x v="1"/>
    <n v="9"/>
    <n v="29060.69"/>
    <n v="68679.649999999994"/>
    <x v="0"/>
  </r>
  <r>
    <x v="11"/>
    <x v="0"/>
    <x v="1"/>
    <x v="1"/>
    <x v="19"/>
    <x v="0"/>
    <x v="1"/>
    <n v="1"/>
    <n v="3159.3"/>
    <n v="11175.26"/>
    <x v="0"/>
  </r>
  <r>
    <x v="11"/>
    <x v="0"/>
    <x v="1"/>
    <x v="1"/>
    <x v="19"/>
    <x v="1"/>
    <x v="0"/>
    <n v="13"/>
    <n v="27938.07"/>
    <n v="65670.710000000006"/>
    <x v="0"/>
  </r>
  <r>
    <x v="11"/>
    <x v="0"/>
    <x v="1"/>
    <x v="1"/>
    <x v="19"/>
    <x v="1"/>
    <x v="1"/>
    <n v="19"/>
    <n v="41115.99"/>
    <n v="95759.71"/>
    <x v="0"/>
  </r>
  <r>
    <x v="11"/>
    <x v="0"/>
    <x v="1"/>
    <x v="1"/>
    <x v="20"/>
    <x v="0"/>
    <x v="1"/>
    <n v="7"/>
    <n v="14525.05"/>
    <n v="50288.66"/>
    <x v="0"/>
  </r>
  <r>
    <x v="11"/>
    <x v="0"/>
    <x v="1"/>
    <x v="1"/>
    <x v="20"/>
    <x v="1"/>
    <x v="0"/>
    <n v="7"/>
    <n v="20468.57"/>
    <n v="46770.559999999998"/>
    <x v="0"/>
  </r>
  <r>
    <x v="11"/>
    <x v="0"/>
    <x v="1"/>
    <x v="1"/>
    <x v="20"/>
    <x v="1"/>
    <x v="1"/>
    <n v="16"/>
    <n v="41065.9"/>
    <n v="97014.18"/>
    <x v="0"/>
  </r>
  <r>
    <x v="11"/>
    <x v="0"/>
    <x v="1"/>
    <x v="2"/>
    <x v="22"/>
    <x v="1"/>
    <x v="0"/>
    <n v="14"/>
    <n v="37434.22"/>
    <n v="78903.960000000006"/>
    <x v="0"/>
  </r>
  <r>
    <x v="11"/>
    <x v="0"/>
    <x v="1"/>
    <x v="2"/>
    <x v="22"/>
    <x v="1"/>
    <x v="1"/>
    <n v="17"/>
    <n v="43027.53"/>
    <n v="90491.82"/>
    <x v="0"/>
  </r>
  <r>
    <x v="11"/>
    <x v="0"/>
    <x v="1"/>
    <x v="2"/>
    <x v="29"/>
    <x v="0"/>
    <x v="1"/>
    <n v="4"/>
    <n v="11855.36"/>
    <n v="40859.54"/>
    <x v="0"/>
  </r>
  <r>
    <x v="11"/>
    <x v="0"/>
    <x v="1"/>
    <x v="2"/>
    <x v="29"/>
    <x v="1"/>
    <x v="1"/>
    <n v="1"/>
    <n v="2190.06"/>
    <n v="4585.78"/>
    <x v="0"/>
  </r>
  <r>
    <x v="11"/>
    <x v="0"/>
    <x v="1"/>
    <x v="2"/>
    <x v="23"/>
    <x v="1"/>
    <x v="1"/>
    <n v="3"/>
    <n v="8548.49"/>
    <n v="18819.830000000002"/>
    <x v="0"/>
  </r>
  <r>
    <x v="11"/>
    <x v="0"/>
    <x v="1"/>
    <x v="2"/>
    <x v="24"/>
    <x v="0"/>
    <x v="1"/>
    <n v="3"/>
    <n v="7277.82"/>
    <n v="25493.56"/>
    <x v="0"/>
  </r>
  <r>
    <x v="11"/>
    <x v="0"/>
    <x v="1"/>
    <x v="2"/>
    <x v="24"/>
    <x v="1"/>
    <x v="0"/>
    <n v="4"/>
    <n v="12858.44"/>
    <n v="27714.639999999999"/>
    <x v="0"/>
  </r>
  <r>
    <x v="11"/>
    <x v="0"/>
    <x v="1"/>
    <x v="3"/>
    <x v="25"/>
    <x v="0"/>
    <x v="1"/>
    <n v="1"/>
    <n v="3112.88"/>
    <n v="11175.26"/>
    <x v="0"/>
  </r>
  <r>
    <x v="11"/>
    <x v="0"/>
    <x v="1"/>
    <x v="3"/>
    <x v="25"/>
    <x v="1"/>
    <x v="0"/>
    <n v="9"/>
    <n v="22964.65"/>
    <n v="54542.26"/>
    <x v="0"/>
  </r>
  <r>
    <x v="11"/>
    <x v="0"/>
    <x v="1"/>
    <x v="3"/>
    <x v="25"/>
    <x v="1"/>
    <x v="1"/>
    <n v="4"/>
    <n v="8507.64"/>
    <n v="19806.150000000001"/>
    <x v="0"/>
  </r>
  <r>
    <x v="11"/>
    <x v="0"/>
    <x v="1"/>
    <x v="3"/>
    <x v="26"/>
    <x v="0"/>
    <x v="0"/>
    <n v="5"/>
    <n v="14685.26"/>
    <n v="52034.8"/>
    <x v="0"/>
  </r>
  <r>
    <x v="11"/>
    <x v="0"/>
    <x v="1"/>
    <x v="3"/>
    <x v="26"/>
    <x v="0"/>
    <x v="1"/>
    <n v="1"/>
    <n v="3083.91"/>
    <n v="11175.26"/>
    <x v="0"/>
  </r>
  <r>
    <x v="11"/>
    <x v="0"/>
    <x v="1"/>
    <x v="3"/>
    <x v="26"/>
    <x v="1"/>
    <x v="0"/>
    <n v="1"/>
    <n v="3148.45"/>
    <n v="7455.26"/>
    <x v="0"/>
  </r>
  <r>
    <x v="11"/>
    <x v="0"/>
    <x v="1"/>
    <x v="3"/>
    <x v="26"/>
    <x v="1"/>
    <x v="1"/>
    <n v="13"/>
    <n v="37699.9"/>
    <n v="89287.28"/>
    <x v="0"/>
  </r>
  <r>
    <x v="11"/>
    <x v="0"/>
    <x v="1"/>
    <x v="3"/>
    <x v="27"/>
    <x v="0"/>
    <x v="0"/>
    <n v="3"/>
    <n v="6360.24"/>
    <n v="22001.279999999999"/>
    <x v="0"/>
  </r>
  <r>
    <x v="11"/>
    <x v="0"/>
    <x v="1"/>
    <x v="3"/>
    <x v="27"/>
    <x v="0"/>
    <x v="1"/>
    <n v="10"/>
    <n v="24056.18"/>
    <n v="84512.88"/>
    <x v="0"/>
  </r>
  <r>
    <x v="11"/>
    <x v="0"/>
    <x v="1"/>
    <x v="3"/>
    <x v="27"/>
    <x v="1"/>
    <x v="0"/>
    <n v="4"/>
    <n v="7906.52"/>
    <n v="18483.73"/>
    <x v="0"/>
  </r>
  <r>
    <x v="11"/>
    <x v="0"/>
    <x v="1"/>
    <x v="3"/>
    <x v="27"/>
    <x v="1"/>
    <x v="1"/>
    <n v="33"/>
    <n v="86843.78"/>
    <n v="204927.03"/>
    <x v="0"/>
  </r>
  <r>
    <x v="11"/>
    <x v="0"/>
    <x v="2"/>
    <x v="0"/>
    <x v="0"/>
    <x v="0"/>
    <x v="0"/>
    <n v="6"/>
    <n v="40009.910000000003"/>
    <n v="171977.32"/>
    <x v="0"/>
  </r>
  <r>
    <x v="11"/>
    <x v="0"/>
    <x v="2"/>
    <x v="0"/>
    <x v="0"/>
    <x v="0"/>
    <x v="1"/>
    <n v="2"/>
    <n v="9770.7099999999991"/>
    <n v="41806.639999999999"/>
    <x v="0"/>
  </r>
  <r>
    <x v="11"/>
    <x v="0"/>
    <x v="2"/>
    <x v="0"/>
    <x v="0"/>
    <x v="1"/>
    <x v="0"/>
    <n v="2"/>
    <n v="8761.0400000000009"/>
    <n v="24855.96"/>
    <x v="0"/>
  </r>
  <r>
    <x v="11"/>
    <x v="0"/>
    <x v="2"/>
    <x v="0"/>
    <x v="0"/>
    <x v="1"/>
    <x v="1"/>
    <n v="47"/>
    <n v="258371.17"/>
    <n v="720311.59"/>
    <x v="0"/>
  </r>
  <r>
    <x v="11"/>
    <x v="0"/>
    <x v="2"/>
    <x v="0"/>
    <x v="1"/>
    <x v="0"/>
    <x v="0"/>
    <n v="8"/>
    <n v="39747.589999999997"/>
    <n v="171027.17"/>
    <x v="0"/>
  </r>
  <r>
    <x v="11"/>
    <x v="0"/>
    <x v="2"/>
    <x v="0"/>
    <x v="1"/>
    <x v="0"/>
    <x v="1"/>
    <n v="2"/>
    <n v="9210.5499999999993"/>
    <n v="38956.19"/>
    <x v="0"/>
  </r>
  <r>
    <x v="11"/>
    <x v="0"/>
    <x v="2"/>
    <x v="0"/>
    <x v="1"/>
    <x v="1"/>
    <x v="0"/>
    <n v="17"/>
    <n v="86634.81"/>
    <n v="239208.08"/>
    <x v="0"/>
  </r>
  <r>
    <x v="11"/>
    <x v="0"/>
    <x v="2"/>
    <x v="0"/>
    <x v="1"/>
    <x v="1"/>
    <x v="1"/>
    <n v="32"/>
    <n v="152395.74"/>
    <n v="417887.81"/>
    <x v="0"/>
  </r>
  <r>
    <x v="11"/>
    <x v="0"/>
    <x v="2"/>
    <x v="0"/>
    <x v="2"/>
    <x v="0"/>
    <x v="1"/>
    <n v="5"/>
    <n v="25841.42"/>
    <n v="110217.51"/>
    <x v="0"/>
  </r>
  <r>
    <x v="11"/>
    <x v="0"/>
    <x v="2"/>
    <x v="0"/>
    <x v="2"/>
    <x v="1"/>
    <x v="0"/>
    <n v="8"/>
    <n v="38748.26"/>
    <n v="100344.3"/>
    <x v="0"/>
  </r>
  <r>
    <x v="11"/>
    <x v="0"/>
    <x v="2"/>
    <x v="0"/>
    <x v="2"/>
    <x v="1"/>
    <x v="1"/>
    <n v="19"/>
    <n v="92833.69"/>
    <n v="245984.31"/>
    <x v="0"/>
  </r>
  <r>
    <x v="11"/>
    <x v="0"/>
    <x v="2"/>
    <x v="0"/>
    <x v="3"/>
    <x v="0"/>
    <x v="0"/>
    <n v="3"/>
    <n v="21185.43"/>
    <n v="91214.49"/>
    <x v="0"/>
  </r>
  <r>
    <x v="11"/>
    <x v="0"/>
    <x v="2"/>
    <x v="0"/>
    <x v="3"/>
    <x v="0"/>
    <x v="1"/>
    <n v="8"/>
    <n v="44369.38"/>
    <n v="191930.49"/>
    <x v="0"/>
  </r>
  <r>
    <x v="11"/>
    <x v="0"/>
    <x v="2"/>
    <x v="0"/>
    <x v="3"/>
    <x v="1"/>
    <x v="0"/>
    <n v="24"/>
    <n v="127779.36"/>
    <n v="353849.91"/>
    <x v="0"/>
  </r>
  <r>
    <x v="11"/>
    <x v="0"/>
    <x v="2"/>
    <x v="0"/>
    <x v="3"/>
    <x v="1"/>
    <x v="1"/>
    <n v="48"/>
    <n v="245696.4"/>
    <n v="683300.62"/>
    <x v="0"/>
  </r>
  <r>
    <x v="11"/>
    <x v="0"/>
    <x v="2"/>
    <x v="0"/>
    <x v="4"/>
    <x v="0"/>
    <x v="1"/>
    <n v="4"/>
    <n v="23558.84"/>
    <n v="101666.15"/>
    <x v="0"/>
  </r>
  <r>
    <x v="11"/>
    <x v="0"/>
    <x v="2"/>
    <x v="0"/>
    <x v="4"/>
    <x v="1"/>
    <x v="0"/>
    <n v="19"/>
    <n v="101141.3"/>
    <n v="275467.76"/>
    <x v="0"/>
  </r>
  <r>
    <x v="11"/>
    <x v="0"/>
    <x v="2"/>
    <x v="0"/>
    <x v="4"/>
    <x v="1"/>
    <x v="1"/>
    <n v="18"/>
    <n v="85793.3"/>
    <n v="241414.33"/>
    <x v="0"/>
  </r>
  <r>
    <x v="11"/>
    <x v="0"/>
    <x v="2"/>
    <x v="0"/>
    <x v="5"/>
    <x v="0"/>
    <x v="1"/>
    <n v="7"/>
    <n v="33484.6"/>
    <n v="142522.64000000001"/>
    <x v="0"/>
  </r>
  <r>
    <x v="11"/>
    <x v="0"/>
    <x v="2"/>
    <x v="0"/>
    <x v="5"/>
    <x v="1"/>
    <x v="0"/>
    <n v="8"/>
    <n v="52268.27"/>
    <n v="146518.97"/>
    <x v="0"/>
  </r>
  <r>
    <x v="11"/>
    <x v="0"/>
    <x v="2"/>
    <x v="0"/>
    <x v="5"/>
    <x v="1"/>
    <x v="1"/>
    <n v="34"/>
    <n v="184113.47"/>
    <n v="520793.32"/>
    <x v="0"/>
  </r>
  <r>
    <x v="11"/>
    <x v="0"/>
    <x v="2"/>
    <x v="0"/>
    <x v="6"/>
    <x v="0"/>
    <x v="1"/>
    <n v="4"/>
    <n v="24733.09"/>
    <n v="104516.6"/>
    <x v="0"/>
  </r>
  <r>
    <x v="11"/>
    <x v="0"/>
    <x v="2"/>
    <x v="0"/>
    <x v="6"/>
    <x v="1"/>
    <x v="1"/>
    <n v="9"/>
    <n v="43923.86"/>
    <n v="121643.32"/>
    <x v="0"/>
  </r>
  <r>
    <x v="11"/>
    <x v="0"/>
    <x v="2"/>
    <x v="0"/>
    <x v="7"/>
    <x v="1"/>
    <x v="1"/>
    <n v="11"/>
    <n v="53693.75"/>
    <n v="149257.13"/>
    <x v="0"/>
  </r>
  <r>
    <x v="11"/>
    <x v="0"/>
    <x v="2"/>
    <x v="0"/>
    <x v="8"/>
    <x v="0"/>
    <x v="1"/>
    <n v="7"/>
    <n v="35531.339999999997"/>
    <n v="148223.54"/>
    <x v="0"/>
  </r>
  <r>
    <x v="11"/>
    <x v="0"/>
    <x v="2"/>
    <x v="0"/>
    <x v="8"/>
    <x v="1"/>
    <x v="1"/>
    <n v="9"/>
    <n v="48373.31"/>
    <n v="132548.9"/>
    <x v="0"/>
  </r>
  <r>
    <x v="11"/>
    <x v="0"/>
    <x v="2"/>
    <x v="1"/>
    <x v="30"/>
    <x v="1"/>
    <x v="0"/>
    <n v="5"/>
    <n v="34929.199999999997"/>
    <n v="104744.64"/>
    <x v="0"/>
  </r>
  <r>
    <x v="11"/>
    <x v="0"/>
    <x v="2"/>
    <x v="1"/>
    <x v="9"/>
    <x v="1"/>
    <x v="1"/>
    <n v="19"/>
    <n v="109874.37"/>
    <n v="325656.95"/>
    <x v="0"/>
  </r>
  <r>
    <x v="11"/>
    <x v="0"/>
    <x v="2"/>
    <x v="1"/>
    <x v="31"/>
    <x v="1"/>
    <x v="0"/>
    <n v="3"/>
    <n v="14128.02"/>
    <n v="41602.36"/>
    <x v="0"/>
  </r>
  <r>
    <x v="11"/>
    <x v="0"/>
    <x v="2"/>
    <x v="1"/>
    <x v="10"/>
    <x v="0"/>
    <x v="0"/>
    <n v="3"/>
    <n v="15947.71"/>
    <n v="69361.02"/>
    <x v="0"/>
  </r>
  <r>
    <x v="11"/>
    <x v="0"/>
    <x v="2"/>
    <x v="1"/>
    <x v="10"/>
    <x v="0"/>
    <x v="1"/>
    <n v="6"/>
    <n v="39051.1"/>
    <n v="165326.26"/>
    <x v="0"/>
  </r>
  <r>
    <x v="11"/>
    <x v="0"/>
    <x v="2"/>
    <x v="1"/>
    <x v="10"/>
    <x v="1"/>
    <x v="0"/>
    <n v="6"/>
    <n v="33497.68"/>
    <n v="97200.45"/>
    <x v="0"/>
  </r>
  <r>
    <x v="11"/>
    <x v="0"/>
    <x v="2"/>
    <x v="1"/>
    <x v="10"/>
    <x v="1"/>
    <x v="1"/>
    <n v="54"/>
    <n v="280327.99"/>
    <n v="825631.31"/>
    <x v="0"/>
  </r>
  <r>
    <x v="11"/>
    <x v="0"/>
    <x v="2"/>
    <x v="1"/>
    <x v="11"/>
    <x v="0"/>
    <x v="1"/>
    <n v="18"/>
    <n v="95959.31"/>
    <n v="410465.2"/>
    <x v="0"/>
  </r>
  <r>
    <x v="11"/>
    <x v="0"/>
    <x v="2"/>
    <x v="1"/>
    <x v="11"/>
    <x v="1"/>
    <x v="0"/>
    <n v="17"/>
    <n v="106092.4"/>
    <n v="300770.28000000003"/>
    <x v="0"/>
  </r>
  <r>
    <x v="11"/>
    <x v="0"/>
    <x v="2"/>
    <x v="1"/>
    <x v="11"/>
    <x v="1"/>
    <x v="1"/>
    <n v="59"/>
    <n v="296060.38"/>
    <n v="819922.61"/>
    <x v="0"/>
  </r>
  <r>
    <x v="11"/>
    <x v="0"/>
    <x v="2"/>
    <x v="1"/>
    <x v="12"/>
    <x v="1"/>
    <x v="1"/>
    <n v="5"/>
    <n v="22701.3"/>
    <n v="68239.839999999997"/>
    <x v="0"/>
  </r>
  <r>
    <x v="11"/>
    <x v="0"/>
    <x v="2"/>
    <x v="1"/>
    <x v="13"/>
    <x v="0"/>
    <x v="1"/>
    <n v="5"/>
    <n v="24522.99"/>
    <n v="104516.6"/>
    <x v="0"/>
  </r>
  <r>
    <x v="11"/>
    <x v="0"/>
    <x v="2"/>
    <x v="1"/>
    <x v="13"/>
    <x v="1"/>
    <x v="0"/>
    <n v="7"/>
    <n v="37063.14"/>
    <n v="106116.66"/>
    <x v="0"/>
  </r>
  <r>
    <x v="11"/>
    <x v="0"/>
    <x v="2"/>
    <x v="1"/>
    <x v="13"/>
    <x v="1"/>
    <x v="1"/>
    <n v="43"/>
    <n v="233680.98"/>
    <n v="679205.06"/>
    <x v="0"/>
  </r>
  <r>
    <x v="11"/>
    <x v="0"/>
    <x v="2"/>
    <x v="1"/>
    <x v="14"/>
    <x v="0"/>
    <x v="1"/>
    <n v="2"/>
    <n v="11765.35"/>
    <n v="49407.85"/>
    <x v="0"/>
  </r>
  <r>
    <x v="11"/>
    <x v="0"/>
    <x v="2"/>
    <x v="1"/>
    <x v="14"/>
    <x v="1"/>
    <x v="0"/>
    <n v="22"/>
    <n v="124467.19"/>
    <n v="355505.87"/>
    <x v="0"/>
  </r>
  <r>
    <x v="11"/>
    <x v="0"/>
    <x v="2"/>
    <x v="1"/>
    <x v="14"/>
    <x v="1"/>
    <x v="1"/>
    <n v="10"/>
    <n v="49996.04"/>
    <n v="140465.19"/>
    <x v="0"/>
  </r>
  <r>
    <x v="11"/>
    <x v="0"/>
    <x v="2"/>
    <x v="1"/>
    <x v="15"/>
    <x v="1"/>
    <x v="0"/>
    <n v="5"/>
    <n v="28125.47"/>
    <n v="82725.850000000006"/>
    <x v="0"/>
  </r>
  <r>
    <x v="11"/>
    <x v="0"/>
    <x v="2"/>
    <x v="1"/>
    <x v="15"/>
    <x v="1"/>
    <x v="1"/>
    <n v="3"/>
    <n v="15661.68"/>
    <n v="43617.51"/>
    <x v="0"/>
  </r>
  <r>
    <x v="11"/>
    <x v="0"/>
    <x v="2"/>
    <x v="1"/>
    <x v="16"/>
    <x v="0"/>
    <x v="1"/>
    <n v="7"/>
    <n v="36830.379999999997"/>
    <n v="159625.35999999999"/>
    <x v="0"/>
  </r>
  <r>
    <x v="11"/>
    <x v="0"/>
    <x v="2"/>
    <x v="1"/>
    <x v="16"/>
    <x v="1"/>
    <x v="0"/>
    <n v="11"/>
    <n v="59091.71"/>
    <n v="168803.81"/>
    <x v="0"/>
  </r>
  <r>
    <x v="11"/>
    <x v="0"/>
    <x v="2"/>
    <x v="1"/>
    <x v="16"/>
    <x v="1"/>
    <x v="1"/>
    <n v="10"/>
    <n v="46990.29"/>
    <n v="132542.25"/>
    <x v="0"/>
  </r>
  <r>
    <x v="11"/>
    <x v="0"/>
    <x v="2"/>
    <x v="1"/>
    <x v="17"/>
    <x v="0"/>
    <x v="1"/>
    <n v="2"/>
    <n v="10549.8"/>
    <n v="43706.94"/>
    <x v="0"/>
  </r>
  <r>
    <x v="11"/>
    <x v="0"/>
    <x v="2"/>
    <x v="1"/>
    <x v="17"/>
    <x v="1"/>
    <x v="0"/>
    <n v="11"/>
    <n v="51226.82"/>
    <n v="145107.06"/>
    <x v="0"/>
  </r>
  <r>
    <x v="11"/>
    <x v="0"/>
    <x v="2"/>
    <x v="1"/>
    <x v="17"/>
    <x v="1"/>
    <x v="1"/>
    <n v="3"/>
    <n v="13077.45"/>
    <n v="37854.019999999997"/>
    <x v="0"/>
  </r>
  <r>
    <x v="11"/>
    <x v="0"/>
    <x v="2"/>
    <x v="1"/>
    <x v="18"/>
    <x v="0"/>
    <x v="1"/>
    <n v="22"/>
    <n v="111598.76"/>
    <n v="482676.68"/>
    <x v="0"/>
  </r>
  <r>
    <x v="11"/>
    <x v="0"/>
    <x v="2"/>
    <x v="1"/>
    <x v="18"/>
    <x v="1"/>
    <x v="0"/>
    <n v="11"/>
    <n v="67115.02"/>
    <n v="196785.75"/>
    <x v="0"/>
  </r>
  <r>
    <x v="11"/>
    <x v="0"/>
    <x v="2"/>
    <x v="1"/>
    <x v="18"/>
    <x v="1"/>
    <x v="1"/>
    <n v="31"/>
    <n v="168771.92"/>
    <n v="495522.68"/>
    <x v="0"/>
  </r>
  <r>
    <x v="11"/>
    <x v="0"/>
    <x v="2"/>
    <x v="1"/>
    <x v="19"/>
    <x v="0"/>
    <x v="1"/>
    <n v="5"/>
    <n v="25317.53"/>
    <n v="110217.51"/>
    <x v="0"/>
  </r>
  <r>
    <x v="11"/>
    <x v="0"/>
    <x v="2"/>
    <x v="1"/>
    <x v="19"/>
    <x v="1"/>
    <x v="0"/>
    <n v="9"/>
    <n v="51319.42"/>
    <n v="148177.68"/>
    <x v="0"/>
  </r>
  <r>
    <x v="11"/>
    <x v="0"/>
    <x v="2"/>
    <x v="1"/>
    <x v="19"/>
    <x v="1"/>
    <x v="1"/>
    <n v="49"/>
    <n v="238624.96"/>
    <n v="690353.09"/>
    <x v="0"/>
  </r>
  <r>
    <x v="11"/>
    <x v="0"/>
    <x v="2"/>
    <x v="1"/>
    <x v="20"/>
    <x v="0"/>
    <x v="0"/>
    <n v="2"/>
    <n v="11844.62"/>
    <n v="50358"/>
    <x v="0"/>
  </r>
  <r>
    <x v="11"/>
    <x v="0"/>
    <x v="2"/>
    <x v="1"/>
    <x v="20"/>
    <x v="0"/>
    <x v="1"/>
    <n v="8"/>
    <n v="43432.13"/>
    <n v="190030.19"/>
    <x v="0"/>
  </r>
  <r>
    <x v="11"/>
    <x v="0"/>
    <x v="2"/>
    <x v="1"/>
    <x v="20"/>
    <x v="1"/>
    <x v="0"/>
    <n v="10"/>
    <n v="58297.74"/>
    <n v="166936.76"/>
    <x v="0"/>
  </r>
  <r>
    <x v="11"/>
    <x v="0"/>
    <x v="2"/>
    <x v="1"/>
    <x v="20"/>
    <x v="1"/>
    <x v="1"/>
    <n v="44"/>
    <n v="250853.17"/>
    <n v="709697.86"/>
    <x v="0"/>
  </r>
  <r>
    <x v="11"/>
    <x v="0"/>
    <x v="2"/>
    <x v="2"/>
    <x v="21"/>
    <x v="0"/>
    <x v="0"/>
    <n v="2"/>
    <n v="9783.1299999999992"/>
    <n v="40856.49"/>
    <x v="0"/>
  </r>
  <r>
    <x v="11"/>
    <x v="0"/>
    <x v="2"/>
    <x v="2"/>
    <x v="21"/>
    <x v="1"/>
    <x v="1"/>
    <n v="3"/>
    <n v="16301.06"/>
    <n v="42819.5"/>
    <x v="0"/>
  </r>
  <r>
    <x v="11"/>
    <x v="0"/>
    <x v="2"/>
    <x v="2"/>
    <x v="22"/>
    <x v="0"/>
    <x v="1"/>
    <n v="2"/>
    <n v="9605.18"/>
    <n v="40856.49"/>
    <x v="0"/>
  </r>
  <r>
    <x v="11"/>
    <x v="0"/>
    <x v="2"/>
    <x v="2"/>
    <x v="22"/>
    <x v="1"/>
    <x v="0"/>
    <n v="25"/>
    <n v="130172.45"/>
    <n v="340271.93"/>
    <x v="0"/>
  </r>
  <r>
    <x v="11"/>
    <x v="0"/>
    <x v="2"/>
    <x v="2"/>
    <x v="22"/>
    <x v="1"/>
    <x v="1"/>
    <n v="45"/>
    <n v="238896.51"/>
    <n v="621461.42000000004"/>
    <x v="0"/>
  </r>
  <r>
    <x v="11"/>
    <x v="0"/>
    <x v="2"/>
    <x v="2"/>
    <x v="29"/>
    <x v="0"/>
    <x v="1"/>
    <n v="3"/>
    <n v="16590.25"/>
    <n v="71261.320000000007"/>
    <x v="0"/>
  </r>
  <r>
    <x v="11"/>
    <x v="0"/>
    <x v="2"/>
    <x v="2"/>
    <x v="29"/>
    <x v="1"/>
    <x v="1"/>
    <n v="2"/>
    <n v="8747.76"/>
    <n v="24589.91"/>
    <x v="0"/>
  </r>
  <r>
    <x v="11"/>
    <x v="0"/>
    <x v="2"/>
    <x v="2"/>
    <x v="24"/>
    <x v="0"/>
    <x v="1"/>
    <n v="3"/>
    <n v="14507.73"/>
    <n v="61759.81"/>
    <x v="0"/>
  </r>
  <r>
    <x v="11"/>
    <x v="0"/>
    <x v="2"/>
    <x v="2"/>
    <x v="24"/>
    <x v="1"/>
    <x v="0"/>
    <n v="3"/>
    <n v="16165.05"/>
    <n v="43592.92"/>
    <x v="0"/>
  </r>
  <r>
    <x v="11"/>
    <x v="0"/>
    <x v="2"/>
    <x v="2"/>
    <x v="24"/>
    <x v="1"/>
    <x v="1"/>
    <n v="5"/>
    <n v="22417.46"/>
    <n v="60676.639999999999"/>
    <x v="0"/>
  </r>
  <r>
    <x v="11"/>
    <x v="0"/>
    <x v="2"/>
    <x v="3"/>
    <x v="25"/>
    <x v="0"/>
    <x v="1"/>
    <n v="1"/>
    <n v="5274.93"/>
    <n v="21853.47"/>
    <x v="0"/>
  </r>
  <r>
    <x v="11"/>
    <x v="0"/>
    <x v="2"/>
    <x v="3"/>
    <x v="25"/>
    <x v="1"/>
    <x v="0"/>
    <n v="10"/>
    <n v="53087.95"/>
    <n v="154252.26"/>
    <x v="0"/>
  </r>
  <r>
    <x v="11"/>
    <x v="0"/>
    <x v="2"/>
    <x v="3"/>
    <x v="25"/>
    <x v="1"/>
    <x v="1"/>
    <n v="9"/>
    <n v="48685.74"/>
    <n v="140584.34"/>
    <x v="0"/>
  </r>
  <r>
    <x v="11"/>
    <x v="0"/>
    <x v="2"/>
    <x v="3"/>
    <x v="26"/>
    <x v="0"/>
    <x v="0"/>
    <n v="2"/>
    <n v="9523.58"/>
    <n v="39906.339999999997"/>
    <x v="0"/>
  </r>
  <r>
    <x v="11"/>
    <x v="0"/>
    <x v="2"/>
    <x v="3"/>
    <x v="26"/>
    <x v="0"/>
    <x v="1"/>
    <n v="5"/>
    <n v="24592.01"/>
    <n v="106416.9"/>
    <x v="0"/>
  </r>
  <r>
    <x v="11"/>
    <x v="0"/>
    <x v="2"/>
    <x v="3"/>
    <x v="26"/>
    <x v="1"/>
    <x v="1"/>
    <n v="33"/>
    <n v="167158.01999999999"/>
    <n v="492064.11"/>
    <x v="0"/>
  </r>
  <r>
    <x v="11"/>
    <x v="0"/>
    <x v="2"/>
    <x v="3"/>
    <x v="27"/>
    <x v="0"/>
    <x v="0"/>
    <n v="2"/>
    <n v="13730.38"/>
    <n v="60809.66"/>
    <x v="0"/>
  </r>
  <r>
    <x v="11"/>
    <x v="0"/>
    <x v="2"/>
    <x v="3"/>
    <x v="27"/>
    <x v="0"/>
    <x v="1"/>
    <n v="13"/>
    <n v="72566.070000000007"/>
    <n v="312599.65999999997"/>
    <x v="0"/>
  </r>
  <r>
    <x v="11"/>
    <x v="0"/>
    <x v="2"/>
    <x v="3"/>
    <x v="27"/>
    <x v="1"/>
    <x v="0"/>
    <n v="22"/>
    <n v="111371.53"/>
    <n v="320982.84000000003"/>
    <x v="0"/>
  </r>
  <r>
    <x v="11"/>
    <x v="0"/>
    <x v="2"/>
    <x v="3"/>
    <x v="27"/>
    <x v="1"/>
    <x v="1"/>
    <n v="59"/>
    <n v="306964.7"/>
    <n v="891840.23"/>
    <x v="0"/>
  </r>
  <r>
    <x v="11"/>
    <x v="0"/>
    <x v="3"/>
    <x v="0"/>
    <x v="0"/>
    <x v="0"/>
    <x v="0"/>
    <n v="3"/>
    <n v="15824.5"/>
    <n v="71911.820000000007"/>
    <x v="0"/>
  </r>
  <r>
    <x v="11"/>
    <x v="0"/>
    <x v="3"/>
    <x v="0"/>
    <x v="0"/>
    <x v="1"/>
    <x v="0"/>
    <n v="7"/>
    <n v="38267.17"/>
    <n v="114725.51"/>
    <x v="0"/>
  </r>
  <r>
    <x v="11"/>
    <x v="0"/>
    <x v="3"/>
    <x v="0"/>
    <x v="0"/>
    <x v="1"/>
    <x v="1"/>
    <n v="20"/>
    <n v="121208.65"/>
    <n v="351582.17"/>
    <x v="0"/>
  </r>
  <r>
    <x v="11"/>
    <x v="0"/>
    <x v="3"/>
    <x v="0"/>
    <x v="1"/>
    <x v="0"/>
    <x v="0"/>
    <n v="4"/>
    <n v="19468.14"/>
    <n v="87165.84"/>
    <x v="0"/>
  </r>
  <r>
    <x v="11"/>
    <x v="0"/>
    <x v="3"/>
    <x v="0"/>
    <x v="1"/>
    <x v="0"/>
    <x v="1"/>
    <n v="13"/>
    <n v="76647.94"/>
    <n v="348134.03"/>
    <x v="0"/>
  </r>
  <r>
    <x v="11"/>
    <x v="0"/>
    <x v="3"/>
    <x v="0"/>
    <x v="1"/>
    <x v="1"/>
    <x v="0"/>
    <n v="20"/>
    <n v="124534.55"/>
    <n v="355326.38"/>
    <x v="0"/>
  </r>
  <r>
    <x v="11"/>
    <x v="0"/>
    <x v="3"/>
    <x v="0"/>
    <x v="1"/>
    <x v="1"/>
    <x v="1"/>
    <n v="21"/>
    <n v="122323.49"/>
    <n v="351974.06"/>
    <x v="0"/>
  </r>
  <r>
    <x v="11"/>
    <x v="0"/>
    <x v="3"/>
    <x v="0"/>
    <x v="2"/>
    <x v="0"/>
    <x v="1"/>
    <n v="9"/>
    <n v="56386.99"/>
    <n v="253341.17"/>
    <x v="0"/>
  </r>
  <r>
    <x v="11"/>
    <x v="0"/>
    <x v="3"/>
    <x v="0"/>
    <x v="2"/>
    <x v="1"/>
    <x v="0"/>
    <n v="3"/>
    <n v="17085.75"/>
    <n v="46687.12"/>
    <x v="0"/>
  </r>
  <r>
    <x v="11"/>
    <x v="0"/>
    <x v="3"/>
    <x v="0"/>
    <x v="2"/>
    <x v="1"/>
    <x v="1"/>
    <n v="46"/>
    <n v="283417.40000000002"/>
    <n v="786884.05"/>
    <x v="0"/>
  </r>
  <r>
    <x v="11"/>
    <x v="0"/>
    <x v="3"/>
    <x v="0"/>
    <x v="3"/>
    <x v="0"/>
    <x v="0"/>
    <n v="3"/>
    <n v="17254.78"/>
    <n v="77227.350000000006"/>
    <x v="0"/>
  </r>
  <r>
    <x v="11"/>
    <x v="0"/>
    <x v="3"/>
    <x v="0"/>
    <x v="3"/>
    <x v="0"/>
    <x v="1"/>
    <n v="20"/>
    <n v="110697.76"/>
    <n v="502853.4"/>
    <x v="0"/>
  </r>
  <r>
    <x v="11"/>
    <x v="0"/>
    <x v="3"/>
    <x v="0"/>
    <x v="3"/>
    <x v="1"/>
    <x v="0"/>
    <n v="24"/>
    <n v="157574.5"/>
    <n v="452709.24"/>
    <x v="0"/>
  </r>
  <r>
    <x v="11"/>
    <x v="0"/>
    <x v="3"/>
    <x v="0"/>
    <x v="3"/>
    <x v="1"/>
    <x v="1"/>
    <n v="65"/>
    <n v="364772.46"/>
    <n v="1064092.05"/>
    <x v="0"/>
  </r>
  <r>
    <x v="11"/>
    <x v="0"/>
    <x v="3"/>
    <x v="0"/>
    <x v="4"/>
    <x v="0"/>
    <x v="1"/>
    <n v="5"/>
    <n v="29670.84"/>
    <n v="135931.96"/>
    <x v="0"/>
  </r>
  <r>
    <x v="11"/>
    <x v="0"/>
    <x v="3"/>
    <x v="0"/>
    <x v="4"/>
    <x v="1"/>
    <x v="0"/>
    <n v="10"/>
    <n v="57440.44"/>
    <n v="160385.17000000001"/>
    <x v="0"/>
  </r>
  <r>
    <x v="11"/>
    <x v="0"/>
    <x v="3"/>
    <x v="0"/>
    <x v="4"/>
    <x v="1"/>
    <x v="1"/>
    <n v="11"/>
    <n v="72474.759999999995"/>
    <n v="206376.53"/>
    <x v="0"/>
  </r>
  <r>
    <x v="11"/>
    <x v="0"/>
    <x v="3"/>
    <x v="0"/>
    <x v="5"/>
    <x v="0"/>
    <x v="1"/>
    <n v="10"/>
    <n v="55447.48"/>
    <n v="253738.18"/>
    <x v="0"/>
  </r>
  <r>
    <x v="11"/>
    <x v="0"/>
    <x v="3"/>
    <x v="0"/>
    <x v="5"/>
    <x v="1"/>
    <x v="1"/>
    <n v="30"/>
    <n v="191757.29"/>
    <n v="566729.38"/>
    <x v="0"/>
  </r>
  <r>
    <x v="11"/>
    <x v="0"/>
    <x v="3"/>
    <x v="0"/>
    <x v="6"/>
    <x v="0"/>
    <x v="1"/>
    <n v="3"/>
    <n v="17768.060000000001"/>
    <n v="80496.070000000007"/>
    <x v="0"/>
  </r>
  <r>
    <x v="11"/>
    <x v="0"/>
    <x v="3"/>
    <x v="0"/>
    <x v="6"/>
    <x v="1"/>
    <x v="1"/>
    <n v="2"/>
    <n v="14449.02"/>
    <n v="44208.78"/>
    <x v="0"/>
  </r>
  <r>
    <x v="11"/>
    <x v="0"/>
    <x v="3"/>
    <x v="0"/>
    <x v="7"/>
    <x v="1"/>
    <x v="1"/>
    <n v="7"/>
    <n v="36857.47"/>
    <n v="109814.66"/>
    <x v="0"/>
  </r>
  <r>
    <x v="11"/>
    <x v="0"/>
    <x v="3"/>
    <x v="0"/>
    <x v="8"/>
    <x v="0"/>
    <x v="1"/>
    <n v="2"/>
    <n v="11225.18"/>
    <n v="50120.36"/>
    <x v="0"/>
  </r>
  <r>
    <x v="11"/>
    <x v="0"/>
    <x v="3"/>
    <x v="0"/>
    <x v="8"/>
    <x v="1"/>
    <x v="1"/>
    <n v="2"/>
    <n v="10609"/>
    <n v="29844.49"/>
    <x v="0"/>
  </r>
  <r>
    <x v="11"/>
    <x v="0"/>
    <x v="3"/>
    <x v="1"/>
    <x v="9"/>
    <x v="1"/>
    <x v="1"/>
    <n v="8"/>
    <n v="52523.09"/>
    <n v="161555.07999999999"/>
    <x v="0"/>
  </r>
  <r>
    <x v="11"/>
    <x v="0"/>
    <x v="3"/>
    <x v="1"/>
    <x v="31"/>
    <x v="1"/>
    <x v="0"/>
    <n v="2"/>
    <n v="11010.2"/>
    <n v="34833.65"/>
    <x v="0"/>
  </r>
  <r>
    <x v="11"/>
    <x v="0"/>
    <x v="3"/>
    <x v="1"/>
    <x v="10"/>
    <x v="0"/>
    <x v="0"/>
    <n v="3"/>
    <n v="16754.05"/>
    <n v="75180.539999999994"/>
    <x v="0"/>
  </r>
  <r>
    <x v="11"/>
    <x v="0"/>
    <x v="3"/>
    <x v="1"/>
    <x v="10"/>
    <x v="0"/>
    <x v="1"/>
    <n v="7"/>
    <n v="41780.17"/>
    <n v="189321.04"/>
    <x v="0"/>
  </r>
  <r>
    <x v="11"/>
    <x v="0"/>
    <x v="3"/>
    <x v="1"/>
    <x v="10"/>
    <x v="1"/>
    <x v="0"/>
    <n v="9"/>
    <n v="54693.279999999999"/>
    <n v="163735.46"/>
    <x v="0"/>
  </r>
  <r>
    <x v="11"/>
    <x v="0"/>
    <x v="3"/>
    <x v="1"/>
    <x v="10"/>
    <x v="1"/>
    <x v="1"/>
    <n v="58"/>
    <n v="350484.21"/>
    <n v="1080539.82"/>
    <x v="0"/>
  </r>
  <r>
    <x v="11"/>
    <x v="0"/>
    <x v="3"/>
    <x v="1"/>
    <x v="11"/>
    <x v="0"/>
    <x v="1"/>
    <n v="20"/>
    <n v="112446.31"/>
    <n v="508565.94"/>
    <x v="0"/>
  </r>
  <r>
    <x v="11"/>
    <x v="0"/>
    <x v="3"/>
    <x v="1"/>
    <x v="11"/>
    <x v="1"/>
    <x v="0"/>
    <n v="10"/>
    <n v="56349.440000000002"/>
    <n v="169007.12"/>
    <x v="0"/>
  </r>
  <r>
    <x v="11"/>
    <x v="0"/>
    <x v="3"/>
    <x v="1"/>
    <x v="11"/>
    <x v="1"/>
    <x v="1"/>
    <n v="42"/>
    <n v="242739.7"/>
    <n v="708728.83"/>
    <x v="0"/>
  </r>
  <r>
    <x v="11"/>
    <x v="0"/>
    <x v="3"/>
    <x v="1"/>
    <x v="12"/>
    <x v="1"/>
    <x v="0"/>
    <n v="3"/>
    <n v="16573.2"/>
    <n v="51423.49"/>
    <x v="0"/>
  </r>
  <r>
    <x v="11"/>
    <x v="0"/>
    <x v="3"/>
    <x v="1"/>
    <x v="12"/>
    <x v="1"/>
    <x v="1"/>
    <n v="2"/>
    <n v="14463.92"/>
    <n v="46025.58"/>
    <x v="0"/>
  </r>
  <r>
    <x v="11"/>
    <x v="0"/>
    <x v="3"/>
    <x v="1"/>
    <x v="13"/>
    <x v="0"/>
    <x v="1"/>
    <n v="3"/>
    <n v="18572.73"/>
    <n v="83764.789999999994"/>
    <x v="0"/>
  </r>
  <r>
    <x v="11"/>
    <x v="0"/>
    <x v="3"/>
    <x v="1"/>
    <x v="13"/>
    <x v="1"/>
    <x v="0"/>
    <n v="5"/>
    <n v="27251.8"/>
    <n v="85329.91"/>
    <x v="0"/>
  </r>
  <r>
    <x v="11"/>
    <x v="0"/>
    <x v="3"/>
    <x v="1"/>
    <x v="13"/>
    <x v="1"/>
    <x v="1"/>
    <n v="32"/>
    <n v="192495.83"/>
    <n v="594092.05000000005"/>
    <x v="0"/>
  </r>
  <r>
    <x v="11"/>
    <x v="0"/>
    <x v="3"/>
    <x v="1"/>
    <x v="14"/>
    <x v="0"/>
    <x v="1"/>
    <n v="1"/>
    <n v="7519.48"/>
    <n v="33644.43"/>
    <x v="0"/>
  </r>
  <r>
    <x v="11"/>
    <x v="0"/>
    <x v="3"/>
    <x v="1"/>
    <x v="14"/>
    <x v="1"/>
    <x v="0"/>
    <n v="22"/>
    <n v="127079.25"/>
    <n v="381671.28"/>
    <x v="0"/>
  </r>
  <r>
    <x v="11"/>
    <x v="0"/>
    <x v="3"/>
    <x v="1"/>
    <x v="14"/>
    <x v="1"/>
    <x v="1"/>
    <n v="1"/>
    <n v="7481.58"/>
    <n v="22474.48"/>
    <x v="0"/>
  </r>
  <r>
    <x v="11"/>
    <x v="0"/>
    <x v="3"/>
    <x v="1"/>
    <x v="15"/>
    <x v="1"/>
    <x v="1"/>
    <n v="3"/>
    <n v="16384.560000000001"/>
    <n v="51949.75"/>
    <x v="0"/>
  </r>
  <r>
    <x v="11"/>
    <x v="0"/>
    <x v="3"/>
    <x v="1"/>
    <x v="16"/>
    <x v="0"/>
    <x v="1"/>
    <n v="5"/>
    <n v="27682"/>
    <n v="125168.56"/>
    <x v="0"/>
  </r>
  <r>
    <x v="11"/>
    <x v="0"/>
    <x v="3"/>
    <x v="1"/>
    <x v="16"/>
    <x v="1"/>
    <x v="0"/>
    <n v="8"/>
    <n v="42264.800000000003"/>
    <n v="127528.06"/>
    <x v="0"/>
  </r>
  <r>
    <x v="11"/>
    <x v="0"/>
    <x v="3"/>
    <x v="1"/>
    <x v="16"/>
    <x v="1"/>
    <x v="1"/>
    <n v="12"/>
    <n v="79561.919999999998"/>
    <n v="237414.24"/>
    <x v="0"/>
  </r>
  <r>
    <x v="11"/>
    <x v="0"/>
    <x v="3"/>
    <x v="1"/>
    <x v="17"/>
    <x v="0"/>
    <x v="1"/>
    <n v="3"/>
    <n v="15979.41"/>
    <n v="71911.820000000007"/>
    <x v="0"/>
  </r>
  <r>
    <x v="11"/>
    <x v="0"/>
    <x v="3"/>
    <x v="1"/>
    <x v="17"/>
    <x v="1"/>
    <x v="0"/>
    <n v="16"/>
    <n v="89192.28"/>
    <n v="256382.45"/>
    <x v="0"/>
  </r>
  <r>
    <x v="11"/>
    <x v="0"/>
    <x v="3"/>
    <x v="1"/>
    <x v="17"/>
    <x v="1"/>
    <x v="1"/>
    <n v="7"/>
    <n v="40074.120000000003"/>
    <n v="121368.31"/>
    <x v="0"/>
  </r>
  <r>
    <x v="11"/>
    <x v="0"/>
    <x v="3"/>
    <x v="1"/>
    <x v="18"/>
    <x v="0"/>
    <x v="1"/>
    <n v="20"/>
    <n v="119930.72"/>
    <n v="540723.79"/>
    <x v="0"/>
  </r>
  <r>
    <x v="11"/>
    <x v="0"/>
    <x v="3"/>
    <x v="1"/>
    <x v="18"/>
    <x v="1"/>
    <x v="0"/>
    <n v="18"/>
    <n v="101046.52"/>
    <n v="314906.63"/>
    <x v="0"/>
  </r>
  <r>
    <x v="11"/>
    <x v="0"/>
    <x v="3"/>
    <x v="1"/>
    <x v="18"/>
    <x v="1"/>
    <x v="1"/>
    <n v="18"/>
    <n v="107860.64"/>
    <n v="337295.35999999999"/>
    <x v="0"/>
  </r>
  <r>
    <x v="11"/>
    <x v="0"/>
    <x v="3"/>
    <x v="1"/>
    <x v="19"/>
    <x v="0"/>
    <x v="1"/>
    <n v="6"/>
    <n v="37447.51"/>
    <n v="170665.96"/>
    <x v="0"/>
  </r>
  <r>
    <x v="11"/>
    <x v="0"/>
    <x v="3"/>
    <x v="1"/>
    <x v="19"/>
    <x v="1"/>
    <x v="0"/>
    <n v="13"/>
    <n v="75612.600000000006"/>
    <n v="231615.65"/>
    <x v="0"/>
  </r>
  <r>
    <x v="11"/>
    <x v="0"/>
    <x v="3"/>
    <x v="1"/>
    <x v="19"/>
    <x v="1"/>
    <x v="1"/>
    <n v="11"/>
    <n v="59481.06"/>
    <n v="179186.81"/>
    <x v="0"/>
  </r>
  <r>
    <x v="11"/>
    <x v="0"/>
    <x v="3"/>
    <x v="1"/>
    <x v="20"/>
    <x v="0"/>
    <x v="0"/>
    <n v="3"/>
    <n v="17973.91"/>
    <n v="80496.070000000007"/>
    <x v="0"/>
  </r>
  <r>
    <x v="11"/>
    <x v="0"/>
    <x v="3"/>
    <x v="1"/>
    <x v="20"/>
    <x v="0"/>
    <x v="1"/>
    <n v="16"/>
    <n v="94419.85"/>
    <n v="432856.06"/>
    <x v="0"/>
  </r>
  <r>
    <x v="11"/>
    <x v="0"/>
    <x v="3"/>
    <x v="1"/>
    <x v="20"/>
    <x v="1"/>
    <x v="0"/>
    <n v="7"/>
    <n v="38827.99"/>
    <n v="113414.75"/>
    <x v="0"/>
  </r>
  <r>
    <x v="11"/>
    <x v="0"/>
    <x v="3"/>
    <x v="1"/>
    <x v="20"/>
    <x v="1"/>
    <x v="1"/>
    <n v="39"/>
    <n v="246461.86"/>
    <n v="730680.76"/>
    <x v="0"/>
  </r>
  <r>
    <x v="11"/>
    <x v="0"/>
    <x v="3"/>
    <x v="2"/>
    <x v="21"/>
    <x v="0"/>
    <x v="0"/>
    <n v="2"/>
    <n v="10898.14"/>
    <n v="50120.36"/>
    <x v="0"/>
  </r>
  <r>
    <x v="11"/>
    <x v="0"/>
    <x v="3"/>
    <x v="2"/>
    <x v="21"/>
    <x v="1"/>
    <x v="1"/>
    <n v="1"/>
    <n v="5585.5"/>
    <n v="15261.65"/>
    <x v="0"/>
  </r>
  <r>
    <x v="11"/>
    <x v="0"/>
    <x v="3"/>
    <x v="2"/>
    <x v="22"/>
    <x v="0"/>
    <x v="1"/>
    <n v="6"/>
    <n v="37456.97"/>
    <n v="170665.96"/>
    <x v="0"/>
  </r>
  <r>
    <x v="11"/>
    <x v="0"/>
    <x v="3"/>
    <x v="2"/>
    <x v="22"/>
    <x v="1"/>
    <x v="0"/>
    <n v="11"/>
    <n v="63438.99"/>
    <n v="173688.91"/>
    <x v="0"/>
  </r>
  <r>
    <x v="11"/>
    <x v="0"/>
    <x v="3"/>
    <x v="2"/>
    <x v="22"/>
    <x v="1"/>
    <x v="1"/>
    <n v="24"/>
    <n v="145040.41"/>
    <n v="391388.19"/>
    <x v="0"/>
  </r>
  <r>
    <x v="11"/>
    <x v="0"/>
    <x v="3"/>
    <x v="2"/>
    <x v="29"/>
    <x v="0"/>
    <x v="1"/>
    <n v="1"/>
    <n v="5449.91"/>
    <n v="25060.18"/>
    <x v="0"/>
  </r>
  <r>
    <x v="11"/>
    <x v="0"/>
    <x v="3"/>
    <x v="2"/>
    <x v="23"/>
    <x v="1"/>
    <x v="1"/>
    <n v="5"/>
    <n v="24572.5"/>
    <n v="69078.929999999993"/>
    <x v="0"/>
  </r>
  <r>
    <x v="11"/>
    <x v="0"/>
    <x v="3"/>
    <x v="2"/>
    <x v="24"/>
    <x v="0"/>
    <x v="1"/>
    <n v="2"/>
    <n v="13107.92"/>
    <n v="58704.61"/>
    <x v="0"/>
  </r>
  <r>
    <x v="11"/>
    <x v="0"/>
    <x v="3"/>
    <x v="2"/>
    <x v="24"/>
    <x v="1"/>
    <x v="0"/>
    <n v="1"/>
    <n v="7086.59"/>
    <n v="20859.55"/>
    <x v="0"/>
  </r>
  <r>
    <x v="11"/>
    <x v="0"/>
    <x v="3"/>
    <x v="2"/>
    <x v="24"/>
    <x v="1"/>
    <x v="1"/>
    <n v="10"/>
    <n v="65327.95"/>
    <n v="179581.41"/>
    <x v="0"/>
  </r>
  <r>
    <x v="11"/>
    <x v="0"/>
    <x v="3"/>
    <x v="3"/>
    <x v="25"/>
    <x v="0"/>
    <x v="1"/>
    <n v="1"/>
    <n v="7313.37"/>
    <n v="33644.43"/>
    <x v="0"/>
  </r>
  <r>
    <x v="11"/>
    <x v="0"/>
    <x v="3"/>
    <x v="3"/>
    <x v="25"/>
    <x v="1"/>
    <x v="0"/>
    <n v="21"/>
    <n v="138834.75"/>
    <n v="422752.62"/>
    <x v="0"/>
  </r>
  <r>
    <x v="11"/>
    <x v="0"/>
    <x v="3"/>
    <x v="3"/>
    <x v="25"/>
    <x v="1"/>
    <x v="1"/>
    <n v="19"/>
    <n v="115585.83"/>
    <n v="356780.05"/>
    <x v="0"/>
  </r>
  <r>
    <x v="11"/>
    <x v="0"/>
    <x v="3"/>
    <x v="3"/>
    <x v="26"/>
    <x v="0"/>
    <x v="0"/>
    <n v="6"/>
    <n v="38309.040000000001"/>
    <n v="172845.11"/>
    <x v="0"/>
  </r>
  <r>
    <x v="11"/>
    <x v="0"/>
    <x v="3"/>
    <x v="3"/>
    <x v="26"/>
    <x v="0"/>
    <x v="1"/>
    <n v="5"/>
    <n v="27049.48"/>
    <n v="119853.03"/>
    <x v="0"/>
  </r>
  <r>
    <x v="11"/>
    <x v="0"/>
    <x v="3"/>
    <x v="3"/>
    <x v="26"/>
    <x v="1"/>
    <x v="0"/>
    <n v="6"/>
    <n v="31547.94"/>
    <n v="99238.3"/>
    <x v="0"/>
  </r>
  <r>
    <x v="11"/>
    <x v="0"/>
    <x v="3"/>
    <x v="3"/>
    <x v="26"/>
    <x v="1"/>
    <x v="1"/>
    <n v="44"/>
    <n v="265469"/>
    <n v="834193.12"/>
    <x v="0"/>
  </r>
  <r>
    <x v="11"/>
    <x v="0"/>
    <x v="3"/>
    <x v="3"/>
    <x v="27"/>
    <x v="0"/>
    <x v="0"/>
    <n v="3"/>
    <n v="20611.05"/>
    <n v="92349.04"/>
    <x v="0"/>
  </r>
  <r>
    <x v="11"/>
    <x v="0"/>
    <x v="3"/>
    <x v="3"/>
    <x v="27"/>
    <x v="0"/>
    <x v="1"/>
    <n v="15"/>
    <n v="88023.23"/>
    <n v="391849.29"/>
    <x v="0"/>
  </r>
  <r>
    <x v="11"/>
    <x v="0"/>
    <x v="3"/>
    <x v="3"/>
    <x v="27"/>
    <x v="1"/>
    <x v="0"/>
    <n v="11"/>
    <n v="59943.88"/>
    <n v="185795.93"/>
    <x v="0"/>
  </r>
  <r>
    <x v="11"/>
    <x v="0"/>
    <x v="3"/>
    <x v="3"/>
    <x v="27"/>
    <x v="1"/>
    <x v="1"/>
    <n v="74"/>
    <n v="424256.45"/>
    <n v="1286698.6000000001"/>
    <x v="0"/>
  </r>
  <r>
    <x v="11"/>
    <x v="0"/>
    <x v="4"/>
    <x v="0"/>
    <x v="0"/>
    <x v="0"/>
    <x v="0"/>
    <n v="5"/>
    <n v="26167.78"/>
    <n v="121338.8"/>
    <x v="0"/>
  </r>
  <r>
    <x v="11"/>
    <x v="0"/>
    <x v="4"/>
    <x v="0"/>
    <x v="0"/>
    <x v="0"/>
    <x v="1"/>
    <n v="2"/>
    <n v="9249.14"/>
    <n v="43318.720000000001"/>
    <x v="0"/>
  </r>
  <r>
    <x v="11"/>
    <x v="0"/>
    <x v="4"/>
    <x v="0"/>
    <x v="0"/>
    <x v="1"/>
    <x v="0"/>
    <n v="2"/>
    <n v="11904.59"/>
    <n v="35443.379999999997"/>
    <x v="0"/>
  </r>
  <r>
    <x v="11"/>
    <x v="0"/>
    <x v="4"/>
    <x v="0"/>
    <x v="0"/>
    <x v="1"/>
    <x v="1"/>
    <n v="22"/>
    <n v="115525.24"/>
    <n v="346883.56"/>
    <x v="0"/>
  </r>
  <r>
    <x v="11"/>
    <x v="0"/>
    <x v="4"/>
    <x v="0"/>
    <x v="1"/>
    <x v="0"/>
    <x v="0"/>
    <n v="3"/>
    <n v="15050.17"/>
    <n v="68226.990000000005"/>
    <x v="0"/>
  </r>
  <r>
    <x v="11"/>
    <x v="0"/>
    <x v="4"/>
    <x v="0"/>
    <x v="1"/>
    <x v="0"/>
    <x v="1"/>
    <n v="4"/>
    <n v="23864.99"/>
    <n v="112721.44"/>
    <x v="0"/>
  </r>
  <r>
    <x v="11"/>
    <x v="0"/>
    <x v="4"/>
    <x v="0"/>
    <x v="1"/>
    <x v="1"/>
    <x v="0"/>
    <n v="36"/>
    <n v="187974.45"/>
    <n v="557936"/>
    <x v="0"/>
  </r>
  <r>
    <x v="11"/>
    <x v="0"/>
    <x v="4"/>
    <x v="0"/>
    <x v="1"/>
    <x v="1"/>
    <x v="1"/>
    <n v="43"/>
    <n v="220441.53"/>
    <n v="650717.19999999995"/>
    <x v="0"/>
  </r>
  <r>
    <x v="11"/>
    <x v="0"/>
    <x v="4"/>
    <x v="0"/>
    <x v="2"/>
    <x v="0"/>
    <x v="1"/>
    <n v="1"/>
    <n v="4776.55"/>
    <n v="21659.360000000001"/>
    <x v="0"/>
  </r>
  <r>
    <x v="11"/>
    <x v="0"/>
    <x v="4"/>
    <x v="0"/>
    <x v="2"/>
    <x v="1"/>
    <x v="0"/>
    <n v="2"/>
    <n v="9696.66"/>
    <n v="28245.97"/>
    <x v="0"/>
  </r>
  <r>
    <x v="11"/>
    <x v="0"/>
    <x v="4"/>
    <x v="0"/>
    <x v="2"/>
    <x v="1"/>
    <x v="1"/>
    <n v="22"/>
    <n v="109991.58"/>
    <n v="316758.44"/>
    <x v="0"/>
  </r>
  <r>
    <x v="11"/>
    <x v="0"/>
    <x v="4"/>
    <x v="0"/>
    <x v="3"/>
    <x v="0"/>
    <x v="0"/>
    <n v="3"/>
    <n v="14957.6"/>
    <n v="68226.990000000005"/>
    <x v="0"/>
  </r>
  <r>
    <x v="11"/>
    <x v="0"/>
    <x v="4"/>
    <x v="0"/>
    <x v="3"/>
    <x v="0"/>
    <x v="1"/>
    <n v="1"/>
    <n v="4588.3500000000004"/>
    <n v="21659.360000000001"/>
    <x v="0"/>
  </r>
  <r>
    <x v="11"/>
    <x v="0"/>
    <x v="4"/>
    <x v="0"/>
    <x v="3"/>
    <x v="1"/>
    <x v="0"/>
    <n v="21"/>
    <n v="108979.1"/>
    <n v="318182.40000000002"/>
    <x v="0"/>
  </r>
  <r>
    <x v="11"/>
    <x v="0"/>
    <x v="4"/>
    <x v="0"/>
    <x v="3"/>
    <x v="1"/>
    <x v="1"/>
    <n v="36"/>
    <n v="183401.88"/>
    <n v="522403.11"/>
    <x v="0"/>
  </r>
  <r>
    <x v="11"/>
    <x v="0"/>
    <x v="4"/>
    <x v="0"/>
    <x v="28"/>
    <x v="1"/>
    <x v="1"/>
    <n v="6"/>
    <n v="28460.7"/>
    <n v="85699.58"/>
    <x v="0"/>
  </r>
  <r>
    <x v="11"/>
    <x v="0"/>
    <x v="4"/>
    <x v="0"/>
    <x v="4"/>
    <x v="0"/>
    <x v="1"/>
    <n v="4"/>
    <n v="19812.41"/>
    <n v="89886.35"/>
    <x v="0"/>
  </r>
  <r>
    <x v="11"/>
    <x v="0"/>
    <x v="4"/>
    <x v="0"/>
    <x v="4"/>
    <x v="1"/>
    <x v="0"/>
    <n v="13"/>
    <n v="63446.9"/>
    <n v="189216.17"/>
    <x v="0"/>
  </r>
  <r>
    <x v="11"/>
    <x v="0"/>
    <x v="4"/>
    <x v="0"/>
    <x v="4"/>
    <x v="1"/>
    <x v="1"/>
    <n v="12"/>
    <n v="62402.15"/>
    <n v="185116.95"/>
    <x v="0"/>
  </r>
  <r>
    <x v="11"/>
    <x v="0"/>
    <x v="4"/>
    <x v="0"/>
    <x v="5"/>
    <x v="0"/>
    <x v="1"/>
    <n v="1"/>
    <n v="4687.68"/>
    <n v="21659.360000000001"/>
    <x v="0"/>
  </r>
  <r>
    <x v="11"/>
    <x v="0"/>
    <x v="4"/>
    <x v="0"/>
    <x v="5"/>
    <x v="1"/>
    <x v="0"/>
    <n v="4"/>
    <n v="18740.34"/>
    <n v="57094.07"/>
    <x v="0"/>
  </r>
  <r>
    <x v="11"/>
    <x v="0"/>
    <x v="4"/>
    <x v="0"/>
    <x v="5"/>
    <x v="1"/>
    <x v="1"/>
    <n v="27"/>
    <n v="135025.69"/>
    <n v="406811.51"/>
    <x v="0"/>
  </r>
  <r>
    <x v="11"/>
    <x v="0"/>
    <x v="4"/>
    <x v="0"/>
    <x v="6"/>
    <x v="0"/>
    <x v="1"/>
    <n v="4"/>
    <n v="23828.27"/>
    <n v="108389.56"/>
    <x v="0"/>
  </r>
  <r>
    <x v="11"/>
    <x v="0"/>
    <x v="4"/>
    <x v="0"/>
    <x v="6"/>
    <x v="1"/>
    <x v="1"/>
    <n v="7"/>
    <n v="34399.67"/>
    <n v="99611.4"/>
    <x v="0"/>
  </r>
  <r>
    <x v="11"/>
    <x v="0"/>
    <x v="4"/>
    <x v="0"/>
    <x v="7"/>
    <x v="1"/>
    <x v="1"/>
    <n v="3"/>
    <n v="17568.87"/>
    <n v="55011.11"/>
    <x v="0"/>
  </r>
  <r>
    <x v="11"/>
    <x v="0"/>
    <x v="4"/>
    <x v="0"/>
    <x v="8"/>
    <x v="0"/>
    <x v="1"/>
    <n v="3"/>
    <n v="16298.76"/>
    <n v="75854.14"/>
    <x v="0"/>
  </r>
  <r>
    <x v="11"/>
    <x v="0"/>
    <x v="4"/>
    <x v="0"/>
    <x v="8"/>
    <x v="1"/>
    <x v="1"/>
    <n v="13"/>
    <n v="62159.25"/>
    <n v="181922.53"/>
    <x v="0"/>
  </r>
  <r>
    <x v="11"/>
    <x v="0"/>
    <x v="4"/>
    <x v="1"/>
    <x v="30"/>
    <x v="1"/>
    <x v="0"/>
    <n v="8"/>
    <n v="46831.45"/>
    <n v="150075.03"/>
    <x v="0"/>
  </r>
  <r>
    <x v="11"/>
    <x v="0"/>
    <x v="4"/>
    <x v="1"/>
    <x v="9"/>
    <x v="1"/>
    <x v="1"/>
    <n v="2"/>
    <n v="9303.6200000000008"/>
    <n v="29081.49"/>
    <x v="0"/>
  </r>
  <r>
    <x v="11"/>
    <x v="0"/>
    <x v="4"/>
    <x v="1"/>
    <x v="31"/>
    <x v="1"/>
    <x v="0"/>
    <n v="1"/>
    <n v="4857.33"/>
    <n v="14346.92"/>
    <x v="0"/>
  </r>
  <r>
    <x v="11"/>
    <x v="0"/>
    <x v="4"/>
    <x v="1"/>
    <x v="10"/>
    <x v="0"/>
    <x v="1"/>
    <n v="1"/>
    <n v="6918.31"/>
    <n v="32535.42"/>
    <x v="0"/>
  </r>
  <r>
    <x v="11"/>
    <x v="0"/>
    <x v="4"/>
    <x v="1"/>
    <x v="10"/>
    <x v="1"/>
    <x v="0"/>
    <n v="12"/>
    <n v="63735.12"/>
    <n v="201281.85"/>
    <x v="0"/>
  </r>
  <r>
    <x v="11"/>
    <x v="0"/>
    <x v="4"/>
    <x v="1"/>
    <x v="10"/>
    <x v="1"/>
    <x v="1"/>
    <n v="49"/>
    <n v="242108.59"/>
    <n v="755351.12"/>
    <x v="0"/>
  </r>
  <r>
    <x v="11"/>
    <x v="0"/>
    <x v="4"/>
    <x v="1"/>
    <x v="11"/>
    <x v="0"/>
    <x v="1"/>
    <n v="15"/>
    <n v="76850.91"/>
    <n v="349845.07"/>
    <x v="0"/>
  </r>
  <r>
    <x v="11"/>
    <x v="0"/>
    <x v="4"/>
    <x v="1"/>
    <x v="11"/>
    <x v="1"/>
    <x v="0"/>
    <n v="11"/>
    <n v="54957.98"/>
    <n v="162209.53"/>
    <x v="0"/>
  </r>
  <r>
    <x v="11"/>
    <x v="0"/>
    <x v="4"/>
    <x v="1"/>
    <x v="11"/>
    <x v="1"/>
    <x v="1"/>
    <n v="58"/>
    <n v="292452.28000000003"/>
    <n v="864266.95"/>
    <x v="0"/>
  </r>
  <r>
    <x v="11"/>
    <x v="0"/>
    <x v="4"/>
    <x v="1"/>
    <x v="12"/>
    <x v="1"/>
    <x v="0"/>
    <n v="5"/>
    <n v="23819.3"/>
    <n v="73399.92"/>
    <x v="0"/>
  </r>
  <r>
    <x v="11"/>
    <x v="0"/>
    <x v="4"/>
    <x v="1"/>
    <x v="12"/>
    <x v="1"/>
    <x v="1"/>
    <n v="3"/>
    <n v="20925.75"/>
    <n v="66762.679999999993"/>
    <x v="0"/>
  </r>
  <r>
    <x v="11"/>
    <x v="0"/>
    <x v="4"/>
    <x v="1"/>
    <x v="13"/>
    <x v="0"/>
    <x v="1"/>
    <n v="4"/>
    <n v="23030.68"/>
    <n v="107260.23"/>
    <x v="0"/>
  </r>
  <r>
    <x v="11"/>
    <x v="0"/>
    <x v="4"/>
    <x v="1"/>
    <x v="13"/>
    <x v="1"/>
    <x v="1"/>
    <n v="27"/>
    <n v="138128.91"/>
    <n v="427379.41"/>
    <x v="0"/>
  </r>
  <r>
    <x v="11"/>
    <x v="0"/>
    <x v="4"/>
    <x v="1"/>
    <x v="14"/>
    <x v="1"/>
    <x v="0"/>
    <n v="20"/>
    <n v="105146.67"/>
    <n v="317031.23"/>
    <x v="0"/>
  </r>
  <r>
    <x v="11"/>
    <x v="0"/>
    <x v="4"/>
    <x v="1"/>
    <x v="14"/>
    <x v="1"/>
    <x v="1"/>
    <n v="15"/>
    <n v="85376.09"/>
    <n v="259222.67"/>
    <x v="0"/>
  </r>
  <r>
    <x v="11"/>
    <x v="0"/>
    <x v="4"/>
    <x v="1"/>
    <x v="15"/>
    <x v="1"/>
    <x v="0"/>
    <n v="5"/>
    <n v="24735.15"/>
    <n v="74833.09"/>
    <x v="0"/>
  </r>
  <r>
    <x v="11"/>
    <x v="0"/>
    <x v="4"/>
    <x v="1"/>
    <x v="15"/>
    <x v="1"/>
    <x v="1"/>
    <n v="3"/>
    <n v="14797.99"/>
    <n v="45648.19"/>
    <x v="0"/>
  </r>
  <r>
    <x v="11"/>
    <x v="0"/>
    <x v="4"/>
    <x v="1"/>
    <x v="16"/>
    <x v="0"/>
    <x v="1"/>
    <n v="1"/>
    <n v="4843.88"/>
    <n v="22742.33"/>
    <x v="0"/>
  </r>
  <r>
    <x v="11"/>
    <x v="0"/>
    <x v="4"/>
    <x v="1"/>
    <x v="16"/>
    <x v="1"/>
    <x v="0"/>
    <n v="7"/>
    <n v="34348.559999999998"/>
    <n v="99763.02"/>
    <x v="0"/>
  </r>
  <r>
    <x v="11"/>
    <x v="0"/>
    <x v="4"/>
    <x v="1"/>
    <x v="16"/>
    <x v="1"/>
    <x v="1"/>
    <n v="6"/>
    <n v="29215.7"/>
    <n v="84120.94"/>
    <x v="0"/>
  </r>
  <r>
    <x v="11"/>
    <x v="0"/>
    <x v="4"/>
    <x v="1"/>
    <x v="17"/>
    <x v="0"/>
    <x v="1"/>
    <n v="2"/>
    <n v="9907.31"/>
    <n v="43318.720000000001"/>
    <x v="0"/>
  </r>
  <r>
    <x v="11"/>
    <x v="0"/>
    <x v="4"/>
    <x v="1"/>
    <x v="17"/>
    <x v="1"/>
    <x v="0"/>
    <n v="4"/>
    <n v="18901.48"/>
    <n v="57527.26"/>
    <x v="0"/>
  </r>
  <r>
    <x v="11"/>
    <x v="0"/>
    <x v="4"/>
    <x v="1"/>
    <x v="17"/>
    <x v="1"/>
    <x v="1"/>
    <n v="13"/>
    <n v="70081.62"/>
    <n v="214381.45"/>
    <x v="0"/>
  </r>
  <r>
    <x v="11"/>
    <x v="0"/>
    <x v="4"/>
    <x v="1"/>
    <x v="18"/>
    <x v="0"/>
    <x v="1"/>
    <n v="12"/>
    <n v="63337.73"/>
    <n v="293577.11"/>
    <x v="0"/>
  </r>
  <r>
    <x v="11"/>
    <x v="0"/>
    <x v="4"/>
    <x v="1"/>
    <x v="18"/>
    <x v="1"/>
    <x v="0"/>
    <n v="16"/>
    <n v="88316.81"/>
    <n v="284940.08"/>
    <x v="0"/>
  </r>
  <r>
    <x v="11"/>
    <x v="0"/>
    <x v="4"/>
    <x v="1"/>
    <x v="18"/>
    <x v="1"/>
    <x v="1"/>
    <n v="26"/>
    <n v="136211.25"/>
    <n v="441579.68"/>
    <x v="0"/>
  </r>
  <r>
    <x v="11"/>
    <x v="0"/>
    <x v="4"/>
    <x v="1"/>
    <x v="19"/>
    <x v="0"/>
    <x v="1"/>
    <n v="8"/>
    <n v="41641.71"/>
    <n v="190602.4"/>
    <x v="0"/>
  </r>
  <r>
    <x v="11"/>
    <x v="0"/>
    <x v="4"/>
    <x v="1"/>
    <x v="19"/>
    <x v="1"/>
    <x v="0"/>
    <n v="24"/>
    <n v="129067.63"/>
    <n v="401612.56"/>
    <x v="0"/>
  </r>
  <r>
    <x v="11"/>
    <x v="0"/>
    <x v="4"/>
    <x v="1"/>
    <x v="19"/>
    <x v="1"/>
    <x v="1"/>
    <n v="19"/>
    <n v="99614.91"/>
    <n v="298308.27"/>
    <x v="0"/>
  </r>
  <r>
    <x v="11"/>
    <x v="0"/>
    <x v="4"/>
    <x v="1"/>
    <x v="20"/>
    <x v="0"/>
    <x v="0"/>
    <n v="1"/>
    <n v="4703.25"/>
    <n v="21659.360000000001"/>
    <x v="0"/>
  </r>
  <r>
    <x v="11"/>
    <x v="0"/>
    <x v="4"/>
    <x v="1"/>
    <x v="20"/>
    <x v="0"/>
    <x v="1"/>
    <n v="10"/>
    <n v="59121.25"/>
    <n v="273093.48"/>
    <x v="0"/>
  </r>
  <r>
    <x v="11"/>
    <x v="0"/>
    <x v="4"/>
    <x v="1"/>
    <x v="20"/>
    <x v="1"/>
    <x v="0"/>
    <n v="20"/>
    <n v="101559.06"/>
    <n v="313257.17"/>
    <x v="0"/>
  </r>
  <r>
    <x v="11"/>
    <x v="0"/>
    <x v="4"/>
    <x v="1"/>
    <x v="20"/>
    <x v="1"/>
    <x v="1"/>
    <n v="19"/>
    <n v="95556.02"/>
    <n v="287281.40000000002"/>
    <x v="0"/>
  </r>
  <r>
    <x v="11"/>
    <x v="0"/>
    <x v="4"/>
    <x v="2"/>
    <x v="21"/>
    <x v="0"/>
    <x v="0"/>
    <n v="2"/>
    <n v="10640.61"/>
    <n v="49816.54"/>
    <x v="0"/>
  </r>
  <r>
    <x v="11"/>
    <x v="0"/>
    <x v="4"/>
    <x v="2"/>
    <x v="21"/>
    <x v="1"/>
    <x v="1"/>
    <n v="5"/>
    <n v="24383.5"/>
    <n v="69250.39"/>
    <x v="0"/>
  </r>
  <r>
    <x v="11"/>
    <x v="0"/>
    <x v="4"/>
    <x v="2"/>
    <x v="22"/>
    <x v="0"/>
    <x v="1"/>
    <n v="3"/>
    <n v="14628.31"/>
    <n v="66061.05"/>
    <x v="0"/>
  </r>
  <r>
    <x v="11"/>
    <x v="0"/>
    <x v="4"/>
    <x v="2"/>
    <x v="22"/>
    <x v="1"/>
    <x v="0"/>
    <n v="15"/>
    <n v="72599.97"/>
    <n v="199836.84"/>
    <x v="0"/>
  </r>
  <r>
    <x v="11"/>
    <x v="0"/>
    <x v="4"/>
    <x v="2"/>
    <x v="22"/>
    <x v="1"/>
    <x v="1"/>
    <n v="24"/>
    <n v="135496.26999999999"/>
    <n v="380516.75"/>
    <x v="0"/>
  </r>
  <r>
    <x v="11"/>
    <x v="0"/>
    <x v="4"/>
    <x v="2"/>
    <x v="29"/>
    <x v="0"/>
    <x v="1"/>
    <n v="3"/>
    <n v="15087"/>
    <n v="69309.960000000006"/>
    <x v="0"/>
  </r>
  <r>
    <x v="11"/>
    <x v="0"/>
    <x v="4"/>
    <x v="2"/>
    <x v="29"/>
    <x v="1"/>
    <x v="1"/>
    <n v="5"/>
    <n v="33904.300000000003"/>
    <n v="105252.08"/>
    <x v="0"/>
  </r>
  <r>
    <x v="11"/>
    <x v="0"/>
    <x v="4"/>
    <x v="2"/>
    <x v="24"/>
    <x v="0"/>
    <x v="1"/>
    <n v="1"/>
    <n v="4671.75"/>
    <n v="21659.360000000001"/>
    <x v="0"/>
  </r>
  <r>
    <x v="11"/>
    <x v="0"/>
    <x v="4"/>
    <x v="2"/>
    <x v="24"/>
    <x v="1"/>
    <x v="0"/>
    <n v="12"/>
    <n v="61755.26"/>
    <n v="172876.67"/>
    <x v="0"/>
  </r>
  <r>
    <x v="11"/>
    <x v="0"/>
    <x v="4"/>
    <x v="2"/>
    <x v="24"/>
    <x v="1"/>
    <x v="1"/>
    <n v="8"/>
    <n v="39261.86"/>
    <n v="115487.71"/>
    <x v="0"/>
  </r>
  <r>
    <x v="11"/>
    <x v="0"/>
    <x v="4"/>
    <x v="3"/>
    <x v="25"/>
    <x v="0"/>
    <x v="1"/>
    <n v="1"/>
    <n v="5012.4799999999996"/>
    <n v="21659.360000000001"/>
    <x v="0"/>
  </r>
  <r>
    <x v="11"/>
    <x v="0"/>
    <x v="4"/>
    <x v="3"/>
    <x v="25"/>
    <x v="1"/>
    <x v="0"/>
    <n v="19"/>
    <n v="107293.53"/>
    <n v="333358.37"/>
    <x v="0"/>
  </r>
  <r>
    <x v="11"/>
    <x v="0"/>
    <x v="4"/>
    <x v="3"/>
    <x v="25"/>
    <x v="1"/>
    <x v="1"/>
    <n v="20"/>
    <n v="99867.07"/>
    <n v="306934.51"/>
    <x v="0"/>
  </r>
  <r>
    <x v="11"/>
    <x v="0"/>
    <x v="4"/>
    <x v="3"/>
    <x v="26"/>
    <x v="0"/>
    <x v="0"/>
    <n v="2"/>
    <n v="9699.5499999999993"/>
    <n v="44401.69"/>
    <x v="0"/>
  </r>
  <r>
    <x v="11"/>
    <x v="0"/>
    <x v="4"/>
    <x v="3"/>
    <x v="26"/>
    <x v="0"/>
    <x v="1"/>
    <n v="2"/>
    <n v="11887.56"/>
    <n v="54194.78"/>
    <x v="0"/>
  </r>
  <r>
    <x v="11"/>
    <x v="0"/>
    <x v="4"/>
    <x v="3"/>
    <x v="26"/>
    <x v="1"/>
    <x v="0"/>
    <n v="5"/>
    <n v="24953.26"/>
    <n v="74724.800000000003"/>
    <x v="0"/>
  </r>
  <r>
    <x v="11"/>
    <x v="0"/>
    <x v="4"/>
    <x v="3"/>
    <x v="26"/>
    <x v="1"/>
    <x v="1"/>
    <n v="20"/>
    <n v="105067.33"/>
    <n v="328831.68"/>
    <x v="0"/>
  </r>
  <r>
    <x v="11"/>
    <x v="0"/>
    <x v="4"/>
    <x v="3"/>
    <x v="27"/>
    <x v="0"/>
    <x v="1"/>
    <n v="14"/>
    <n v="68865.919999999998"/>
    <n v="310811.83"/>
    <x v="0"/>
  </r>
  <r>
    <x v="11"/>
    <x v="0"/>
    <x v="4"/>
    <x v="3"/>
    <x v="27"/>
    <x v="1"/>
    <x v="0"/>
    <n v="22"/>
    <n v="115780.98"/>
    <n v="367474.85"/>
    <x v="0"/>
  </r>
  <r>
    <x v="11"/>
    <x v="0"/>
    <x v="4"/>
    <x v="3"/>
    <x v="27"/>
    <x v="1"/>
    <x v="1"/>
    <n v="49"/>
    <n v="252584.59"/>
    <n v="792074.1"/>
    <x v="0"/>
  </r>
  <r>
    <x v="11"/>
    <x v="0"/>
    <x v="5"/>
    <x v="0"/>
    <x v="0"/>
    <x v="0"/>
    <x v="0"/>
    <n v="7"/>
    <n v="41326.11"/>
    <n v="168089.88"/>
    <x v="0"/>
  </r>
  <r>
    <x v="11"/>
    <x v="0"/>
    <x v="5"/>
    <x v="0"/>
    <x v="0"/>
    <x v="1"/>
    <x v="0"/>
    <n v="10"/>
    <n v="57390.39"/>
    <n v="150290.01"/>
    <x v="0"/>
  </r>
  <r>
    <x v="11"/>
    <x v="0"/>
    <x v="5"/>
    <x v="0"/>
    <x v="0"/>
    <x v="1"/>
    <x v="1"/>
    <n v="17"/>
    <n v="94371.56"/>
    <n v="244486.42"/>
    <x v="0"/>
  </r>
  <r>
    <x v="11"/>
    <x v="0"/>
    <x v="5"/>
    <x v="0"/>
    <x v="1"/>
    <x v="0"/>
    <x v="0"/>
    <n v="1"/>
    <n v="6480.53"/>
    <n v="26367.040000000001"/>
    <x v="0"/>
  </r>
  <r>
    <x v="11"/>
    <x v="0"/>
    <x v="5"/>
    <x v="0"/>
    <x v="1"/>
    <x v="0"/>
    <x v="1"/>
    <n v="6"/>
    <n v="34906.019999999997"/>
    <n v="141722.84"/>
    <x v="0"/>
  </r>
  <r>
    <x v="11"/>
    <x v="0"/>
    <x v="5"/>
    <x v="0"/>
    <x v="1"/>
    <x v="1"/>
    <x v="0"/>
    <n v="24"/>
    <n v="145732.51999999999"/>
    <n v="380935.34"/>
    <x v="0"/>
  </r>
  <r>
    <x v="11"/>
    <x v="0"/>
    <x v="5"/>
    <x v="0"/>
    <x v="1"/>
    <x v="1"/>
    <x v="1"/>
    <n v="22"/>
    <n v="117015.74"/>
    <n v="307941.21999999997"/>
    <x v="0"/>
  </r>
  <r>
    <x v="11"/>
    <x v="0"/>
    <x v="5"/>
    <x v="0"/>
    <x v="2"/>
    <x v="0"/>
    <x v="1"/>
    <n v="5"/>
    <n v="26183.43"/>
    <n v="106292.13"/>
    <x v="0"/>
  </r>
  <r>
    <x v="11"/>
    <x v="0"/>
    <x v="5"/>
    <x v="0"/>
    <x v="2"/>
    <x v="1"/>
    <x v="0"/>
    <n v="11"/>
    <n v="55615.49"/>
    <n v="137851.48000000001"/>
    <x v="0"/>
  </r>
  <r>
    <x v="11"/>
    <x v="0"/>
    <x v="5"/>
    <x v="0"/>
    <x v="2"/>
    <x v="1"/>
    <x v="1"/>
    <n v="4"/>
    <n v="23530.43"/>
    <n v="59190.68"/>
    <x v="0"/>
  </r>
  <r>
    <x v="11"/>
    <x v="0"/>
    <x v="5"/>
    <x v="0"/>
    <x v="3"/>
    <x v="0"/>
    <x v="0"/>
    <n v="2"/>
    <n v="11546.33"/>
    <n v="45318.35"/>
    <x v="0"/>
  </r>
  <r>
    <x v="11"/>
    <x v="0"/>
    <x v="5"/>
    <x v="0"/>
    <x v="3"/>
    <x v="0"/>
    <x v="1"/>
    <n v="3"/>
    <n v="15868.81"/>
    <n v="62621.72"/>
    <x v="0"/>
  </r>
  <r>
    <x v="11"/>
    <x v="0"/>
    <x v="5"/>
    <x v="0"/>
    <x v="3"/>
    <x v="1"/>
    <x v="0"/>
    <n v="13"/>
    <n v="74200.34"/>
    <n v="189297.99"/>
    <x v="0"/>
  </r>
  <r>
    <x v="11"/>
    <x v="0"/>
    <x v="5"/>
    <x v="0"/>
    <x v="3"/>
    <x v="1"/>
    <x v="1"/>
    <n v="25"/>
    <n v="146105.64000000001"/>
    <n v="379103.5"/>
    <x v="0"/>
  </r>
  <r>
    <x v="11"/>
    <x v="0"/>
    <x v="5"/>
    <x v="0"/>
    <x v="28"/>
    <x v="1"/>
    <x v="1"/>
    <n v="1"/>
    <n v="6451.94"/>
    <n v="16377.68"/>
    <x v="0"/>
  </r>
  <r>
    <x v="11"/>
    <x v="0"/>
    <x v="5"/>
    <x v="0"/>
    <x v="4"/>
    <x v="1"/>
    <x v="0"/>
    <n v="9"/>
    <n v="46024.89"/>
    <n v="119102.36"/>
    <x v="0"/>
  </r>
  <r>
    <x v="11"/>
    <x v="0"/>
    <x v="5"/>
    <x v="0"/>
    <x v="4"/>
    <x v="1"/>
    <x v="1"/>
    <n v="5"/>
    <n v="26681.24"/>
    <n v="69081.649999999994"/>
    <x v="0"/>
  </r>
  <r>
    <x v="11"/>
    <x v="0"/>
    <x v="5"/>
    <x v="0"/>
    <x v="5"/>
    <x v="0"/>
    <x v="1"/>
    <n v="7"/>
    <n v="39591.08"/>
    <n v="160674.15"/>
    <x v="0"/>
  </r>
  <r>
    <x v="11"/>
    <x v="0"/>
    <x v="5"/>
    <x v="0"/>
    <x v="5"/>
    <x v="1"/>
    <x v="0"/>
    <n v="3"/>
    <n v="19499.73"/>
    <n v="51506.81"/>
    <x v="0"/>
  </r>
  <r>
    <x v="11"/>
    <x v="0"/>
    <x v="5"/>
    <x v="0"/>
    <x v="5"/>
    <x v="1"/>
    <x v="1"/>
    <n v="30"/>
    <n v="170651.97"/>
    <n v="460631.52"/>
    <x v="0"/>
  </r>
  <r>
    <x v="11"/>
    <x v="0"/>
    <x v="5"/>
    <x v="0"/>
    <x v="6"/>
    <x v="0"/>
    <x v="1"/>
    <n v="1"/>
    <n v="4167.42"/>
    <n v="17303.37"/>
    <x v="0"/>
  </r>
  <r>
    <x v="11"/>
    <x v="0"/>
    <x v="5"/>
    <x v="0"/>
    <x v="6"/>
    <x v="1"/>
    <x v="1"/>
    <n v="2"/>
    <n v="9326.9"/>
    <n v="24902.02"/>
    <x v="0"/>
  </r>
  <r>
    <x v="11"/>
    <x v="0"/>
    <x v="5"/>
    <x v="0"/>
    <x v="7"/>
    <x v="1"/>
    <x v="1"/>
    <n v="5"/>
    <n v="31673.34"/>
    <n v="88065.919999999998"/>
    <x v="0"/>
  </r>
  <r>
    <x v="11"/>
    <x v="0"/>
    <x v="5"/>
    <x v="0"/>
    <x v="8"/>
    <x v="0"/>
    <x v="1"/>
    <n v="3"/>
    <n v="17295.900000000001"/>
    <n v="71685.39"/>
    <x v="0"/>
  </r>
  <r>
    <x v="11"/>
    <x v="0"/>
    <x v="5"/>
    <x v="1"/>
    <x v="30"/>
    <x v="1"/>
    <x v="0"/>
    <n v="5"/>
    <n v="33133.1"/>
    <n v="90834.45"/>
    <x v="0"/>
  </r>
  <r>
    <x v="11"/>
    <x v="0"/>
    <x v="5"/>
    <x v="1"/>
    <x v="9"/>
    <x v="1"/>
    <x v="1"/>
    <n v="13"/>
    <n v="62796.95"/>
    <n v="170634.29"/>
    <x v="0"/>
  </r>
  <r>
    <x v="11"/>
    <x v="0"/>
    <x v="5"/>
    <x v="1"/>
    <x v="31"/>
    <x v="1"/>
    <x v="0"/>
    <n v="10"/>
    <n v="53062.82"/>
    <n v="150036.69"/>
    <x v="0"/>
  </r>
  <r>
    <x v="11"/>
    <x v="0"/>
    <x v="5"/>
    <x v="1"/>
    <x v="10"/>
    <x v="0"/>
    <x v="0"/>
    <n v="1"/>
    <n v="4754.5200000000004"/>
    <n v="18951.310000000001"/>
    <x v="0"/>
  </r>
  <r>
    <x v="11"/>
    <x v="0"/>
    <x v="5"/>
    <x v="1"/>
    <x v="10"/>
    <x v="0"/>
    <x v="1"/>
    <n v="10"/>
    <n v="49407.57"/>
    <n v="201048.68"/>
    <x v="0"/>
  </r>
  <r>
    <x v="11"/>
    <x v="0"/>
    <x v="5"/>
    <x v="1"/>
    <x v="10"/>
    <x v="1"/>
    <x v="0"/>
    <n v="10"/>
    <n v="58551.360000000001"/>
    <n v="158469.21"/>
    <x v="0"/>
  </r>
  <r>
    <x v="11"/>
    <x v="0"/>
    <x v="5"/>
    <x v="1"/>
    <x v="10"/>
    <x v="1"/>
    <x v="1"/>
    <n v="59"/>
    <n v="305598.2"/>
    <n v="839758.13"/>
    <x v="0"/>
  </r>
  <r>
    <x v="11"/>
    <x v="0"/>
    <x v="5"/>
    <x v="1"/>
    <x v="11"/>
    <x v="0"/>
    <x v="1"/>
    <n v="20"/>
    <n v="109335.87"/>
    <n v="442471.89"/>
    <x v="0"/>
  </r>
  <r>
    <x v="11"/>
    <x v="0"/>
    <x v="5"/>
    <x v="1"/>
    <x v="11"/>
    <x v="1"/>
    <x v="0"/>
    <n v="14"/>
    <n v="70407.199999999997"/>
    <n v="189595.49"/>
    <x v="0"/>
  </r>
  <r>
    <x v="11"/>
    <x v="0"/>
    <x v="5"/>
    <x v="1"/>
    <x v="11"/>
    <x v="1"/>
    <x v="1"/>
    <n v="31"/>
    <n v="164621.78"/>
    <n v="433172.28"/>
    <x v="0"/>
  </r>
  <r>
    <x v="11"/>
    <x v="0"/>
    <x v="5"/>
    <x v="1"/>
    <x v="12"/>
    <x v="1"/>
    <x v="1"/>
    <n v="6"/>
    <n v="38697.79"/>
    <n v="108210.34"/>
    <x v="0"/>
  </r>
  <r>
    <x v="11"/>
    <x v="0"/>
    <x v="5"/>
    <x v="1"/>
    <x v="13"/>
    <x v="0"/>
    <x v="1"/>
    <n v="5"/>
    <n v="30334.6"/>
    <n v="124419.47"/>
    <x v="0"/>
  </r>
  <r>
    <x v="11"/>
    <x v="0"/>
    <x v="5"/>
    <x v="1"/>
    <x v="13"/>
    <x v="1"/>
    <x v="0"/>
    <n v="5"/>
    <n v="20897.2"/>
    <n v="58917.97"/>
    <x v="0"/>
  </r>
  <r>
    <x v="11"/>
    <x v="0"/>
    <x v="5"/>
    <x v="1"/>
    <x v="13"/>
    <x v="1"/>
    <x v="1"/>
    <n v="9"/>
    <n v="55743.09"/>
    <n v="156553.47"/>
    <x v="0"/>
  </r>
  <r>
    <x v="11"/>
    <x v="0"/>
    <x v="5"/>
    <x v="1"/>
    <x v="14"/>
    <x v="1"/>
    <x v="0"/>
    <n v="17"/>
    <n v="91885.119999999995"/>
    <n v="242731.68"/>
    <x v="0"/>
  </r>
  <r>
    <x v="11"/>
    <x v="0"/>
    <x v="5"/>
    <x v="1"/>
    <x v="14"/>
    <x v="1"/>
    <x v="1"/>
    <n v="2"/>
    <n v="12456.8"/>
    <n v="34240.18"/>
    <x v="0"/>
  </r>
  <r>
    <x v="11"/>
    <x v="0"/>
    <x v="5"/>
    <x v="1"/>
    <x v="15"/>
    <x v="1"/>
    <x v="1"/>
    <n v="5"/>
    <n v="31335.9"/>
    <n v="91098.12"/>
    <x v="0"/>
  </r>
  <r>
    <x v="11"/>
    <x v="0"/>
    <x v="5"/>
    <x v="1"/>
    <x v="16"/>
    <x v="0"/>
    <x v="1"/>
    <n v="2"/>
    <n v="9058.18"/>
    <n v="36254.68"/>
    <x v="0"/>
  </r>
  <r>
    <x v="11"/>
    <x v="0"/>
    <x v="5"/>
    <x v="1"/>
    <x v="16"/>
    <x v="1"/>
    <x v="0"/>
    <n v="7"/>
    <n v="44865.760000000002"/>
    <n v="121446.58"/>
    <x v="0"/>
  </r>
  <r>
    <x v="11"/>
    <x v="0"/>
    <x v="5"/>
    <x v="1"/>
    <x v="16"/>
    <x v="1"/>
    <x v="1"/>
    <n v="13"/>
    <n v="68138.11"/>
    <n v="188133.77"/>
    <x v="0"/>
  </r>
  <r>
    <x v="11"/>
    <x v="0"/>
    <x v="5"/>
    <x v="1"/>
    <x v="17"/>
    <x v="0"/>
    <x v="1"/>
    <n v="2"/>
    <n v="9459.36"/>
    <n v="37902.620000000003"/>
    <x v="0"/>
  </r>
  <r>
    <x v="11"/>
    <x v="0"/>
    <x v="5"/>
    <x v="1"/>
    <x v="17"/>
    <x v="1"/>
    <x v="0"/>
    <n v="5"/>
    <n v="29881.43"/>
    <n v="81520.289999999994"/>
    <x v="0"/>
  </r>
  <r>
    <x v="11"/>
    <x v="0"/>
    <x v="5"/>
    <x v="1"/>
    <x v="17"/>
    <x v="1"/>
    <x v="1"/>
    <n v="6"/>
    <n v="37541.050000000003"/>
    <n v="100122.24000000001"/>
    <x v="0"/>
  </r>
  <r>
    <x v="11"/>
    <x v="0"/>
    <x v="5"/>
    <x v="1"/>
    <x v="18"/>
    <x v="0"/>
    <x v="1"/>
    <n v="9"/>
    <n v="51183.54"/>
    <n v="210112.35"/>
    <x v="0"/>
  </r>
  <r>
    <x v="11"/>
    <x v="0"/>
    <x v="5"/>
    <x v="1"/>
    <x v="18"/>
    <x v="1"/>
    <x v="0"/>
    <n v="19"/>
    <n v="109795.19"/>
    <n v="316107.84000000003"/>
    <x v="0"/>
  </r>
  <r>
    <x v="11"/>
    <x v="0"/>
    <x v="5"/>
    <x v="1"/>
    <x v="18"/>
    <x v="1"/>
    <x v="1"/>
    <n v="29"/>
    <n v="143831.84"/>
    <n v="408878.61"/>
    <x v="0"/>
  </r>
  <r>
    <x v="11"/>
    <x v="0"/>
    <x v="5"/>
    <x v="1"/>
    <x v="19"/>
    <x v="0"/>
    <x v="1"/>
    <n v="5"/>
    <n v="26404.81"/>
    <n v="109588.01"/>
    <x v="0"/>
  </r>
  <r>
    <x v="11"/>
    <x v="0"/>
    <x v="5"/>
    <x v="1"/>
    <x v="19"/>
    <x v="1"/>
    <x v="0"/>
    <n v="8"/>
    <n v="39358.14"/>
    <n v="107766.83"/>
    <x v="0"/>
  </r>
  <r>
    <x v="11"/>
    <x v="0"/>
    <x v="5"/>
    <x v="1"/>
    <x v="19"/>
    <x v="1"/>
    <x v="1"/>
    <n v="10"/>
    <n v="56577.440000000002"/>
    <n v="152722.82"/>
    <x v="0"/>
  </r>
  <r>
    <x v="11"/>
    <x v="0"/>
    <x v="5"/>
    <x v="1"/>
    <x v="20"/>
    <x v="0"/>
    <x v="1"/>
    <n v="17"/>
    <n v="94440.17"/>
    <n v="382322.08"/>
    <x v="0"/>
  </r>
  <r>
    <x v="11"/>
    <x v="0"/>
    <x v="5"/>
    <x v="1"/>
    <x v="20"/>
    <x v="1"/>
    <x v="0"/>
    <n v="13"/>
    <n v="66229.460000000006"/>
    <n v="177544.95"/>
    <x v="0"/>
  </r>
  <r>
    <x v="11"/>
    <x v="0"/>
    <x v="5"/>
    <x v="1"/>
    <x v="20"/>
    <x v="1"/>
    <x v="1"/>
    <n v="14"/>
    <n v="85654.78"/>
    <n v="234905.63"/>
    <x v="0"/>
  </r>
  <r>
    <x v="11"/>
    <x v="0"/>
    <x v="5"/>
    <x v="2"/>
    <x v="21"/>
    <x v="1"/>
    <x v="1"/>
    <n v="5"/>
    <n v="26373.96"/>
    <n v="66739.09"/>
    <x v="0"/>
  </r>
  <r>
    <x v="11"/>
    <x v="0"/>
    <x v="5"/>
    <x v="2"/>
    <x v="22"/>
    <x v="0"/>
    <x v="1"/>
    <n v="2"/>
    <n v="12912.71"/>
    <n v="52734.080000000002"/>
    <x v="0"/>
  </r>
  <r>
    <x v="11"/>
    <x v="0"/>
    <x v="5"/>
    <x v="2"/>
    <x v="22"/>
    <x v="1"/>
    <x v="0"/>
    <n v="11"/>
    <n v="56256.23"/>
    <n v="140503.35999999999"/>
    <x v="0"/>
  </r>
  <r>
    <x v="11"/>
    <x v="0"/>
    <x v="5"/>
    <x v="2"/>
    <x v="22"/>
    <x v="1"/>
    <x v="1"/>
    <n v="14"/>
    <n v="81812.88"/>
    <n v="202155.58"/>
    <x v="0"/>
  </r>
  <r>
    <x v="11"/>
    <x v="0"/>
    <x v="5"/>
    <x v="2"/>
    <x v="29"/>
    <x v="0"/>
    <x v="1"/>
    <n v="1"/>
    <n v="6348.16"/>
    <n v="26367.040000000001"/>
    <x v="0"/>
  </r>
  <r>
    <x v="11"/>
    <x v="0"/>
    <x v="5"/>
    <x v="2"/>
    <x v="24"/>
    <x v="0"/>
    <x v="1"/>
    <n v="4"/>
    <n v="24148"/>
    <n v="98052.43"/>
    <x v="0"/>
  </r>
  <r>
    <x v="11"/>
    <x v="0"/>
    <x v="5"/>
    <x v="3"/>
    <x v="25"/>
    <x v="0"/>
    <x v="1"/>
    <n v="2"/>
    <n v="13075.91"/>
    <n v="52734.080000000002"/>
    <x v="0"/>
  </r>
  <r>
    <x v="11"/>
    <x v="0"/>
    <x v="5"/>
    <x v="3"/>
    <x v="25"/>
    <x v="1"/>
    <x v="0"/>
    <n v="1"/>
    <n v="6216"/>
    <n v="18061.419999999998"/>
    <x v="0"/>
  </r>
  <r>
    <x v="11"/>
    <x v="0"/>
    <x v="5"/>
    <x v="3"/>
    <x v="25"/>
    <x v="1"/>
    <x v="1"/>
    <n v="11"/>
    <n v="59542.33"/>
    <n v="167068.14000000001"/>
    <x v="0"/>
  </r>
  <r>
    <x v="11"/>
    <x v="0"/>
    <x v="5"/>
    <x v="3"/>
    <x v="26"/>
    <x v="0"/>
    <x v="0"/>
    <n v="6"/>
    <n v="33532.76"/>
    <n v="135955.04999999999"/>
    <x v="0"/>
  </r>
  <r>
    <x v="11"/>
    <x v="0"/>
    <x v="5"/>
    <x v="3"/>
    <x v="26"/>
    <x v="0"/>
    <x v="1"/>
    <n v="3"/>
    <n v="17589.68"/>
    <n v="71685.39"/>
    <x v="0"/>
  </r>
  <r>
    <x v="11"/>
    <x v="0"/>
    <x v="5"/>
    <x v="3"/>
    <x v="26"/>
    <x v="1"/>
    <x v="0"/>
    <n v="6"/>
    <n v="39115.26"/>
    <n v="109159.54"/>
    <x v="0"/>
  </r>
  <r>
    <x v="11"/>
    <x v="0"/>
    <x v="5"/>
    <x v="3"/>
    <x v="26"/>
    <x v="1"/>
    <x v="1"/>
    <n v="16"/>
    <n v="86470.93"/>
    <n v="241060.68"/>
    <x v="0"/>
  </r>
  <r>
    <x v="11"/>
    <x v="0"/>
    <x v="5"/>
    <x v="3"/>
    <x v="27"/>
    <x v="0"/>
    <x v="0"/>
    <n v="3"/>
    <n v="13763.43"/>
    <n v="55205.99"/>
    <x v="0"/>
  </r>
  <r>
    <x v="11"/>
    <x v="0"/>
    <x v="5"/>
    <x v="3"/>
    <x v="27"/>
    <x v="0"/>
    <x v="1"/>
    <n v="9"/>
    <n v="50269.01"/>
    <n v="205992.5"/>
    <x v="0"/>
  </r>
  <r>
    <x v="11"/>
    <x v="0"/>
    <x v="5"/>
    <x v="3"/>
    <x v="27"/>
    <x v="1"/>
    <x v="0"/>
    <n v="12"/>
    <n v="62242.95"/>
    <n v="172368.76"/>
    <x v="0"/>
  </r>
  <r>
    <x v="11"/>
    <x v="0"/>
    <x v="5"/>
    <x v="3"/>
    <x v="27"/>
    <x v="1"/>
    <x v="1"/>
    <n v="25"/>
    <n v="143951.85"/>
    <n v="402751.59"/>
    <x v="0"/>
  </r>
  <r>
    <x v="11"/>
    <x v="0"/>
    <x v="6"/>
    <x v="0"/>
    <x v="0"/>
    <x v="0"/>
    <x v="0"/>
    <n v="3"/>
    <n v="7008.49"/>
    <n v="24177.38"/>
    <x v="0"/>
  </r>
  <r>
    <x v="11"/>
    <x v="0"/>
    <x v="6"/>
    <x v="0"/>
    <x v="0"/>
    <x v="0"/>
    <x v="1"/>
    <n v="1"/>
    <n v="2075.8200000000002"/>
    <n v="7414.4"/>
    <x v="0"/>
  </r>
  <r>
    <x v="11"/>
    <x v="0"/>
    <x v="6"/>
    <x v="0"/>
    <x v="0"/>
    <x v="1"/>
    <x v="0"/>
    <n v="7"/>
    <n v="20657.62"/>
    <n v="47225.18"/>
    <x v="0"/>
  </r>
  <r>
    <x v="11"/>
    <x v="0"/>
    <x v="6"/>
    <x v="0"/>
    <x v="0"/>
    <x v="1"/>
    <x v="1"/>
    <n v="8"/>
    <n v="19989.349999999999"/>
    <n v="45507.97"/>
    <x v="0"/>
  </r>
  <r>
    <x v="11"/>
    <x v="0"/>
    <x v="6"/>
    <x v="0"/>
    <x v="1"/>
    <x v="0"/>
    <x v="0"/>
    <n v="6"/>
    <n v="17172.53"/>
    <n v="58992.800000000003"/>
    <x v="0"/>
  </r>
  <r>
    <x v="11"/>
    <x v="0"/>
    <x v="6"/>
    <x v="0"/>
    <x v="1"/>
    <x v="0"/>
    <x v="1"/>
    <n v="8"/>
    <n v="19167.04"/>
    <n v="67051.94"/>
    <x v="0"/>
  </r>
  <r>
    <x v="11"/>
    <x v="0"/>
    <x v="6"/>
    <x v="0"/>
    <x v="1"/>
    <x v="1"/>
    <x v="0"/>
    <n v="15"/>
    <n v="36750.1"/>
    <n v="81094.78"/>
    <x v="0"/>
  </r>
  <r>
    <x v="11"/>
    <x v="0"/>
    <x v="6"/>
    <x v="0"/>
    <x v="1"/>
    <x v="1"/>
    <x v="1"/>
    <n v="31"/>
    <n v="83765.600000000006"/>
    <n v="189454.57"/>
    <x v="0"/>
  </r>
  <r>
    <x v="11"/>
    <x v="0"/>
    <x v="6"/>
    <x v="0"/>
    <x v="2"/>
    <x v="0"/>
    <x v="1"/>
    <n v="1"/>
    <n v="2926.28"/>
    <n v="10315.68"/>
    <x v="0"/>
  </r>
  <r>
    <x v="11"/>
    <x v="0"/>
    <x v="6"/>
    <x v="0"/>
    <x v="2"/>
    <x v="1"/>
    <x v="0"/>
    <n v="4"/>
    <n v="8132.48"/>
    <n v="17816.8"/>
    <x v="0"/>
  </r>
  <r>
    <x v="11"/>
    <x v="0"/>
    <x v="6"/>
    <x v="0"/>
    <x v="2"/>
    <x v="1"/>
    <x v="1"/>
    <n v="31"/>
    <n v="80468.72"/>
    <n v="175444.26"/>
    <x v="0"/>
  </r>
  <r>
    <x v="11"/>
    <x v="0"/>
    <x v="6"/>
    <x v="0"/>
    <x v="3"/>
    <x v="0"/>
    <x v="0"/>
    <n v="2"/>
    <n v="6006.96"/>
    <n v="20631.36"/>
    <x v="0"/>
  </r>
  <r>
    <x v="11"/>
    <x v="0"/>
    <x v="6"/>
    <x v="0"/>
    <x v="3"/>
    <x v="0"/>
    <x v="1"/>
    <n v="5"/>
    <n v="11274.34"/>
    <n v="39973.279999999999"/>
    <x v="0"/>
  </r>
  <r>
    <x v="11"/>
    <x v="0"/>
    <x v="6"/>
    <x v="0"/>
    <x v="3"/>
    <x v="1"/>
    <x v="0"/>
    <n v="6"/>
    <n v="16207.88"/>
    <n v="36235.120000000003"/>
    <x v="0"/>
  </r>
  <r>
    <x v="11"/>
    <x v="0"/>
    <x v="6"/>
    <x v="0"/>
    <x v="3"/>
    <x v="1"/>
    <x v="1"/>
    <n v="31"/>
    <n v="78492.800000000003"/>
    <n v="175899.73"/>
    <x v="0"/>
  </r>
  <r>
    <x v="11"/>
    <x v="0"/>
    <x v="6"/>
    <x v="0"/>
    <x v="28"/>
    <x v="1"/>
    <x v="1"/>
    <n v="2"/>
    <n v="5985.1"/>
    <n v="12856.39"/>
    <x v="0"/>
  </r>
  <r>
    <x v="11"/>
    <x v="0"/>
    <x v="6"/>
    <x v="0"/>
    <x v="4"/>
    <x v="1"/>
    <x v="0"/>
    <n v="7"/>
    <n v="20474.650000000001"/>
    <n v="46214.25"/>
    <x v="0"/>
  </r>
  <r>
    <x v="11"/>
    <x v="0"/>
    <x v="6"/>
    <x v="0"/>
    <x v="4"/>
    <x v="1"/>
    <x v="1"/>
    <n v="16"/>
    <n v="42173.65"/>
    <n v="92576.73"/>
    <x v="0"/>
  </r>
  <r>
    <x v="11"/>
    <x v="0"/>
    <x v="6"/>
    <x v="0"/>
    <x v="5"/>
    <x v="0"/>
    <x v="1"/>
    <n v="6"/>
    <n v="16088.92"/>
    <n v="56091.519999999997"/>
    <x v="0"/>
  </r>
  <r>
    <x v="11"/>
    <x v="0"/>
    <x v="6"/>
    <x v="0"/>
    <x v="5"/>
    <x v="1"/>
    <x v="0"/>
    <n v="7"/>
    <n v="16328.74"/>
    <n v="38026.519999999997"/>
    <x v="0"/>
  </r>
  <r>
    <x v="11"/>
    <x v="0"/>
    <x v="6"/>
    <x v="0"/>
    <x v="5"/>
    <x v="1"/>
    <x v="1"/>
    <n v="21"/>
    <n v="53481.279999999999"/>
    <n v="122660.58"/>
    <x v="0"/>
  </r>
  <r>
    <x v="11"/>
    <x v="0"/>
    <x v="6"/>
    <x v="0"/>
    <x v="6"/>
    <x v="0"/>
    <x v="1"/>
    <n v="1"/>
    <n v="2934.66"/>
    <n v="10315.68"/>
    <x v="0"/>
  </r>
  <r>
    <x v="11"/>
    <x v="0"/>
    <x v="6"/>
    <x v="0"/>
    <x v="6"/>
    <x v="1"/>
    <x v="1"/>
    <n v="7"/>
    <n v="16553.89"/>
    <n v="37911.1"/>
    <x v="0"/>
  </r>
  <r>
    <x v="11"/>
    <x v="0"/>
    <x v="6"/>
    <x v="0"/>
    <x v="7"/>
    <x v="1"/>
    <x v="1"/>
    <n v="5"/>
    <n v="11426.94"/>
    <n v="26702.14"/>
    <x v="0"/>
  </r>
  <r>
    <x v="11"/>
    <x v="0"/>
    <x v="6"/>
    <x v="0"/>
    <x v="8"/>
    <x v="0"/>
    <x v="1"/>
    <n v="1"/>
    <n v="1829.71"/>
    <n v="6447.3"/>
    <x v="0"/>
  </r>
  <r>
    <x v="11"/>
    <x v="0"/>
    <x v="6"/>
    <x v="0"/>
    <x v="8"/>
    <x v="1"/>
    <x v="1"/>
    <n v="4"/>
    <n v="8407.9"/>
    <n v="18891.900000000001"/>
    <x v="0"/>
  </r>
  <r>
    <x v="11"/>
    <x v="0"/>
    <x v="6"/>
    <x v="1"/>
    <x v="30"/>
    <x v="1"/>
    <x v="0"/>
    <n v="2"/>
    <n v="6021.98"/>
    <n v="14215.01"/>
    <x v="0"/>
  </r>
  <r>
    <x v="11"/>
    <x v="0"/>
    <x v="6"/>
    <x v="1"/>
    <x v="9"/>
    <x v="1"/>
    <x v="1"/>
    <n v="6"/>
    <n v="18267.25"/>
    <n v="41742.28"/>
    <x v="0"/>
  </r>
  <r>
    <x v="11"/>
    <x v="0"/>
    <x v="6"/>
    <x v="1"/>
    <x v="31"/>
    <x v="1"/>
    <x v="0"/>
    <n v="2"/>
    <n v="6129.82"/>
    <n v="14338.8"/>
    <x v="0"/>
  </r>
  <r>
    <x v="11"/>
    <x v="0"/>
    <x v="6"/>
    <x v="1"/>
    <x v="10"/>
    <x v="0"/>
    <x v="0"/>
    <n v="4"/>
    <n v="11761.61"/>
    <n v="41262.720000000001"/>
    <x v="0"/>
  </r>
  <r>
    <x v="11"/>
    <x v="0"/>
    <x v="6"/>
    <x v="1"/>
    <x v="10"/>
    <x v="0"/>
    <x v="1"/>
    <n v="3"/>
    <n v="6891.47"/>
    <n v="24177.38"/>
    <x v="0"/>
  </r>
  <r>
    <x v="11"/>
    <x v="0"/>
    <x v="6"/>
    <x v="1"/>
    <x v="10"/>
    <x v="1"/>
    <x v="0"/>
    <n v="6"/>
    <n v="14566.52"/>
    <n v="34297.07"/>
    <x v="0"/>
  </r>
  <r>
    <x v="11"/>
    <x v="0"/>
    <x v="6"/>
    <x v="1"/>
    <x v="10"/>
    <x v="1"/>
    <x v="1"/>
    <n v="38"/>
    <n v="102860.4"/>
    <n v="242170.49"/>
    <x v="0"/>
  </r>
  <r>
    <x v="11"/>
    <x v="0"/>
    <x v="6"/>
    <x v="1"/>
    <x v="11"/>
    <x v="0"/>
    <x v="1"/>
    <n v="10"/>
    <n v="25893.37"/>
    <n v="90584.58"/>
    <x v="0"/>
  </r>
  <r>
    <x v="11"/>
    <x v="0"/>
    <x v="6"/>
    <x v="1"/>
    <x v="11"/>
    <x v="1"/>
    <x v="0"/>
    <n v="13"/>
    <n v="34783.599999999999"/>
    <n v="78995.539999999994"/>
    <x v="0"/>
  </r>
  <r>
    <x v="11"/>
    <x v="0"/>
    <x v="6"/>
    <x v="1"/>
    <x v="11"/>
    <x v="1"/>
    <x v="1"/>
    <n v="28"/>
    <n v="73869.440000000002"/>
    <n v="166500.39000000001"/>
    <x v="0"/>
  </r>
  <r>
    <x v="11"/>
    <x v="0"/>
    <x v="6"/>
    <x v="1"/>
    <x v="12"/>
    <x v="1"/>
    <x v="0"/>
    <n v="3"/>
    <n v="9014.2199999999993"/>
    <n v="21167.78"/>
    <x v="0"/>
  </r>
  <r>
    <x v="11"/>
    <x v="0"/>
    <x v="6"/>
    <x v="1"/>
    <x v="13"/>
    <x v="0"/>
    <x v="1"/>
    <n v="4"/>
    <n v="11014.53"/>
    <n v="38361.440000000002"/>
    <x v="0"/>
  </r>
  <r>
    <x v="11"/>
    <x v="0"/>
    <x v="6"/>
    <x v="1"/>
    <x v="13"/>
    <x v="1"/>
    <x v="1"/>
    <n v="24"/>
    <n v="55259.13"/>
    <n v="133694.16"/>
    <x v="0"/>
  </r>
  <r>
    <x v="11"/>
    <x v="0"/>
    <x v="6"/>
    <x v="1"/>
    <x v="14"/>
    <x v="0"/>
    <x v="1"/>
    <n v="1"/>
    <n v="3073.93"/>
    <n v="10315.68"/>
    <x v="0"/>
  </r>
  <r>
    <x v="11"/>
    <x v="0"/>
    <x v="6"/>
    <x v="1"/>
    <x v="14"/>
    <x v="1"/>
    <x v="0"/>
    <n v="9"/>
    <n v="24829.42"/>
    <n v="56798.75"/>
    <x v="0"/>
  </r>
  <r>
    <x v="11"/>
    <x v="0"/>
    <x v="6"/>
    <x v="1"/>
    <x v="14"/>
    <x v="1"/>
    <x v="1"/>
    <n v="7"/>
    <n v="21157.51"/>
    <n v="48236.12"/>
    <x v="0"/>
  </r>
  <r>
    <x v="11"/>
    <x v="0"/>
    <x v="6"/>
    <x v="1"/>
    <x v="15"/>
    <x v="1"/>
    <x v="0"/>
    <n v="6"/>
    <n v="16999.64"/>
    <n v="40764.019999999997"/>
    <x v="0"/>
  </r>
  <r>
    <x v="11"/>
    <x v="0"/>
    <x v="6"/>
    <x v="1"/>
    <x v="15"/>
    <x v="1"/>
    <x v="1"/>
    <n v="3"/>
    <n v="6179.67"/>
    <n v="15370.05"/>
    <x v="0"/>
  </r>
  <r>
    <x v="11"/>
    <x v="0"/>
    <x v="6"/>
    <x v="1"/>
    <x v="16"/>
    <x v="0"/>
    <x v="1"/>
    <n v="2"/>
    <n v="5107.2"/>
    <n v="17730.080000000002"/>
    <x v="0"/>
  </r>
  <r>
    <x v="11"/>
    <x v="0"/>
    <x v="6"/>
    <x v="1"/>
    <x v="16"/>
    <x v="1"/>
    <x v="1"/>
    <n v="4"/>
    <n v="12116.62"/>
    <n v="27150.87"/>
    <x v="0"/>
  </r>
  <r>
    <x v="11"/>
    <x v="0"/>
    <x v="6"/>
    <x v="1"/>
    <x v="17"/>
    <x v="0"/>
    <x v="1"/>
    <n v="2"/>
    <n v="6036.64"/>
    <n v="20631.36"/>
    <x v="0"/>
  </r>
  <r>
    <x v="11"/>
    <x v="0"/>
    <x v="6"/>
    <x v="1"/>
    <x v="17"/>
    <x v="1"/>
    <x v="0"/>
    <n v="13"/>
    <n v="34554.559999999998"/>
    <n v="79182.84"/>
    <x v="0"/>
  </r>
  <r>
    <x v="11"/>
    <x v="0"/>
    <x v="6"/>
    <x v="1"/>
    <x v="17"/>
    <x v="1"/>
    <x v="1"/>
    <n v="7"/>
    <n v="16375.19"/>
    <n v="38315.03"/>
    <x v="0"/>
  </r>
  <r>
    <x v="11"/>
    <x v="0"/>
    <x v="6"/>
    <x v="1"/>
    <x v="18"/>
    <x v="0"/>
    <x v="1"/>
    <n v="15"/>
    <n v="42700.800000000003"/>
    <n v="148932.64000000001"/>
    <x v="0"/>
  </r>
  <r>
    <x v="11"/>
    <x v="0"/>
    <x v="6"/>
    <x v="1"/>
    <x v="18"/>
    <x v="1"/>
    <x v="0"/>
    <n v="9"/>
    <n v="26687"/>
    <n v="64524.59"/>
    <x v="0"/>
  </r>
  <r>
    <x v="11"/>
    <x v="0"/>
    <x v="6"/>
    <x v="1"/>
    <x v="18"/>
    <x v="1"/>
    <x v="1"/>
    <n v="33"/>
    <n v="90651.74"/>
    <n v="217304.91"/>
    <x v="0"/>
  </r>
  <r>
    <x v="11"/>
    <x v="0"/>
    <x v="6"/>
    <x v="1"/>
    <x v="19"/>
    <x v="0"/>
    <x v="1"/>
    <n v="4"/>
    <n v="11865.86"/>
    <n v="41262.720000000001"/>
    <x v="0"/>
  </r>
  <r>
    <x v="11"/>
    <x v="0"/>
    <x v="6"/>
    <x v="1"/>
    <x v="19"/>
    <x v="1"/>
    <x v="0"/>
    <n v="9"/>
    <n v="20349.189999999999"/>
    <n v="48564.84"/>
    <x v="0"/>
  </r>
  <r>
    <x v="11"/>
    <x v="0"/>
    <x v="6"/>
    <x v="1"/>
    <x v="19"/>
    <x v="1"/>
    <x v="1"/>
    <n v="31"/>
    <n v="79525.429999999993"/>
    <n v="183556.36"/>
    <x v="0"/>
  </r>
  <r>
    <x v="11"/>
    <x v="0"/>
    <x v="6"/>
    <x v="1"/>
    <x v="20"/>
    <x v="0"/>
    <x v="0"/>
    <n v="2"/>
    <n v="6027.75"/>
    <n v="20631.36"/>
    <x v="0"/>
  </r>
  <r>
    <x v="11"/>
    <x v="0"/>
    <x v="6"/>
    <x v="1"/>
    <x v="20"/>
    <x v="0"/>
    <x v="1"/>
    <n v="13"/>
    <n v="36197.08"/>
    <n v="124432.9"/>
    <x v="0"/>
  </r>
  <r>
    <x v="11"/>
    <x v="0"/>
    <x v="6"/>
    <x v="1"/>
    <x v="20"/>
    <x v="1"/>
    <x v="0"/>
    <n v="7"/>
    <n v="20744.09"/>
    <n v="46852.25"/>
    <x v="0"/>
  </r>
  <r>
    <x v="11"/>
    <x v="0"/>
    <x v="6"/>
    <x v="1"/>
    <x v="20"/>
    <x v="1"/>
    <x v="1"/>
    <n v="31"/>
    <n v="76053.58"/>
    <n v="175715.03"/>
    <x v="0"/>
  </r>
  <r>
    <x v="11"/>
    <x v="0"/>
    <x v="6"/>
    <x v="2"/>
    <x v="21"/>
    <x v="0"/>
    <x v="0"/>
    <n v="1"/>
    <n v="2949.68"/>
    <n v="10315.68"/>
    <x v="0"/>
  </r>
  <r>
    <x v="11"/>
    <x v="0"/>
    <x v="6"/>
    <x v="2"/>
    <x v="22"/>
    <x v="0"/>
    <x v="1"/>
    <n v="1"/>
    <n v="3047.55"/>
    <n v="10315.68"/>
    <x v="0"/>
  </r>
  <r>
    <x v="11"/>
    <x v="0"/>
    <x v="6"/>
    <x v="2"/>
    <x v="22"/>
    <x v="1"/>
    <x v="0"/>
    <n v="8"/>
    <n v="17211.400000000001"/>
    <n v="36711.910000000003"/>
    <x v="0"/>
  </r>
  <r>
    <x v="11"/>
    <x v="0"/>
    <x v="6"/>
    <x v="2"/>
    <x v="22"/>
    <x v="1"/>
    <x v="1"/>
    <n v="14"/>
    <n v="31363.42"/>
    <n v="67034.27"/>
    <x v="0"/>
  </r>
  <r>
    <x v="11"/>
    <x v="0"/>
    <x v="6"/>
    <x v="2"/>
    <x v="29"/>
    <x v="0"/>
    <x v="1"/>
    <n v="1"/>
    <n v="2928.02"/>
    <n v="10315.68"/>
    <x v="0"/>
  </r>
  <r>
    <x v="11"/>
    <x v="0"/>
    <x v="6"/>
    <x v="2"/>
    <x v="29"/>
    <x v="1"/>
    <x v="1"/>
    <n v="7"/>
    <n v="14739.81"/>
    <n v="33579.81"/>
    <x v="0"/>
  </r>
  <r>
    <x v="11"/>
    <x v="0"/>
    <x v="6"/>
    <x v="2"/>
    <x v="24"/>
    <x v="0"/>
    <x v="1"/>
    <n v="2"/>
    <n v="3594.68"/>
    <n v="12894.6"/>
    <x v="0"/>
  </r>
  <r>
    <x v="11"/>
    <x v="0"/>
    <x v="6"/>
    <x v="2"/>
    <x v="24"/>
    <x v="1"/>
    <x v="0"/>
    <n v="4"/>
    <n v="9153.06"/>
    <n v="20186.5"/>
    <x v="0"/>
  </r>
  <r>
    <x v="11"/>
    <x v="0"/>
    <x v="6"/>
    <x v="3"/>
    <x v="25"/>
    <x v="0"/>
    <x v="1"/>
    <n v="5"/>
    <n v="13715.1"/>
    <n v="47710.02"/>
    <x v="0"/>
  </r>
  <r>
    <x v="11"/>
    <x v="0"/>
    <x v="6"/>
    <x v="3"/>
    <x v="25"/>
    <x v="1"/>
    <x v="0"/>
    <n v="4"/>
    <n v="11881"/>
    <n v="28264.959999999999"/>
    <x v="0"/>
  </r>
  <r>
    <x v="11"/>
    <x v="0"/>
    <x v="6"/>
    <x v="3"/>
    <x v="25"/>
    <x v="1"/>
    <x v="1"/>
    <n v="13"/>
    <n v="36947.760000000002"/>
    <n v="87886.37"/>
    <x v="0"/>
  </r>
  <r>
    <x v="11"/>
    <x v="0"/>
    <x v="6"/>
    <x v="3"/>
    <x v="26"/>
    <x v="0"/>
    <x v="1"/>
    <n v="1"/>
    <n v="1809.7"/>
    <n v="6447.3"/>
    <x v="0"/>
  </r>
  <r>
    <x v="11"/>
    <x v="0"/>
    <x v="6"/>
    <x v="3"/>
    <x v="26"/>
    <x v="1"/>
    <x v="0"/>
    <n v="2"/>
    <n v="5963.22"/>
    <n v="14235.64"/>
    <x v="0"/>
  </r>
  <r>
    <x v="11"/>
    <x v="0"/>
    <x v="6"/>
    <x v="3"/>
    <x v="26"/>
    <x v="1"/>
    <x v="1"/>
    <n v="27"/>
    <n v="65222.34"/>
    <n v="157467.85999999999"/>
    <x v="0"/>
  </r>
  <r>
    <x v="11"/>
    <x v="0"/>
    <x v="6"/>
    <x v="3"/>
    <x v="27"/>
    <x v="0"/>
    <x v="0"/>
    <n v="2"/>
    <n v="4964.83"/>
    <n v="17730.080000000002"/>
    <x v="0"/>
  </r>
  <r>
    <x v="11"/>
    <x v="0"/>
    <x v="6"/>
    <x v="3"/>
    <x v="27"/>
    <x v="0"/>
    <x v="1"/>
    <n v="12"/>
    <n v="33822.19"/>
    <n v="117018.5"/>
    <x v="0"/>
  </r>
  <r>
    <x v="11"/>
    <x v="0"/>
    <x v="6"/>
    <x v="3"/>
    <x v="27"/>
    <x v="1"/>
    <x v="0"/>
    <n v="18"/>
    <n v="50885.88"/>
    <n v="121123.84"/>
    <x v="0"/>
  </r>
  <r>
    <x v="11"/>
    <x v="0"/>
    <x v="6"/>
    <x v="3"/>
    <x v="27"/>
    <x v="1"/>
    <x v="1"/>
    <n v="30"/>
    <n v="88185.78"/>
    <n v="207140.58"/>
    <x v="0"/>
  </r>
  <r>
    <x v="11"/>
    <x v="0"/>
    <x v="7"/>
    <x v="0"/>
    <x v="0"/>
    <x v="0"/>
    <x v="0"/>
    <n v="1"/>
    <n v="3774.33"/>
    <n v="14218.8"/>
    <x v="0"/>
  </r>
  <r>
    <x v="11"/>
    <x v="0"/>
    <x v="7"/>
    <x v="0"/>
    <x v="0"/>
    <x v="0"/>
    <x v="1"/>
    <n v="2"/>
    <n v="9099.42"/>
    <n v="35885.54"/>
    <x v="0"/>
  </r>
  <r>
    <x v="11"/>
    <x v="0"/>
    <x v="7"/>
    <x v="0"/>
    <x v="0"/>
    <x v="1"/>
    <x v="0"/>
    <n v="1"/>
    <n v="3616.44"/>
    <n v="9299.1"/>
    <x v="0"/>
  </r>
  <r>
    <x v="11"/>
    <x v="0"/>
    <x v="7"/>
    <x v="0"/>
    <x v="0"/>
    <x v="1"/>
    <x v="1"/>
    <n v="7"/>
    <n v="31742.42"/>
    <n v="80592.160000000003"/>
    <x v="0"/>
  </r>
  <r>
    <x v="11"/>
    <x v="0"/>
    <x v="7"/>
    <x v="0"/>
    <x v="1"/>
    <x v="0"/>
    <x v="0"/>
    <n v="3"/>
    <n v="13463.78"/>
    <n v="51458.51"/>
    <x v="0"/>
  </r>
  <r>
    <x v="11"/>
    <x v="0"/>
    <x v="7"/>
    <x v="0"/>
    <x v="1"/>
    <x v="0"/>
    <x v="1"/>
    <n v="4"/>
    <n v="20762.810000000001"/>
    <n v="79219.02"/>
    <x v="0"/>
  </r>
  <r>
    <x v="11"/>
    <x v="0"/>
    <x v="7"/>
    <x v="0"/>
    <x v="1"/>
    <x v="1"/>
    <x v="0"/>
    <n v="11"/>
    <n v="50205.27"/>
    <n v="124950.05"/>
    <x v="0"/>
  </r>
  <r>
    <x v="11"/>
    <x v="0"/>
    <x v="7"/>
    <x v="0"/>
    <x v="1"/>
    <x v="1"/>
    <x v="1"/>
    <n v="43"/>
    <n v="229721.77"/>
    <n v="569458.80000000005"/>
    <x v="0"/>
  </r>
  <r>
    <x v="11"/>
    <x v="0"/>
    <x v="7"/>
    <x v="0"/>
    <x v="2"/>
    <x v="0"/>
    <x v="1"/>
    <n v="5"/>
    <n v="23717.83"/>
    <n v="93437.82"/>
    <x v="0"/>
  </r>
  <r>
    <x v="11"/>
    <x v="0"/>
    <x v="7"/>
    <x v="0"/>
    <x v="2"/>
    <x v="1"/>
    <x v="1"/>
    <n v="26"/>
    <n v="118845.08"/>
    <n v="282555.96999999997"/>
    <x v="0"/>
  </r>
  <r>
    <x v="11"/>
    <x v="0"/>
    <x v="7"/>
    <x v="0"/>
    <x v="3"/>
    <x v="0"/>
    <x v="1"/>
    <n v="8"/>
    <n v="37406.25"/>
    <n v="143542.16"/>
    <x v="0"/>
  </r>
  <r>
    <x v="11"/>
    <x v="0"/>
    <x v="7"/>
    <x v="0"/>
    <x v="3"/>
    <x v="1"/>
    <x v="0"/>
    <n v="29"/>
    <n v="141839.60999999999"/>
    <n v="349480.45"/>
    <x v="0"/>
  </r>
  <r>
    <x v="11"/>
    <x v="0"/>
    <x v="7"/>
    <x v="0"/>
    <x v="3"/>
    <x v="1"/>
    <x v="1"/>
    <n v="18"/>
    <n v="81727.06"/>
    <n v="201640.17"/>
    <x v="0"/>
  </r>
  <r>
    <x v="11"/>
    <x v="0"/>
    <x v="7"/>
    <x v="0"/>
    <x v="28"/>
    <x v="1"/>
    <x v="1"/>
    <n v="3"/>
    <n v="16950.689999999999"/>
    <n v="42510.14"/>
    <x v="0"/>
  </r>
  <r>
    <x v="11"/>
    <x v="0"/>
    <x v="7"/>
    <x v="0"/>
    <x v="4"/>
    <x v="0"/>
    <x v="1"/>
    <n v="3"/>
    <n v="14994.79"/>
    <n v="57552.28"/>
    <x v="0"/>
  </r>
  <r>
    <x v="11"/>
    <x v="0"/>
    <x v="7"/>
    <x v="0"/>
    <x v="4"/>
    <x v="1"/>
    <x v="0"/>
    <n v="7"/>
    <n v="31352.34"/>
    <n v="78000.259999999995"/>
    <x v="0"/>
  </r>
  <r>
    <x v="11"/>
    <x v="0"/>
    <x v="7"/>
    <x v="0"/>
    <x v="4"/>
    <x v="1"/>
    <x v="1"/>
    <n v="15"/>
    <n v="71713.740000000005"/>
    <n v="179400.62"/>
    <x v="0"/>
  </r>
  <r>
    <x v="11"/>
    <x v="0"/>
    <x v="7"/>
    <x v="0"/>
    <x v="5"/>
    <x v="0"/>
    <x v="1"/>
    <n v="4"/>
    <n v="14174.14"/>
    <n v="56198.11"/>
    <x v="0"/>
  </r>
  <r>
    <x v="11"/>
    <x v="0"/>
    <x v="7"/>
    <x v="0"/>
    <x v="5"/>
    <x v="1"/>
    <x v="1"/>
    <n v="24"/>
    <n v="110092.97"/>
    <n v="278133.27"/>
    <x v="0"/>
  </r>
  <r>
    <x v="11"/>
    <x v="0"/>
    <x v="7"/>
    <x v="0"/>
    <x v="6"/>
    <x v="1"/>
    <x v="1"/>
    <n v="1"/>
    <n v="5562.71"/>
    <n v="14235.05"/>
    <x v="0"/>
  </r>
  <r>
    <x v="11"/>
    <x v="0"/>
    <x v="7"/>
    <x v="0"/>
    <x v="7"/>
    <x v="1"/>
    <x v="1"/>
    <n v="10"/>
    <n v="50630.3"/>
    <n v="129808.15"/>
    <x v="0"/>
  </r>
  <r>
    <x v="11"/>
    <x v="0"/>
    <x v="7"/>
    <x v="0"/>
    <x v="8"/>
    <x v="0"/>
    <x v="1"/>
    <n v="1"/>
    <n v="3578.62"/>
    <n v="14218.8"/>
    <x v="0"/>
  </r>
  <r>
    <x v="11"/>
    <x v="0"/>
    <x v="7"/>
    <x v="0"/>
    <x v="8"/>
    <x v="1"/>
    <x v="1"/>
    <n v="9"/>
    <n v="45511.21"/>
    <n v="106419.19"/>
    <x v="0"/>
  </r>
  <r>
    <x v="11"/>
    <x v="0"/>
    <x v="7"/>
    <x v="1"/>
    <x v="30"/>
    <x v="1"/>
    <x v="0"/>
    <n v="11"/>
    <n v="49601.11"/>
    <n v="133422.44"/>
    <x v="0"/>
  </r>
  <r>
    <x v="11"/>
    <x v="0"/>
    <x v="7"/>
    <x v="1"/>
    <x v="9"/>
    <x v="1"/>
    <x v="1"/>
    <n v="3"/>
    <n v="10394.040000000001"/>
    <n v="27950.09"/>
    <x v="0"/>
  </r>
  <r>
    <x v="11"/>
    <x v="0"/>
    <x v="7"/>
    <x v="1"/>
    <x v="31"/>
    <x v="1"/>
    <x v="0"/>
    <n v="5"/>
    <n v="27819.1"/>
    <n v="75291.92"/>
    <x v="0"/>
  </r>
  <r>
    <x v="11"/>
    <x v="0"/>
    <x v="7"/>
    <x v="1"/>
    <x v="10"/>
    <x v="0"/>
    <x v="0"/>
    <n v="2"/>
    <n v="9306.18"/>
    <n v="35885.54"/>
    <x v="0"/>
  </r>
  <r>
    <x v="11"/>
    <x v="0"/>
    <x v="7"/>
    <x v="1"/>
    <x v="10"/>
    <x v="0"/>
    <x v="1"/>
    <n v="7"/>
    <n v="33324.94"/>
    <n v="129323.36"/>
    <x v="0"/>
  </r>
  <r>
    <x v="11"/>
    <x v="0"/>
    <x v="7"/>
    <x v="1"/>
    <x v="10"/>
    <x v="1"/>
    <x v="0"/>
    <n v="12"/>
    <n v="54183.19"/>
    <n v="141764.13"/>
    <x v="0"/>
  </r>
  <r>
    <x v="11"/>
    <x v="0"/>
    <x v="7"/>
    <x v="1"/>
    <x v="10"/>
    <x v="1"/>
    <x v="1"/>
    <n v="55"/>
    <n v="262786.89"/>
    <n v="684427.33"/>
    <x v="0"/>
  </r>
  <r>
    <x v="11"/>
    <x v="0"/>
    <x v="7"/>
    <x v="1"/>
    <x v="11"/>
    <x v="0"/>
    <x v="1"/>
    <n v="12"/>
    <n v="57876.639999999999"/>
    <n v="222761.18"/>
    <x v="0"/>
  </r>
  <r>
    <x v="11"/>
    <x v="0"/>
    <x v="7"/>
    <x v="1"/>
    <x v="11"/>
    <x v="1"/>
    <x v="0"/>
    <n v="10"/>
    <n v="45173.34"/>
    <n v="116409.67"/>
    <x v="0"/>
  </r>
  <r>
    <x v="11"/>
    <x v="0"/>
    <x v="7"/>
    <x v="1"/>
    <x v="11"/>
    <x v="1"/>
    <x v="1"/>
    <n v="45"/>
    <n v="203590.32"/>
    <n v="509250.01"/>
    <x v="0"/>
  </r>
  <r>
    <x v="11"/>
    <x v="0"/>
    <x v="7"/>
    <x v="1"/>
    <x v="12"/>
    <x v="1"/>
    <x v="0"/>
    <n v="1"/>
    <n v="3663.95"/>
    <n v="9725.66"/>
    <x v="0"/>
  </r>
  <r>
    <x v="11"/>
    <x v="0"/>
    <x v="7"/>
    <x v="1"/>
    <x v="13"/>
    <x v="0"/>
    <x v="1"/>
    <n v="6"/>
    <n v="34725.71"/>
    <n v="130000.44"/>
    <x v="0"/>
  </r>
  <r>
    <x v="11"/>
    <x v="0"/>
    <x v="7"/>
    <x v="1"/>
    <x v="13"/>
    <x v="1"/>
    <x v="0"/>
    <n v="8"/>
    <n v="46210.06"/>
    <n v="118040.4"/>
    <x v="0"/>
  </r>
  <r>
    <x v="11"/>
    <x v="0"/>
    <x v="7"/>
    <x v="1"/>
    <x v="13"/>
    <x v="1"/>
    <x v="1"/>
    <n v="12"/>
    <n v="48551.85"/>
    <n v="126932.61"/>
    <x v="0"/>
  </r>
  <r>
    <x v="11"/>
    <x v="0"/>
    <x v="7"/>
    <x v="1"/>
    <x v="14"/>
    <x v="0"/>
    <x v="1"/>
    <n v="3"/>
    <n v="15009.68"/>
    <n v="57552.28"/>
    <x v="0"/>
  </r>
  <r>
    <x v="11"/>
    <x v="0"/>
    <x v="7"/>
    <x v="1"/>
    <x v="14"/>
    <x v="1"/>
    <x v="0"/>
    <n v="5"/>
    <n v="19780.86"/>
    <n v="51109.13"/>
    <x v="0"/>
  </r>
  <r>
    <x v="11"/>
    <x v="0"/>
    <x v="7"/>
    <x v="1"/>
    <x v="14"/>
    <x v="1"/>
    <x v="1"/>
    <n v="12"/>
    <n v="51070.22"/>
    <n v="131351.28"/>
    <x v="0"/>
  </r>
  <r>
    <x v="11"/>
    <x v="0"/>
    <x v="7"/>
    <x v="1"/>
    <x v="15"/>
    <x v="1"/>
    <x v="0"/>
    <n v="4"/>
    <n v="16101.26"/>
    <n v="44447.29"/>
    <x v="0"/>
  </r>
  <r>
    <x v="11"/>
    <x v="0"/>
    <x v="7"/>
    <x v="1"/>
    <x v="15"/>
    <x v="1"/>
    <x v="1"/>
    <n v="9"/>
    <n v="45967.7"/>
    <n v="124452.4"/>
    <x v="0"/>
  </r>
  <r>
    <x v="11"/>
    <x v="0"/>
    <x v="7"/>
    <x v="1"/>
    <x v="16"/>
    <x v="0"/>
    <x v="1"/>
    <n v="4"/>
    <n v="20324.060000000001"/>
    <n v="79219.02"/>
    <x v="0"/>
  </r>
  <r>
    <x v="11"/>
    <x v="0"/>
    <x v="7"/>
    <x v="1"/>
    <x v="16"/>
    <x v="1"/>
    <x v="0"/>
    <n v="2"/>
    <n v="11251.16"/>
    <n v="28513.43"/>
    <x v="0"/>
  </r>
  <r>
    <x v="11"/>
    <x v="0"/>
    <x v="7"/>
    <x v="1"/>
    <x v="16"/>
    <x v="1"/>
    <x v="1"/>
    <n v="9"/>
    <n v="38979.89"/>
    <n v="98123.22"/>
    <x v="0"/>
  </r>
  <r>
    <x v="11"/>
    <x v="0"/>
    <x v="7"/>
    <x v="1"/>
    <x v="17"/>
    <x v="0"/>
    <x v="1"/>
    <n v="2"/>
    <n v="11538.59"/>
    <n v="43333.48"/>
    <x v="0"/>
  </r>
  <r>
    <x v="11"/>
    <x v="0"/>
    <x v="7"/>
    <x v="1"/>
    <x v="17"/>
    <x v="1"/>
    <x v="0"/>
    <n v="6"/>
    <n v="28516.23"/>
    <n v="74181.509999999995"/>
    <x v="0"/>
  </r>
  <r>
    <x v="11"/>
    <x v="0"/>
    <x v="7"/>
    <x v="1"/>
    <x v="17"/>
    <x v="1"/>
    <x v="1"/>
    <n v="8"/>
    <n v="38762.089999999997"/>
    <n v="101090.18"/>
    <x v="0"/>
  </r>
  <r>
    <x v="11"/>
    <x v="0"/>
    <x v="7"/>
    <x v="1"/>
    <x v="18"/>
    <x v="0"/>
    <x v="1"/>
    <n v="7"/>
    <n v="32559.23"/>
    <n v="124583.76"/>
    <x v="0"/>
  </r>
  <r>
    <x v="11"/>
    <x v="0"/>
    <x v="7"/>
    <x v="1"/>
    <x v="18"/>
    <x v="1"/>
    <x v="0"/>
    <n v="16"/>
    <n v="72634.41"/>
    <n v="194870.22"/>
    <x v="0"/>
  </r>
  <r>
    <x v="11"/>
    <x v="0"/>
    <x v="7"/>
    <x v="1"/>
    <x v="18"/>
    <x v="1"/>
    <x v="1"/>
    <n v="30"/>
    <n v="136757.23000000001"/>
    <n v="371676.08"/>
    <x v="0"/>
  </r>
  <r>
    <x v="11"/>
    <x v="0"/>
    <x v="7"/>
    <x v="1"/>
    <x v="19"/>
    <x v="0"/>
    <x v="1"/>
    <n v="5"/>
    <n v="23750.32"/>
    <n v="92760.73"/>
    <x v="0"/>
  </r>
  <r>
    <x v="11"/>
    <x v="0"/>
    <x v="7"/>
    <x v="1"/>
    <x v="19"/>
    <x v="1"/>
    <x v="0"/>
    <n v="12"/>
    <n v="66665.41"/>
    <n v="173012.9"/>
    <x v="0"/>
  </r>
  <r>
    <x v="11"/>
    <x v="0"/>
    <x v="7"/>
    <x v="1"/>
    <x v="19"/>
    <x v="1"/>
    <x v="1"/>
    <n v="27"/>
    <n v="122694.43"/>
    <n v="323556.21000000002"/>
    <x v="0"/>
  </r>
  <r>
    <x v="11"/>
    <x v="0"/>
    <x v="7"/>
    <x v="1"/>
    <x v="20"/>
    <x v="0"/>
    <x v="0"/>
    <n v="1"/>
    <n v="5383.16"/>
    <n v="21666.74"/>
    <x v="0"/>
  </r>
  <r>
    <x v="11"/>
    <x v="0"/>
    <x v="7"/>
    <x v="1"/>
    <x v="20"/>
    <x v="0"/>
    <x v="1"/>
    <n v="11"/>
    <n v="54013.03"/>
    <n v="207865.29"/>
    <x v="0"/>
  </r>
  <r>
    <x v="11"/>
    <x v="0"/>
    <x v="7"/>
    <x v="1"/>
    <x v="20"/>
    <x v="1"/>
    <x v="0"/>
    <n v="12"/>
    <n v="53068.639999999999"/>
    <n v="137814.68"/>
    <x v="0"/>
  </r>
  <r>
    <x v="11"/>
    <x v="0"/>
    <x v="7"/>
    <x v="1"/>
    <x v="20"/>
    <x v="1"/>
    <x v="1"/>
    <n v="23"/>
    <n v="100215.58"/>
    <n v="255334.84"/>
    <x v="0"/>
  </r>
  <r>
    <x v="11"/>
    <x v="0"/>
    <x v="7"/>
    <x v="2"/>
    <x v="21"/>
    <x v="0"/>
    <x v="0"/>
    <n v="2"/>
    <n v="9604.91"/>
    <n v="35885.54"/>
    <x v="0"/>
  </r>
  <r>
    <x v="11"/>
    <x v="0"/>
    <x v="7"/>
    <x v="2"/>
    <x v="21"/>
    <x v="1"/>
    <x v="1"/>
    <n v="2"/>
    <n v="7323.4"/>
    <n v="17318.5"/>
    <x v="0"/>
  </r>
  <r>
    <x v="11"/>
    <x v="0"/>
    <x v="7"/>
    <x v="2"/>
    <x v="22"/>
    <x v="0"/>
    <x v="1"/>
    <n v="4"/>
    <n v="18109.23"/>
    <n v="71093.990000000005"/>
    <x v="0"/>
  </r>
  <r>
    <x v="11"/>
    <x v="0"/>
    <x v="7"/>
    <x v="2"/>
    <x v="22"/>
    <x v="1"/>
    <x v="0"/>
    <n v="6"/>
    <n v="30122.01"/>
    <n v="71748.05"/>
    <x v="0"/>
  </r>
  <r>
    <x v="11"/>
    <x v="0"/>
    <x v="7"/>
    <x v="2"/>
    <x v="22"/>
    <x v="1"/>
    <x v="1"/>
    <n v="43"/>
    <n v="188166.18"/>
    <n v="445522.7"/>
    <x v="0"/>
  </r>
  <r>
    <x v="11"/>
    <x v="0"/>
    <x v="7"/>
    <x v="2"/>
    <x v="29"/>
    <x v="0"/>
    <x v="1"/>
    <n v="2"/>
    <n v="7029.42"/>
    <n v="27760.51"/>
    <x v="0"/>
  </r>
  <r>
    <x v="11"/>
    <x v="0"/>
    <x v="7"/>
    <x v="2"/>
    <x v="29"/>
    <x v="1"/>
    <x v="1"/>
    <n v="5"/>
    <n v="20124.95"/>
    <n v="50378.559999999998"/>
    <x v="0"/>
  </r>
  <r>
    <x v="11"/>
    <x v="0"/>
    <x v="7"/>
    <x v="2"/>
    <x v="23"/>
    <x v="1"/>
    <x v="1"/>
    <n v="5"/>
    <n v="22374.42"/>
    <n v="52457.38"/>
    <x v="0"/>
  </r>
  <r>
    <x v="11"/>
    <x v="0"/>
    <x v="7"/>
    <x v="2"/>
    <x v="24"/>
    <x v="0"/>
    <x v="1"/>
    <n v="1"/>
    <n v="4037.52"/>
    <n v="15572.97"/>
    <x v="0"/>
  </r>
  <r>
    <x v="11"/>
    <x v="0"/>
    <x v="7"/>
    <x v="2"/>
    <x v="24"/>
    <x v="1"/>
    <x v="0"/>
    <n v="8"/>
    <n v="45789.72"/>
    <n v="107467.03"/>
    <x v="0"/>
  </r>
  <r>
    <x v="11"/>
    <x v="0"/>
    <x v="7"/>
    <x v="3"/>
    <x v="25"/>
    <x v="0"/>
    <x v="1"/>
    <n v="4"/>
    <n v="18824.38"/>
    <n v="73125.25"/>
    <x v="0"/>
  </r>
  <r>
    <x v="11"/>
    <x v="0"/>
    <x v="7"/>
    <x v="3"/>
    <x v="25"/>
    <x v="1"/>
    <x v="0"/>
    <n v="6"/>
    <n v="29776.16"/>
    <n v="78846.62"/>
    <x v="0"/>
  </r>
  <r>
    <x v="11"/>
    <x v="0"/>
    <x v="7"/>
    <x v="3"/>
    <x v="25"/>
    <x v="1"/>
    <x v="1"/>
    <n v="18"/>
    <n v="97253.440000000002"/>
    <n v="256947.22"/>
    <x v="0"/>
  </r>
  <r>
    <x v="11"/>
    <x v="0"/>
    <x v="7"/>
    <x v="3"/>
    <x v="26"/>
    <x v="0"/>
    <x v="0"/>
    <n v="2"/>
    <n v="7263.78"/>
    <n v="28437.599999999999"/>
    <x v="0"/>
  </r>
  <r>
    <x v="11"/>
    <x v="0"/>
    <x v="7"/>
    <x v="3"/>
    <x v="26"/>
    <x v="0"/>
    <x v="1"/>
    <n v="7"/>
    <n v="25499.599999999999"/>
    <n v="100208.68"/>
    <x v="0"/>
  </r>
  <r>
    <x v="11"/>
    <x v="0"/>
    <x v="7"/>
    <x v="3"/>
    <x v="26"/>
    <x v="1"/>
    <x v="0"/>
    <n v="13"/>
    <n v="73357.649999999994"/>
    <n v="193292.54"/>
    <x v="0"/>
  </r>
  <r>
    <x v="11"/>
    <x v="0"/>
    <x v="7"/>
    <x v="3"/>
    <x v="26"/>
    <x v="1"/>
    <x v="1"/>
    <n v="29"/>
    <n v="141317.22"/>
    <n v="377488.78"/>
    <x v="0"/>
  </r>
  <r>
    <x v="11"/>
    <x v="0"/>
    <x v="7"/>
    <x v="3"/>
    <x v="27"/>
    <x v="0"/>
    <x v="0"/>
    <n v="2"/>
    <n v="8948.41"/>
    <n v="35208.449999999997"/>
    <x v="0"/>
  </r>
  <r>
    <x v="11"/>
    <x v="0"/>
    <x v="7"/>
    <x v="3"/>
    <x v="27"/>
    <x v="0"/>
    <x v="1"/>
    <n v="8"/>
    <n v="37301.769999999997"/>
    <n v="143542.16"/>
    <x v="0"/>
  </r>
  <r>
    <x v="11"/>
    <x v="0"/>
    <x v="7"/>
    <x v="3"/>
    <x v="27"/>
    <x v="1"/>
    <x v="0"/>
    <n v="3"/>
    <n v="12254.92"/>
    <n v="31628.7"/>
    <x v="0"/>
  </r>
  <r>
    <x v="11"/>
    <x v="0"/>
    <x v="7"/>
    <x v="3"/>
    <x v="27"/>
    <x v="1"/>
    <x v="1"/>
    <n v="50"/>
    <n v="221612.57"/>
    <n v="586735.35"/>
    <x v="0"/>
  </r>
  <r>
    <x v="11"/>
    <x v="0"/>
    <x v="8"/>
    <x v="0"/>
    <x v="0"/>
    <x v="0"/>
    <x v="0"/>
    <n v="2"/>
    <n v="6750.45"/>
    <n v="23543.87"/>
    <x v="0"/>
  </r>
  <r>
    <x v="11"/>
    <x v="0"/>
    <x v="8"/>
    <x v="0"/>
    <x v="0"/>
    <x v="0"/>
    <x v="1"/>
    <n v="8"/>
    <n v="30302.97"/>
    <n v="105733.37"/>
    <x v="0"/>
  </r>
  <r>
    <x v="11"/>
    <x v="0"/>
    <x v="8"/>
    <x v="0"/>
    <x v="0"/>
    <x v="1"/>
    <x v="0"/>
    <n v="10"/>
    <n v="34251.910000000003"/>
    <n v="79508.08"/>
    <x v="0"/>
  </r>
  <r>
    <x v="11"/>
    <x v="0"/>
    <x v="8"/>
    <x v="0"/>
    <x v="0"/>
    <x v="1"/>
    <x v="1"/>
    <n v="12"/>
    <n v="35570.839999999997"/>
    <n v="81747.77"/>
    <x v="0"/>
  </r>
  <r>
    <x v="11"/>
    <x v="0"/>
    <x v="8"/>
    <x v="0"/>
    <x v="1"/>
    <x v="0"/>
    <x v="0"/>
    <n v="13"/>
    <n v="45121.42"/>
    <n v="160098.31"/>
    <x v="0"/>
  </r>
  <r>
    <x v="11"/>
    <x v="0"/>
    <x v="8"/>
    <x v="0"/>
    <x v="1"/>
    <x v="0"/>
    <x v="1"/>
    <n v="1"/>
    <n v="3908.32"/>
    <n v="13698.25"/>
    <x v="0"/>
  </r>
  <r>
    <x v="11"/>
    <x v="0"/>
    <x v="8"/>
    <x v="0"/>
    <x v="1"/>
    <x v="1"/>
    <x v="0"/>
    <n v="30"/>
    <n v="107027.84"/>
    <n v="239138.5"/>
    <x v="0"/>
  </r>
  <r>
    <x v="11"/>
    <x v="0"/>
    <x v="8"/>
    <x v="0"/>
    <x v="1"/>
    <x v="1"/>
    <x v="1"/>
    <n v="23"/>
    <n v="74718.600000000006"/>
    <n v="169007.35"/>
    <x v="0"/>
  </r>
  <r>
    <x v="11"/>
    <x v="0"/>
    <x v="8"/>
    <x v="0"/>
    <x v="2"/>
    <x v="0"/>
    <x v="1"/>
    <n v="6"/>
    <n v="20873.32"/>
    <n v="74484.240000000005"/>
    <x v="0"/>
  </r>
  <r>
    <x v="11"/>
    <x v="0"/>
    <x v="8"/>
    <x v="0"/>
    <x v="2"/>
    <x v="1"/>
    <x v="0"/>
    <n v="10"/>
    <n v="37944.82"/>
    <n v="85066.13"/>
    <x v="0"/>
  </r>
  <r>
    <x v="11"/>
    <x v="0"/>
    <x v="8"/>
    <x v="0"/>
    <x v="2"/>
    <x v="1"/>
    <x v="1"/>
    <n v="19"/>
    <n v="63501.4"/>
    <n v="141296.98000000001"/>
    <x v="0"/>
  </r>
  <r>
    <x v="11"/>
    <x v="0"/>
    <x v="8"/>
    <x v="0"/>
    <x v="3"/>
    <x v="0"/>
    <x v="1"/>
    <n v="12"/>
    <n v="40717.839999999997"/>
    <n v="145115.85"/>
    <x v="0"/>
  </r>
  <r>
    <x v="11"/>
    <x v="0"/>
    <x v="8"/>
    <x v="0"/>
    <x v="3"/>
    <x v="1"/>
    <x v="0"/>
    <n v="35"/>
    <n v="126068.42"/>
    <n v="286376.33"/>
    <x v="0"/>
  </r>
  <r>
    <x v="11"/>
    <x v="0"/>
    <x v="8"/>
    <x v="0"/>
    <x v="3"/>
    <x v="1"/>
    <x v="1"/>
    <n v="62"/>
    <n v="202344.78"/>
    <n v="466752.03"/>
    <x v="0"/>
  </r>
  <r>
    <x v="11"/>
    <x v="0"/>
    <x v="8"/>
    <x v="0"/>
    <x v="28"/>
    <x v="1"/>
    <x v="1"/>
    <n v="2"/>
    <n v="5437.62"/>
    <n v="12878.07"/>
    <x v="0"/>
  </r>
  <r>
    <x v="11"/>
    <x v="0"/>
    <x v="8"/>
    <x v="0"/>
    <x v="4"/>
    <x v="0"/>
    <x v="1"/>
    <n v="6"/>
    <n v="19661.39"/>
    <n v="69347.399999999994"/>
    <x v="0"/>
  </r>
  <r>
    <x v="11"/>
    <x v="0"/>
    <x v="8"/>
    <x v="0"/>
    <x v="4"/>
    <x v="1"/>
    <x v="0"/>
    <n v="16"/>
    <n v="59247.55"/>
    <n v="135338.71"/>
    <x v="0"/>
  </r>
  <r>
    <x v="11"/>
    <x v="0"/>
    <x v="8"/>
    <x v="0"/>
    <x v="4"/>
    <x v="1"/>
    <x v="1"/>
    <n v="17"/>
    <n v="60950.71"/>
    <n v="139212"/>
    <x v="0"/>
  </r>
  <r>
    <x v="11"/>
    <x v="0"/>
    <x v="8"/>
    <x v="0"/>
    <x v="5"/>
    <x v="0"/>
    <x v="1"/>
    <n v="8"/>
    <n v="24744.66"/>
    <n v="89038.64"/>
    <x v="0"/>
  </r>
  <r>
    <x v="11"/>
    <x v="0"/>
    <x v="8"/>
    <x v="0"/>
    <x v="5"/>
    <x v="1"/>
    <x v="0"/>
    <n v="4"/>
    <n v="10027.1"/>
    <n v="23696.26"/>
    <x v="0"/>
  </r>
  <r>
    <x v="11"/>
    <x v="0"/>
    <x v="8"/>
    <x v="0"/>
    <x v="5"/>
    <x v="1"/>
    <x v="1"/>
    <n v="26"/>
    <n v="86702.84"/>
    <n v="200658.35"/>
    <x v="0"/>
  </r>
  <r>
    <x v="11"/>
    <x v="0"/>
    <x v="8"/>
    <x v="0"/>
    <x v="6"/>
    <x v="0"/>
    <x v="1"/>
    <n v="1"/>
    <n v="3665.92"/>
    <n v="13698.25"/>
    <x v="0"/>
  </r>
  <r>
    <x v="11"/>
    <x v="0"/>
    <x v="8"/>
    <x v="0"/>
    <x v="6"/>
    <x v="1"/>
    <x v="1"/>
    <n v="1"/>
    <n v="2487.0700000000002"/>
    <n v="5624.85"/>
    <x v="0"/>
  </r>
  <r>
    <x v="11"/>
    <x v="0"/>
    <x v="8"/>
    <x v="0"/>
    <x v="7"/>
    <x v="1"/>
    <x v="1"/>
    <n v="19"/>
    <n v="58023.08"/>
    <n v="136684.59"/>
    <x v="0"/>
  </r>
  <r>
    <x v="11"/>
    <x v="0"/>
    <x v="8"/>
    <x v="0"/>
    <x v="8"/>
    <x v="0"/>
    <x v="1"/>
    <n v="7"/>
    <n v="21766.94"/>
    <n v="75768.460000000006"/>
    <x v="0"/>
  </r>
  <r>
    <x v="11"/>
    <x v="0"/>
    <x v="8"/>
    <x v="0"/>
    <x v="8"/>
    <x v="1"/>
    <x v="1"/>
    <n v="15"/>
    <n v="51102.82"/>
    <n v="116162.05"/>
    <x v="0"/>
  </r>
  <r>
    <x v="11"/>
    <x v="0"/>
    <x v="8"/>
    <x v="1"/>
    <x v="30"/>
    <x v="1"/>
    <x v="0"/>
    <n v="10"/>
    <n v="32828.449999999997"/>
    <n v="79086.5"/>
    <x v="0"/>
  </r>
  <r>
    <x v="11"/>
    <x v="0"/>
    <x v="8"/>
    <x v="1"/>
    <x v="9"/>
    <x v="1"/>
    <x v="1"/>
    <n v="8"/>
    <n v="27210.6"/>
    <n v="64792.73"/>
    <x v="0"/>
  </r>
  <r>
    <x v="11"/>
    <x v="0"/>
    <x v="8"/>
    <x v="1"/>
    <x v="31"/>
    <x v="1"/>
    <x v="0"/>
    <n v="6"/>
    <n v="17545.189999999999"/>
    <n v="43733.81"/>
    <x v="0"/>
  </r>
  <r>
    <x v="11"/>
    <x v="0"/>
    <x v="8"/>
    <x v="1"/>
    <x v="10"/>
    <x v="0"/>
    <x v="0"/>
    <n v="1"/>
    <n v="2471.5"/>
    <n v="8561.41"/>
    <x v="0"/>
  </r>
  <r>
    <x v="11"/>
    <x v="0"/>
    <x v="8"/>
    <x v="1"/>
    <x v="10"/>
    <x v="0"/>
    <x v="1"/>
    <n v="5"/>
    <n v="15713.06"/>
    <n v="56077.22"/>
    <x v="0"/>
  </r>
  <r>
    <x v="11"/>
    <x v="0"/>
    <x v="8"/>
    <x v="1"/>
    <x v="10"/>
    <x v="1"/>
    <x v="0"/>
    <n v="13"/>
    <n v="44178.14"/>
    <n v="105391.78"/>
    <x v="0"/>
  </r>
  <r>
    <x v="11"/>
    <x v="0"/>
    <x v="8"/>
    <x v="1"/>
    <x v="10"/>
    <x v="1"/>
    <x v="1"/>
    <n v="59"/>
    <n v="188838.3"/>
    <n v="458532.32"/>
    <x v="0"/>
  </r>
  <r>
    <x v="11"/>
    <x v="0"/>
    <x v="8"/>
    <x v="1"/>
    <x v="11"/>
    <x v="0"/>
    <x v="1"/>
    <n v="15"/>
    <n v="49365"/>
    <n v="175080.78"/>
    <x v="0"/>
  </r>
  <r>
    <x v="11"/>
    <x v="0"/>
    <x v="8"/>
    <x v="1"/>
    <x v="11"/>
    <x v="1"/>
    <x v="0"/>
    <n v="22"/>
    <n v="66427.37"/>
    <n v="152377.72"/>
    <x v="0"/>
  </r>
  <r>
    <x v="11"/>
    <x v="0"/>
    <x v="8"/>
    <x v="1"/>
    <x v="11"/>
    <x v="1"/>
    <x v="1"/>
    <n v="81"/>
    <n v="235438.92"/>
    <n v="542075.18999999994"/>
    <x v="0"/>
  </r>
  <r>
    <x v="11"/>
    <x v="0"/>
    <x v="8"/>
    <x v="1"/>
    <x v="12"/>
    <x v="1"/>
    <x v="0"/>
    <n v="5"/>
    <n v="14321.8"/>
    <n v="34843.21"/>
    <x v="0"/>
  </r>
  <r>
    <x v="11"/>
    <x v="0"/>
    <x v="8"/>
    <x v="1"/>
    <x v="12"/>
    <x v="1"/>
    <x v="1"/>
    <n v="2"/>
    <n v="4939.18"/>
    <n v="11712.01"/>
    <x v="0"/>
  </r>
  <r>
    <x v="11"/>
    <x v="0"/>
    <x v="8"/>
    <x v="1"/>
    <x v="13"/>
    <x v="0"/>
    <x v="1"/>
    <n v="9"/>
    <n v="33788.1"/>
    <n v="119431.62"/>
    <x v="0"/>
  </r>
  <r>
    <x v="11"/>
    <x v="0"/>
    <x v="8"/>
    <x v="1"/>
    <x v="13"/>
    <x v="1"/>
    <x v="0"/>
    <n v="1"/>
    <n v="2453.1799999999998"/>
    <n v="6121.84"/>
    <x v="0"/>
  </r>
  <r>
    <x v="11"/>
    <x v="0"/>
    <x v="8"/>
    <x v="1"/>
    <x v="13"/>
    <x v="1"/>
    <x v="1"/>
    <n v="49"/>
    <n v="159196.63"/>
    <n v="380516.69"/>
    <x v="0"/>
  </r>
  <r>
    <x v="11"/>
    <x v="0"/>
    <x v="8"/>
    <x v="1"/>
    <x v="14"/>
    <x v="0"/>
    <x v="1"/>
    <n v="7"/>
    <n v="26112.29"/>
    <n v="92035.12"/>
    <x v="0"/>
  </r>
  <r>
    <x v="11"/>
    <x v="0"/>
    <x v="8"/>
    <x v="1"/>
    <x v="14"/>
    <x v="1"/>
    <x v="0"/>
    <n v="11"/>
    <n v="32704.51"/>
    <n v="76436.69"/>
    <x v="0"/>
  </r>
  <r>
    <x v="11"/>
    <x v="0"/>
    <x v="8"/>
    <x v="1"/>
    <x v="14"/>
    <x v="1"/>
    <x v="1"/>
    <n v="6"/>
    <n v="20348.77"/>
    <n v="47181.91"/>
    <x v="0"/>
  </r>
  <r>
    <x v="11"/>
    <x v="0"/>
    <x v="8"/>
    <x v="1"/>
    <x v="16"/>
    <x v="0"/>
    <x v="1"/>
    <n v="6"/>
    <n v="20133.419999999998"/>
    <n v="69775.47"/>
    <x v="0"/>
  </r>
  <r>
    <x v="11"/>
    <x v="0"/>
    <x v="8"/>
    <x v="1"/>
    <x v="16"/>
    <x v="1"/>
    <x v="0"/>
    <n v="10"/>
    <n v="39139.69"/>
    <n v="89573.54"/>
    <x v="0"/>
  </r>
  <r>
    <x v="11"/>
    <x v="0"/>
    <x v="8"/>
    <x v="1"/>
    <x v="16"/>
    <x v="1"/>
    <x v="1"/>
    <n v="10"/>
    <n v="37748.769999999997"/>
    <n v="86754.45"/>
    <x v="0"/>
  </r>
  <r>
    <x v="11"/>
    <x v="0"/>
    <x v="8"/>
    <x v="1"/>
    <x v="17"/>
    <x v="0"/>
    <x v="1"/>
    <n v="5"/>
    <n v="19507.240000000002"/>
    <n v="68491.25"/>
    <x v="0"/>
  </r>
  <r>
    <x v="11"/>
    <x v="0"/>
    <x v="8"/>
    <x v="1"/>
    <x v="17"/>
    <x v="1"/>
    <x v="0"/>
    <n v="11"/>
    <n v="43229.93"/>
    <n v="100052.02"/>
    <x v="0"/>
  </r>
  <r>
    <x v="11"/>
    <x v="0"/>
    <x v="8"/>
    <x v="1"/>
    <x v="17"/>
    <x v="1"/>
    <x v="1"/>
    <n v="11"/>
    <n v="33568.29"/>
    <n v="79586.850000000006"/>
    <x v="0"/>
  </r>
  <r>
    <x v="11"/>
    <x v="0"/>
    <x v="8"/>
    <x v="1"/>
    <x v="18"/>
    <x v="0"/>
    <x v="1"/>
    <n v="24"/>
    <n v="73458.73"/>
    <n v="260266.8"/>
    <x v="0"/>
  </r>
  <r>
    <x v="11"/>
    <x v="0"/>
    <x v="8"/>
    <x v="1"/>
    <x v="18"/>
    <x v="1"/>
    <x v="0"/>
    <n v="26"/>
    <n v="90711.84"/>
    <n v="221265.9"/>
    <x v="0"/>
  </r>
  <r>
    <x v="11"/>
    <x v="0"/>
    <x v="8"/>
    <x v="1"/>
    <x v="18"/>
    <x v="1"/>
    <x v="1"/>
    <n v="54"/>
    <n v="167708.10999999999"/>
    <n v="416486.47"/>
    <x v="0"/>
  </r>
  <r>
    <x v="11"/>
    <x v="0"/>
    <x v="8"/>
    <x v="1"/>
    <x v="19"/>
    <x v="0"/>
    <x v="1"/>
    <n v="13"/>
    <n v="40434.230000000003"/>
    <n v="145115.85999999999"/>
    <x v="0"/>
  </r>
  <r>
    <x v="11"/>
    <x v="0"/>
    <x v="8"/>
    <x v="1"/>
    <x v="19"/>
    <x v="1"/>
    <x v="0"/>
    <n v="6"/>
    <n v="20774.189999999999"/>
    <n v="49413.33"/>
    <x v="0"/>
  </r>
  <r>
    <x v="11"/>
    <x v="0"/>
    <x v="8"/>
    <x v="1"/>
    <x v="19"/>
    <x v="1"/>
    <x v="1"/>
    <n v="33"/>
    <n v="107576.47"/>
    <n v="250547.9"/>
    <x v="0"/>
  </r>
  <r>
    <x v="11"/>
    <x v="0"/>
    <x v="8"/>
    <x v="1"/>
    <x v="20"/>
    <x v="0"/>
    <x v="0"/>
    <n v="3"/>
    <n v="9177.41"/>
    <n v="32533.35"/>
    <x v="0"/>
  </r>
  <r>
    <x v="11"/>
    <x v="0"/>
    <x v="8"/>
    <x v="1"/>
    <x v="20"/>
    <x v="0"/>
    <x v="1"/>
    <n v="15"/>
    <n v="52010.68"/>
    <n v="184070.25"/>
    <x v="0"/>
  </r>
  <r>
    <x v="11"/>
    <x v="0"/>
    <x v="8"/>
    <x v="1"/>
    <x v="20"/>
    <x v="1"/>
    <x v="0"/>
    <n v="8"/>
    <n v="23120.02"/>
    <n v="54491.66"/>
    <x v="0"/>
  </r>
  <r>
    <x v="11"/>
    <x v="0"/>
    <x v="8"/>
    <x v="1"/>
    <x v="20"/>
    <x v="1"/>
    <x v="1"/>
    <n v="20"/>
    <n v="68717.88"/>
    <n v="163462.72"/>
    <x v="0"/>
  </r>
  <r>
    <x v="11"/>
    <x v="0"/>
    <x v="8"/>
    <x v="2"/>
    <x v="21"/>
    <x v="0"/>
    <x v="0"/>
    <n v="4"/>
    <n v="12796.63"/>
    <n v="45803.53"/>
    <x v="0"/>
  </r>
  <r>
    <x v="11"/>
    <x v="0"/>
    <x v="8"/>
    <x v="2"/>
    <x v="21"/>
    <x v="1"/>
    <x v="1"/>
    <n v="8"/>
    <n v="29245.11"/>
    <n v="63609.54"/>
    <x v="0"/>
  </r>
  <r>
    <x v="11"/>
    <x v="0"/>
    <x v="8"/>
    <x v="2"/>
    <x v="22"/>
    <x v="0"/>
    <x v="1"/>
    <n v="3"/>
    <n v="8743.36"/>
    <n v="30821.07"/>
    <x v="0"/>
  </r>
  <r>
    <x v="11"/>
    <x v="0"/>
    <x v="8"/>
    <x v="2"/>
    <x v="22"/>
    <x v="1"/>
    <x v="0"/>
    <n v="20"/>
    <n v="72129.67"/>
    <n v="153212.84"/>
    <x v="0"/>
  </r>
  <r>
    <x v="11"/>
    <x v="0"/>
    <x v="8"/>
    <x v="2"/>
    <x v="22"/>
    <x v="1"/>
    <x v="1"/>
    <n v="25"/>
    <n v="79089.91"/>
    <n v="167616.81"/>
    <x v="0"/>
  </r>
  <r>
    <x v="11"/>
    <x v="0"/>
    <x v="8"/>
    <x v="2"/>
    <x v="29"/>
    <x v="0"/>
    <x v="1"/>
    <n v="2"/>
    <n v="6317.21"/>
    <n v="22687.73"/>
    <x v="0"/>
  </r>
  <r>
    <x v="11"/>
    <x v="0"/>
    <x v="8"/>
    <x v="2"/>
    <x v="29"/>
    <x v="1"/>
    <x v="1"/>
    <n v="10"/>
    <n v="29098.13"/>
    <n v="67024.7"/>
    <x v="0"/>
  </r>
  <r>
    <x v="11"/>
    <x v="0"/>
    <x v="8"/>
    <x v="2"/>
    <x v="23"/>
    <x v="1"/>
    <x v="1"/>
    <n v="1"/>
    <n v="2838.45"/>
    <n v="6242.12"/>
    <x v="0"/>
  </r>
  <r>
    <x v="11"/>
    <x v="0"/>
    <x v="8"/>
    <x v="2"/>
    <x v="24"/>
    <x v="0"/>
    <x v="1"/>
    <n v="4"/>
    <n v="11467.09"/>
    <n v="42378.97"/>
    <x v="0"/>
  </r>
  <r>
    <x v="11"/>
    <x v="0"/>
    <x v="8"/>
    <x v="2"/>
    <x v="24"/>
    <x v="1"/>
    <x v="0"/>
    <n v="5"/>
    <n v="19457.14"/>
    <n v="41472.959999999999"/>
    <x v="0"/>
  </r>
  <r>
    <x v="11"/>
    <x v="0"/>
    <x v="8"/>
    <x v="2"/>
    <x v="24"/>
    <x v="1"/>
    <x v="1"/>
    <n v="7"/>
    <n v="27359.7"/>
    <n v="59450.400000000001"/>
    <x v="0"/>
  </r>
  <r>
    <x v="11"/>
    <x v="0"/>
    <x v="8"/>
    <x v="3"/>
    <x v="25"/>
    <x v="0"/>
    <x v="1"/>
    <n v="4"/>
    <n v="15527.44"/>
    <n v="54793"/>
    <x v="0"/>
  </r>
  <r>
    <x v="11"/>
    <x v="0"/>
    <x v="8"/>
    <x v="3"/>
    <x v="25"/>
    <x v="1"/>
    <x v="0"/>
    <n v="13"/>
    <n v="40531.22"/>
    <n v="97841.25"/>
    <x v="0"/>
  </r>
  <r>
    <x v="11"/>
    <x v="0"/>
    <x v="8"/>
    <x v="3"/>
    <x v="25"/>
    <x v="1"/>
    <x v="1"/>
    <n v="33"/>
    <n v="106219.13"/>
    <n v="253699.34"/>
    <x v="0"/>
  </r>
  <r>
    <x v="11"/>
    <x v="0"/>
    <x v="8"/>
    <x v="3"/>
    <x v="26"/>
    <x v="0"/>
    <x v="0"/>
    <n v="4"/>
    <n v="13037.7"/>
    <n v="45803.53"/>
    <x v="0"/>
  </r>
  <r>
    <x v="11"/>
    <x v="0"/>
    <x v="8"/>
    <x v="3"/>
    <x v="26"/>
    <x v="0"/>
    <x v="1"/>
    <n v="9"/>
    <n v="28792.98"/>
    <n v="102308.82"/>
    <x v="0"/>
  </r>
  <r>
    <x v="11"/>
    <x v="0"/>
    <x v="8"/>
    <x v="3"/>
    <x v="26"/>
    <x v="1"/>
    <x v="0"/>
    <n v="12"/>
    <n v="37569.230000000003"/>
    <n v="90382.79"/>
    <x v="0"/>
  </r>
  <r>
    <x v="11"/>
    <x v="0"/>
    <x v="8"/>
    <x v="3"/>
    <x v="26"/>
    <x v="1"/>
    <x v="1"/>
    <n v="68"/>
    <n v="241856.46"/>
    <n v="591859.87"/>
    <x v="0"/>
  </r>
  <r>
    <x v="11"/>
    <x v="0"/>
    <x v="8"/>
    <x v="3"/>
    <x v="27"/>
    <x v="0"/>
    <x v="0"/>
    <n v="1"/>
    <n v="2623.05"/>
    <n v="9845.6200000000008"/>
    <x v="0"/>
  </r>
  <r>
    <x v="11"/>
    <x v="0"/>
    <x v="8"/>
    <x v="3"/>
    <x v="27"/>
    <x v="0"/>
    <x v="1"/>
    <n v="11"/>
    <n v="33220.28"/>
    <n v="119003.57"/>
    <x v="0"/>
  </r>
  <r>
    <x v="11"/>
    <x v="0"/>
    <x v="8"/>
    <x v="3"/>
    <x v="27"/>
    <x v="1"/>
    <x v="0"/>
    <n v="11"/>
    <n v="32002.67"/>
    <n v="78315.5"/>
    <x v="0"/>
  </r>
  <r>
    <x v="11"/>
    <x v="0"/>
    <x v="8"/>
    <x v="3"/>
    <x v="27"/>
    <x v="1"/>
    <x v="1"/>
    <n v="67"/>
    <n v="216808.24"/>
    <n v="527284.4"/>
    <x v="0"/>
  </r>
  <r>
    <x v="11"/>
    <x v="0"/>
    <x v="9"/>
    <x v="0"/>
    <x v="0"/>
    <x v="0"/>
    <x v="0"/>
    <n v="1"/>
    <n v="3369.02"/>
    <n v="11472.86"/>
    <x v="0"/>
  </r>
  <r>
    <x v="11"/>
    <x v="0"/>
    <x v="9"/>
    <x v="0"/>
    <x v="0"/>
    <x v="0"/>
    <x v="1"/>
    <n v="2"/>
    <n v="4527.1000000000004"/>
    <n v="15416.66"/>
    <x v="0"/>
  </r>
  <r>
    <x v="11"/>
    <x v="0"/>
    <x v="9"/>
    <x v="0"/>
    <x v="0"/>
    <x v="1"/>
    <x v="0"/>
    <n v="9"/>
    <n v="26618.43"/>
    <n v="59791.53"/>
    <x v="0"/>
  </r>
  <r>
    <x v="11"/>
    <x v="0"/>
    <x v="9"/>
    <x v="0"/>
    <x v="0"/>
    <x v="1"/>
    <x v="1"/>
    <n v="13"/>
    <n v="29565.63"/>
    <n v="67240.27"/>
    <x v="0"/>
  </r>
  <r>
    <x v="11"/>
    <x v="0"/>
    <x v="9"/>
    <x v="0"/>
    <x v="1"/>
    <x v="0"/>
    <x v="0"/>
    <n v="6"/>
    <n v="16159.58"/>
    <n v="56288.72"/>
    <x v="0"/>
  </r>
  <r>
    <x v="11"/>
    <x v="0"/>
    <x v="9"/>
    <x v="0"/>
    <x v="1"/>
    <x v="0"/>
    <x v="1"/>
    <n v="6"/>
    <n v="13707.87"/>
    <n v="48401.120000000003"/>
    <x v="0"/>
  </r>
  <r>
    <x v="11"/>
    <x v="0"/>
    <x v="9"/>
    <x v="0"/>
    <x v="1"/>
    <x v="1"/>
    <x v="0"/>
    <n v="16"/>
    <n v="41663.449999999997"/>
    <n v="91517.34"/>
    <x v="0"/>
  </r>
  <r>
    <x v="11"/>
    <x v="0"/>
    <x v="9"/>
    <x v="0"/>
    <x v="1"/>
    <x v="1"/>
    <x v="1"/>
    <n v="41"/>
    <n v="114723.73"/>
    <n v="252864.19"/>
    <x v="0"/>
  </r>
  <r>
    <x v="11"/>
    <x v="0"/>
    <x v="9"/>
    <x v="0"/>
    <x v="2"/>
    <x v="0"/>
    <x v="1"/>
    <n v="5"/>
    <n v="14303.82"/>
    <n v="49476.7"/>
    <x v="0"/>
  </r>
  <r>
    <x v="11"/>
    <x v="0"/>
    <x v="9"/>
    <x v="0"/>
    <x v="2"/>
    <x v="1"/>
    <x v="0"/>
    <n v="5"/>
    <n v="16650.2"/>
    <n v="35623.230000000003"/>
    <x v="0"/>
  </r>
  <r>
    <x v="11"/>
    <x v="0"/>
    <x v="9"/>
    <x v="0"/>
    <x v="2"/>
    <x v="1"/>
    <x v="1"/>
    <n v="28"/>
    <n v="67234.649999999994"/>
    <n v="142120.12"/>
    <x v="0"/>
  </r>
  <r>
    <x v="11"/>
    <x v="0"/>
    <x v="9"/>
    <x v="0"/>
    <x v="3"/>
    <x v="0"/>
    <x v="0"/>
    <n v="6"/>
    <n v="13944.37"/>
    <n v="48401.120000000003"/>
    <x v="0"/>
  </r>
  <r>
    <x v="11"/>
    <x v="0"/>
    <x v="9"/>
    <x v="0"/>
    <x v="3"/>
    <x v="0"/>
    <x v="1"/>
    <n v="5"/>
    <n v="10686.37"/>
    <n v="37286.78"/>
    <x v="0"/>
  </r>
  <r>
    <x v="11"/>
    <x v="0"/>
    <x v="9"/>
    <x v="0"/>
    <x v="3"/>
    <x v="1"/>
    <x v="0"/>
    <n v="12"/>
    <n v="31991.78"/>
    <n v="71335.39"/>
    <x v="0"/>
  </r>
  <r>
    <x v="11"/>
    <x v="0"/>
    <x v="9"/>
    <x v="0"/>
    <x v="3"/>
    <x v="1"/>
    <x v="1"/>
    <n v="41"/>
    <n v="97597.89"/>
    <n v="219599.65"/>
    <x v="0"/>
  </r>
  <r>
    <x v="11"/>
    <x v="0"/>
    <x v="9"/>
    <x v="0"/>
    <x v="28"/>
    <x v="1"/>
    <x v="1"/>
    <n v="1"/>
    <n v="3402.29"/>
    <n v="7503.25"/>
    <x v="0"/>
  </r>
  <r>
    <x v="11"/>
    <x v="0"/>
    <x v="9"/>
    <x v="0"/>
    <x v="4"/>
    <x v="0"/>
    <x v="1"/>
    <n v="1"/>
    <n v="3388.35"/>
    <n v="11472.86"/>
    <x v="0"/>
  </r>
  <r>
    <x v="11"/>
    <x v="0"/>
    <x v="9"/>
    <x v="0"/>
    <x v="4"/>
    <x v="1"/>
    <x v="0"/>
    <n v="3"/>
    <n v="6368.16"/>
    <n v="13767.44"/>
    <x v="0"/>
  </r>
  <r>
    <x v="11"/>
    <x v="0"/>
    <x v="9"/>
    <x v="0"/>
    <x v="4"/>
    <x v="1"/>
    <x v="1"/>
    <n v="12"/>
    <n v="37081.660000000003"/>
    <n v="79851.11"/>
    <x v="0"/>
  </r>
  <r>
    <x v="11"/>
    <x v="0"/>
    <x v="9"/>
    <x v="0"/>
    <x v="5"/>
    <x v="0"/>
    <x v="1"/>
    <n v="8"/>
    <n v="21041.22"/>
    <n v="72780.960000000006"/>
    <x v="0"/>
  </r>
  <r>
    <x v="11"/>
    <x v="0"/>
    <x v="9"/>
    <x v="0"/>
    <x v="5"/>
    <x v="1"/>
    <x v="0"/>
    <n v="8"/>
    <n v="18462.36"/>
    <n v="41819.629999999997"/>
    <x v="0"/>
  </r>
  <r>
    <x v="11"/>
    <x v="0"/>
    <x v="9"/>
    <x v="0"/>
    <x v="5"/>
    <x v="1"/>
    <x v="1"/>
    <n v="39"/>
    <n v="97368.29"/>
    <n v="221138.05"/>
    <x v="0"/>
  </r>
  <r>
    <x v="11"/>
    <x v="0"/>
    <x v="9"/>
    <x v="0"/>
    <x v="6"/>
    <x v="0"/>
    <x v="1"/>
    <n v="3"/>
    <n v="7684.07"/>
    <n v="26530.98"/>
    <x v="0"/>
  </r>
  <r>
    <x v="11"/>
    <x v="0"/>
    <x v="9"/>
    <x v="0"/>
    <x v="6"/>
    <x v="1"/>
    <x v="1"/>
    <n v="15"/>
    <n v="41156.019999999997"/>
    <n v="91888.44"/>
    <x v="0"/>
  </r>
  <r>
    <x v="11"/>
    <x v="0"/>
    <x v="9"/>
    <x v="0"/>
    <x v="7"/>
    <x v="1"/>
    <x v="1"/>
    <n v="7"/>
    <n v="17520.759999999998"/>
    <n v="39277.339999999997"/>
    <x v="0"/>
  </r>
  <r>
    <x v="11"/>
    <x v="0"/>
    <x v="9"/>
    <x v="0"/>
    <x v="8"/>
    <x v="0"/>
    <x v="1"/>
    <n v="2"/>
    <n v="5399.04"/>
    <n v="18643.400000000001"/>
    <x v="0"/>
  </r>
  <r>
    <x v="11"/>
    <x v="0"/>
    <x v="9"/>
    <x v="0"/>
    <x v="8"/>
    <x v="1"/>
    <x v="1"/>
    <n v="3"/>
    <n v="7265.97"/>
    <n v="15758.34"/>
    <x v="0"/>
  </r>
  <r>
    <x v="11"/>
    <x v="0"/>
    <x v="9"/>
    <x v="1"/>
    <x v="30"/>
    <x v="1"/>
    <x v="0"/>
    <n v="4"/>
    <n v="13565.62"/>
    <n v="31619.200000000001"/>
    <x v="0"/>
  </r>
  <r>
    <x v="11"/>
    <x v="0"/>
    <x v="9"/>
    <x v="1"/>
    <x v="31"/>
    <x v="1"/>
    <x v="0"/>
    <n v="1"/>
    <n v="2041.77"/>
    <n v="4983.53"/>
    <x v="0"/>
  </r>
  <r>
    <x v="11"/>
    <x v="0"/>
    <x v="9"/>
    <x v="1"/>
    <x v="10"/>
    <x v="0"/>
    <x v="0"/>
    <n v="6"/>
    <n v="16422.150000000001"/>
    <n v="55930.2"/>
    <x v="0"/>
  </r>
  <r>
    <x v="11"/>
    <x v="0"/>
    <x v="9"/>
    <x v="1"/>
    <x v="10"/>
    <x v="0"/>
    <x v="1"/>
    <n v="4"/>
    <n v="10762.38"/>
    <n v="37286.800000000003"/>
    <x v="0"/>
  </r>
  <r>
    <x v="11"/>
    <x v="0"/>
    <x v="9"/>
    <x v="1"/>
    <x v="10"/>
    <x v="1"/>
    <x v="0"/>
    <n v="10"/>
    <n v="22825.17"/>
    <n v="54037.86"/>
    <x v="0"/>
  </r>
  <r>
    <x v="11"/>
    <x v="0"/>
    <x v="9"/>
    <x v="1"/>
    <x v="10"/>
    <x v="1"/>
    <x v="1"/>
    <n v="35"/>
    <n v="103328.73"/>
    <n v="236443.67"/>
    <x v="0"/>
  </r>
  <r>
    <x v="11"/>
    <x v="0"/>
    <x v="9"/>
    <x v="1"/>
    <x v="11"/>
    <x v="0"/>
    <x v="1"/>
    <n v="11"/>
    <n v="26577.14"/>
    <n v="92499.94"/>
    <x v="0"/>
  </r>
  <r>
    <x v="11"/>
    <x v="0"/>
    <x v="9"/>
    <x v="1"/>
    <x v="11"/>
    <x v="1"/>
    <x v="0"/>
    <n v="12"/>
    <n v="34731.879999999997"/>
    <n v="77015.03"/>
    <x v="0"/>
  </r>
  <r>
    <x v="11"/>
    <x v="0"/>
    <x v="9"/>
    <x v="1"/>
    <x v="11"/>
    <x v="1"/>
    <x v="1"/>
    <n v="50"/>
    <n v="133950.37"/>
    <n v="297433.17"/>
    <x v="0"/>
  </r>
  <r>
    <x v="11"/>
    <x v="0"/>
    <x v="9"/>
    <x v="1"/>
    <x v="12"/>
    <x v="1"/>
    <x v="0"/>
    <n v="2"/>
    <n v="6893.14"/>
    <n v="15694.87"/>
    <x v="0"/>
  </r>
  <r>
    <x v="11"/>
    <x v="0"/>
    <x v="9"/>
    <x v="1"/>
    <x v="12"/>
    <x v="1"/>
    <x v="1"/>
    <n v="6"/>
    <n v="20127.64"/>
    <n v="47084.62"/>
    <x v="0"/>
  </r>
  <r>
    <x v="11"/>
    <x v="0"/>
    <x v="9"/>
    <x v="1"/>
    <x v="13"/>
    <x v="0"/>
    <x v="1"/>
    <n v="5"/>
    <n v="11745.15"/>
    <n v="40872.06"/>
    <x v="0"/>
  </r>
  <r>
    <x v="11"/>
    <x v="0"/>
    <x v="9"/>
    <x v="1"/>
    <x v="13"/>
    <x v="1"/>
    <x v="0"/>
    <n v="2"/>
    <n v="4195.34"/>
    <n v="10254.58"/>
    <x v="0"/>
  </r>
  <r>
    <x v="11"/>
    <x v="0"/>
    <x v="9"/>
    <x v="1"/>
    <x v="13"/>
    <x v="1"/>
    <x v="1"/>
    <n v="12"/>
    <n v="35278.980000000003"/>
    <n v="82769.179999999993"/>
    <x v="0"/>
  </r>
  <r>
    <x v="11"/>
    <x v="0"/>
    <x v="9"/>
    <x v="1"/>
    <x v="14"/>
    <x v="0"/>
    <x v="1"/>
    <n v="2"/>
    <n v="5785.9"/>
    <n v="19718.98"/>
    <x v="0"/>
  </r>
  <r>
    <x v="11"/>
    <x v="0"/>
    <x v="9"/>
    <x v="1"/>
    <x v="14"/>
    <x v="1"/>
    <x v="0"/>
    <n v="17"/>
    <n v="53001.41"/>
    <n v="118214.84"/>
    <x v="0"/>
  </r>
  <r>
    <x v="11"/>
    <x v="0"/>
    <x v="9"/>
    <x v="1"/>
    <x v="14"/>
    <x v="1"/>
    <x v="1"/>
    <n v="6"/>
    <n v="18597.189999999999"/>
    <n v="41572.01"/>
    <x v="0"/>
  </r>
  <r>
    <x v="11"/>
    <x v="0"/>
    <x v="9"/>
    <x v="1"/>
    <x v="15"/>
    <x v="1"/>
    <x v="1"/>
    <n v="5"/>
    <n v="16762.349999999999"/>
    <n v="39638.730000000003"/>
    <x v="0"/>
  </r>
  <r>
    <x v="11"/>
    <x v="0"/>
    <x v="9"/>
    <x v="1"/>
    <x v="16"/>
    <x v="0"/>
    <x v="1"/>
    <n v="4"/>
    <n v="10863.1"/>
    <n v="38003.839999999997"/>
    <x v="0"/>
  </r>
  <r>
    <x v="11"/>
    <x v="0"/>
    <x v="9"/>
    <x v="1"/>
    <x v="16"/>
    <x v="1"/>
    <x v="0"/>
    <n v="7"/>
    <n v="16204.07"/>
    <n v="37273.870000000003"/>
    <x v="0"/>
  </r>
  <r>
    <x v="11"/>
    <x v="0"/>
    <x v="9"/>
    <x v="1"/>
    <x v="16"/>
    <x v="1"/>
    <x v="1"/>
    <n v="18"/>
    <n v="47530.16"/>
    <n v="105923.91"/>
    <x v="0"/>
  </r>
  <r>
    <x v="11"/>
    <x v="0"/>
    <x v="9"/>
    <x v="1"/>
    <x v="17"/>
    <x v="0"/>
    <x v="1"/>
    <n v="3"/>
    <n v="8895.5400000000009"/>
    <n v="30474.78"/>
    <x v="0"/>
  </r>
  <r>
    <x v="11"/>
    <x v="0"/>
    <x v="9"/>
    <x v="1"/>
    <x v="17"/>
    <x v="1"/>
    <x v="0"/>
    <n v="9"/>
    <n v="25544.44"/>
    <n v="58205.38"/>
    <x v="0"/>
  </r>
  <r>
    <x v="11"/>
    <x v="0"/>
    <x v="9"/>
    <x v="1"/>
    <x v="17"/>
    <x v="1"/>
    <x v="1"/>
    <n v="7"/>
    <n v="17201.52"/>
    <n v="39042.15"/>
    <x v="0"/>
  </r>
  <r>
    <x v="11"/>
    <x v="0"/>
    <x v="9"/>
    <x v="1"/>
    <x v="18"/>
    <x v="0"/>
    <x v="1"/>
    <n v="18"/>
    <n v="44498.49"/>
    <n v="154166.56"/>
    <x v="0"/>
  </r>
  <r>
    <x v="11"/>
    <x v="0"/>
    <x v="9"/>
    <x v="1"/>
    <x v="18"/>
    <x v="1"/>
    <x v="0"/>
    <n v="15"/>
    <n v="40179.4"/>
    <n v="94068.26"/>
    <x v="0"/>
  </r>
  <r>
    <x v="11"/>
    <x v="0"/>
    <x v="9"/>
    <x v="1"/>
    <x v="18"/>
    <x v="1"/>
    <x v="1"/>
    <n v="50"/>
    <n v="129432.03"/>
    <n v="309835.21999999997"/>
    <x v="0"/>
  </r>
  <r>
    <x v="11"/>
    <x v="0"/>
    <x v="9"/>
    <x v="1"/>
    <x v="19"/>
    <x v="0"/>
    <x v="1"/>
    <n v="11"/>
    <n v="29149.65"/>
    <n v="100746.06"/>
    <x v="0"/>
  </r>
  <r>
    <x v="11"/>
    <x v="0"/>
    <x v="9"/>
    <x v="1"/>
    <x v="19"/>
    <x v="1"/>
    <x v="0"/>
    <n v="20"/>
    <n v="49545.17"/>
    <n v="116348.05"/>
    <x v="0"/>
  </r>
  <r>
    <x v="11"/>
    <x v="0"/>
    <x v="9"/>
    <x v="1"/>
    <x v="19"/>
    <x v="1"/>
    <x v="1"/>
    <n v="31"/>
    <n v="87727.03"/>
    <n v="203249.62"/>
    <x v="0"/>
  </r>
  <r>
    <x v="11"/>
    <x v="0"/>
    <x v="9"/>
    <x v="1"/>
    <x v="20"/>
    <x v="0"/>
    <x v="0"/>
    <n v="1"/>
    <n v="2035.35"/>
    <n v="7170.54"/>
    <x v="0"/>
  </r>
  <r>
    <x v="11"/>
    <x v="0"/>
    <x v="9"/>
    <x v="1"/>
    <x v="20"/>
    <x v="0"/>
    <x v="1"/>
    <n v="12"/>
    <n v="33041.94"/>
    <n v="113294.5"/>
    <x v="0"/>
  </r>
  <r>
    <x v="11"/>
    <x v="0"/>
    <x v="9"/>
    <x v="1"/>
    <x v="20"/>
    <x v="1"/>
    <x v="0"/>
    <n v="16"/>
    <n v="40759.49"/>
    <n v="92778.92"/>
    <x v="0"/>
  </r>
  <r>
    <x v="11"/>
    <x v="0"/>
    <x v="9"/>
    <x v="1"/>
    <x v="20"/>
    <x v="1"/>
    <x v="1"/>
    <n v="26"/>
    <n v="72005.83"/>
    <n v="163777.60999999999"/>
    <x v="0"/>
  </r>
  <r>
    <x v="11"/>
    <x v="0"/>
    <x v="9"/>
    <x v="2"/>
    <x v="21"/>
    <x v="0"/>
    <x v="0"/>
    <n v="4"/>
    <n v="10896.06"/>
    <n v="37645.32"/>
    <x v="0"/>
  </r>
  <r>
    <x v="11"/>
    <x v="0"/>
    <x v="9"/>
    <x v="2"/>
    <x v="21"/>
    <x v="1"/>
    <x v="1"/>
    <n v="2"/>
    <n v="4108.46"/>
    <n v="8257.7999999999993"/>
    <x v="0"/>
  </r>
  <r>
    <x v="11"/>
    <x v="0"/>
    <x v="9"/>
    <x v="2"/>
    <x v="22"/>
    <x v="0"/>
    <x v="1"/>
    <n v="1"/>
    <n v="2464.5700000000002"/>
    <n v="8246.1200000000008"/>
    <x v="0"/>
  </r>
  <r>
    <x v="11"/>
    <x v="0"/>
    <x v="9"/>
    <x v="2"/>
    <x v="22"/>
    <x v="1"/>
    <x v="0"/>
    <n v="18"/>
    <n v="47371.5"/>
    <n v="98291.19"/>
    <x v="0"/>
  </r>
  <r>
    <x v="11"/>
    <x v="0"/>
    <x v="9"/>
    <x v="2"/>
    <x v="22"/>
    <x v="1"/>
    <x v="1"/>
    <n v="6"/>
    <n v="18935.13"/>
    <n v="39301.72"/>
    <x v="0"/>
  </r>
  <r>
    <x v="11"/>
    <x v="0"/>
    <x v="9"/>
    <x v="2"/>
    <x v="29"/>
    <x v="0"/>
    <x v="1"/>
    <n v="3"/>
    <n v="10221.030000000001"/>
    <n v="34418.58"/>
    <x v="0"/>
  </r>
  <r>
    <x v="11"/>
    <x v="0"/>
    <x v="9"/>
    <x v="2"/>
    <x v="29"/>
    <x v="1"/>
    <x v="1"/>
    <n v="1"/>
    <n v="2150.7399999999998"/>
    <n v="4639.34"/>
    <x v="0"/>
  </r>
  <r>
    <x v="11"/>
    <x v="0"/>
    <x v="9"/>
    <x v="2"/>
    <x v="24"/>
    <x v="0"/>
    <x v="1"/>
    <n v="3"/>
    <n v="7457.4"/>
    <n v="26172.46"/>
    <x v="0"/>
  </r>
  <r>
    <x v="11"/>
    <x v="0"/>
    <x v="9"/>
    <x v="2"/>
    <x v="24"/>
    <x v="1"/>
    <x v="0"/>
    <n v="3"/>
    <n v="10192.74"/>
    <n v="21339.52"/>
    <x v="0"/>
  </r>
  <r>
    <x v="11"/>
    <x v="0"/>
    <x v="9"/>
    <x v="2"/>
    <x v="24"/>
    <x v="1"/>
    <x v="1"/>
    <n v="2"/>
    <n v="6845.11"/>
    <n v="14226.34"/>
    <x v="0"/>
  </r>
  <r>
    <x v="11"/>
    <x v="0"/>
    <x v="9"/>
    <x v="3"/>
    <x v="25"/>
    <x v="0"/>
    <x v="1"/>
    <n v="3"/>
    <n v="6324.55"/>
    <n v="21511.62"/>
    <x v="0"/>
  </r>
  <r>
    <x v="11"/>
    <x v="0"/>
    <x v="9"/>
    <x v="3"/>
    <x v="25"/>
    <x v="1"/>
    <x v="0"/>
    <n v="5"/>
    <n v="14048.43"/>
    <n v="32482.1"/>
    <x v="0"/>
  </r>
  <r>
    <x v="11"/>
    <x v="0"/>
    <x v="9"/>
    <x v="3"/>
    <x v="25"/>
    <x v="1"/>
    <x v="1"/>
    <n v="14"/>
    <n v="43688.07"/>
    <n v="100909.28"/>
    <x v="0"/>
  </r>
  <r>
    <x v="11"/>
    <x v="0"/>
    <x v="9"/>
    <x v="3"/>
    <x v="26"/>
    <x v="0"/>
    <x v="0"/>
    <n v="2"/>
    <n v="6618.95"/>
    <n v="22945.72"/>
    <x v="0"/>
  </r>
  <r>
    <x v="11"/>
    <x v="0"/>
    <x v="9"/>
    <x v="3"/>
    <x v="26"/>
    <x v="0"/>
    <x v="1"/>
    <n v="4"/>
    <n v="8326.06"/>
    <n v="29040.68"/>
    <x v="0"/>
  </r>
  <r>
    <x v="11"/>
    <x v="0"/>
    <x v="9"/>
    <x v="3"/>
    <x v="26"/>
    <x v="1"/>
    <x v="0"/>
    <n v="9"/>
    <n v="23679.55"/>
    <n v="56403.46"/>
    <x v="0"/>
  </r>
  <r>
    <x v="11"/>
    <x v="0"/>
    <x v="9"/>
    <x v="3"/>
    <x v="26"/>
    <x v="1"/>
    <x v="1"/>
    <n v="17"/>
    <n v="49915.62"/>
    <n v="119256.68"/>
    <x v="0"/>
  </r>
  <r>
    <x v="11"/>
    <x v="0"/>
    <x v="9"/>
    <x v="3"/>
    <x v="27"/>
    <x v="0"/>
    <x v="0"/>
    <n v="4"/>
    <n v="9828.94"/>
    <n v="34060.06"/>
    <x v="0"/>
  </r>
  <r>
    <x v="11"/>
    <x v="0"/>
    <x v="9"/>
    <x v="3"/>
    <x v="27"/>
    <x v="0"/>
    <x v="1"/>
    <n v="12"/>
    <n v="28439.59"/>
    <n v="98236.36"/>
    <x v="0"/>
  </r>
  <r>
    <x v="11"/>
    <x v="0"/>
    <x v="9"/>
    <x v="3"/>
    <x v="27"/>
    <x v="1"/>
    <x v="0"/>
    <n v="18"/>
    <n v="46671.42"/>
    <n v="109467.93"/>
    <x v="0"/>
  </r>
  <r>
    <x v="11"/>
    <x v="0"/>
    <x v="9"/>
    <x v="3"/>
    <x v="27"/>
    <x v="1"/>
    <x v="1"/>
    <n v="18"/>
    <n v="48062.09"/>
    <n v="110998.55"/>
    <x v="0"/>
  </r>
  <r>
    <x v="0"/>
    <x v="1"/>
    <x v="0"/>
    <x v="0"/>
    <x v="0"/>
    <x v="0"/>
    <x v="0"/>
    <n v="3.26"/>
    <n v="21633.56"/>
    <n v="94790.12"/>
    <x v="2"/>
  </r>
  <r>
    <x v="0"/>
    <x v="1"/>
    <x v="0"/>
    <x v="0"/>
    <x v="1"/>
    <x v="0"/>
    <x v="0"/>
    <n v="6.66"/>
    <n v="44196.160000000003"/>
    <n v="193778.01"/>
    <x v="2"/>
  </r>
  <r>
    <x v="0"/>
    <x v="1"/>
    <x v="0"/>
    <x v="0"/>
    <x v="2"/>
    <x v="0"/>
    <x v="0"/>
    <n v="0"/>
    <n v="0"/>
    <n v="0"/>
    <x v="2"/>
  </r>
  <r>
    <x v="0"/>
    <x v="1"/>
    <x v="0"/>
    <x v="0"/>
    <x v="3"/>
    <x v="0"/>
    <x v="0"/>
    <n v="2.08"/>
    <n v="13803"/>
    <n v="60448.94"/>
    <x v="2"/>
  </r>
  <r>
    <x v="0"/>
    <x v="1"/>
    <x v="0"/>
    <x v="0"/>
    <x v="4"/>
    <x v="0"/>
    <x v="0"/>
    <n v="0"/>
    <n v="0"/>
    <n v="0"/>
    <x v="2"/>
  </r>
  <r>
    <x v="0"/>
    <x v="1"/>
    <x v="0"/>
    <x v="0"/>
    <x v="5"/>
    <x v="0"/>
    <x v="0"/>
    <n v="0"/>
    <n v="0"/>
    <n v="0"/>
    <x v="2"/>
  </r>
  <r>
    <x v="0"/>
    <x v="1"/>
    <x v="0"/>
    <x v="0"/>
    <x v="6"/>
    <x v="0"/>
    <x v="0"/>
    <n v="0"/>
    <n v="0"/>
    <n v="0"/>
    <x v="2"/>
  </r>
  <r>
    <x v="0"/>
    <x v="1"/>
    <x v="0"/>
    <x v="0"/>
    <x v="8"/>
    <x v="0"/>
    <x v="0"/>
    <n v="0"/>
    <n v="0"/>
    <n v="0"/>
    <x v="2"/>
  </r>
  <r>
    <x v="0"/>
    <x v="1"/>
    <x v="0"/>
    <x v="1"/>
    <x v="10"/>
    <x v="0"/>
    <x v="0"/>
    <n v="2.14"/>
    <n v="14201.17"/>
    <n v="62373.919999999998"/>
    <x v="2"/>
  </r>
  <r>
    <x v="0"/>
    <x v="1"/>
    <x v="0"/>
    <x v="1"/>
    <x v="11"/>
    <x v="0"/>
    <x v="0"/>
    <n v="0"/>
    <n v="0"/>
    <n v="0"/>
    <x v="2"/>
  </r>
  <r>
    <x v="0"/>
    <x v="1"/>
    <x v="0"/>
    <x v="1"/>
    <x v="13"/>
    <x v="0"/>
    <x v="0"/>
    <n v="0"/>
    <n v="0"/>
    <n v="0"/>
    <x v="2"/>
  </r>
  <r>
    <x v="0"/>
    <x v="1"/>
    <x v="0"/>
    <x v="1"/>
    <x v="14"/>
    <x v="0"/>
    <x v="0"/>
    <n v="0"/>
    <n v="0"/>
    <n v="0"/>
    <x v="2"/>
  </r>
  <r>
    <x v="0"/>
    <x v="1"/>
    <x v="0"/>
    <x v="1"/>
    <x v="16"/>
    <x v="0"/>
    <x v="0"/>
    <n v="0"/>
    <n v="0"/>
    <n v="0"/>
    <x v="2"/>
  </r>
  <r>
    <x v="0"/>
    <x v="1"/>
    <x v="0"/>
    <x v="1"/>
    <x v="17"/>
    <x v="0"/>
    <x v="0"/>
    <n v="0"/>
    <n v="0"/>
    <n v="0"/>
    <x v="2"/>
  </r>
  <r>
    <x v="0"/>
    <x v="1"/>
    <x v="0"/>
    <x v="1"/>
    <x v="18"/>
    <x v="0"/>
    <x v="0"/>
    <n v="0"/>
    <n v="0"/>
    <n v="0"/>
    <x v="2"/>
  </r>
  <r>
    <x v="0"/>
    <x v="1"/>
    <x v="0"/>
    <x v="1"/>
    <x v="19"/>
    <x v="0"/>
    <x v="0"/>
    <n v="0"/>
    <n v="0"/>
    <n v="0"/>
    <x v="2"/>
  </r>
  <r>
    <x v="0"/>
    <x v="1"/>
    <x v="0"/>
    <x v="1"/>
    <x v="20"/>
    <x v="0"/>
    <x v="0"/>
    <n v="2.86"/>
    <n v="18979.13"/>
    <n v="83310.149999999994"/>
    <x v="2"/>
  </r>
  <r>
    <x v="0"/>
    <x v="1"/>
    <x v="0"/>
    <x v="2"/>
    <x v="21"/>
    <x v="0"/>
    <x v="0"/>
    <n v="1.91"/>
    <n v="12674.87"/>
    <n v="55703.360000000001"/>
    <x v="2"/>
  </r>
  <r>
    <x v="0"/>
    <x v="1"/>
    <x v="0"/>
    <x v="2"/>
    <x v="22"/>
    <x v="0"/>
    <x v="0"/>
    <n v="0"/>
    <n v="0"/>
    <n v="0"/>
    <x v="2"/>
  </r>
  <r>
    <x v="0"/>
    <x v="1"/>
    <x v="0"/>
    <x v="2"/>
    <x v="29"/>
    <x v="0"/>
    <x v="0"/>
    <n v="0"/>
    <n v="0"/>
    <n v="0"/>
    <x v="2"/>
  </r>
  <r>
    <x v="0"/>
    <x v="1"/>
    <x v="0"/>
    <x v="2"/>
    <x v="24"/>
    <x v="0"/>
    <x v="0"/>
    <n v="0"/>
    <n v="0"/>
    <n v="0"/>
    <x v="2"/>
  </r>
  <r>
    <x v="0"/>
    <x v="1"/>
    <x v="0"/>
    <x v="3"/>
    <x v="25"/>
    <x v="0"/>
    <x v="0"/>
    <n v="0"/>
    <n v="0"/>
    <n v="0"/>
    <x v="2"/>
  </r>
  <r>
    <x v="0"/>
    <x v="1"/>
    <x v="0"/>
    <x v="3"/>
    <x v="26"/>
    <x v="0"/>
    <x v="0"/>
    <n v="2.5099999999999998"/>
    <n v="16656.509999999998"/>
    <n v="73178.17"/>
    <x v="2"/>
  </r>
  <r>
    <x v="0"/>
    <x v="1"/>
    <x v="0"/>
    <x v="3"/>
    <x v="27"/>
    <x v="0"/>
    <x v="0"/>
    <n v="3.03"/>
    <n v="20107.259999999998"/>
    <n v="88111.84"/>
    <x v="2"/>
  </r>
  <r>
    <x v="0"/>
    <x v="1"/>
    <x v="0"/>
    <x v="0"/>
    <x v="0"/>
    <x v="0"/>
    <x v="1"/>
    <n v="2.52"/>
    <n v="16722.87"/>
    <n v="73462.34"/>
    <x v="2"/>
  </r>
  <r>
    <x v="0"/>
    <x v="1"/>
    <x v="0"/>
    <x v="0"/>
    <x v="1"/>
    <x v="0"/>
    <x v="1"/>
    <n v="6.42"/>
    <n v="42603.51"/>
    <n v="186884.13"/>
    <x v="2"/>
  </r>
  <r>
    <x v="0"/>
    <x v="1"/>
    <x v="0"/>
    <x v="0"/>
    <x v="2"/>
    <x v="0"/>
    <x v="1"/>
    <n v="3.05"/>
    <n v="20239.98"/>
    <n v="88913.48"/>
    <x v="2"/>
  </r>
  <r>
    <x v="0"/>
    <x v="1"/>
    <x v="0"/>
    <x v="0"/>
    <x v="3"/>
    <x v="0"/>
    <x v="1"/>
    <n v="7.01"/>
    <n v="46518.78"/>
    <n v="204015.18"/>
    <x v="2"/>
  </r>
  <r>
    <x v="0"/>
    <x v="1"/>
    <x v="0"/>
    <x v="0"/>
    <x v="4"/>
    <x v="0"/>
    <x v="1"/>
    <n v="1.9"/>
    <n v="12608.51"/>
    <n v="55418.15"/>
    <x v="2"/>
  </r>
  <r>
    <x v="0"/>
    <x v="1"/>
    <x v="0"/>
    <x v="0"/>
    <x v="5"/>
    <x v="0"/>
    <x v="1"/>
    <n v="4.7"/>
    <n v="31189.48"/>
    <n v="136723.51"/>
    <x v="2"/>
  </r>
  <r>
    <x v="0"/>
    <x v="1"/>
    <x v="0"/>
    <x v="0"/>
    <x v="6"/>
    <x v="0"/>
    <x v="1"/>
    <n v="2.95"/>
    <n v="19576.38"/>
    <n v="86024.99"/>
    <x v="2"/>
  </r>
  <r>
    <x v="0"/>
    <x v="1"/>
    <x v="0"/>
    <x v="0"/>
    <x v="8"/>
    <x v="0"/>
    <x v="1"/>
    <n v="4.38"/>
    <n v="29065.94"/>
    <n v="127487.09"/>
    <x v="2"/>
  </r>
  <r>
    <x v="0"/>
    <x v="1"/>
    <x v="0"/>
    <x v="1"/>
    <x v="10"/>
    <x v="0"/>
    <x v="1"/>
    <n v="4.46"/>
    <n v="29596.83"/>
    <n v="129737.75"/>
    <x v="2"/>
  </r>
  <r>
    <x v="0"/>
    <x v="1"/>
    <x v="0"/>
    <x v="1"/>
    <x v="11"/>
    <x v="0"/>
    <x v="1"/>
    <n v="11.95"/>
    <n v="79300.92"/>
    <n v="347897.27"/>
    <x v="2"/>
  </r>
  <r>
    <x v="0"/>
    <x v="1"/>
    <x v="0"/>
    <x v="1"/>
    <x v="13"/>
    <x v="0"/>
    <x v="1"/>
    <n v="5.54"/>
    <n v="36763.769999999997"/>
    <n v="161231.57999999999"/>
    <x v="2"/>
  </r>
  <r>
    <x v="0"/>
    <x v="1"/>
    <x v="0"/>
    <x v="1"/>
    <x v="14"/>
    <x v="0"/>
    <x v="1"/>
    <n v="2.64"/>
    <n v="17519.2"/>
    <n v="76857.289999999994"/>
    <x v="2"/>
  </r>
  <r>
    <x v="0"/>
    <x v="1"/>
    <x v="0"/>
    <x v="1"/>
    <x v="16"/>
    <x v="0"/>
    <x v="1"/>
    <n v="2.58"/>
    <n v="17121.03"/>
    <n v="75214.73"/>
    <x v="2"/>
  </r>
  <r>
    <x v="0"/>
    <x v="1"/>
    <x v="0"/>
    <x v="1"/>
    <x v="17"/>
    <x v="0"/>
    <x v="1"/>
    <n v="2.56"/>
    <n v="16988.310000000001"/>
    <n v="74432.59"/>
    <x v="2"/>
  </r>
  <r>
    <x v="0"/>
    <x v="1"/>
    <x v="0"/>
    <x v="1"/>
    <x v="18"/>
    <x v="0"/>
    <x v="1"/>
    <n v="11.63"/>
    <n v="77177.38"/>
    <n v="338709.53"/>
    <x v="2"/>
  </r>
  <r>
    <x v="0"/>
    <x v="1"/>
    <x v="0"/>
    <x v="1"/>
    <x v="19"/>
    <x v="0"/>
    <x v="1"/>
    <n v="2.98"/>
    <n v="19775.46"/>
    <n v="86695.51"/>
    <x v="2"/>
  </r>
  <r>
    <x v="0"/>
    <x v="1"/>
    <x v="0"/>
    <x v="1"/>
    <x v="20"/>
    <x v="0"/>
    <x v="1"/>
    <n v="12.34"/>
    <n v="81888.98"/>
    <n v="359275.02"/>
    <x v="2"/>
  </r>
  <r>
    <x v="0"/>
    <x v="1"/>
    <x v="0"/>
    <x v="2"/>
    <x v="21"/>
    <x v="0"/>
    <x v="1"/>
    <n v="0"/>
    <n v="0"/>
    <n v="0"/>
    <x v="2"/>
  </r>
  <r>
    <x v="0"/>
    <x v="1"/>
    <x v="0"/>
    <x v="2"/>
    <x v="22"/>
    <x v="0"/>
    <x v="1"/>
    <n v="4.87"/>
    <n v="32317.61"/>
    <n v="141830.46"/>
    <x v="2"/>
  </r>
  <r>
    <x v="0"/>
    <x v="1"/>
    <x v="0"/>
    <x v="2"/>
    <x v="29"/>
    <x v="0"/>
    <x v="1"/>
    <n v="3.09"/>
    <n v="20505.43"/>
    <n v="90065.43"/>
    <x v="2"/>
  </r>
  <r>
    <x v="0"/>
    <x v="1"/>
    <x v="0"/>
    <x v="2"/>
    <x v="24"/>
    <x v="0"/>
    <x v="1"/>
    <n v="3.97"/>
    <n v="26345.16"/>
    <n v="115681.94"/>
    <x v="2"/>
  </r>
  <r>
    <x v="0"/>
    <x v="1"/>
    <x v="0"/>
    <x v="3"/>
    <x v="25"/>
    <x v="0"/>
    <x v="1"/>
    <n v="1.88"/>
    <n v="12475.79"/>
    <n v="54683.42"/>
    <x v="2"/>
  </r>
  <r>
    <x v="0"/>
    <x v="1"/>
    <x v="0"/>
    <x v="3"/>
    <x v="26"/>
    <x v="0"/>
    <x v="1"/>
    <n v="1.65"/>
    <n v="10949.5"/>
    <n v="47944.32"/>
    <x v="2"/>
  </r>
  <r>
    <x v="0"/>
    <x v="1"/>
    <x v="0"/>
    <x v="3"/>
    <x v="27"/>
    <x v="0"/>
    <x v="1"/>
    <n v="11.1"/>
    <n v="73660.27"/>
    <n v="323076.74"/>
    <x v="2"/>
  </r>
  <r>
    <x v="0"/>
    <x v="1"/>
    <x v="0"/>
    <x v="0"/>
    <x v="0"/>
    <x v="1"/>
    <x v="0"/>
    <n v="6.5"/>
    <n v="43134.39"/>
    <n v="123848.77"/>
    <x v="2"/>
  </r>
  <r>
    <x v="0"/>
    <x v="1"/>
    <x v="0"/>
    <x v="0"/>
    <x v="1"/>
    <x v="1"/>
    <x v="0"/>
    <n v="10.3"/>
    <n v="68351.42"/>
    <n v="192874.57"/>
    <x v="2"/>
  </r>
  <r>
    <x v="0"/>
    <x v="1"/>
    <x v="0"/>
    <x v="0"/>
    <x v="2"/>
    <x v="1"/>
    <x v="0"/>
    <n v="4.7699999999999996"/>
    <n v="31654.01"/>
    <n v="86233.22"/>
    <x v="2"/>
  </r>
  <r>
    <x v="0"/>
    <x v="1"/>
    <x v="0"/>
    <x v="0"/>
    <x v="3"/>
    <x v="1"/>
    <x v="0"/>
    <n v="10.5"/>
    <n v="69678.63"/>
    <n v="197475.99"/>
    <x v="2"/>
  </r>
  <r>
    <x v="0"/>
    <x v="1"/>
    <x v="0"/>
    <x v="0"/>
    <x v="28"/>
    <x v="1"/>
    <x v="0"/>
    <n v="0"/>
    <n v="0"/>
    <n v="0"/>
    <x v="2"/>
  </r>
  <r>
    <x v="0"/>
    <x v="1"/>
    <x v="0"/>
    <x v="0"/>
    <x v="4"/>
    <x v="1"/>
    <x v="0"/>
    <n v="6.42"/>
    <n v="42603.51"/>
    <n v="119629.74"/>
    <x v="2"/>
  </r>
  <r>
    <x v="0"/>
    <x v="1"/>
    <x v="0"/>
    <x v="0"/>
    <x v="5"/>
    <x v="1"/>
    <x v="0"/>
    <n v="1.4"/>
    <n v="9290.48"/>
    <n v="26793.58"/>
    <x v="2"/>
  </r>
  <r>
    <x v="0"/>
    <x v="1"/>
    <x v="0"/>
    <x v="0"/>
    <x v="6"/>
    <x v="1"/>
    <x v="0"/>
    <n v="0"/>
    <n v="0"/>
    <n v="0"/>
    <x v="2"/>
  </r>
  <r>
    <x v="0"/>
    <x v="1"/>
    <x v="0"/>
    <x v="0"/>
    <x v="7"/>
    <x v="1"/>
    <x v="0"/>
    <n v="0"/>
    <n v="0"/>
    <n v="0"/>
    <x v="2"/>
  </r>
  <r>
    <x v="0"/>
    <x v="1"/>
    <x v="0"/>
    <x v="0"/>
    <x v="8"/>
    <x v="1"/>
    <x v="0"/>
    <n v="0"/>
    <n v="0"/>
    <n v="0"/>
    <x v="2"/>
  </r>
  <r>
    <x v="0"/>
    <x v="1"/>
    <x v="0"/>
    <x v="1"/>
    <x v="30"/>
    <x v="1"/>
    <x v="0"/>
    <n v="2.9"/>
    <n v="19244.57"/>
    <n v="58140.85"/>
    <x v="2"/>
  </r>
  <r>
    <x v="0"/>
    <x v="1"/>
    <x v="0"/>
    <x v="1"/>
    <x v="9"/>
    <x v="1"/>
    <x v="0"/>
    <n v="0"/>
    <n v="0"/>
    <n v="0"/>
    <x v="2"/>
  </r>
  <r>
    <x v="0"/>
    <x v="1"/>
    <x v="0"/>
    <x v="1"/>
    <x v="31"/>
    <x v="1"/>
    <x v="0"/>
    <n v="3.29"/>
    <n v="21832.639999999999"/>
    <n v="66545.02"/>
    <x v="2"/>
  </r>
  <r>
    <x v="0"/>
    <x v="1"/>
    <x v="0"/>
    <x v="1"/>
    <x v="10"/>
    <x v="1"/>
    <x v="0"/>
    <n v="9.18"/>
    <n v="60919.03"/>
    <n v="182351.61"/>
    <x v="2"/>
  </r>
  <r>
    <x v="0"/>
    <x v="1"/>
    <x v="0"/>
    <x v="1"/>
    <x v="11"/>
    <x v="1"/>
    <x v="0"/>
    <n v="9.39"/>
    <n v="62312.6"/>
    <n v="177613.79"/>
    <x v="2"/>
  </r>
  <r>
    <x v="0"/>
    <x v="1"/>
    <x v="0"/>
    <x v="1"/>
    <x v="12"/>
    <x v="1"/>
    <x v="0"/>
    <n v="2.2799999999999998"/>
    <n v="15130.22"/>
    <n v="45482.67"/>
    <x v="2"/>
  </r>
  <r>
    <x v="0"/>
    <x v="1"/>
    <x v="0"/>
    <x v="1"/>
    <x v="13"/>
    <x v="1"/>
    <x v="0"/>
    <n v="2.63"/>
    <n v="17452.84"/>
    <n v="52237.279999999999"/>
    <x v="2"/>
  </r>
  <r>
    <x v="0"/>
    <x v="1"/>
    <x v="0"/>
    <x v="1"/>
    <x v="14"/>
    <x v="1"/>
    <x v="0"/>
    <n v="13.28"/>
    <n v="88126.88"/>
    <n v="258228.44"/>
    <x v="2"/>
  </r>
  <r>
    <x v="0"/>
    <x v="1"/>
    <x v="0"/>
    <x v="1"/>
    <x v="15"/>
    <x v="1"/>
    <x v="0"/>
    <n v="3.04"/>
    <n v="20173.62"/>
    <n v="61256.04"/>
    <x v="2"/>
  </r>
  <r>
    <x v="0"/>
    <x v="1"/>
    <x v="0"/>
    <x v="1"/>
    <x v="16"/>
    <x v="1"/>
    <x v="0"/>
    <n v="4.12"/>
    <n v="27340.57"/>
    <n v="78938.259999999995"/>
    <x v="2"/>
  </r>
  <r>
    <x v="0"/>
    <x v="1"/>
    <x v="0"/>
    <x v="1"/>
    <x v="17"/>
    <x v="1"/>
    <x v="0"/>
    <n v="8.61"/>
    <n v="57136.480000000003"/>
    <n v="166419.56"/>
    <x v="2"/>
  </r>
  <r>
    <x v="0"/>
    <x v="1"/>
    <x v="0"/>
    <x v="1"/>
    <x v="18"/>
    <x v="1"/>
    <x v="0"/>
    <n v="6.45"/>
    <n v="42802.59"/>
    <n v="130604.07"/>
    <x v="2"/>
  </r>
  <r>
    <x v="0"/>
    <x v="1"/>
    <x v="0"/>
    <x v="1"/>
    <x v="19"/>
    <x v="1"/>
    <x v="0"/>
    <n v="8.9700000000000006"/>
    <n v="59525.46"/>
    <n v="175920.42"/>
    <x v="2"/>
  </r>
  <r>
    <x v="0"/>
    <x v="1"/>
    <x v="0"/>
    <x v="1"/>
    <x v="20"/>
    <x v="1"/>
    <x v="0"/>
    <n v="7.06"/>
    <n v="46850.58"/>
    <n v="136274.76999999999"/>
    <x v="2"/>
  </r>
  <r>
    <x v="0"/>
    <x v="1"/>
    <x v="0"/>
    <x v="2"/>
    <x v="21"/>
    <x v="1"/>
    <x v="0"/>
    <n v="0"/>
    <n v="0"/>
    <n v="0"/>
    <x v="2"/>
  </r>
  <r>
    <x v="0"/>
    <x v="1"/>
    <x v="0"/>
    <x v="2"/>
    <x v="22"/>
    <x v="1"/>
    <x v="0"/>
    <n v="7.23"/>
    <n v="47978.71"/>
    <n v="128196.35"/>
    <x v="2"/>
  </r>
  <r>
    <x v="0"/>
    <x v="1"/>
    <x v="0"/>
    <x v="2"/>
    <x v="29"/>
    <x v="1"/>
    <x v="0"/>
    <n v="0"/>
    <n v="0"/>
    <n v="0"/>
    <x v="2"/>
  </r>
  <r>
    <x v="0"/>
    <x v="1"/>
    <x v="0"/>
    <x v="2"/>
    <x v="23"/>
    <x v="1"/>
    <x v="0"/>
    <n v="0"/>
    <n v="0"/>
    <n v="0"/>
    <x v="2"/>
  </r>
  <r>
    <x v="0"/>
    <x v="1"/>
    <x v="0"/>
    <x v="2"/>
    <x v="24"/>
    <x v="1"/>
    <x v="0"/>
    <n v="2.19"/>
    <n v="14532.97"/>
    <n v="39483.56"/>
    <x v="2"/>
  </r>
  <r>
    <x v="0"/>
    <x v="1"/>
    <x v="0"/>
    <x v="3"/>
    <x v="25"/>
    <x v="1"/>
    <x v="0"/>
    <n v="8"/>
    <n v="53088.480000000003"/>
    <n v="159637.06"/>
    <x v="2"/>
  </r>
  <r>
    <x v="0"/>
    <x v="1"/>
    <x v="0"/>
    <x v="3"/>
    <x v="26"/>
    <x v="1"/>
    <x v="0"/>
    <n v="5.55"/>
    <n v="36830.129999999997"/>
    <n v="111394.08"/>
    <x v="2"/>
  </r>
  <r>
    <x v="0"/>
    <x v="1"/>
    <x v="0"/>
    <x v="3"/>
    <x v="27"/>
    <x v="1"/>
    <x v="0"/>
    <n v="14.81"/>
    <n v="98280.05"/>
    <n v="291910.5"/>
    <x v="2"/>
  </r>
  <r>
    <x v="0"/>
    <x v="1"/>
    <x v="0"/>
    <x v="0"/>
    <x v="0"/>
    <x v="1"/>
    <x v="1"/>
    <n v="10.98"/>
    <n v="72863.94"/>
    <n v="209095.32"/>
    <x v="2"/>
  </r>
  <r>
    <x v="0"/>
    <x v="1"/>
    <x v="0"/>
    <x v="0"/>
    <x v="1"/>
    <x v="1"/>
    <x v="1"/>
    <n v="19.3"/>
    <n v="128075.96"/>
    <n v="361318.37"/>
    <x v="2"/>
  </r>
  <r>
    <x v="0"/>
    <x v="1"/>
    <x v="0"/>
    <x v="0"/>
    <x v="2"/>
    <x v="1"/>
    <x v="1"/>
    <n v="14.39"/>
    <n v="95492.9"/>
    <n v="260239.54"/>
    <x v="2"/>
  </r>
  <r>
    <x v="0"/>
    <x v="1"/>
    <x v="0"/>
    <x v="0"/>
    <x v="3"/>
    <x v="1"/>
    <x v="1"/>
    <n v="30.19"/>
    <n v="200342.65"/>
    <n v="567743.47"/>
    <x v="2"/>
  </r>
  <r>
    <x v="0"/>
    <x v="1"/>
    <x v="0"/>
    <x v="0"/>
    <x v="28"/>
    <x v="1"/>
    <x v="1"/>
    <n v="2.5"/>
    <n v="16590.150000000001"/>
    <n v="47695.06"/>
    <x v="2"/>
  </r>
  <r>
    <x v="0"/>
    <x v="1"/>
    <x v="0"/>
    <x v="0"/>
    <x v="4"/>
    <x v="1"/>
    <x v="1"/>
    <n v="8.9700000000000006"/>
    <n v="59525.46"/>
    <n v="167174.9"/>
    <x v="2"/>
  </r>
  <r>
    <x v="0"/>
    <x v="1"/>
    <x v="0"/>
    <x v="0"/>
    <x v="5"/>
    <x v="1"/>
    <x v="1"/>
    <n v="24.81"/>
    <n v="164640.65"/>
    <n v="475979.98"/>
    <x v="2"/>
  </r>
  <r>
    <x v="0"/>
    <x v="1"/>
    <x v="0"/>
    <x v="0"/>
    <x v="6"/>
    <x v="1"/>
    <x v="1"/>
    <n v="2.58"/>
    <n v="17121.03"/>
    <n v="49315.13"/>
    <x v="2"/>
  </r>
  <r>
    <x v="0"/>
    <x v="1"/>
    <x v="0"/>
    <x v="0"/>
    <x v="7"/>
    <x v="1"/>
    <x v="1"/>
    <n v="5.26"/>
    <n v="34905.68"/>
    <n v="102362.2"/>
    <x v="2"/>
  </r>
  <r>
    <x v="0"/>
    <x v="1"/>
    <x v="0"/>
    <x v="0"/>
    <x v="8"/>
    <x v="1"/>
    <x v="1"/>
    <n v="4.1100000000000003"/>
    <n v="27274.21"/>
    <n v="76223.3"/>
    <x v="2"/>
  </r>
  <r>
    <x v="0"/>
    <x v="1"/>
    <x v="0"/>
    <x v="1"/>
    <x v="30"/>
    <x v="1"/>
    <x v="1"/>
    <n v="0"/>
    <n v="0"/>
    <n v="0"/>
    <x v="2"/>
  </r>
  <r>
    <x v="0"/>
    <x v="1"/>
    <x v="0"/>
    <x v="1"/>
    <x v="9"/>
    <x v="1"/>
    <x v="1"/>
    <n v="4.6500000000000004"/>
    <n v="30857.68"/>
    <n v="93093.26"/>
    <x v="2"/>
  </r>
  <r>
    <x v="0"/>
    <x v="1"/>
    <x v="0"/>
    <x v="1"/>
    <x v="31"/>
    <x v="1"/>
    <x v="1"/>
    <n v="0"/>
    <n v="0"/>
    <n v="0"/>
    <x v="2"/>
  </r>
  <r>
    <x v="0"/>
    <x v="1"/>
    <x v="0"/>
    <x v="1"/>
    <x v="10"/>
    <x v="1"/>
    <x v="1"/>
    <n v="29.87"/>
    <n v="198219.11"/>
    <n v="593053.43999999994"/>
    <x v="2"/>
  </r>
  <r>
    <x v="0"/>
    <x v="1"/>
    <x v="0"/>
    <x v="1"/>
    <x v="11"/>
    <x v="1"/>
    <x v="1"/>
    <n v="30.13"/>
    <n v="199944.49"/>
    <n v="570233.73"/>
    <x v="2"/>
  </r>
  <r>
    <x v="0"/>
    <x v="1"/>
    <x v="0"/>
    <x v="1"/>
    <x v="12"/>
    <x v="1"/>
    <x v="1"/>
    <n v="2.37"/>
    <n v="15727.46"/>
    <n v="47107.05"/>
    <x v="2"/>
  </r>
  <r>
    <x v="0"/>
    <x v="1"/>
    <x v="0"/>
    <x v="1"/>
    <x v="13"/>
    <x v="1"/>
    <x v="1"/>
    <n v="11.9"/>
    <n v="78969.11"/>
    <n v="235910.29"/>
    <x v="2"/>
  </r>
  <r>
    <x v="0"/>
    <x v="1"/>
    <x v="0"/>
    <x v="1"/>
    <x v="14"/>
    <x v="1"/>
    <x v="1"/>
    <n v="7.78"/>
    <n v="51628.55"/>
    <n v="151318.57999999999"/>
    <x v="2"/>
  </r>
  <r>
    <x v="0"/>
    <x v="1"/>
    <x v="0"/>
    <x v="1"/>
    <x v="15"/>
    <x v="1"/>
    <x v="1"/>
    <n v="1.69"/>
    <n v="11214.94"/>
    <n v="34031.129999999997"/>
    <x v="2"/>
  </r>
  <r>
    <x v="0"/>
    <x v="1"/>
    <x v="0"/>
    <x v="1"/>
    <x v="16"/>
    <x v="1"/>
    <x v="1"/>
    <n v="8.5299999999999994"/>
    <n v="56605.59"/>
    <n v="163416.04999999999"/>
    <x v="2"/>
  </r>
  <r>
    <x v="0"/>
    <x v="1"/>
    <x v="0"/>
    <x v="1"/>
    <x v="17"/>
    <x v="1"/>
    <x v="1"/>
    <n v="5.68"/>
    <n v="37692.82"/>
    <n v="109869.22"/>
    <x v="2"/>
  </r>
  <r>
    <x v="0"/>
    <x v="1"/>
    <x v="0"/>
    <x v="1"/>
    <x v="18"/>
    <x v="1"/>
    <x v="1"/>
    <n v="17.89"/>
    <n v="118719.11"/>
    <n v="361959.85"/>
    <x v="2"/>
  </r>
  <r>
    <x v="0"/>
    <x v="1"/>
    <x v="0"/>
    <x v="1"/>
    <x v="19"/>
    <x v="1"/>
    <x v="1"/>
    <n v="9.27"/>
    <n v="61516.28"/>
    <n v="181904.11"/>
    <x v="2"/>
  </r>
  <r>
    <x v="0"/>
    <x v="1"/>
    <x v="0"/>
    <x v="1"/>
    <x v="20"/>
    <x v="1"/>
    <x v="1"/>
    <n v="26.22"/>
    <n v="173997.49"/>
    <n v="506163.43"/>
    <x v="2"/>
  </r>
  <r>
    <x v="0"/>
    <x v="1"/>
    <x v="0"/>
    <x v="2"/>
    <x v="21"/>
    <x v="1"/>
    <x v="1"/>
    <n v="1.05"/>
    <n v="6967.86"/>
    <n v="18540.79"/>
    <x v="2"/>
  </r>
  <r>
    <x v="0"/>
    <x v="1"/>
    <x v="0"/>
    <x v="2"/>
    <x v="22"/>
    <x v="1"/>
    <x v="1"/>
    <n v="17.170000000000002"/>
    <n v="113941.15"/>
    <n v="304466.34000000003"/>
    <x v="2"/>
  </r>
  <r>
    <x v="0"/>
    <x v="1"/>
    <x v="0"/>
    <x v="2"/>
    <x v="29"/>
    <x v="1"/>
    <x v="1"/>
    <n v="2.42"/>
    <n v="16059.27"/>
    <n v="45583.199999999997"/>
    <x v="2"/>
  </r>
  <r>
    <x v="0"/>
    <x v="1"/>
    <x v="0"/>
    <x v="2"/>
    <x v="23"/>
    <x v="1"/>
    <x v="1"/>
    <n v="3.11"/>
    <n v="20638.150000000001"/>
    <n v="57407.6"/>
    <x v="2"/>
  </r>
  <r>
    <x v="0"/>
    <x v="1"/>
    <x v="0"/>
    <x v="2"/>
    <x v="24"/>
    <x v="1"/>
    <x v="1"/>
    <n v="2.0099999999999998"/>
    <n v="13338.48"/>
    <n v="36324.870000000003"/>
    <x v="2"/>
  </r>
  <r>
    <x v="0"/>
    <x v="1"/>
    <x v="0"/>
    <x v="3"/>
    <x v="25"/>
    <x v="1"/>
    <x v="1"/>
    <n v="11.03"/>
    <n v="73195.740000000005"/>
    <n v="219908.19"/>
    <x v="2"/>
  </r>
  <r>
    <x v="0"/>
    <x v="1"/>
    <x v="0"/>
    <x v="3"/>
    <x v="26"/>
    <x v="1"/>
    <x v="1"/>
    <n v="23.73"/>
    <n v="157473.70000000001"/>
    <n v="476701.15"/>
    <x v="2"/>
  </r>
  <r>
    <x v="0"/>
    <x v="1"/>
    <x v="0"/>
    <x v="3"/>
    <x v="27"/>
    <x v="1"/>
    <x v="1"/>
    <n v="35.46"/>
    <n v="235314.69"/>
    <n v="698917.13"/>
    <x v="2"/>
  </r>
  <r>
    <x v="0"/>
    <x v="1"/>
    <x v="1"/>
    <x v="0"/>
    <x v="0"/>
    <x v="0"/>
    <x v="0"/>
    <n v="1.24"/>
    <n v="3376.25"/>
    <n v="11903.94"/>
    <x v="2"/>
  </r>
  <r>
    <x v="0"/>
    <x v="1"/>
    <x v="1"/>
    <x v="0"/>
    <x v="1"/>
    <x v="0"/>
    <x v="0"/>
    <n v="2.33"/>
    <n v="6344.08"/>
    <n v="22413.34"/>
    <x v="2"/>
  </r>
  <r>
    <x v="0"/>
    <x v="1"/>
    <x v="1"/>
    <x v="0"/>
    <x v="2"/>
    <x v="0"/>
    <x v="0"/>
    <n v="0"/>
    <n v="0"/>
    <n v="0"/>
    <x v="2"/>
  </r>
  <r>
    <x v="0"/>
    <x v="1"/>
    <x v="1"/>
    <x v="0"/>
    <x v="3"/>
    <x v="0"/>
    <x v="0"/>
    <n v="0.92"/>
    <n v="2504.96"/>
    <n v="8815.8799999999992"/>
    <x v="2"/>
  </r>
  <r>
    <x v="0"/>
    <x v="1"/>
    <x v="1"/>
    <x v="0"/>
    <x v="4"/>
    <x v="0"/>
    <x v="0"/>
    <n v="0"/>
    <n v="0"/>
    <n v="0"/>
    <x v="2"/>
  </r>
  <r>
    <x v="0"/>
    <x v="1"/>
    <x v="1"/>
    <x v="0"/>
    <x v="5"/>
    <x v="0"/>
    <x v="0"/>
    <n v="0"/>
    <n v="0"/>
    <n v="0"/>
    <x v="2"/>
  </r>
  <r>
    <x v="0"/>
    <x v="1"/>
    <x v="1"/>
    <x v="0"/>
    <x v="6"/>
    <x v="0"/>
    <x v="0"/>
    <n v="0"/>
    <n v="0"/>
    <n v="0"/>
    <x v="2"/>
  </r>
  <r>
    <x v="0"/>
    <x v="1"/>
    <x v="1"/>
    <x v="0"/>
    <x v="8"/>
    <x v="0"/>
    <x v="0"/>
    <n v="0"/>
    <n v="0"/>
    <n v="0"/>
    <x v="2"/>
  </r>
  <r>
    <x v="0"/>
    <x v="1"/>
    <x v="1"/>
    <x v="1"/>
    <x v="10"/>
    <x v="0"/>
    <x v="0"/>
    <n v="0.83"/>
    <n v="2259.91"/>
    <n v="8005.18"/>
    <x v="2"/>
  </r>
  <r>
    <x v="0"/>
    <x v="1"/>
    <x v="1"/>
    <x v="1"/>
    <x v="11"/>
    <x v="0"/>
    <x v="0"/>
    <n v="0"/>
    <n v="0"/>
    <n v="0"/>
    <x v="2"/>
  </r>
  <r>
    <x v="0"/>
    <x v="1"/>
    <x v="1"/>
    <x v="1"/>
    <x v="13"/>
    <x v="0"/>
    <x v="0"/>
    <n v="0"/>
    <n v="0"/>
    <n v="0"/>
    <x v="2"/>
  </r>
  <r>
    <x v="0"/>
    <x v="1"/>
    <x v="1"/>
    <x v="1"/>
    <x v="14"/>
    <x v="0"/>
    <x v="0"/>
    <n v="0"/>
    <n v="0"/>
    <n v="0"/>
    <x v="2"/>
  </r>
  <r>
    <x v="0"/>
    <x v="1"/>
    <x v="1"/>
    <x v="1"/>
    <x v="16"/>
    <x v="0"/>
    <x v="0"/>
    <n v="0"/>
    <n v="0"/>
    <n v="0"/>
    <x v="2"/>
  </r>
  <r>
    <x v="0"/>
    <x v="1"/>
    <x v="1"/>
    <x v="1"/>
    <x v="17"/>
    <x v="0"/>
    <x v="0"/>
    <n v="0"/>
    <n v="0"/>
    <n v="0"/>
    <x v="2"/>
  </r>
  <r>
    <x v="0"/>
    <x v="1"/>
    <x v="1"/>
    <x v="1"/>
    <x v="18"/>
    <x v="0"/>
    <x v="0"/>
    <n v="0"/>
    <n v="0"/>
    <n v="0"/>
    <x v="2"/>
  </r>
  <r>
    <x v="0"/>
    <x v="1"/>
    <x v="1"/>
    <x v="1"/>
    <x v="19"/>
    <x v="0"/>
    <x v="0"/>
    <n v="0"/>
    <n v="0"/>
    <n v="0"/>
    <x v="2"/>
  </r>
  <r>
    <x v="0"/>
    <x v="1"/>
    <x v="1"/>
    <x v="1"/>
    <x v="20"/>
    <x v="0"/>
    <x v="0"/>
    <n v="1.06"/>
    <n v="2886.15"/>
    <n v="10193.68"/>
    <x v="2"/>
  </r>
  <r>
    <x v="0"/>
    <x v="1"/>
    <x v="1"/>
    <x v="2"/>
    <x v="21"/>
    <x v="0"/>
    <x v="0"/>
    <n v="0.93"/>
    <n v="2532.19"/>
    <n v="8932.67"/>
    <x v="2"/>
  </r>
  <r>
    <x v="0"/>
    <x v="1"/>
    <x v="1"/>
    <x v="2"/>
    <x v="22"/>
    <x v="0"/>
    <x v="0"/>
    <n v="0"/>
    <n v="0"/>
    <n v="0"/>
    <x v="2"/>
  </r>
  <r>
    <x v="0"/>
    <x v="1"/>
    <x v="1"/>
    <x v="2"/>
    <x v="29"/>
    <x v="0"/>
    <x v="0"/>
    <n v="0"/>
    <n v="0"/>
    <n v="0"/>
    <x v="2"/>
  </r>
  <r>
    <x v="0"/>
    <x v="1"/>
    <x v="1"/>
    <x v="2"/>
    <x v="24"/>
    <x v="0"/>
    <x v="0"/>
    <n v="0"/>
    <n v="0"/>
    <n v="0"/>
    <x v="2"/>
  </r>
  <r>
    <x v="0"/>
    <x v="1"/>
    <x v="1"/>
    <x v="3"/>
    <x v="25"/>
    <x v="0"/>
    <x v="0"/>
    <n v="0"/>
    <n v="0"/>
    <n v="0"/>
    <x v="2"/>
  </r>
  <r>
    <x v="0"/>
    <x v="1"/>
    <x v="1"/>
    <x v="3"/>
    <x v="26"/>
    <x v="0"/>
    <x v="0"/>
    <n v="1.82"/>
    <n v="4955.46"/>
    <n v="17506.64"/>
    <x v="2"/>
  </r>
  <r>
    <x v="0"/>
    <x v="1"/>
    <x v="1"/>
    <x v="3"/>
    <x v="27"/>
    <x v="0"/>
    <x v="0"/>
    <n v="1.19"/>
    <n v="3240.11"/>
    <n v="11413.89"/>
    <x v="2"/>
  </r>
  <r>
    <x v="0"/>
    <x v="1"/>
    <x v="1"/>
    <x v="0"/>
    <x v="0"/>
    <x v="0"/>
    <x v="1"/>
    <n v="0.96"/>
    <n v="2613.87"/>
    <n v="9258.6200000000008"/>
    <x v="2"/>
  </r>
  <r>
    <x v="0"/>
    <x v="1"/>
    <x v="1"/>
    <x v="0"/>
    <x v="1"/>
    <x v="0"/>
    <x v="1"/>
    <n v="4"/>
    <n v="10891.12"/>
    <n v="38462.400000000001"/>
    <x v="2"/>
  </r>
  <r>
    <x v="0"/>
    <x v="1"/>
    <x v="1"/>
    <x v="0"/>
    <x v="2"/>
    <x v="0"/>
    <x v="1"/>
    <n v="2"/>
    <n v="5445.56"/>
    <n v="19281.22"/>
    <x v="2"/>
  </r>
  <r>
    <x v="0"/>
    <x v="1"/>
    <x v="1"/>
    <x v="0"/>
    <x v="3"/>
    <x v="0"/>
    <x v="1"/>
    <n v="2.62"/>
    <n v="7133.68"/>
    <n v="25188.22"/>
    <x v="2"/>
  </r>
  <r>
    <x v="0"/>
    <x v="1"/>
    <x v="1"/>
    <x v="0"/>
    <x v="4"/>
    <x v="0"/>
    <x v="1"/>
    <n v="1.18"/>
    <n v="3212.88"/>
    <n v="11331.08"/>
    <x v="2"/>
  </r>
  <r>
    <x v="0"/>
    <x v="1"/>
    <x v="1"/>
    <x v="0"/>
    <x v="5"/>
    <x v="0"/>
    <x v="1"/>
    <n v="2.99"/>
    <n v="8141.11"/>
    <n v="28831.439999999999"/>
    <x v="2"/>
  </r>
  <r>
    <x v="0"/>
    <x v="1"/>
    <x v="1"/>
    <x v="0"/>
    <x v="6"/>
    <x v="0"/>
    <x v="1"/>
    <n v="0.42"/>
    <n v="1143.57"/>
    <n v="4088.72"/>
    <x v="2"/>
  </r>
  <r>
    <x v="0"/>
    <x v="1"/>
    <x v="1"/>
    <x v="0"/>
    <x v="8"/>
    <x v="0"/>
    <x v="1"/>
    <n v="2.16"/>
    <n v="5881.2"/>
    <n v="20747.2"/>
    <x v="2"/>
  </r>
  <r>
    <x v="0"/>
    <x v="1"/>
    <x v="1"/>
    <x v="1"/>
    <x v="10"/>
    <x v="0"/>
    <x v="1"/>
    <n v="2.41"/>
    <n v="6561.9"/>
    <n v="23215.03"/>
    <x v="2"/>
  </r>
  <r>
    <x v="0"/>
    <x v="1"/>
    <x v="1"/>
    <x v="1"/>
    <x v="11"/>
    <x v="0"/>
    <x v="1"/>
    <n v="5.44"/>
    <n v="14811.92"/>
    <n v="52389.77"/>
    <x v="2"/>
  </r>
  <r>
    <x v="0"/>
    <x v="1"/>
    <x v="1"/>
    <x v="1"/>
    <x v="13"/>
    <x v="0"/>
    <x v="1"/>
    <n v="2.42"/>
    <n v="6589.13"/>
    <n v="23281.48"/>
    <x v="2"/>
  </r>
  <r>
    <x v="0"/>
    <x v="1"/>
    <x v="1"/>
    <x v="1"/>
    <x v="14"/>
    <x v="0"/>
    <x v="1"/>
    <n v="1.39"/>
    <n v="3784.66"/>
    <n v="13371.28"/>
    <x v="2"/>
  </r>
  <r>
    <x v="0"/>
    <x v="1"/>
    <x v="1"/>
    <x v="1"/>
    <x v="16"/>
    <x v="0"/>
    <x v="1"/>
    <n v="1.27"/>
    <n v="3457.93"/>
    <n v="12224.13"/>
    <x v="2"/>
  </r>
  <r>
    <x v="0"/>
    <x v="1"/>
    <x v="1"/>
    <x v="1"/>
    <x v="17"/>
    <x v="0"/>
    <x v="1"/>
    <n v="1.1399999999999999"/>
    <n v="3103.97"/>
    <n v="10989.72"/>
    <x v="2"/>
  </r>
  <r>
    <x v="0"/>
    <x v="1"/>
    <x v="1"/>
    <x v="1"/>
    <x v="18"/>
    <x v="0"/>
    <x v="1"/>
    <n v="7.9"/>
    <n v="21509.96"/>
    <n v="76083.69"/>
    <x v="2"/>
  </r>
  <r>
    <x v="0"/>
    <x v="1"/>
    <x v="1"/>
    <x v="1"/>
    <x v="19"/>
    <x v="0"/>
    <x v="1"/>
    <n v="1.46"/>
    <n v="3975.26"/>
    <n v="14096.13"/>
    <x v="2"/>
  </r>
  <r>
    <x v="0"/>
    <x v="1"/>
    <x v="1"/>
    <x v="1"/>
    <x v="20"/>
    <x v="0"/>
    <x v="1"/>
    <n v="8.0299999999999994"/>
    <n v="21863.919999999998"/>
    <n v="77302.080000000002"/>
    <x v="2"/>
  </r>
  <r>
    <x v="0"/>
    <x v="1"/>
    <x v="1"/>
    <x v="2"/>
    <x v="21"/>
    <x v="0"/>
    <x v="1"/>
    <n v="0"/>
    <n v="0"/>
    <n v="0"/>
    <x v="2"/>
  </r>
  <r>
    <x v="0"/>
    <x v="1"/>
    <x v="1"/>
    <x v="2"/>
    <x v="22"/>
    <x v="0"/>
    <x v="1"/>
    <n v="2.72"/>
    <n v="7405.96"/>
    <n v="26227.74"/>
    <x v="2"/>
  </r>
  <r>
    <x v="0"/>
    <x v="1"/>
    <x v="1"/>
    <x v="2"/>
    <x v="29"/>
    <x v="0"/>
    <x v="1"/>
    <n v="1.35"/>
    <n v="3675.75"/>
    <n v="12976.56"/>
    <x v="2"/>
  </r>
  <r>
    <x v="0"/>
    <x v="1"/>
    <x v="1"/>
    <x v="2"/>
    <x v="24"/>
    <x v="0"/>
    <x v="1"/>
    <n v="1.94"/>
    <n v="5282.19"/>
    <n v="18705.099999999999"/>
    <x v="2"/>
  </r>
  <r>
    <x v="0"/>
    <x v="1"/>
    <x v="1"/>
    <x v="3"/>
    <x v="25"/>
    <x v="0"/>
    <x v="1"/>
    <n v="1.26"/>
    <n v="3430.7"/>
    <n v="12166.58"/>
    <x v="2"/>
  </r>
  <r>
    <x v="0"/>
    <x v="1"/>
    <x v="1"/>
    <x v="3"/>
    <x v="26"/>
    <x v="0"/>
    <x v="1"/>
    <n v="0.87"/>
    <n v="2368.8200000000002"/>
    <n v="8336.49"/>
    <x v="2"/>
  </r>
  <r>
    <x v="0"/>
    <x v="1"/>
    <x v="1"/>
    <x v="3"/>
    <x v="27"/>
    <x v="0"/>
    <x v="1"/>
    <n v="4.67"/>
    <n v="12715.38"/>
    <n v="44942.2"/>
    <x v="2"/>
  </r>
  <r>
    <x v="0"/>
    <x v="1"/>
    <x v="1"/>
    <x v="0"/>
    <x v="0"/>
    <x v="1"/>
    <x v="0"/>
    <n v="3.71"/>
    <n v="10101.51"/>
    <n v="23347.95"/>
    <x v="2"/>
  </r>
  <r>
    <x v="0"/>
    <x v="1"/>
    <x v="1"/>
    <x v="0"/>
    <x v="1"/>
    <x v="1"/>
    <x v="0"/>
    <n v="5.36"/>
    <n v="14594.1"/>
    <n v="33188.93"/>
    <x v="2"/>
  </r>
  <r>
    <x v="0"/>
    <x v="1"/>
    <x v="1"/>
    <x v="0"/>
    <x v="2"/>
    <x v="1"/>
    <x v="0"/>
    <n v="1.19"/>
    <n v="3240.11"/>
    <n v="7094.19"/>
    <x v="2"/>
  </r>
  <r>
    <x v="0"/>
    <x v="1"/>
    <x v="1"/>
    <x v="0"/>
    <x v="3"/>
    <x v="1"/>
    <x v="0"/>
    <n v="5.0599999999999996"/>
    <n v="13777.27"/>
    <n v="31476.3"/>
    <x v="2"/>
  </r>
  <r>
    <x v="0"/>
    <x v="1"/>
    <x v="1"/>
    <x v="0"/>
    <x v="28"/>
    <x v="1"/>
    <x v="0"/>
    <n v="0"/>
    <n v="0"/>
    <n v="0"/>
    <x v="2"/>
  </r>
  <r>
    <x v="0"/>
    <x v="1"/>
    <x v="1"/>
    <x v="0"/>
    <x v="4"/>
    <x v="1"/>
    <x v="0"/>
    <n v="2.19"/>
    <n v="5962.89"/>
    <n v="13485.72"/>
    <x v="2"/>
  </r>
  <r>
    <x v="0"/>
    <x v="1"/>
    <x v="1"/>
    <x v="0"/>
    <x v="5"/>
    <x v="1"/>
    <x v="0"/>
    <n v="0.59"/>
    <n v="1606.44"/>
    <n v="3736.14"/>
    <x v="2"/>
  </r>
  <r>
    <x v="0"/>
    <x v="1"/>
    <x v="1"/>
    <x v="0"/>
    <x v="6"/>
    <x v="1"/>
    <x v="0"/>
    <n v="0"/>
    <n v="0"/>
    <n v="0"/>
    <x v="2"/>
  </r>
  <r>
    <x v="0"/>
    <x v="1"/>
    <x v="1"/>
    <x v="0"/>
    <x v="7"/>
    <x v="1"/>
    <x v="0"/>
    <n v="0"/>
    <n v="0"/>
    <n v="0"/>
    <x v="2"/>
  </r>
  <r>
    <x v="0"/>
    <x v="1"/>
    <x v="1"/>
    <x v="0"/>
    <x v="8"/>
    <x v="1"/>
    <x v="0"/>
    <n v="0"/>
    <n v="0"/>
    <n v="0"/>
    <x v="2"/>
  </r>
  <r>
    <x v="0"/>
    <x v="1"/>
    <x v="1"/>
    <x v="1"/>
    <x v="30"/>
    <x v="1"/>
    <x v="0"/>
    <n v="2.15"/>
    <n v="5853.98"/>
    <n v="14244.68"/>
    <x v="2"/>
  </r>
  <r>
    <x v="0"/>
    <x v="1"/>
    <x v="1"/>
    <x v="1"/>
    <x v="9"/>
    <x v="1"/>
    <x v="0"/>
    <n v="0"/>
    <n v="0"/>
    <n v="0"/>
    <x v="2"/>
  </r>
  <r>
    <x v="0"/>
    <x v="1"/>
    <x v="1"/>
    <x v="1"/>
    <x v="31"/>
    <x v="1"/>
    <x v="0"/>
    <n v="2.12"/>
    <n v="5772.29"/>
    <n v="14179.19"/>
    <x v="2"/>
  </r>
  <r>
    <x v="0"/>
    <x v="1"/>
    <x v="1"/>
    <x v="1"/>
    <x v="10"/>
    <x v="1"/>
    <x v="0"/>
    <n v="5.99"/>
    <n v="16309.45"/>
    <n v="39328.93"/>
    <x v="2"/>
  </r>
  <r>
    <x v="0"/>
    <x v="1"/>
    <x v="1"/>
    <x v="1"/>
    <x v="11"/>
    <x v="1"/>
    <x v="0"/>
    <n v="4.26"/>
    <n v="11599.04"/>
    <n v="26680.33"/>
    <x v="2"/>
  </r>
  <r>
    <x v="0"/>
    <x v="1"/>
    <x v="1"/>
    <x v="1"/>
    <x v="12"/>
    <x v="1"/>
    <x v="0"/>
    <n v="1.64"/>
    <n v="4465.3599999999997"/>
    <n v="10806.61"/>
    <x v="2"/>
  </r>
  <r>
    <x v="0"/>
    <x v="1"/>
    <x v="1"/>
    <x v="1"/>
    <x v="13"/>
    <x v="1"/>
    <x v="0"/>
    <n v="1.2"/>
    <n v="3267.34"/>
    <n v="7875.36"/>
    <x v="2"/>
  </r>
  <r>
    <x v="0"/>
    <x v="1"/>
    <x v="1"/>
    <x v="1"/>
    <x v="14"/>
    <x v="1"/>
    <x v="0"/>
    <n v="9.41"/>
    <n v="25621.360000000001"/>
    <n v="60484.800000000003"/>
    <x v="2"/>
  </r>
  <r>
    <x v="0"/>
    <x v="1"/>
    <x v="1"/>
    <x v="1"/>
    <x v="15"/>
    <x v="1"/>
    <x v="0"/>
    <n v="1.06"/>
    <n v="2886.15"/>
    <n v="7071.19"/>
    <x v="2"/>
  </r>
  <r>
    <x v="0"/>
    <x v="1"/>
    <x v="1"/>
    <x v="1"/>
    <x v="16"/>
    <x v="1"/>
    <x v="0"/>
    <n v="2.74"/>
    <n v="7460.42"/>
    <n v="17351.23"/>
    <x v="2"/>
  </r>
  <r>
    <x v="0"/>
    <x v="1"/>
    <x v="1"/>
    <x v="1"/>
    <x v="17"/>
    <x v="1"/>
    <x v="0"/>
    <n v="5.52"/>
    <n v="15029.75"/>
    <n v="35254.230000000003"/>
    <x v="2"/>
  </r>
  <r>
    <x v="0"/>
    <x v="1"/>
    <x v="1"/>
    <x v="1"/>
    <x v="18"/>
    <x v="1"/>
    <x v="0"/>
    <n v="0"/>
    <n v="0"/>
    <n v="0"/>
    <x v="2"/>
  </r>
  <r>
    <x v="0"/>
    <x v="1"/>
    <x v="1"/>
    <x v="1"/>
    <x v="19"/>
    <x v="1"/>
    <x v="0"/>
    <n v="5.54"/>
    <n v="15084.2"/>
    <n v="35913.07"/>
    <x v="2"/>
  </r>
  <r>
    <x v="0"/>
    <x v="1"/>
    <x v="1"/>
    <x v="1"/>
    <x v="20"/>
    <x v="1"/>
    <x v="0"/>
    <n v="5.59"/>
    <n v="15220.34"/>
    <n v="35657.019999999997"/>
    <x v="2"/>
  </r>
  <r>
    <x v="0"/>
    <x v="1"/>
    <x v="1"/>
    <x v="2"/>
    <x v="21"/>
    <x v="1"/>
    <x v="0"/>
    <n v="0"/>
    <n v="0"/>
    <n v="0"/>
    <x v="2"/>
  </r>
  <r>
    <x v="0"/>
    <x v="1"/>
    <x v="1"/>
    <x v="2"/>
    <x v="22"/>
    <x v="1"/>
    <x v="0"/>
    <n v="2.61"/>
    <n v="7106.46"/>
    <n v="15284.72"/>
    <x v="2"/>
  </r>
  <r>
    <x v="0"/>
    <x v="1"/>
    <x v="1"/>
    <x v="2"/>
    <x v="29"/>
    <x v="1"/>
    <x v="0"/>
    <n v="0"/>
    <n v="0"/>
    <n v="0"/>
    <x v="2"/>
  </r>
  <r>
    <x v="0"/>
    <x v="1"/>
    <x v="1"/>
    <x v="2"/>
    <x v="23"/>
    <x v="1"/>
    <x v="0"/>
    <n v="0"/>
    <n v="0"/>
    <n v="0"/>
    <x v="2"/>
  </r>
  <r>
    <x v="0"/>
    <x v="1"/>
    <x v="1"/>
    <x v="2"/>
    <x v="24"/>
    <x v="1"/>
    <x v="0"/>
    <n v="2.0499999999999998"/>
    <n v="5581.7"/>
    <n v="12228.84"/>
    <x v="2"/>
  </r>
  <r>
    <x v="0"/>
    <x v="1"/>
    <x v="1"/>
    <x v="3"/>
    <x v="25"/>
    <x v="1"/>
    <x v="0"/>
    <n v="4.0199999999999996"/>
    <n v="10945.58"/>
    <n v="26502.89"/>
    <x v="2"/>
  </r>
  <r>
    <x v="0"/>
    <x v="1"/>
    <x v="1"/>
    <x v="3"/>
    <x v="26"/>
    <x v="1"/>
    <x v="0"/>
    <n v="0.88"/>
    <n v="2396.0500000000002"/>
    <n v="5819.14"/>
    <x v="2"/>
  </r>
  <r>
    <x v="0"/>
    <x v="1"/>
    <x v="1"/>
    <x v="3"/>
    <x v="27"/>
    <x v="1"/>
    <x v="0"/>
    <n v="5.99"/>
    <n v="16309.45"/>
    <n v="39034.69"/>
    <x v="2"/>
  </r>
  <r>
    <x v="0"/>
    <x v="1"/>
    <x v="1"/>
    <x v="0"/>
    <x v="0"/>
    <x v="1"/>
    <x v="1"/>
    <n v="7.18"/>
    <n v="19549.560000000001"/>
    <n v="45173.21"/>
    <x v="2"/>
  </r>
  <r>
    <x v="0"/>
    <x v="1"/>
    <x v="1"/>
    <x v="0"/>
    <x v="1"/>
    <x v="1"/>
    <x v="1"/>
    <n v="7.67"/>
    <n v="20883.72"/>
    <n v="47457.07"/>
    <x v="2"/>
  </r>
  <r>
    <x v="0"/>
    <x v="1"/>
    <x v="1"/>
    <x v="0"/>
    <x v="2"/>
    <x v="1"/>
    <x v="1"/>
    <n v="5.83"/>
    <n v="15873.81"/>
    <n v="34879.769999999997"/>
    <x v="2"/>
  </r>
  <r>
    <x v="0"/>
    <x v="1"/>
    <x v="1"/>
    <x v="0"/>
    <x v="3"/>
    <x v="1"/>
    <x v="1"/>
    <n v="17.41"/>
    <n v="47403.6"/>
    <n v="108299.81"/>
    <x v="2"/>
  </r>
  <r>
    <x v="0"/>
    <x v="1"/>
    <x v="1"/>
    <x v="0"/>
    <x v="28"/>
    <x v="1"/>
    <x v="1"/>
    <n v="1.94"/>
    <n v="5282.19"/>
    <n v="12189.72"/>
    <x v="2"/>
  </r>
  <r>
    <x v="0"/>
    <x v="1"/>
    <x v="1"/>
    <x v="0"/>
    <x v="4"/>
    <x v="1"/>
    <x v="1"/>
    <n v="2.5099999999999998"/>
    <n v="6834.18"/>
    <n v="15447.28"/>
    <x v="2"/>
  </r>
  <r>
    <x v="0"/>
    <x v="1"/>
    <x v="1"/>
    <x v="0"/>
    <x v="5"/>
    <x v="1"/>
    <x v="1"/>
    <n v="11.12"/>
    <n v="30277.31"/>
    <n v="70519.66"/>
    <x v="2"/>
  </r>
  <r>
    <x v="0"/>
    <x v="1"/>
    <x v="1"/>
    <x v="0"/>
    <x v="6"/>
    <x v="1"/>
    <x v="1"/>
    <n v="2.46"/>
    <n v="6698.04"/>
    <n v="15530.04"/>
    <x v="2"/>
  </r>
  <r>
    <x v="0"/>
    <x v="1"/>
    <x v="1"/>
    <x v="0"/>
    <x v="7"/>
    <x v="1"/>
    <x v="1"/>
    <n v="2.64"/>
    <n v="7188.14"/>
    <n v="17003.61"/>
    <x v="2"/>
  </r>
  <r>
    <x v="0"/>
    <x v="1"/>
    <x v="1"/>
    <x v="0"/>
    <x v="8"/>
    <x v="1"/>
    <x v="1"/>
    <n v="2.17"/>
    <n v="5908.43"/>
    <n v="13322.49"/>
    <x v="2"/>
  </r>
  <r>
    <x v="0"/>
    <x v="1"/>
    <x v="1"/>
    <x v="1"/>
    <x v="30"/>
    <x v="1"/>
    <x v="1"/>
    <n v="0"/>
    <n v="0"/>
    <n v="0"/>
    <x v="2"/>
  </r>
  <r>
    <x v="0"/>
    <x v="1"/>
    <x v="1"/>
    <x v="1"/>
    <x v="9"/>
    <x v="1"/>
    <x v="1"/>
    <n v="0.85"/>
    <n v="2314.36"/>
    <n v="5603.76"/>
    <x v="2"/>
  </r>
  <r>
    <x v="0"/>
    <x v="1"/>
    <x v="1"/>
    <x v="1"/>
    <x v="31"/>
    <x v="1"/>
    <x v="1"/>
    <n v="0"/>
    <n v="0"/>
    <n v="0"/>
    <x v="2"/>
  </r>
  <r>
    <x v="0"/>
    <x v="1"/>
    <x v="1"/>
    <x v="1"/>
    <x v="10"/>
    <x v="1"/>
    <x v="1"/>
    <n v="16.28"/>
    <n v="44326.86"/>
    <n v="106908.22"/>
    <x v="2"/>
  </r>
  <r>
    <x v="0"/>
    <x v="1"/>
    <x v="1"/>
    <x v="1"/>
    <x v="11"/>
    <x v="1"/>
    <x v="1"/>
    <n v="14.16"/>
    <n v="38554.559999999998"/>
    <n v="88578.7"/>
    <x v="2"/>
  </r>
  <r>
    <x v="0"/>
    <x v="1"/>
    <x v="1"/>
    <x v="1"/>
    <x v="12"/>
    <x v="1"/>
    <x v="1"/>
    <n v="0.78"/>
    <n v="2123.77"/>
    <n v="5118.92"/>
    <x v="2"/>
  </r>
  <r>
    <x v="0"/>
    <x v="1"/>
    <x v="1"/>
    <x v="1"/>
    <x v="13"/>
    <x v="1"/>
    <x v="1"/>
    <n v="5.66"/>
    <n v="15410.93"/>
    <n v="37126.69"/>
    <x v="2"/>
  </r>
  <r>
    <x v="0"/>
    <x v="1"/>
    <x v="1"/>
    <x v="1"/>
    <x v="14"/>
    <x v="1"/>
    <x v="1"/>
    <n v="4.4000000000000004"/>
    <n v="11980.23"/>
    <n v="28263.919999999998"/>
    <x v="2"/>
  </r>
  <r>
    <x v="0"/>
    <x v="1"/>
    <x v="1"/>
    <x v="1"/>
    <x v="15"/>
    <x v="1"/>
    <x v="1"/>
    <n v="2.61"/>
    <n v="7106.46"/>
    <n v="17356.560000000001"/>
    <x v="2"/>
  </r>
  <r>
    <x v="0"/>
    <x v="1"/>
    <x v="1"/>
    <x v="1"/>
    <x v="16"/>
    <x v="1"/>
    <x v="1"/>
    <n v="8.0399999999999991"/>
    <n v="21891.15"/>
    <n v="50934.26"/>
    <x v="2"/>
  </r>
  <r>
    <x v="0"/>
    <x v="1"/>
    <x v="1"/>
    <x v="1"/>
    <x v="17"/>
    <x v="1"/>
    <x v="1"/>
    <n v="1.95"/>
    <n v="5309.42"/>
    <n v="12474.57"/>
    <x v="2"/>
  </r>
  <r>
    <x v="0"/>
    <x v="1"/>
    <x v="1"/>
    <x v="1"/>
    <x v="18"/>
    <x v="1"/>
    <x v="1"/>
    <n v="0"/>
    <n v="0"/>
    <n v="0"/>
    <x v="2"/>
  </r>
  <r>
    <x v="0"/>
    <x v="1"/>
    <x v="1"/>
    <x v="1"/>
    <x v="19"/>
    <x v="1"/>
    <x v="1"/>
    <n v="9.5399999999999991"/>
    <n v="25975.32"/>
    <n v="61880.98"/>
    <x v="2"/>
  </r>
  <r>
    <x v="0"/>
    <x v="1"/>
    <x v="1"/>
    <x v="1"/>
    <x v="20"/>
    <x v="1"/>
    <x v="1"/>
    <n v="12.69"/>
    <n v="34552.080000000002"/>
    <n v="80992.38"/>
    <x v="2"/>
  </r>
  <r>
    <x v="0"/>
    <x v="1"/>
    <x v="1"/>
    <x v="2"/>
    <x v="21"/>
    <x v="1"/>
    <x v="1"/>
    <n v="2.02"/>
    <n v="5500.02"/>
    <n v="11818.63"/>
    <x v="2"/>
  </r>
  <r>
    <x v="0"/>
    <x v="1"/>
    <x v="1"/>
    <x v="2"/>
    <x v="22"/>
    <x v="1"/>
    <x v="1"/>
    <n v="8.9600000000000009"/>
    <n v="24396.11"/>
    <n v="52541.22"/>
    <x v="2"/>
  </r>
  <r>
    <x v="0"/>
    <x v="1"/>
    <x v="1"/>
    <x v="2"/>
    <x v="29"/>
    <x v="1"/>
    <x v="1"/>
    <n v="2.4900000000000002"/>
    <n v="6779.72"/>
    <n v="15493.48"/>
    <x v="2"/>
  </r>
  <r>
    <x v="0"/>
    <x v="1"/>
    <x v="1"/>
    <x v="2"/>
    <x v="23"/>
    <x v="1"/>
    <x v="1"/>
    <n v="1.46"/>
    <n v="3975.26"/>
    <n v="8925.1200000000008"/>
    <x v="2"/>
  </r>
  <r>
    <x v="0"/>
    <x v="1"/>
    <x v="1"/>
    <x v="2"/>
    <x v="24"/>
    <x v="1"/>
    <x v="1"/>
    <n v="1.8"/>
    <n v="4901"/>
    <n v="10761.38"/>
    <x v="2"/>
  </r>
  <r>
    <x v="0"/>
    <x v="1"/>
    <x v="1"/>
    <x v="3"/>
    <x v="25"/>
    <x v="1"/>
    <x v="1"/>
    <n v="5.42"/>
    <n v="14757.47"/>
    <n v="35721.279999999999"/>
    <x v="2"/>
  </r>
  <r>
    <x v="0"/>
    <x v="1"/>
    <x v="1"/>
    <x v="3"/>
    <x v="26"/>
    <x v="1"/>
    <x v="1"/>
    <n v="7.05"/>
    <n v="19195.599999999999"/>
    <n v="46859.4"/>
    <x v="2"/>
  </r>
  <r>
    <x v="0"/>
    <x v="1"/>
    <x v="1"/>
    <x v="3"/>
    <x v="27"/>
    <x v="1"/>
    <x v="1"/>
    <n v="18.13"/>
    <n v="49364"/>
    <n v="118173.51"/>
    <x v="2"/>
  </r>
  <r>
    <x v="0"/>
    <x v="1"/>
    <x v="2"/>
    <x v="0"/>
    <x v="0"/>
    <x v="0"/>
    <x v="0"/>
    <n v="2.11"/>
    <n v="11435.61"/>
    <n v="49459.3"/>
    <x v="2"/>
  </r>
  <r>
    <x v="0"/>
    <x v="1"/>
    <x v="2"/>
    <x v="0"/>
    <x v="1"/>
    <x v="0"/>
    <x v="0"/>
    <n v="3.58"/>
    <n v="19402.599999999999"/>
    <n v="83980.19"/>
    <x v="2"/>
  </r>
  <r>
    <x v="0"/>
    <x v="1"/>
    <x v="2"/>
    <x v="0"/>
    <x v="2"/>
    <x v="0"/>
    <x v="0"/>
    <n v="0"/>
    <n v="0"/>
    <n v="0"/>
    <x v="2"/>
  </r>
  <r>
    <x v="0"/>
    <x v="1"/>
    <x v="2"/>
    <x v="0"/>
    <x v="3"/>
    <x v="0"/>
    <x v="0"/>
    <n v="1.62"/>
    <n v="8779.9500000000007"/>
    <n v="37973.1"/>
    <x v="2"/>
  </r>
  <r>
    <x v="0"/>
    <x v="1"/>
    <x v="2"/>
    <x v="0"/>
    <x v="4"/>
    <x v="0"/>
    <x v="0"/>
    <n v="0"/>
    <n v="0"/>
    <n v="0"/>
    <x v="2"/>
  </r>
  <r>
    <x v="0"/>
    <x v="1"/>
    <x v="2"/>
    <x v="0"/>
    <x v="5"/>
    <x v="0"/>
    <x v="0"/>
    <n v="0"/>
    <n v="0"/>
    <n v="0"/>
    <x v="2"/>
  </r>
  <r>
    <x v="0"/>
    <x v="1"/>
    <x v="2"/>
    <x v="0"/>
    <x v="6"/>
    <x v="0"/>
    <x v="0"/>
    <n v="0"/>
    <n v="0"/>
    <n v="0"/>
    <x v="2"/>
  </r>
  <r>
    <x v="0"/>
    <x v="1"/>
    <x v="2"/>
    <x v="0"/>
    <x v="8"/>
    <x v="0"/>
    <x v="0"/>
    <n v="0"/>
    <n v="0"/>
    <n v="0"/>
    <x v="2"/>
  </r>
  <r>
    <x v="0"/>
    <x v="1"/>
    <x v="2"/>
    <x v="1"/>
    <x v="10"/>
    <x v="0"/>
    <x v="0"/>
    <n v="1.43"/>
    <n v="7750.2"/>
    <n v="33592.660000000003"/>
    <x v="2"/>
  </r>
  <r>
    <x v="0"/>
    <x v="1"/>
    <x v="2"/>
    <x v="1"/>
    <x v="11"/>
    <x v="0"/>
    <x v="0"/>
    <n v="0"/>
    <n v="0"/>
    <n v="0"/>
    <x v="2"/>
  </r>
  <r>
    <x v="0"/>
    <x v="1"/>
    <x v="2"/>
    <x v="1"/>
    <x v="13"/>
    <x v="0"/>
    <x v="0"/>
    <n v="0"/>
    <n v="0"/>
    <n v="0"/>
    <x v="2"/>
  </r>
  <r>
    <x v="0"/>
    <x v="1"/>
    <x v="2"/>
    <x v="1"/>
    <x v="14"/>
    <x v="0"/>
    <x v="0"/>
    <n v="0"/>
    <n v="0"/>
    <n v="0"/>
    <x v="2"/>
  </r>
  <r>
    <x v="0"/>
    <x v="1"/>
    <x v="2"/>
    <x v="1"/>
    <x v="16"/>
    <x v="0"/>
    <x v="0"/>
    <n v="0"/>
    <n v="0"/>
    <n v="0"/>
    <x v="2"/>
  </r>
  <r>
    <x v="0"/>
    <x v="1"/>
    <x v="2"/>
    <x v="1"/>
    <x v="17"/>
    <x v="0"/>
    <x v="0"/>
    <n v="0"/>
    <n v="0"/>
    <n v="0"/>
    <x v="2"/>
  </r>
  <r>
    <x v="0"/>
    <x v="1"/>
    <x v="2"/>
    <x v="1"/>
    <x v="18"/>
    <x v="0"/>
    <x v="0"/>
    <n v="0"/>
    <n v="0"/>
    <n v="0"/>
    <x v="2"/>
  </r>
  <r>
    <x v="0"/>
    <x v="1"/>
    <x v="2"/>
    <x v="1"/>
    <x v="19"/>
    <x v="0"/>
    <x v="0"/>
    <n v="0"/>
    <n v="0"/>
    <n v="0"/>
    <x v="2"/>
  </r>
  <r>
    <x v="0"/>
    <x v="1"/>
    <x v="2"/>
    <x v="1"/>
    <x v="20"/>
    <x v="0"/>
    <x v="0"/>
    <n v="1.79"/>
    <n v="9701.2999999999993"/>
    <n v="41839.21"/>
    <x v="2"/>
  </r>
  <r>
    <x v="0"/>
    <x v="1"/>
    <x v="2"/>
    <x v="2"/>
    <x v="21"/>
    <x v="0"/>
    <x v="0"/>
    <n v="2.06"/>
    <n v="11164.62"/>
    <n v="48227.45"/>
    <x v="2"/>
  </r>
  <r>
    <x v="0"/>
    <x v="1"/>
    <x v="2"/>
    <x v="2"/>
    <x v="22"/>
    <x v="0"/>
    <x v="0"/>
    <n v="0"/>
    <n v="0"/>
    <n v="0"/>
    <x v="2"/>
  </r>
  <r>
    <x v="0"/>
    <x v="1"/>
    <x v="2"/>
    <x v="2"/>
    <x v="29"/>
    <x v="0"/>
    <x v="0"/>
    <n v="0"/>
    <n v="0"/>
    <n v="0"/>
    <x v="2"/>
  </r>
  <r>
    <x v="0"/>
    <x v="1"/>
    <x v="2"/>
    <x v="2"/>
    <x v="24"/>
    <x v="0"/>
    <x v="0"/>
    <n v="0"/>
    <n v="0"/>
    <n v="0"/>
    <x v="2"/>
  </r>
  <r>
    <x v="0"/>
    <x v="1"/>
    <x v="2"/>
    <x v="3"/>
    <x v="25"/>
    <x v="0"/>
    <x v="0"/>
    <n v="0"/>
    <n v="0"/>
    <n v="0"/>
    <x v="2"/>
  </r>
  <r>
    <x v="0"/>
    <x v="1"/>
    <x v="2"/>
    <x v="3"/>
    <x v="26"/>
    <x v="0"/>
    <x v="0"/>
    <n v="1.72"/>
    <n v="9321.92"/>
    <n v="40282.839999999997"/>
    <x v="2"/>
  </r>
  <r>
    <x v="0"/>
    <x v="1"/>
    <x v="2"/>
    <x v="3"/>
    <x v="27"/>
    <x v="0"/>
    <x v="0"/>
    <n v="1.56"/>
    <n v="8454.76"/>
    <n v="36604.03"/>
    <x v="2"/>
  </r>
  <r>
    <x v="0"/>
    <x v="1"/>
    <x v="2"/>
    <x v="0"/>
    <x v="0"/>
    <x v="0"/>
    <x v="1"/>
    <n v="2.19"/>
    <n v="11869.19"/>
    <n v="51437.67"/>
    <x v="2"/>
  </r>
  <r>
    <x v="0"/>
    <x v="1"/>
    <x v="2"/>
    <x v="0"/>
    <x v="1"/>
    <x v="0"/>
    <x v="1"/>
    <n v="6.09"/>
    <n v="33006.089999999997"/>
    <n v="142714.81"/>
    <x v="2"/>
  </r>
  <r>
    <x v="0"/>
    <x v="1"/>
    <x v="2"/>
    <x v="0"/>
    <x v="2"/>
    <x v="0"/>
    <x v="1"/>
    <n v="5.09"/>
    <n v="27586.37"/>
    <n v="119303.3"/>
    <x v="2"/>
  </r>
  <r>
    <x v="0"/>
    <x v="1"/>
    <x v="2"/>
    <x v="0"/>
    <x v="3"/>
    <x v="0"/>
    <x v="1"/>
    <n v="4.42"/>
    <n v="23955.16"/>
    <n v="103563"/>
    <x v="2"/>
  </r>
  <r>
    <x v="0"/>
    <x v="1"/>
    <x v="2"/>
    <x v="0"/>
    <x v="4"/>
    <x v="0"/>
    <x v="1"/>
    <n v="2.84"/>
    <n v="15392"/>
    <n v="66497.460000000006"/>
    <x v="2"/>
  </r>
  <r>
    <x v="0"/>
    <x v="1"/>
    <x v="2"/>
    <x v="0"/>
    <x v="5"/>
    <x v="0"/>
    <x v="1"/>
    <n v="4.78"/>
    <n v="25906.26"/>
    <n v="111976.87"/>
    <x v="2"/>
  </r>
  <r>
    <x v="0"/>
    <x v="1"/>
    <x v="2"/>
    <x v="0"/>
    <x v="6"/>
    <x v="0"/>
    <x v="1"/>
    <n v="2.2999999999999998"/>
    <n v="12465.36"/>
    <n v="53989.86"/>
    <x v="2"/>
  </r>
  <r>
    <x v="0"/>
    <x v="1"/>
    <x v="2"/>
    <x v="0"/>
    <x v="8"/>
    <x v="0"/>
    <x v="1"/>
    <n v="4.09"/>
    <n v="22166.65"/>
    <n v="95902.88"/>
    <x v="2"/>
  </r>
  <r>
    <x v="0"/>
    <x v="1"/>
    <x v="2"/>
    <x v="1"/>
    <x v="10"/>
    <x v="0"/>
    <x v="1"/>
    <n v="4.8099999999999996"/>
    <n v="26068.85"/>
    <n v="112634.23"/>
    <x v="2"/>
  </r>
  <r>
    <x v="0"/>
    <x v="1"/>
    <x v="2"/>
    <x v="1"/>
    <x v="11"/>
    <x v="0"/>
    <x v="1"/>
    <n v="9.98"/>
    <n v="54088.81"/>
    <n v="233990.15"/>
    <x v="2"/>
  </r>
  <r>
    <x v="0"/>
    <x v="1"/>
    <x v="2"/>
    <x v="1"/>
    <x v="13"/>
    <x v="0"/>
    <x v="1"/>
    <n v="3.24"/>
    <n v="17559.89"/>
    <n v="75838.100000000006"/>
    <x v="2"/>
  </r>
  <r>
    <x v="0"/>
    <x v="1"/>
    <x v="2"/>
    <x v="1"/>
    <x v="14"/>
    <x v="0"/>
    <x v="1"/>
    <n v="1.61"/>
    <n v="8725.75"/>
    <n v="37672.99"/>
    <x v="2"/>
  </r>
  <r>
    <x v="0"/>
    <x v="1"/>
    <x v="2"/>
    <x v="1"/>
    <x v="16"/>
    <x v="0"/>
    <x v="1"/>
    <n v="2.06"/>
    <n v="11164.62"/>
    <n v="48384.55"/>
    <x v="2"/>
  </r>
  <r>
    <x v="0"/>
    <x v="1"/>
    <x v="2"/>
    <x v="1"/>
    <x v="17"/>
    <x v="0"/>
    <x v="1"/>
    <n v="1.28"/>
    <n v="6937.24"/>
    <n v="30056.17"/>
    <x v="2"/>
  </r>
  <r>
    <x v="0"/>
    <x v="1"/>
    <x v="2"/>
    <x v="1"/>
    <x v="18"/>
    <x v="0"/>
    <x v="1"/>
    <n v="12.14"/>
    <n v="65795.399999999994"/>
    <n v="284553.05"/>
    <x v="2"/>
  </r>
  <r>
    <x v="0"/>
    <x v="1"/>
    <x v="2"/>
    <x v="1"/>
    <x v="19"/>
    <x v="0"/>
    <x v="1"/>
    <n v="3.89"/>
    <n v="21082.71"/>
    <n v="91185.02"/>
    <x v="2"/>
  </r>
  <r>
    <x v="0"/>
    <x v="1"/>
    <x v="2"/>
    <x v="1"/>
    <x v="20"/>
    <x v="0"/>
    <x v="1"/>
    <n v="11.22"/>
    <n v="60809.26"/>
    <n v="262989.34000000003"/>
    <x v="2"/>
  </r>
  <r>
    <x v="0"/>
    <x v="1"/>
    <x v="2"/>
    <x v="2"/>
    <x v="21"/>
    <x v="0"/>
    <x v="1"/>
    <n v="0"/>
    <n v="0"/>
    <n v="0"/>
    <x v="2"/>
  </r>
  <r>
    <x v="0"/>
    <x v="1"/>
    <x v="2"/>
    <x v="2"/>
    <x v="22"/>
    <x v="0"/>
    <x v="1"/>
    <n v="5.03"/>
    <n v="27261.19"/>
    <n v="117975.06"/>
    <x v="2"/>
  </r>
  <r>
    <x v="0"/>
    <x v="1"/>
    <x v="2"/>
    <x v="2"/>
    <x v="29"/>
    <x v="0"/>
    <x v="1"/>
    <n v="2.14"/>
    <n v="11598.2"/>
    <n v="50197.02"/>
    <x v="2"/>
  </r>
  <r>
    <x v="0"/>
    <x v="1"/>
    <x v="2"/>
    <x v="2"/>
    <x v="24"/>
    <x v="0"/>
    <x v="1"/>
    <n v="2.1"/>
    <n v="11381.41"/>
    <n v="49300.9"/>
    <x v="2"/>
  </r>
  <r>
    <x v="0"/>
    <x v="1"/>
    <x v="2"/>
    <x v="3"/>
    <x v="25"/>
    <x v="0"/>
    <x v="1"/>
    <n v="1.8"/>
    <n v="9755.5"/>
    <n v="42173.33"/>
    <x v="2"/>
  </r>
  <r>
    <x v="0"/>
    <x v="1"/>
    <x v="2"/>
    <x v="3"/>
    <x v="26"/>
    <x v="0"/>
    <x v="1"/>
    <n v="1.39"/>
    <n v="7533.41"/>
    <n v="32609.919999999998"/>
    <x v="2"/>
  </r>
  <r>
    <x v="0"/>
    <x v="1"/>
    <x v="2"/>
    <x v="3"/>
    <x v="27"/>
    <x v="0"/>
    <x v="1"/>
    <n v="7.98"/>
    <n v="43249.37"/>
    <n v="187087.27"/>
    <x v="2"/>
  </r>
  <r>
    <x v="0"/>
    <x v="1"/>
    <x v="2"/>
    <x v="0"/>
    <x v="0"/>
    <x v="1"/>
    <x v="0"/>
    <n v="3.72"/>
    <n v="20161.36"/>
    <n v="57033.07"/>
    <x v="2"/>
  </r>
  <r>
    <x v="0"/>
    <x v="1"/>
    <x v="2"/>
    <x v="0"/>
    <x v="1"/>
    <x v="1"/>
    <x v="0"/>
    <n v="14.87"/>
    <n v="80591.240000000005"/>
    <n v="224063.68"/>
    <x v="2"/>
  </r>
  <r>
    <x v="0"/>
    <x v="1"/>
    <x v="2"/>
    <x v="0"/>
    <x v="2"/>
    <x v="1"/>
    <x v="0"/>
    <n v="6"/>
    <n v="32518.32"/>
    <n v="87382.6"/>
    <x v="2"/>
  </r>
  <r>
    <x v="0"/>
    <x v="1"/>
    <x v="2"/>
    <x v="0"/>
    <x v="3"/>
    <x v="1"/>
    <x v="0"/>
    <n v="19.350000000000001"/>
    <n v="104871.58"/>
    <n v="292941.78999999998"/>
    <x v="2"/>
  </r>
  <r>
    <x v="0"/>
    <x v="1"/>
    <x v="2"/>
    <x v="0"/>
    <x v="28"/>
    <x v="1"/>
    <x v="0"/>
    <n v="0"/>
    <n v="0"/>
    <n v="0"/>
    <x v="2"/>
  </r>
  <r>
    <x v="0"/>
    <x v="1"/>
    <x v="2"/>
    <x v="0"/>
    <x v="4"/>
    <x v="1"/>
    <x v="0"/>
    <n v="7.09"/>
    <n v="38425.81"/>
    <n v="106304.75"/>
    <x v="2"/>
  </r>
  <r>
    <x v="0"/>
    <x v="1"/>
    <x v="2"/>
    <x v="0"/>
    <x v="5"/>
    <x v="1"/>
    <x v="0"/>
    <n v="2.42"/>
    <n v="13115.72"/>
    <n v="37396.36"/>
    <x v="2"/>
  </r>
  <r>
    <x v="0"/>
    <x v="1"/>
    <x v="2"/>
    <x v="0"/>
    <x v="6"/>
    <x v="1"/>
    <x v="0"/>
    <n v="0"/>
    <n v="0"/>
    <n v="0"/>
    <x v="2"/>
  </r>
  <r>
    <x v="0"/>
    <x v="1"/>
    <x v="2"/>
    <x v="0"/>
    <x v="7"/>
    <x v="1"/>
    <x v="0"/>
    <n v="0"/>
    <n v="0"/>
    <n v="0"/>
    <x v="2"/>
  </r>
  <r>
    <x v="0"/>
    <x v="1"/>
    <x v="2"/>
    <x v="0"/>
    <x v="8"/>
    <x v="1"/>
    <x v="0"/>
    <n v="0"/>
    <n v="0"/>
    <n v="0"/>
    <x v="2"/>
  </r>
  <r>
    <x v="0"/>
    <x v="1"/>
    <x v="2"/>
    <x v="1"/>
    <x v="30"/>
    <x v="1"/>
    <x v="0"/>
    <n v="3.43"/>
    <n v="18589.64"/>
    <n v="55401.72"/>
    <x v="2"/>
  </r>
  <r>
    <x v="0"/>
    <x v="1"/>
    <x v="2"/>
    <x v="1"/>
    <x v="9"/>
    <x v="1"/>
    <x v="0"/>
    <n v="0"/>
    <n v="0"/>
    <n v="0"/>
    <x v="2"/>
  </r>
  <r>
    <x v="0"/>
    <x v="1"/>
    <x v="2"/>
    <x v="1"/>
    <x v="31"/>
    <x v="1"/>
    <x v="0"/>
    <n v="1.17"/>
    <n v="6341.07"/>
    <n v="18992.05"/>
    <x v="2"/>
  </r>
  <r>
    <x v="0"/>
    <x v="1"/>
    <x v="2"/>
    <x v="1"/>
    <x v="10"/>
    <x v="1"/>
    <x v="0"/>
    <n v="7.52"/>
    <n v="40756.29"/>
    <n v="120126.91"/>
    <x v="2"/>
  </r>
  <r>
    <x v="0"/>
    <x v="1"/>
    <x v="2"/>
    <x v="1"/>
    <x v="11"/>
    <x v="1"/>
    <x v="0"/>
    <n v="10.210000000000001"/>
    <n v="55335.34"/>
    <n v="155505.26"/>
    <x v="2"/>
  </r>
  <r>
    <x v="0"/>
    <x v="1"/>
    <x v="2"/>
    <x v="1"/>
    <x v="12"/>
    <x v="1"/>
    <x v="0"/>
    <n v="0.62"/>
    <n v="3360.23"/>
    <n v="9982.7199999999993"/>
    <x v="2"/>
  </r>
  <r>
    <x v="0"/>
    <x v="1"/>
    <x v="2"/>
    <x v="1"/>
    <x v="13"/>
    <x v="1"/>
    <x v="0"/>
    <n v="2.15"/>
    <n v="11652.4"/>
    <n v="34289.58"/>
    <x v="2"/>
  </r>
  <r>
    <x v="0"/>
    <x v="1"/>
    <x v="2"/>
    <x v="1"/>
    <x v="14"/>
    <x v="1"/>
    <x v="0"/>
    <n v="15.89"/>
    <n v="86119.35"/>
    <n v="248780.18"/>
    <x v="2"/>
  </r>
  <r>
    <x v="0"/>
    <x v="1"/>
    <x v="2"/>
    <x v="1"/>
    <x v="15"/>
    <x v="1"/>
    <x v="0"/>
    <n v="1.59"/>
    <n v="8617.35"/>
    <n v="25687.07"/>
    <x v="2"/>
  </r>
  <r>
    <x v="0"/>
    <x v="1"/>
    <x v="2"/>
    <x v="1"/>
    <x v="16"/>
    <x v="1"/>
    <x v="0"/>
    <n v="6.16"/>
    <n v="33385.480000000003"/>
    <n v="94928.58"/>
    <x v="2"/>
  </r>
  <r>
    <x v="0"/>
    <x v="1"/>
    <x v="2"/>
    <x v="1"/>
    <x v="17"/>
    <x v="1"/>
    <x v="0"/>
    <n v="11.02"/>
    <n v="59725.31"/>
    <n v="171549.92"/>
    <x v="2"/>
  </r>
  <r>
    <x v="0"/>
    <x v="1"/>
    <x v="2"/>
    <x v="1"/>
    <x v="18"/>
    <x v="1"/>
    <x v="0"/>
    <n v="7.39"/>
    <n v="40051.730000000003"/>
    <n v="120291.87"/>
    <x v="2"/>
  </r>
  <r>
    <x v="0"/>
    <x v="1"/>
    <x v="2"/>
    <x v="1"/>
    <x v="19"/>
    <x v="1"/>
    <x v="0"/>
    <n v="10.43"/>
    <n v="56527.68"/>
    <n v="164726.29999999999"/>
    <x v="2"/>
  </r>
  <r>
    <x v="0"/>
    <x v="1"/>
    <x v="2"/>
    <x v="1"/>
    <x v="20"/>
    <x v="1"/>
    <x v="0"/>
    <n v="14.98"/>
    <n v="81187.41"/>
    <n v="232816.36"/>
    <x v="2"/>
  </r>
  <r>
    <x v="0"/>
    <x v="1"/>
    <x v="2"/>
    <x v="2"/>
    <x v="21"/>
    <x v="1"/>
    <x v="0"/>
    <n v="0"/>
    <n v="0"/>
    <n v="0"/>
    <x v="2"/>
  </r>
  <r>
    <x v="0"/>
    <x v="1"/>
    <x v="2"/>
    <x v="2"/>
    <x v="22"/>
    <x v="1"/>
    <x v="0"/>
    <n v="8.92"/>
    <n v="48343.9"/>
    <n v="127256.4"/>
    <x v="2"/>
  </r>
  <r>
    <x v="0"/>
    <x v="1"/>
    <x v="2"/>
    <x v="2"/>
    <x v="29"/>
    <x v="1"/>
    <x v="0"/>
    <n v="0"/>
    <n v="0"/>
    <n v="0"/>
    <x v="2"/>
  </r>
  <r>
    <x v="0"/>
    <x v="1"/>
    <x v="2"/>
    <x v="2"/>
    <x v="23"/>
    <x v="1"/>
    <x v="0"/>
    <n v="0"/>
    <n v="0"/>
    <n v="0"/>
    <x v="2"/>
  </r>
  <r>
    <x v="0"/>
    <x v="1"/>
    <x v="2"/>
    <x v="2"/>
    <x v="24"/>
    <x v="1"/>
    <x v="0"/>
    <n v="4.17"/>
    <n v="22600.23"/>
    <n v="60610.26"/>
    <x v="2"/>
  </r>
  <r>
    <x v="0"/>
    <x v="1"/>
    <x v="2"/>
    <x v="3"/>
    <x v="25"/>
    <x v="1"/>
    <x v="0"/>
    <n v="7.38"/>
    <n v="39997.53"/>
    <n v="118414.02"/>
    <x v="2"/>
  </r>
  <r>
    <x v="0"/>
    <x v="1"/>
    <x v="2"/>
    <x v="3"/>
    <x v="26"/>
    <x v="1"/>
    <x v="0"/>
    <n v="3.92"/>
    <n v="21245.3"/>
    <n v="63333.74"/>
    <x v="2"/>
  </r>
  <r>
    <x v="0"/>
    <x v="1"/>
    <x v="2"/>
    <x v="3"/>
    <x v="27"/>
    <x v="1"/>
    <x v="0"/>
    <n v="12.84"/>
    <n v="69589.2"/>
    <n v="203749.94"/>
    <x v="2"/>
  </r>
  <r>
    <x v="0"/>
    <x v="1"/>
    <x v="2"/>
    <x v="0"/>
    <x v="0"/>
    <x v="1"/>
    <x v="1"/>
    <n v="12.7"/>
    <n v="68830.44"/>
    <n v="194656.33"/>
    <x v="2"/>
  </r>
  <r>
    <x v="0"/>
    <x v="1"/>
    <x v="2"/>
    <x v="0"/>
    <x v="1"/>
    <x v="1"/>
    <x v="1"/>
    <n v="20.34"/>
    <n v="110237.1"/>
    <n v="306548.65999999997"/>
    <x v="2"/>
  </r>
  <r>
    <x v="0"/>
    <x v="1"/>
    <x v="2"/>
    <x v="0"/>
    <x v="2"/>
    <x v="1"/>
    <x v="1"/>
    <n v="16.86"/>
    <n v="91376.48"/>
    <n v="245389.5"/>
    <x v="2"/>
  </r>
  <r>
    <x v="0"/>
    <x v="1"/>
    <x v="2"/>
    <x v="0"/>
    <x v="3"/>
    <x v="1"/>
    <x v="1"/>
    <n v="40.35"/>
    <n v="218685.7"/>
    <n v="610890.80000000005"/>
    <x v="2"/>
  </r>
  <r>
    <x v="0"/>
    <x v="1"/>
    <x v="2"/>
    <x v="0"/>
    <x v="28"/>
    <x v="1"/>
    <x v="1"/>
    <n v="5.0599999999999996"/>
    <n v="27423.78"/>
    <n v="77495.41"/>
    <x v="2"/>
  </r>
  <r>
    <x v="0"/>
    <x v="1"/>
    <x v="2"/>
    <x v="0"/>
    <x v="4"/>
    <x v="1"/>
    <x v="1"/>
    <n v="6.34"/>
    <n v="34361.019999999997"/>
    <n v="95048.95"/>
    <x v="2"/>
  </r>
  <r>
    <x v="0"/>
    <x v="1"/>
    <x v="2"/>
    <x v="0"/>
    <x v="5"/>
    <x v="1"/>
    <x v="1"/>
    <n v="18.850000000000001"/>
    <n v="102161.72"/>
    <n v="291157.34000000003"/>
    <x v="2"/>
  </r>
  <r>
    <x v="0"/>
    <x v="1"/>
    <x v="2"/>
    <x v="0"/>
    <x v="6"/>
    <x v="1"/>
    <x v="1"/>
    <n v="2.77"/>
    <n v="15012.62"/>
    <n v="42607.63"/>
    <x v="2"/>
  </r>
  <r>
    <x v="0"/>
    <x v="1"/>
    <x v="2"/>
    <x v="0"/>
    <x v="7"/>
    <x v="1"/>
    <x v="1"/>
    <n v="4.46"/>
    <n v="24171.95"/>
    <n v="69892.52"/>
    <x v="2"/>
  </r>
  <r>
    <x v="0"/>
    <x v="1"/>
    <x v="2"/>
    <x v="0"/>
    <x v="8"/>
    <x v="1"/>
    <x v="1"/>
    <n v="4.24"/>
    <n v="22979.61"/>
    <n v="63255.55"/>
    <x v="2"/>
  </r>
  <r>
    <x v="0"/>
    <x v="1"/>
    <x v="2"/>
    <x v="1"/>
    <x v="30"/>
    <x v="1"/>
    <x v="1"/>
    <n v="0"/>
    <n v="0"/>
    <n v="0"/>
    <x v="2"/>
  </r>
  <r>
    <x v="0"/>
    <x v="1"/>
    <x v="2"/>
    <x v="1"/>
    <x v="9"/>
    <x v="1"/>
    <x v="1"/>
    <n v="8.56"/>
    <n v="46392.800000000003"/>
    <n v="138078.82"/>
    <x v="2"/>
  </r>
  <r>
    <x v="0"/>
    <x v="1"/>
    <x v="2"/>
    <x v="1"/>
    <x v="31"/>
    <x v="1"/>
    <x v="1"/>
    <n v="0"/>
    <n v="0"/>
    <n v="0"/>
    <x v="2"/>
  </r>
  <r>
    <x v="0"/>
    <x v="1"/>
    <x v="2"/>
    <x v="1"/>
    <x v="10"/>
    <x v="1"/>
    <x v="1"/>
    <n v="33.78"/>
    <n v="183078.14"/>
    <n v="539911.04"/>
    <x v="2"/>
  </r>
  <r>
    <x v="0"/>
    <x v="1"/>
    <x v="2"/>
    <x v="1"/>
    <x v="11"/>
    <x v="1"/>
    <x v="1"/>
    <n v="29.98"/>
    <n v="162483.21"/>
    <n v="456720.18"/>
    <x v="2"/>
  </r>
  <r>
    <x v="0"/>
    <x v="1"/>
    <x v="2"/>
    <x v="1"/>
    <x v="12"/>
    <x v="1"/>
    <x v="1"/>
    <n v="2.96"/>
    <n v="16042.37"/>
    <n v="47417.919999999998"/>
    <x v="2"/>
  </r>
  <r>
    <x v="0"/>
    <x v="1"/>
    <x v="2"/>
    <x v="1"/>
    <x v="13"/>
    <x v="1"/>
    <x v="1"/>
    <n v="13.96"/>
    <n v="75659.289999999994"/>
    <n v="222882.26"/>
    <x v="2"/>
  </r>
  <r>
    <x v="0"/>
    <x v="1"/>
    <x v="2"/>
    <x v="1"/>
    <x v="14"/>
    <x v="1"/>
    <x v="1"/>
    <n v="10.199999999999999"/>
    <n v="55281.14"/>
    <n v="159645.03"/>
    <x v="2"/>
  </r>
  <r>
    <x v="0"/>
    <x v="1"/>
    <x v="2"/>
    <x v="1"/>
    <x v="15"/>
    <x v="1"/>
    <x v="1"/>
    <n v="1.68"/>
    <n v="9105.1299999999992"/>
    <n v="27198.07"/>
    <x v="2"/>
  </r>
  <r>
    <x v="0"/>
    <x v="1"/>
    <x v="2"/>
    <x v="1"/>
    <x v="16"/>
    <x v="1"/>
    <x v="1"/>
    <n v="10.47"/>
    <n v="56744.47"/>
    <n v="161501.87"/>
    <x v="2"/>
  </r>
  <r>
    <x v="0"/>
    <x v="1"/>
    <x v="2"/>
    <x v="1"/>
    <x v="17"/>
    <x v="1"/>
    <x v="1"/>
    <n v="5.91"/>
    <n v="32030.55"/>
    <n v="91964.91"/>
    <x v="2"/>
  </r>
  <r>
    <x v="0"/>
    <x v="1"/>
    <x v="2"/>
    <x v="1"/>
    <x v="18"/>
    <x v="1"/>
    <x v="1"/>
    <n v="31.41"/>
    <n v="170233.41"/>
    <n v="511570.93"/>
    <x v="2"/>
  </r>
  <r>
    <x v="0"/>
    <x v="1"/>
    <x v="2"/>
    <x v="1"/>
    <x v="19"/>
    <x v="1"/>
    <x v="1"/>
    <n v="15.93"/>
    <n v="86336.14"/>
    <n v="251558.76"/>
    <x v="2"/>
  </r>
  <r>
    <x v="0"/>
    <x v="1"/>
    <x v="2"/>
    <x v="1"/>
    <x v="20"/>
    <x v="1"/>
    <x v="1"/>
    <n v="28.91"/>
    <n v="156684.10999999999"/>
    <n v="449272.65"/>
    <x v="2"/>
  </r>
  <r>
    <x v="0"/>
    <x v="1"/>
    <x v="2"/>
    <x v="2"/>
    <x v="21"/>
    <x v="1"/>
    <x v="1"/>
    <n v="2.96"/>
    <n v="16042.37"/>
    <n v="42268.9"/>
    <x v="2"/>
  </r>
  <r>
    <x v="0"/>
    <x v="1"/>
    <x v="2"/>
    <x v="2"/>
    <x v="22"/>
    <x v="1"/>
    <x v="1"/>
    <n v="19.149999999999999"/>
    <n v="103787.64"/>
    <n v="273324.62"/>
    <x v="2"/>
  </r>
  <r>
    <x v="0"/>
    <x v="1"/>
    <x v="2"/>
    <x v="2"/>
    <x v="29"/>
    <x v="1"/>
    <x v="1"/>
    <n v="3.26"/>
    <n v="17668.29"/>
    <n v="49474.71"/>
    <x v="2"/>
  </r>
  <r>
    <x v="0"/>
    <x v="1"/>
    <x v="2"/>
    <x v="2"/>
    <x v="23"/>
    <x v="1"/>
    <x v="1"/>
    <n v="2.13"/>
    <n v="11544"/>
    <n v="31633.95"/>
    <x v="2"/>
  </r>
  <r>
    <x v="0"/>
    <x v="1"/>
    <x v="2"/>
    <x v="2"/>
    <x v="24"/>
    <x v="1"/>
    <x v="1"/>
    <n v="2.92"/>
    <n v="15825.58"/>
    <n v="42427.18"/>
    <x v="2"/>
  </r>
  <r>
    <x v="0"/>
    <x v="1"/>
    <x v="2"/>
    <x v="3"/>
    <x v="25"/>
    <x v="1"/>
    <x v="1"/>
    <n v="9.9700000000000006"/>
    <n v="54034.61"/>
    <n v="160054.10999999999"/>
    <x v="2"/>
  </r>
  <r>
    <x v="0"/>
    <x v="1"/>
    <x v="2"/>
    <x v="3"/>
    <x v="26"/>
    <x v="1"/>
    <x v="1"/>
    <n v="37.49"/>
    <n v="203185.3"/>
    <n v="606194.35"/>
    <x v="2"/>
  </r>
  <r>
    <x v="0"/>
    <x v="1"/>
    <x v="2"/>
    <x v="3"/>
    <x v="27"/>
    <x v="1"/>
    <x v="1"/>
    <n v="35.75"/>
    <n v="193754.99"/>
    <n v="567229.77"/>
    <x v="2"/>
  </r>
  <r>
    <x v="0"/>
    <x v="1"/>
    <x v="3"/>
    <x v="0"/>
    <x v="0"/>
    <x v="0"/>
    <x v="0"/>
    <n v="1.81"/>
    <n v="10903.08"/>
    <n v="49783.32"/>
    <x v="2"/>
  </r>
  <r>
    <x v="0"/>
    <x v="1"/>
    <x v="3"/>
    <x v="0"/>
    <x v="1"/>
    <x v="0"/>
    <x v="0"/>
    <n v="4.46"/>
    <n v="26866.15"/>
    <n v="122620.62"/>
    <x v="2"/>
  </r>
  <r>
    <x v="0"/>
    <x v="1"/>
    <x v="3"/>
    <x v="0"/>
    <x v="2"/>
    <x v="0"/>
    <x v="0"/>
    <n v="0"/>
    <n v="0"/>
    <n v="0"/>
    <x v="2"/>
  </r>
  <r>
    <x v="0"/>
    <x v="1"/>
    <x v="3"/>
    <x v="0"/>
    <x v="3"/>
    <x v="0"/>
    <x v="0"/>
    <n v="1.87"/>
    <n v="11264.51"/>
    <n v="51303.73"/>
    <x v="2"/>
  </r>
  <r>
    <x v="0"/>
    <x v="1"/>
    <x v="3"/>
    <x v="0"/>
    <x v="4"/>
    <x v="0"/>
    <x v="0"/>
    <n v="0"/>
    <n v="0"/>
    <n v="0"/>
    <x v="2"/>
  </r>
  <r>
    <x v="0"/>
    <x v="1"/>
    <x v="3"/>
    <x v="0"/>
    <x v="5"/>
    <x v="0"/>
    <x v="0"/>
    <n v="0"/>
    <n v="0"/>
    <n v="0"/>
    <x v="2"/>
  </r>
  <r>
    <x v="0"/>
    <x v="1"/>
    <x v="3"/>
    <x v="0"/>
    <x v="6"/>
    <x v="0"/>
    <x v="0"/>
    <n v="0"/>
    <n v="0"/>
    <n v="0"/>
    <x v="2"/>
  </r>
  <r>
    <x v="0"/>
    <x v="1"/>
    <x v="3"/>
    <x v="0"/>
    <x v="8"/>
    <x v="0"/>
    <x v="0"/>
    <n v="0"/>
    <n v="0"/>
    <n v="0"/>
    <x v="2"/>
  </r>
  <r>
    <x v="0"/>
    <x v="1"/>
    <x v="3"/>
    <x v="1"/>
    <x v="10"/>
    <x v="0"/>
    <x v="0"/>
    <n v="1.97"/>
    <n v="11866.89"/>
    <n v="54190.09"/>
    <x v="2"/>
  </r>
  <r>
    <x v="0"/>
    <x v="1"/>
    <x v="3"/>
    <x v="1"/>
    <x v="11"/>
    <x v="0"/>
    <x v="0"/>
    <n v="0"/>
    <n v="0"/>
    <n v="0"/>
    <x v="2"/>
  </r>
  <r>
    <x v="0"/>
    <x v="1"/>
    <x v="3"/>
    <x v="1"/>
    <x v="13"/>
    <x v="0"/>
    <x v="0"/>
    <n v="0"/>
    <n v="0"/>
    <n v="0"/>
    <x v="2"/>
  </r>
  <r>
    <x v="0"/>
    <x v="1"/>
    <x v="3"/>
    <x v="1"/>
    <x v="14"/>
    <x v="0"/>
    <x v="0"/>
    <n v="0"/>
    <n v="0"/>
    <n v="0"/>
    <x v="2"/>
  </r>
  <r>
    <x v="0"/>
    <x v="1"/>
    <x v="3"/>
    <x v="1"/>
    <x v="16"/>
    <x v="0"/>
    <x v="0"/>
    <n v="0"/>
    <n v="0"/>
    <n v="0"/>
    <x v="2"/>
  </r>
  <r>
    <x v="0"/>
    <x v="1"/>
    <x v="3"/>
    <x v="1"/>
    <x v="17"/>
    <x v="0"/>
    <x v="0"/>
    <n v="0"/>
    <n v="0"/>
    <n v="0"/>
    <x v="2"/>
  </r>
  <r>
    <x v="0"/>
    <x v="1"/>
    <x v="3"/>
    <x v="1"/>
    <x v="18"/>
    <x v="0"/>
    <x v="0"/>
    <n v="0"/>
    <n v="0"/>
    <n v="0"/>
    <x v="2"/>
  </r>
  <r>
    <x v="0"/>
    <x v="1"/>
    <x v="3"/>
    <x v="1"/>
    <x v="19"/>
    <x v="0"/>
    <x v="0"/>
    <n v="0"/>
    <n v="0"/>
    <n v="0"/>
    <x v="2"/>
  </r>
  <r>
    <x v="0"/>
    <x v="1"/>
    <x v="3"/>
    <x v="1"/>
    <x v="20"/>
    <x v="0"/>
    <x v="0"/>
    <n v="2.2599999999999998"/>
    <n v="13613.79"/>
    <n v="62077.01"/>
    <x v="2"/>
  </r>
  <r>
    <x v="0"/>
    <x v="1"/>
    <x v="3"/>
    <x v="2"/>
    <x v="21"/>
    <x v="0"/>
    <x v="0"/>
    <n v="2.78"/>
    <n v="16746.16"/>
    <n v="76394.25"/>
    <x v="2"/>
  </r>
  <r>
    <x v="0"/>
    <x v="1"/>
    <x v="3"/>
    <x v="2"/>
    <x v="22"/>
    <x v="0"/>
    <x v="0"/>
    <n v="0"/>
    <n v="0"/>
    <n v="0"/>
    <x v="2"/>
  </r>
  <r>
    <x v="0"/>
    <x v="1"/>
    <x v="3"/>
    <x v="2"/>
    <x v="29"/>
    <x v="0"/>
    <x v="0"/>
    <n v="0"/>
    <n v="0"/>
    <n v="0"/>
    <x v="2"/>
  </r>
  <r>
    <x v="0"/>
    <x v="1"/>
    <x v="3"/>
    <x v="2"/>
    <x v="24"/>
    <x v="0"/>
    <x v="0"/>
    <n v="0"/>
    <n v="0"/>
    <n v="0"/>
    <x v="2"/>
  </r>
  <r>
    <x v="0"/>
    <x v="1"/>
    <x v="3"/>
    <x v="3"/>
    <x v="25"/>
    <x v="0"/>
    <x v="0"/>
    <n v="0"/>
    <n v="0"/>
    <n v="0"/>
    <x v="2"/>
  </r>
  <r>
    <x v="0"/>
    <x v="1"/>
    <x v="3"/>
    <x v="3"/>
    <x v="26"/>
    <x v="0"/>
    <x v="0"/>
    <n v="2.69"/>
    <n v="16204.02"/>
    <n v="73949.78"/>
    <x v="2"/>
  </r>
  <r>
    <x v="0"/>
    <x v="1"/>
    <x v="3"/>
    <x v="3"/>
    <x v="27"/>
    <x v="0"/>
    <x v="0"/>
    <n v="1.77"/>
    <n v="10662.13"/>
    <n v="48717.49"/>
    <x v="2"/>
  </r>
  <r>
    <x v="0"/>
    <x v="1"/>
    <x v="3"/>
    <x v="0"/>
    <x v="0"/>
    <x v="0"/>
    <x v="1"/>
    <n v="1.97"/>
    <n v="11866.89"/>
    <n v="54112.31"/>
    <x v="2"/>
  </r>
  <r>
    <x v="0"/>
    <x v="1"/>
    <x v="3"/>
    <x v="0"/>
    <x v="1"/>
    <x v="0"/>
    <x v="1"/>
    <n v="6.61"/>
    <n v="39817.32"/>
    <n v="181777.17"/>
    <x v="2"/>
  </r>
  <r>
    <x v="0"/>
    <x v="1"/>
    <x v="3"/>
    <x v="0"/>
    <x v="2"/>
    <x v="0"/>
    <x v="1"/>
    <n v="5.8"/>
    <n v="34938.04"/>
    <n v="159284.99"/>
    <x v="2"/>
  </r>
  <r>
    <x v="0"/>
    <x v="1"/>
    <x v="3"/>
    <x v="0"/>
    <x v="3"/>
    <x v="0"/>
    <x v="1"/>
    <n v="8.32"/>
    <n v="50118.02"/>
    <n v="228534.8"/>
    <x v="2"/>
  </r>
  <r>
    <x v="0"/>
    <x v="1"/>
    <x v="3"/>
    <x v="0"/>
    <x v="4"/>
    <x v="0"/>
    <x v="1"/>
    <n v="1.75"/>
    <n v="10541.65"/>
    <n v="48075.41"/>
    <x v="2"/>
  </r>
  <r>
    <x v="0"/>
    <x v="1"/>
    <x v="3"/>
    <x v="0"/>
    <x v="5"/>
    <x v="0"/>
    <x v="1"/>
    <n v="4.58"/>
    <n v="27589"/>
    <n v="125871.31"/>
    <x v="2"/>
  </r>
  <r>
    <x v="0"/>
    <x v="1"/>
    <x v="3"/>
    <x v="0"/>
    <x v="6"/>
    <x v="0"/>
    <x v="1"/>
    <n v="2.2400000000000002"/>
    <n v="13493.31"/>
    <n v="61610.34"/>
    <x v="2"/>
  </r>
  <r>
    <x v="0"/>
    <x v="1"/>
    <x v="3"/>
    <x v="0"/>
    <x v="8"/>
    <x v="0"/>
    <x v="1"/>
    <n v="2.98"/>
    <n v="17950.919999999998"/>
    <n v="81864.289999999994"/>
    <x v="2"/>
  </r>
  <r>
    <x v="0"/>
    <x v="1"/>
    <x v="3"/>
    <x v="1"/>
    <x v="10"/>
    <x v="0"/>
    <x v="1"/>
    <n v="4.88"/>
    <n v="29396.14"/>
    <n v="134185"/>
    <x v="2"/>
  </r>
  <r>
    <x v="0"/>
    <x v="1"/>
    <x v="3"/>
    <x v="1"/>
    <x v="11"/>
    <x v="0"/>
    <x v="1"/>
    <n v="12.98"/>
    <n v="78188.92"/>
    <n v="356643.45"/>
    <x v="2"/>
  </r>
  <r>
    <x v="0"/>
    <x v="1"/>
    <x v="3"/>
    <x v="1"/>
    <x v="13"/>
    <x v="0"/>
    <x v="1"/>
    <n v="5.27"/>
    <n v="31745.43"/>
    <n v="144940.60999999999"/>
    <x v="2"/>
  </r>
  <r>
    <x v="0"/>
    <x v="1"/>
    <x v="3"/>
    <x v="1"/>
    <x v="14"/>
    <x v="0"/>
    <x v="1"/>
    <n v="1.88"/>
    <n v="11324.74"/>
    <n v="51560.11"/>
    <x v="2"/>
  </r>
  <r>
    <x v="0"/>
    <x v="1"/>
    <x v="3"/>
    <x v="1"/>
    <x v="16"/>
    <x v="0"/>
    <x v="1"/>
    <n v="2.27"/>
    <n v="13674.03"/>
    <n v="62383.5"/>
    <x v="2"/>
  </r>
  <r>
    <x v="0"/>
    <x v="1"/>
    <x v="3"/>
    <x v="1"/>
    <x v="17"/>
    <x v="0"/>
    <x v="1"/>
    <n v="1.77"/>
    <n v="10662.13"/>
    <n v="48664.9"/>
    <x v="2"/>
  </r>
  <r>
    <x v="0"/>
    <x v="1"/>
    <x v="3"/>
    <x v="1"/>
    <x v="18"/>
    <x v="0"/>
    <x v="1"/>
    <n v="15.19"/>
    <n v="91501.52"/>
    <n v="417437.08"/>
    <x v="2"/>
  </r>
  <r>
    <x v="0"/>
    <x v="1"/>
    <x v="3"/>
    <x v="1"/>
    <x v="19"/>
    <x v="0"/>
    <x v="1"/>
    <n v="4.25"/>
    <n v="25601.15"/>
    <n v="116750.53"/>
    <x v="2"/>
  </r>
  <r>
    <x v="0"/>
    <x v="1"/>
    <x v="3"/>
    <x v="1"/>
    <x v="20"/>
    <x v="0"/>
    <x v="1"/>
    <n v="11.81"/>
    <n v="71141.08"/>
    <n v="324710.5"/>
    <x v="2"/>
  </r>
  <r>
    <x v="0"/>
    <x v="1"/>
    <x v="3"/>
    <x v="2"/>
    <x v="21"/>
    <x v="0"/>
    <x v="1"/>
    <n v="0"/>
    <n v="0"/>
    <n v="0"/>
    <x v="2"/>
  </r>
  <r>
    <x v="0"/>
    <x v="1"/>
    <x v="3"/>
    <x v="2"/>
    <x v="22"/>
    <x v="0"/>
    <x v="1"/>
    <n v="5.33"/>
    <n v="32106.85"/>
    <n v="146470.35"/>
    <x v="2"/>
  </r>
  <r>
    <x v="0"/>
    <x v="1"/>
    <x v="3"/>
    <x v="2"/>
    <x v="29"/>
    <x v="0"/>
    <x v="1"/>
    <n v="2.86"/>
    <n v="17228.07"/>
    <n v="78584.97"/>
    <x v="2"/>
  </r>
  <r>
    <x v="0"/>
    <x v="1"/>
    <x v="3"/>
    <x v="2"/>
    <x v="24"/>
    <x v="0"/>
    <x v="1"/>
    <n v="2.34"/>
    <n v="14095.69"/>
    <n v="64398.81"/>
    <x v="2"/>
  </r>
  <r>
    <x v="0"/>
    <x v="1"/>
    <x v="3"/>
    <x v="3"/>
    <x v="25"/>
    <x v="0"/>
    <x v="1"/>
    <n v="2.5099999999999998"/>
    <n v="15119.74"/>
    <n v="69092.94"/>
    <x v="2"/>
  </r>
  <r>
    <x v="0"/>
    <x v="1"/>
    <x v="3"/>
    <x v="3"/>
    <x v="26"/>
    <x v="0"/>
    <x v="1"/>
    <n v="2.61"/>
    <n v="15722.12"/>
    <n v="71708.87"/>
    <x v="2"/>
  </r>
  <r>
    <x v="0"/>
    <x v="1"/>
    <x v="3"/>
    <x v="3"/>
    <x v="27"/>
    <x v="0"/>
    <x v="1"/>
    <n v="7.61"/>
    <n v="45841.120000000003"/>
    <n v="209079.24"/>
    <x v="2"/>
  </r>
  <r>
    <x v="0"/>
    <x v="1"/>
    <x v="3"/>
    <x v="0"/>
    <x v="0"/>
    <x v="1"/>
    <x v="0"/>
    <n v="4.26"/>
    <n v="25661.39"/>
    <n v="76542.3"/>
    <x v="2"/>
  </r>
  <r>
    <x v="0"/>
    <x v="1"/>
    <x v="3"/>
    <x v="0"/>
    <x v="1"/>
    <x v="1"/>
    <x v="0"/>
    <n v="12.76"/>
    <n v="76863.69"/>
    <n v="225513.12"/>
    <x v="2"/>
  </r>
  <r>
    <x v="0"/>
    <x v="1"/>
    <x v="3"/>
    <x v="0"/>
    <x v="2"/>
    <x v="1"/>
    <x v="0"/>
    <n v="4.42"/>
    <n v="26625.200000000001"/>
    <n v="75502.75"/>
    <x v="2"/>
  </r>
  <r>
    <x v="0"/>
    <x v="1"/>
    <x v="3"/>
    <x v="0"/>
    <x v="3"/>
    <x v="1"/>
    <x v="0"/>
    <n v="9.59"/>
    <n v="57768.24"/>
    <n v="170232.65"/>
    <x v="2"/>
  </r>
  <r>
    <x v="0"/>
    <x v="1"/>
    <x v="3"/>
    <x v="0"/>
    <x v="28"/>
    <x v="1"/>
    <x v="0"/>
    <n v="0"/>
    <n v="0"/>
    <n v="0"/>
    <x v="2"/>
  </r>
  <r>
    <x v="0"/>
    <x v="1"/>
    <x v="3"/>
    <x v="0"/>
    <x v="4"/>
    <x v="1"/>
    <x v="0"/>
    <n v="6.25"/>
    <n v="37648.75"/>
    <n v="109961.2"/>
    <x v="2"/>
  </r>
  <r>
    <x v="0"/>
    <x v="1"/>
    <x v="3"/>
    <x v="0"/>
    <x v="5"/>
    <x v="1"/>
    <x v="0"/>
    <n v="2.96"/>
    <n v="17830.45"/>
    <n v="53684.99"/>
    <x v="2"/>
  </r>
  <r>
    <x v="0"/>
    <x v="1"/>
    <x v="3"/>
    <x v="0"/>
    <x v="6"/>
    <x v="1"/>
    <x v="0"/>
    <n v="0"/>
    <n v="0"/>
    <n v="0"/>
    <x v="2"/>
  </r>
  <r>
    <x v="0"/>
    <x v="1"/>
    <x v="3"/>
    <x v="0"/>
    <x v="7"/>
    <x v="1"/>
    <x v="0"/>
    <n v="0"/>
    <n v="0"/>
    <n v="0"/>
    <x v="2"/>
  </r>
  <r>
    <x v="0"/>
    <x v="1"/>
    <x v="3"/>
    <x v="0"/>
    <x v="8"/>
    <x v="1"/>
    <x v="0"/>
    <n v="0"/>
    <n v="0"/>
    <n v="0"/>
    <x v="2"/>
  </r>
  <r>
    <x v="0"/>
    <x v="1"/>
    <x v="3"/>
    <x v="1"/>
    <x v="30"/>
    <x v="1"/>
    <x v="0"/>
    <n v="3.61"/>
    <n v="21745.919999999998"/>
    <n v="68404.570000000007"/>
    <x v="2"/>
  </r>
  <r>
    <x v="0"/>
    <x v="1"/>
    <x v="3"/>
    <x v="1"/>
    <x v="9"/>
    <x v="1"/>
    <x v="0"/>
    <n v="0"/>
    <n v="0"/>
    <n v="0"/>
    <x v="2"/>
  </r>
  <r>
    <x v="0"/>
    <x v="1"/>
    <x v="3"/>
    <x v="1"/>
    <x v="31"/>
    <x v="1"/>
    <x v="0"/>
    <n v="2.14"/>
    <n v="12890.93"/>
    <n v="40842.089999999997"/>
    <x v="2"/>
  </r>
  <r>
    <x v="0"/>
    <x v="1"/>
    <x v="3"/>
    <x v="1"/>
    <x v="10"/>
    <x v="1"/>
    <x v="0"/>
    <n v="10.51"/>
    <n v="63310.14"/>
    <n v="197027.95"/>
    <x v="2"/>
  </r>
  <r>
    <x v="0"/>
    <x v="1"/>
    <x v="3"/>
    <x v="1"/>
    <x v="11"/>
    <x v="1"/>
    <x v="0"/>
    <n v="7.93"/>
    <n v="47768.73"/>
    <n v="141661.10999999999"/>
    <x v="2"/>
  </r>
  <r>
    <x v="0"/>
    <x v="1"/>
    <x v="3"/>
    <x v="1"/>
    <x v="12"/>
    <x v="1"/>
    <x v="0"/>
    <n v="1.49"/>
    <n v="8975.4599999999991"/>
    <n v="28042.12"/>
    <x v="2"/>
  </r>
  <r>
    <x v="0"/>
    <x v="1"/>
    <x v="3"/>
    <x v="1"/>
    <x v="13"/>
    <x v="1"/>
    <x v="0"/>
    <n v="2.13"/>
    <n v="12830.69"/>
    <n v="39915.17"/>
    <x v="2"/>
  </r>
  <r>
    <x v="0"/>
    <x v="1"/>
    <x v="3"/>
    <x v="1"/>
    <x v="14"/>
    <x v="1"/>
    <x v="0"/>
    <n v="17.87"/>
    <n v="107645.31"/>
    <n v="328020.28000000003"/>
    <x v="2"/>
  </r>
  <r>
    <x v="0"/>
    <x v="1"/>
    <x v="3"/>
    <x v="1"/>
    <x v="15"/>
    <x v="1"/>
    <x v="0"/>
    <n v="1.98"/>
    <n v="11927.12"/>
    <n v="37534.89"/>
    <x v="2"/>
  </r>
  <r>
    <x v="0"/>
    <x v="1"/>
    <x v="3"/>
    <x v="1"/>
    <x v="16"/>
    <x v="1"/>
    <x v="0"/>
    <n v="5.42"/>
    <n v="32649"/>
    <n v="97932.65"/>
    <x v="2"/>
  </r>
  <r>
    <x v="0"/>
    <x v="1"/>
    <x v="3"/>
    <x v="1"/>
    <x v="17"/>
    <x v="1"/>
    <x v="0"/>
    <n v="6.72"/>
    <n v="40479.94"/>
    <n v="122635.01"/>
    <x v="2"/>
  </r>
  <r>
    <x v="0"/>
    <x v="1"/>
    <x v="3"/>
    <x v="1"/>
    <x v="18"/>
    <x v="1"/>
    <x v="0"/>
    <n v="4.25"/>
    <n v="25601.15"/>
    <n v="81174.36"/>
    <x v="2"/>
  </r>
  <r>
    <x v="0"/>
    <x v="1"/>
    <x v="3"/>
    <x v="1"/>
    <x v="19"/>
    <x v="1"/>
    <x v="0"/>
    <n v="10.46"/>
    <n v="63008.95"/>
    <n v="193766.76"/>
    <x v="2"/>
  </r>
  <r>
    <x v="0"/>
    <x v="1"/>
    <x v="3"/>
    <x v="1"/>
    <x v="20"/>
    <x v="1"/>
    <x v="0"/>
    <n v="13.25"/>
    <n v="79815.350000000006"/>
    <n v="241510.01"/>
    <x v="2"/>
  </r>
  <r>
    <x v="0"/>
    <x v="1"/>
    <x v="3"/>
    <x v="2"/>
    <x v="21"/>
    <x v="1"/>
    <x v="0"/>
    <n v="0"/>
    <n v="0"/>
    <n v="0"/>
    <x v="2"/>
  </r>
  <r>
    <x v="0"/>
    <x v="1"/>
    <x v="3"/>
    <x v="2"/>
    <x v="22"/>
    <x v="1"/>
    <x v="0"/>
    <n v="6.45"/>
    <n v="38853.51"/>
    <n v="108032.14"/>
    <x v="2"/>
  </r>
  <r>
    <x v="0"/>
    <x v="1"/>
    <x v="3"/>
    <x v="2"/>
    <x v="29"/>
    <x v="1"/>
    <x v="0"/>
    <n v="0"/>
    <n v="0"/>
    <n v="0"/>
    <x v="2"/>
  </r>
  <r>
    <x v="0"/>
    <x v="1"/>
    <x v="3"/>
    <x v="2"/>
    <x v="23"/>
    <x v="1"/>
    <x v="0"/>
    <n v="0"/>
    <n v="0"/>
    <n v="0"/>
    <x v="2"/>
  </r>
  <r>
    <x v="0"/>
    <x v="1"/>
    <x v="3"/>
    <x v="2"/>
    <x v="24"/>
    <x v="1"/>
    <x v="0"/>
    <n v="2.4900000000000002"/>
    <n v="14999.26"/>
    <n v="42355.71"/>
    <x v="2"/>
  </r>
  <r>
    <x v="0"/>
    <x v="1"/>
    <x v="3"/>
    <x v="3"/>
    <x v="25"/>
    <x v="1"/>
    <x v="0"/>
    <n v="7.45"/>
    <n v="44877.31"/>
    <n v="140284.43"/>
    <x v="2"/>
  </r>
  <r>
    <x v="0"/>
    <x v="1"/>
    <x v="3"/>
    <x v="3"/>
    <x v="26"/>
    <x v="1"/>
    <x v="0"/>
    <n v="5.3"/>
    <n v="31926.14"/>
    <n v="100483.41"/>
    <x v="2"/>
  </r>
  <r>
    <x v="0"/>
    <x v="1"/>
    <x v="3"/>
    <x v="3"/>
    <x v="27"/>
    <x v="1"/>
    <x v="0"/>
    <n v="15.01"/>
    <n v="90417.24"/>
    <n v="279324.28000000003"/>
    <x v="2"/>
  </r>
  <r>
    <x v="0"/>
    <x v="1"/>
    <x v="3"/>
    <x v="0"/>
    <x v="0"/>
    <x v="1"/>
    <x v="1"/>
    <n v="10.69"/>
    <n v="64394.42"/>
    <n v="192077.86"/>
    <x v="2"/>
  </r>
  <r>
    <x v="0"/>
    <x v="1"/>
    <x v="3"/>
    <x v="0"/>
    <x v="1"/>
    <x v="1"/>
    <x v="1"/>
    <n v="16.66"/>
    <n v="100356.51"/>
    <n v="294459.81"/>
    <x v="2"/>
  </r>
  <r>
    <x v="0"/>
    <x v="1"/>
    <x v="3"/>
    <x v="0"/>
    <x v="2"/>
    <x v="1"/>
    <x v="1"/>
    <n v="16.489999999999998"/>
    <n v="99332.46"/>
    <n v="281419.34999999998"/>
    <x v="2"/>
  </r>
  <r>
    <x v="0"/>
    <x v="1"/>
    <x v="3"/>
    <x v="0"/>
    <x v="3"/>
    <x v="1"/>
    <x v="1"/>
    <n v="23.1"/>
    <n v="139149.78"/>
    <n v="410049.45"/>
    <x v="2"/>
  </r>
  <r>
    <x v="0"/>
    <x v="1"/>
    <x v="3"/>
    <x v="0"/>
    <x v="28"/>
    <x v="1"/>
    <x v="1"/>
    <n v="2.8"/>
    <n v="16866.64"/>
    <n v="50387.19"/>
    <x v="2"/>
  </r>
  <r>
    <x v="0"/>
    <x v="1"/>
    <x v="3"/>
    <x v="0"/>
    <x v="4"/>
    <x v="1"/>
    <x v="1"/>
    <n v="9.42"/>
    <n v="56744.2"/>
    <n v="165637.76000000001"/>
    <x v="2"/>
  </r>
  <r>
    <x v="0"/>
    <x v="1"/>
    <x v="3"/>
    <x v="0"/>
    <x v="5"/>
    <x v="1"/>
    <x v="1"/>
    <n v="24.39"/>
    <n v="146920.48000000001"/>
    <n v="441750.77"/>
    <x v="2"/>
  </r>
  <r>
    <x v="0"/>
    <x v="1"/>
    <x v="3"/>
    <x v="0"/>
    <x v="6"/>
    <x v="1"/>
    <x v="1"/>
    <n v="1.32"/>
    <n v="7951.42"/>
    <n v="23811.88"/>
    <x v="2"/>
  </r>
  <r>
    <x v="0"/>
    <x v="1"/>
    <x v="3"/>
    <x v="0"/>
    <x v="7"/>
    <x v="1"/>
    <x v="1"/>
    <n v="4.26"/>
    <n v="25661.39"/>
    <n v="78257.27"/>
    <x v="2"/>
  </r>
  <r>
    <x v="0"/>
    <x v="1"/>
    <x v="3"/>
    <x v="0"/>
    <x v="8"/>
    <x v="1"/>
    <x v="1"/>
    <n v="3.37"/>
    <n v="20300.21"/>
    <n v="58939.74"/>
    <x v="2"/>
  </r>
  <r>
    <x v="0"/>
    <x v="1"/>
    <x v="3"/>
    <x v="1"/>
    <x v="30"/>
    <x v="1"/>
    <x v="1"/>
    <n v="0"/>
    <n v="0"/>
    <n v="0"/>
    <x v="2"/>
  </r>
  <r>
    <x v="0"/>
    <x v="1"/>
    <x v="3"/>
    <x v="1"/>
    <x v="9"/>
    <x v="1"/>
    <x v="1"/>
    <n v="4.4000000000000004"/>
    <n v="26504.720000000001"/>
    <n v="83206.02"/>
    <x v="2"/>
  </r>
  <r>
    <x v="0"/>
    <x v="1"/>
    <x v="3"/>
    <x v="1"/>
    <x v="31"/>
    <x v="1"/>
    <x v="1"/>
    <n v="0"/>
    <n v="0"/>
    <n v="0"/>
    <x v="2"/>
  </r>
  <r>
    <x v="0"/>
    <x v="1"/>
    <x v="3"/>
    <x v="1"/>
    <x v="10"/>
    <x v="1"/>
    <x v="1"/>
    <n v="28.57"/>
    <n v="172099.97"/>
    <n v="535434.74"/>
    <x v="2"/>
  </r>
  <r>
    <x v="0"/>
    <x v="1"/>
    <x v="3"/>
    <x v="1"/>
    <x v="11"/>
    <x v="1"/>
    <x v="1"/>
    <n v="28.48"/>
    <n v="171557.82"/>
    <n v="508823.59"/>
    <x v="2"/>
  </r>
  <r>
    <x v="0"/>
    <x v="1"/>
    <x v="3"/>
    <x v="1"/>
    <x v="12"/>
    <x v="1"/>
    <x v="1"/>
    <n v="3.65"/>
    <n v="21986.87"/>
    <n v="68547.41"/>
    <x v="2"/>
  </r>
  <r>
    <x v="0"/>
    <x v="1"/>
    <x v="3"/>
    <x v="1"/>
    <x v="13"/>
    <x v="1"/>
    <x v="1"/>
    <n v="10.99"/>
    <n v="66201.56"/>
    <n v="205716.66"/>
    <x v="2"/>
  </r>
  <r>
    <x v="0"/>
    <x v="1"/>
    <x v="3"/>
    <x v="1"/>
    <x v="14"/>
    <x v="1"/>
    <x v="1"/>
    <n v="9.33"/>
    <n v="56202.05"/>
    <n v="171230.71"/>
    <x v="2"/>
  </r>
  <r>
    <x v="0"/>
    <x v="1"/>
    <x v="3"/>
    <x v="1"/>
    <x v="15"/>
    <x v="1"/>
    <x v="1"/>
    <n v="2.4500000000000002"/>
    <n v="14758.31"/>
    <n v="46471.77"/>
    <x v="2"/>
  </r>
  <r>
    <x v="0"/>
    <x v="1"/>
    <x v="3"/>
    <x v="1"/>
    <x v="16"/>
    <x v="1"/>
    <x v="1"/>
    <n v="10.83"/>
    <n v="65237.75"/>
    <n v="195865.31"/>
    <x v="2"/>
  </r>
  <r>
    <x v="0"/>
    <x v="1"/>
    <x v="3"/>
    <x v="1"/>
    <x v="17"/>
    <x v="1"/>
    <x v="1"/>
    <n v="4"/>
    <n v="24095.200000000001"/>
    <n v="72918.12"/>
    <x v="2"/>
  </r>
  <r>
    <x v="0"/>
    <x v="1"/>
    <x v="3"/>
    <x v="1"/>
    <x v="18"/>
    <x v="1"/>
    <x v="1"/>
    <n v="18.739999999999998"/>
    <n v="112886.01"/>
    <n v="357905.12"/>
    <x v="2"/>
  </r>
  <r>
    <x v="0"/>
    <x v="1"/>
    <x v="3"/>
    <x v="1"/>
    <x v="19"/>
    <x v="1"/>
    <x v="1"/>
    <n v="13.67"/>
    <n v="82345.350000000006"/>
    <n v="253269.94"/>
    <x v="2"/>
  </r>
  <r>
    <x v="0"/>
    <x v="1"/>
    <x v="3"/>
    <x v="1"/>
    <x v="20"/>
    <x v="1"/>
    <x v="1"/>
    <n v="24.61"/>
    <n v="148245.72"/>
    <n v="448518.6"/>
    <x v="2"/>
  </r>
  <r>
    <x v="0"/>
    <x v="1"/>
    <x v="3"/>
    <x v="2"/>
    <x v="21"/>
    <x v="1"/>
    <x v="1"/>
    <n v="2.19"/>
    <n v="13192.12"/>
    <n v="36655.800000000003"/>
    <x v="2"/>
  </r>
  <r>
    <x v="0"/>
    <x v="1"/>
    <x v="3"/>
    <x v="2"/>
    <x v="22"/>
    <x v="1"/>
    <x v="1"/>
    <n v="12.99"/>
    <n v="78249.16"/>
    <n v="217449.31"/>
    <x v="2"/>
  </r>
  <r>
    <x v="0"/>
    <x v="1"/>
    <x v="3"/>
    <x v="2"/>
    <x v="29"/>
    <x v="1"/>
    <x v="1"/>
    <n v="3.26"/>
    <n v="19637.59"/>
    <n v="57921.54"/>
    <x v="2"/>
  </r>
  <r>
    <x v="0"/>
    <x v="1"/>
    <x v="3"/>
    <x v="2"/>
    <x v="23"/>
    <x v="1"/>
    <x v="1"/>
    <n v="0.76"/>
    <n v="4578.09"/>
    <n v="13207.94"/>
    <x v="2"/>
  </r>
  <r>
    <x v="0"/>
    <x v="1"/>
    <x v="3"/>
    <x v="2"/>
    <x v="24"/>
    <x v="1"/>
    <x v="1"/>
    <n v="2.57"/>
    <n v="15481.17"/>
    <n v="43722.02"/>
    <x v="2"/>
  </r>
  <r>
    <x v="0"/>
    <x v="1"/>
    <x v="3"/>
    <x v="3"/>
    <x v="25"/>
    <x v="1"/>
    <x v="1"/>
    <n v="8.9700000000000006"/>
    <n v="54033.49"/>
    <n v="168944.69"/>
    <x v="2"/>
  </r>
  <r>
    <x v="0"/>
    <x v="1"/>
    <x v="3"/>
    <x v="3"/>
    <x v="26"/>
    <x v="1"/>
    <x v="1"/>
    <n v="22.06"/>
    <n v="132885.03"/>
    <n v="418430.91"/>
    <x v="2"/>
  </r>
  <r>
    <x v="0"/>
    <x v="1"/>
    <x v="3"/>
    <x v="3"/>
    <x v="27"/>
    <x v="1"/>
    <x v="1"/>
    <n v="29.86"/>
    <n v="179870.67"/>
    <n v="555579.06000000006"/>
    <x v="2"/>
  </r>
  <r>
    <x v="0"/>
    <x v="1"/>
    <x v="4"/>
    <x v="0"/>
    <x v="0"/>
    <x v="0"/>
    <x v="0"/>
    <n v="1.48"/>
    <n v="7802.75"/>
    <n v="36222.42"/>
    <x v="2"/>
  </r>
  <r>
    <x v="0"/>
    <x v="1"/>
    <x v="4"/>
    <x v="0"/>
    <x v="1"/>
    <x v="0"/>
    <x v="0"/>
    <n v="2.76"/>
    <n v="14551.08"/>
    <n v="67604.09"/>
    <x v="2"/>
  </r>
  <r>
    <x v="0"/>
    <x v="1"/>
    <x v="4"/>
    <x v="0"/>
    <x v="2"/>
    <x v="0"/>
    <x v="0"/>
    <n v="0"/>
    <n v="0"/>
    <n v="0"/>
    <x v="2"/>
  </r>
  <r>
    <x v="0"/>
    <x v="1"/>
    <x v="4"/>
    <x v="0"/>
    <x v="3"/>
    <x v="0"/>
    <x v="0"/>
    <n v="1.86"/>
    <n v="9806.16"/>
    <n v="45682.61"/>
    <x v="2"/>
  </r>
  <r>
    <x v="0"/>
    <x v="1"/>
    <x v="4"/>
    <x v="0"/>
    <x v="4"/>
    <x v="0"/>
    <x v="0"/>
    <n v="0"/>
    <n v="0"/>
    <n v="0"/>
    <x v="2"/>
  </r>
  <r>
    <x v="0"/>
    <x v="1"/>
    <x v="4"/>
    <x v="0"/>
    <x v="5"/>
    <x v="0"/>
    <x v="0"/>
    <n v="0"/>
    <n v="0"/>
    <n v="0"/>
    <x v="2"/>
  </r>
  <r>
    <x v="0"/>
    <x v="1"/>
    <x v="4"/>
    <x v="0"/>
    <x v="6"/>
    <x v="0"/>
    <x v="0"/>
    <n v="0"/>
    <n v="0"/>
    <n v="0"/>
    <x v="2"/>
  </r>
  <r>
    <x v="0"/>
    <x v="1"/>
    <x v="4"/>
    <x v="0"/>
    <x v="8"/>
    <x v="0"/>
    <x v="0"/>
    <n v="0"/>
    <n v="0"/>
    <n v="0"/>
    <x v="2"/>
  </r>
  <r>
    <x v="0"/>
    <x v="1"/>
    <x v="4"/>
    <x v="1"/>
    <x v="10"/>
    <x v="0"/>
    <x v="0"/>
    <n v="0.95"/>
    <n v="5008.5200000000004"/>
    <n v="23365.55"/>
    <x v="2"/>
  </r>
  <r>
    <x v="0"/>
    <x v="1"/>
    <x v="4"/>
    <x v="1"/>
    <x v="11"/>
    <x v="0"/>
    <x v="0"/>
    <n v="0"/>
    <n v="0"/>
    <n v="0"/>
    <x v="2"/>
  </r>
  <r>
    <x v="0"/>
    <x v="1"/>
    <x v="4"/>
    <x v="1"/>
    <x v="13"/>
    <x v="0"/>
    <x v="0"/>
    <n v="0"/>
    <n v="0"/>
    <n v="0"/>
    <x v="2"/>
  </r>
  <r>
    <x v="0"/>
    <x v="1"/>
    <x v="4"/>
    <x v="1"/>
    <x v="14"/>
    <x v="0"/>
    <x v="0"/>
    <n v="0"/>
    <n v="0"/>
    <n v="0"/>
    <x v="2"/>
  </r>
  <r>
    <x v="0"/>
    <x v="1"/>
    <x v="4"/>
    <x v="1"/>
    <x v="16"/>
    <x v="0"/>
    <x v="0"/>
    <n v="0"/>
    <n v="0"/>
    <n v="0"/>
    <x v="2"/>
  </r>
  <r>
    <x v="0"/>
    <x v="1"/>
    <x v="4"/>
    <x v="1"/>
    <x v="17"/>
    <x v="0"/>
    <x v="0"/>
    <n v="0"/>
    <n v="0"/>
    <n v="0"/>
    <x v="2"/>
  </r>
  <r>
    <x v="0"/>
    <x v="1"/>
    <x v="4"/>
    <x v="1"/>
    <x v="18"/>
    <x v="0"/>
    <x v="0"/>
    <n v="0"/>
    <n v="0"/>
    <n v="0"/>
    <x v="2"/>
  </r>
  <r>
    <x v="0"/>
    <x v="1"/>
    <x v="4"/>
    <x v="1"/>
    <x v="19"/>
    <x v="0"/>
    <x v="0"/>
    <n v="0"/>
    <n v="0"/>
    <n v="0"/>
    <x v="2"/>
  </r>
  <r>
    <x v="0"/>
    <x v="1"/>
    <x v="4"/>
    <x v="1"/>
    <x v="20"/>
    <x v="0"/>
    <x v="0"/>
    <n v="1.62"/>
    <n v="8540.85"/>
    <n v="39579.919999999998"/>
    <x v="2"/>
  </r>
  <r>
    <x v="0"/>
    <x v="1"/>
    <x v="4"/>
    <x v="2"/>
    <x v="21"/>
    <x v="0"/>
    <x v="0"/>
    <n v="1.29"/>
    <n v="6801.05"/>
    <n v="31712.15"/>
    <x v="2"/>
  </r>
  <r>
    <x v="0"/>
    <x v="1"/>
    <x v="4"/>
    <x v="2"/>
    <x v="22"/>
    <x v="0"/>
    <x v="0"/>
    <n v="0"/>
    <n v="0"/>
    <n v="0"/>
    <x v="2"/>
  </r>
  <r>
    <x v="0"/>
    <x v="1"/>
    <x v="4"/>
    <x v="2"/>
    <x v="29"/>
    <x v="0"/>
    <x v="0"/>
    <n v="0"/>
    <n v="0"/>
    <n v="0"/>
    <x v="2"/>
  </r>
  <r>
    <x v="0"/>
    <x v="1"/>
    <x v="4"/>
    <x v="2"/>
    <x v="24"/>
    <x v="0"/>
    <x v="0"/>
    <n v="0"/>
    <n v="0"/>
    <n v="0"/>
    <x v="2"/>
  </r>
  <r>
    <x v="0"/>
    <x v="1"/>
    <x v="4"/>
    <x v="3"/>
    <x v="25"/>
    <x v="0"/>
    <x v="0"/>
    <n v="0"/>
    <n v="0"/>
    <n v="0"/>
    <x v="2"/>
  </r>
  <r>
    <x v="0"/>
    <x v="1"/>
    <x v="4"/>
    <x v="3"/>
    <x v="26"/>
    <x v="0"/>
    <x v="0"/>
    <n v="1.01"/>
    <n v="5324.85"/>
    <n v="24859.09"/>
    <x v="2"/>
  </r>
  <r>
    <x v="0"/>
    <x v="1"/>
    <x v="4"/>
    <x v="3"/>
    <x v="27"/>
    <x v="0"/>
    <x v="0"/>
    <n v="0.88"/>
    <n v="4639.47"/>
    <n v="21503.75"/>
    <x v="2"/>
  </r>
  <r>
    <x v="0"/>
    <x v="1"/>
    <x v="4"/>
    <x v="0"/>
    <x v="0"/>
    <x v="0"/>
    <x v="1"/>
    <n v="0.87"/>
    <n v="4586.75"/>
    <n v="21307.3"/>
    <x v="2"/>
  </r>
  <r>
    <x v="0"/>
    <x v="1"/>
    <x v="4"/>
    <x v="0"/>
    <x v="1"/>
    <x v="0"/>
    <x v="1"/>
    <n v="4.24"/>
    <n v="22353.83"/>
    <n v="103786.56"/>
    <x v="2"/>
  </r>
  <r>
    <x v="0"/>
    <x v="1"/>
    <x v="4"/>
    <x v="0"/>
    <x v="2"/>
    <x v="0"/>
    <x v="1"/>
    <n v="2.8"/>
    <n v="14761.96"/>
    <n v="68616.210000000006"/>
    <x v="2"/>
  </r>
  <r>
    <x v="0"/>
    <x v="1"/>
    <x v="4"/>
    <x v="0"/>
    <x v="3"/>
    <x v="0"/>
    <x v="1"/>
    <n v="3.17"/>
    <n v="16712.650000000001"/>
    <n v="77660.429999999993"/>
    <x v="2"/>
  </r>
  <r>
    <x v="0"/>
    <x v="1"/>
    <x v="4"/>
    <x v="0"/>
    <x v="4"/>
    <x v="0"/>
    <x v="1"/>
    <n v="1.57"/>
    <n v="8277.24"/>
    <n v="38536.89"/>
    <x v="2"/>
  </r>
  <r>
    <x v="0"/>
    <x v="1"/>
    <x v="4"/>
    <x v="0"/>
    <x v="5"/>
    <x v="0"/>
    <x v="1"/>
    <n v="2.2799999999999998"/>
    <n v="12020.46"/>
    <n v="55838.53"/>
    <x v="2"/>
  </r>
  <r>
    <x v="0"/>
    <x v="1"/>
    <x v="4"/>
    <x v="0"/>
    <x v="6"/>
    <x v="0"/>
    <x v="1"/>
    <n v="1.87"/>
    <n v="9858.8799999999992"/>
    <n v="45940.85"/>
    <x v="2"/>
  </r>
  <r>
    <x v="0"/>
    <x v="1"/>
    <x v="4"/>
    <x v="0"/>
    <x v="8"/>
    <x v="0"/>
    <x v="1"/>
    <n v="2.68"/>
    <n v="14129.31"/>
    <n v="65628.789999999994"/>
    <x v="2"/>
  </r>
  <r>
    <x v="0"/>
    <x v="1"/>
    <x v="4"/>
    <x v="1"/>
    <x v="10"/>
    <x v="0"/>
    <x v="1"/>
    <n v="1.33"/>
    <n v="7011.93"/>
    <n v="32711.77"/>
    <x v="2"/>
  </r>
  <r>
    <x v="0"/>
    <x v="1"/>
    <x v="4"/>
    <x v="1"/>
    <x v="11"/>
    <x v="0"/>
    <x v="1"/>
    <n v="7.44"/>
    <n v="39224.65"/>
    <n v="182375.5"/>
    <x v="2"/>
  </r>
  <r>
    <x v="0"/>
    <x v="1"/>
    <x v="4"/>
    <x v="1"/>
    <x v="13"/>
    <x v="0"/>
    <x v="1"/>
    <n v="3.26"/>
    <n v="17187.14"/>
    <n v="79971.490000000005"/>
    <x v="2"/>
  </r>
  <r>
    <x v="0"/>
    <x v="1"/>
    <x v="4"/>
    <x v="1"/>
    <x v="14"/>
    <x v="0"/>
    <x v="1"/>
    <n v="1.44"/>
    <n v="7591.87"/>
    <n v="35256.83"/>
    <x v="2"/>
  </r>
  <r>
    <x v="0"/>
    <x v="1"/>
    <x v="4"/>
    <x v="1"/>
    <x v="16"/>
    <x v="0"/>
    <x v="1"/>
    <n v="0.85"/>
    <n v="4481.3100000000004"/>
    <n v="20774.2"/>
    <x v="2"/>
  </r>
  <r>
    <x v="0"/>
    <x v="1"/>
    <x v="4"/>
    <x v="1"/>
    <x v="17"/>
    <x v="0"/>
    <x v="1"/>
    <n v="0.8"/>
    <n v="4217.7"/>
    <n v="19494.57"/>
    <x v="2"/>
  </r>
  <r>
    <x v="0"/>
    <x v="1"/>
    <x v="4"/>
    <x v="1"/>
    <x v="18"/>
    <x v="0"/>
    <x v="1"/>
    <n v="7.93"/>
    <n v="41807.99"/>
    <n v="194413.92"/>
    <x v="2"/>
  </r>
  <r>
    <x v="0"/>
    <x v="1"/>
    <x v="4"/>
    <x v="1"/>
    <x v="19"/>
    <x v="0"/>
    <x v="1"/>
    <n v="2.93"/>
    <n v="15447.34"/>
    <n v="71898.63"/>
    <x v="2"/>
  </r>
  <r>
    <x v="0"/>
    <x v="1"/>
    <x v="4"/>
    <x v="1"/>
    <x v="20"/>
    <x v="0"/>
    <x v="1"/>
    <n v="5.8"/>
    <n v="30578.35"/>
    <n v="142022.07"/>
    <x v="2"/>
  </r>
  <r>
    <x v="0"/>
    <x v="1"/>
    <x v="4"/>
    <x v="2"/>
    <x v="21"/>
    <x v="0"/>
    <x v="1"/>
    <n v="0"/>
    <n v="0"/>
    <n v="0"/>
    <x v="2"/>
  </r>
  <r>
    <x v="0"/>
    <x v="1"/>
    <x v="4"/>
    <x v="2"/>
    <x v="22"/>
    <x v="0"/>
    <x v="1"/>
    <n v="3.14"/>
    <n v="16554.490000000002"/>
    <n v="76841.490000000005"/>
    <x v="2"/>
  </r>
  <r>
    <x v="0"/>
    <x v="1"/>
    <x v="4"/>
    <x v="2"/>
    <x v="29"/>
    <x v="0"/>
    <x v="1"/>
    <n v="1.34"/>
    <n v="7064.65"/>
    <n v="32835.71"/>
    <x v="2"/>
  </r>
  <r>
    <x v="0"/>
    <x v="1"/>
    <x v="4"/>
    <x v="2"/>
    <x v="24"/>
    <x v="0"/>
    <x v="1"/>
    <n v="1.6"/>
    <n v="8435.41"/>
    <n v="39214.6"/>
    <x v="2"/>
  </r>
  <r>
    <x v="0"/>
    <x v="1"/>
    <x v="4"/>
    <x v="3"/>
    <x v="25"/>
    <x v="0"/>
    <x v="1"/>
    <n v="1.34"/>
    <n v="7064.65"/>
    <n v="32914.269999999997"/>
    <x v="2"/>
  </r>
  <r>
    <x v="0"/>
    <x v="1"/>
    <x v="4"/>
    <x v="3"/>
    <x v="26"/>
    <x v="0"/>
    <x v="1"/>
    <n v="1.2"/>
    <n v="6326.56"/>
    <n v="29378.92"/>
    <x v="2"/>
  </r>
  <r>
    <x v="0"/>
    <x v="1"/>
    <x v="4"/>
    <x v="3"/>
    <x v="27"/>
    <x v="0"/>
    <x v="1"/>
    <n v="3.57"/>
    <n v="18821.5"/>
    <n v="87550.97"/>
    <x v="2"/>
  </r>
  <r>
    <x v="0"/>
    <x v="1"/>
    <x v="4"/>
    <x v="0"/>
    <x v="0"/>
    <x v="1"/>
    <x v="0"/>
    <n v="6.92"/>
    <n v="36483.14"/>
    <n v="110820.54"/>
    <x v="2"/>
  </r>
  <r>
    <x v="0"/>
    <x v="1"/>
    <x v="4"/>
    <x v="0"/>
    <x v="1"/>
    <x v="1"/>
    <x v="0"/>
    <n v="12.06"/>
    <n v="63581.89"/>
    <n v="189983.35999999999"/>
    <x v="2"/>
  </r>
  <r>
    <x v="0"/>
    <x v="1"/>
    <x v="4"/>
    <x v="0"/>
    <x v="2"/>
    <x v="1"/>
    <x v="0"/>
    <n v="6.24"/>
    <n v="32898.089999999997"/>
    <n v="94914.86"/>
    <x v="2"/>
  </r>
  <r>
    <x v="0"/>
    <x v="1"/>
    <x v="4"/>
    <x v="0"/>
    <x v="3"/>
    <x v="1"/>
    <x v="0"/>
    <n v="7.19"/>
    <n v="37906.61"/>
    <n v="113761.42"/>
    <x v="2"/>
  </r>
  <r>
    <x v="0"/>
    <x v="1"/>
    <x v="4"/>
    <x v="0"/>
    <x v="28"/>
    <x v="1"/>
    <x v="0"/>
    <n v="0"/>
    <n v="0"/>
    <n v="0"/>
    <x v="2"/>
  </r>
  <r>
    <x v="0"/>
    <x v="1"/>
    <x v="4"/>
    <x v="0"/>
    <x v="4"/>
    <x v="1"/>
    <x v="0"/>
    <n v="7.5"/>
    <n v="39540.980000000003"/>
    <n v="117634.33"/>
    <x v="2"/>
  </r>
  <r>
    <x v="0"/>
    <x v="1"/>
    <x v="4"/>
    <x v="0"/>
    <x v="5"/>
    <x v="1"/>
    <x v="0"/>
    <n v="2.94"/>
    <n v="15500.06"/>
    <n v="47555.81"/>
    <x v="2"/>
  </r>
  <r>
    <x v="0"/>
    <x v="1"/>
    <x v="4"/>
    <x v="0"/>
    <x v="6"/>
    <x v="1"/>
    <x v="0"/>
    <n v="0"/>
    <n v="0"/>
    <n v="0"/>
    <x v="2"/>
  </r>
  <r>
    <x v="0"/>
    <x v="1"/>
    <x v="4"/>
    <x v="0"/>
    <x v="7"/>
    <x v="1"/>
    <x v="0"/>
    <n v="0"/>
    <n v="0"/>
    <n v="0"/>
    <x v="2"/>
  </r>
  <r>
    <x v="0"/>
    <x v="1"/>
    <x v="4"/>
    <x v="0"/>
    <x v="8"/>
    <x v="1"/>
    <x v="0"/>
    <n v="0"/>
    <n v="0"/>
    <n v="0"/>
    <x v="2"/>
  </r>
  <r>
    <x v="0"/>
    <x v="1"/>
    <x v="4"/>
    <x v="1"/>
    <x v="30"/>
    <x v="1"/>
    <x v="0"/>
    <n v="1.84"/>
    <n v="9700.7199999999993"/>
    <n v="31061.24"/>
    <x v="2"/>
  </r>
  <r>
    <x v="0"/>
    <x v="1"/>
    <x v="4"/>
    <x v="1"/>
    <x v="9"/>
    <x v="1"/>
    <x v="0"/>
    <n v="0"/>
    <n v="0"/>
    <n v="0"/>
    <x v="2"/>
  </r>
  <r>
    <x v="0"/>
    <x v="1"/>
    <x v="4"/>
    <x v="1"/>
    <x v="31"/>
    <x v="1"/>
    <x v="0"/>
    <n v="5.46"/>
    <n v="28785.83"/>
    <n v="93000.06"/>
    <x v="2"/>
  </r>
  <r>
    <x v="0"/>
    <x v="1"/>
    <x v="4"/>
    <x v="1"/>
    <x v="10"/>
    <x v="1"/>
    <x v="0"/>
    <n v="10.52"/>
    <n v="55462.81"/>
    <n v="175777.11"/>
    <x v="2"/>
  </r>
  <r>
    <x v="0"/>
    <x v="1"/>
    <x v="4"/>
    <x v="1"/>
    <x v="11"/>
    <x v="1"/>
    <x v="0"/>
    <n v="7.34"/>
    <n v="38697.43"/>
    <n v="116894.57"/>
    <x v="2"/>
  </r>
  <r>
    <x v="0"/>
    <x v="1"/>
    <x v="4"/>
    <x v="1"/>
    <x v="12"/>
    <x v="1"/>
    <x v="0"/>
    <n v="2.42"/>
    <n v="12758.55"/>
    <n v="40583.74"/>
    <x v="2"/>
  </r>
  <r>
    <x v="0"/>
    <x v="1"/>
    <x v="4"/>
    <x v="1"/>
    <x v="13"/>
    <x v="1"/>
    <x v="0"/>
    <n v="4.5599999999999996"/>
    <n v="24040.91"/>
    <n v="76041.289999999994"/>
    <x v="2"/>
  </r>
  <r>
    <x v="0"/>
    <x v="1"/>
    <x v="4"/>
    <x v="1"/>
    <x v="14"/>
    <x v="1"/>
    <x v="0"/>
    <n v="15.19"/>
    <n v="80083.649999999994"/>
    <n v="248614.7"/>
    <x v="2"/>
  </r>
  <r>
    <x v="0"/>
    <x v="1"/>
    <x v="4"/>
    <x v="1"/>
    <x v="15"/>
    <x v="1"/>
    <x v="0"/>
    <n v="0"/>
    <n v="0"/>
    <n v="0"/>
    <x v="2"/>
  </r>
  <r>
    <x v="0"/>
    <x v="1"/>
    <x v="4"/>
    <x v="1"/>
    <x v="16"/>
    <x v="1"/>
    <x v="0"/>
    <n v="6.32"/>
    <n v="33319.86"/>
    <n v="101849.42"/>
    <x v="2"/>
  </r>
  <r>
    <x v="0"/>
    <x v="1"/>
    <x v="4"/>
    <x v="1"/>
    <x v="17"/>
    <x v="1"/>
    <x v="0"/>
    <n v="6.5"/>
    <n v="34268.85"/>
    <n v="105741.02"/>
    <x v="2"/>
  </r>
  <r>
    <x v="0"/>
    <x v="1"/>
    <x v="4"/>
    <x v="1"/>
    <x v="18"/>
    <x v="1"/>
    <x v="0"/>
    <n v="5.1100000000000003"/>
    <n v="26940.58"/>
    <n v="87069.56"/>
    <x v="2"/>
  </r>
  <r>
    <x v="0"/>
    <x v="1"/>
    <x v="4"/>
    <x v="1"/>
    <x v="19"/>
    <x v="1"/>
    <x v="0"/>
    <n v="12.57"/>
    <n v="66270.67"/>
    <n v="207641.81"/>
    <x v="2"/>
  </r>
  <r>
    <x v="0"/>
    <x v="1"/>
    <x v="4"/>
    <x v="1"/>
    <x v="20"/>
    <x v="1"/>
    <x v="0"/>
    <n v="13.53"/>
    <n v="71331.92"/>
    <n v="219867.65"/>
    <x v="2"/>
  </r>
  <r>
    <x v="0"/>
    <x v="1"/>
    <x v="4"/>
    <x v="2"/>
    <x v="21"/>
    <x v="1"/>
    <x v="0"/>
    <n v="0"/>
    <n v="0"/>
    <n v="0"/>
    <x v="2"/>
  </r>
  <r>
    <x v="0"/>
    <x v="1"/>
    <x v="4"/>
    <x v="2"/>
    <x v="22"/>
    <x v="1"/>
    <x v="0"/>
    <n v="8.42"/>
    <n v="44391.33"/>
    <n v="125641.79"/>
    <x v="2"/>
  </r>
  <r>
    <x v="0"/>
    <x v="1"/>
    <x v="4"/>
    <x v="2"/>
    <x v="29"/>
    <x v="1"/>
    <x v="0"/>
    <n v="0"/>
    <n v="0"/>
    <n v="0"/>
    <x v="2"/>
  </r>
  <r>
    <x v="0"/>
    <x v="1"/>
    <x v="4"/>
    <x v="2"/>
    <x v="23"/>
    <x v="1"/>
    <x v="0"/>
    <n v="0"/>
    <n v="0"/>
    <n v="0"/>
    <x v="2"/>
  </r>
  <r>
    <x v="0"/>
    <x v="1"/>
    <x v="4"/>
    <x v="2"/>
    <x v="24"/>
    <x v="1"/>
    <x v="0"/>
    <n v="2.2799999999999998"/>
    <n v="12020.46"/>
    <n v="34596.910000000003"/>
    <x v="2"/>
  </r>
  <r>
    <x v="0"/>
    <x v="1"/>
    <x v="4"/>
    <x v="3"/>
    <x v="25"/>
    <x v="1"/>
    <x v="0"/>
    <n v="8.2899999999999991"/>
    <n v="43705.96"/>
    <n v="139156.57"/>
    <x v="2"/>
  </r>
  <r>
    <x v="0"/>
    <x v="1"/>
    <x v="4"/>
    <x v="3"/>
    <x v="26"/>
    <x v="1"/>
    <x v="0"/>
    <n v="4.43"/>
    <n v="23355.54"/>
    <n v="74924.02"/>
    <x v="2"/>
  </r>
  <r>
    <x v="0"/>
    <x v="1"/>
    <x v="4"/>
    <x v="3"/>
    <x v="27"/>
    <x v="1"/>
    <x v="0"/>
    <n v="11.88"/>
    <n v="62632.9"/>
    <n v="197129.4"/>
    <x v="2"/>
  </r>
  <r>
    <x v="0"/>
    <x v="1"/>
    <x v="4"/>
    <x v="0"/>
    <x v="0"/>
    <x v="1"/>
    <x v="1"/>
    <n v="17.02"/>
    <n v="89731.65"/>
    <n v="272789.01"/>
    <x v="2"/>
  </r>
  <r>
    <x v="0"/>
    <x v="1"/>
    <x v="4"/>
    <x v="0"/>
    <x v="1"/>
    <x v="1"/>
    <x v="1"/>
    <n v="19.010000000000002"/>
    <n v="100223.19"/>
    <n v="299544.32000000001"/>
    <x v="2"/>
  </r>
  <r>
    <x v="0"/>
    <x v="1"/>
    <x v="4"/>
    <x v="0"/>
    <x v="2"/>
    <x v="1"/>
    <x v="1"/>
    <n v="19.940000000000001"/>
    <n v="105126.27"/>
    <n v="303439.92"/>
    <x v="2"/>
  </r>
  <r>
    <x v="0"/>
    <x v="1"/>
    <x v="4"/>
    <x v="0"/>
    <x v="3"/>
    <x v="1"/>
    <x v="1"/>
    <n v="24.38"/>
    <n v="128534.53"/>
    <n v="385896.59"/>
    <x v="2"/>
  </r>
  <r>
    <x v="0"/>
    <x v="1"/>
    <x v="4"/>
    <x v="0"/>
    <x v="28"/>
    <x v="1"/>
    <x v="1"/>
    <n v="2.4700000000000002"/>
    <n v="13022.16"/>
    <n v="39560.370000000003"/>
    <x v="2"/>
  </r>
  <r>
    <x v="0"/>
    <x v="1"/>
    <x v="4"/>
    <x v="0"/>
    <x v="4"/>
    <x v="1"/>
    <x v="1"/>
    <n v="7.41"/>
    <n v="39066.480000000003"/>
    <n v="116282.21"/>
    <x v="2"/>
  </r>
  <r>
    <x v="0"/>
    <x v="1"/>
    <x v="4"/>
    <x v="0"/>
    <x v="5"/>
    <x v="1"/>
    <x v="1"/>
    <n v="23.22"/>
    <n v="122418.86"/>
    <n v="375011.56"/>
    <x v="2"/>
  </r>
  <r>
    <x v="0"/>
    <x v="1"/>
    <x v="4"/>
    <x v="0"/>
    <x v="6"/>
    <x v="1"/>
    <x v="1"/>
    <n v="3.96"/>
    <n v="20877.63"/>
    <n v="63767.76"/>
    <x v="2"/>
  </r>
  <r>
    <x v="0"/>
    <x v="1"/>
    <x v="4"/>
    <x v="0"/>
    <x v="7"/>
    <x v="1"/>
    <x v="1"/>
    <n v="4.46"/>
    <n v="23513.7"/>
    <n v="72979.28"/>
    <x v="2"/>
  </r>
  <r>
    <x v="0"/>
    <x v="1"/>
    <x v="4"/>
    <x v="0"/>
    <x v="8"/>
    <x v="1"/>
    <x v="1"/>
    <n v="3.87"/>
    <n v="20403.14"/>
    <n v="60392.26"/>
    <x v="2"/>
  </r>
  <r>
    <x v="0"/>
    <x v="1"/>
    <x v="4"/>
    <x v="1"/>
    <x v="30"/>
    <x v="1"/>
    <x v="1"/>
    <n v="0"/>
    <n v="0"/>
    <n v="0"/>
    <x v="2"/>
  </r>
  <r>
    <x v="0"/>
    <x v="1"/>
    <x v="4"/>
    <x v="1"/>
    <x v="9"/>
    <x v="1"/>
    <x v="1"/>
    <n v="5.58"/>
    <n v="29418.49"/>
    <n v="93987.67"/>
    <x v="2"/>
  </r>
  <r>
    <x v="0"/>
    <x v="1"/>
    <x v="4"/>
    <x v="1"/>
    <x v="31"/>
    <x v="1"/>
    <x v="1"/>
    <n v="0"/>
    <n v="0"/>
    <n v="0"/>
    <x v="2"/>
  </r>
  <r>
    <x v="0"/>
    <x v="1"/>
    <x v="4"/>
    <x v="1"/>
    <x v="10"/>
    <x v="1"/>
    <x v="1"/>
    <n v="28.99"/>
    <n v="152839.04999999999"/>
    <n v="484458.86"/>
    <x v="2"/>
  </r>
  <r>
    <x v="0"/>
    <x v="1"/>
    <x v="4"/>
    <x v="1"/>
    <x v="11"/>
    <x v="1"/>
    <x v="1"/>
    <n v="27.66"/>
    <n v="145827.12"/>
    <n v="440507.94"/>
    <x v="2"/>
  </r>
  <r>
    <x v="0"/>
    <x v="1"/>
    <x v="4"/>
    <x v="1"/>
    <x v="12"/>
    <x v="1"/>
    <x v="1"/>
    <n v="2.81"/>
    <n v="14814.69"/>
    <n v="47129.51"/>
    <x v="2"/>
  </r>
  <r>
    <x v="0"/>
    <x v="1"/>
    <x v="4"/>
    <x v="1"/>
    <x v="13"/>
    <x v="1"/>
    <x v="1"/>
    <n v="12.96"/>
    <n v="68326.8"/>
    <n v="216195.83"/>
    <x v="2"/>
  </r>
  <r>
    <x v="0"/>
    <x v="1"/>
    <x v="4"/>
    <x v="1"/>
    <x v="14"/>
    <x v="1"/>
    <x v="1"/>
    <n v="7.08"/>
    <n v="37326.68"/>
    <n v="115831.85"/>
    <x v="2"/>
  </r>
  <r>
    <x v="0"/>
    <x v="1"/>
    <x v="4"/>
    <x v="1"/>
    <x v="15"/>
    <x v="1"/>
    <x v="1"/>
    <n v="0"/>
    <n v="0"/>
    <n v="0"/>
    <x v="2"/>
  </r>
  <r>
    <x v="0"/>
    <x v="1"/>
    <x v="4"/>
    <x v="1"/>
    <x v="16"/>
    <x v="1"/>
    <x v="1"/>
    <n v="8.5399999999999991"/>
    <n v="45023.99"/>
    <n v="137634.35999999999"/>
    <x v="2"/>
  </r>
  <r>
    <x v="0"/>
    <x v="1"/>
    <x v="4"/>
    <x v="1"/>
    <x v="17"/>
    <x v="1"/>
    <x v="1"/>
    <n v="5.37"/>
    <n v="28311.34"/>
    <n v="87351.27"/>
    <x v="2"/>
  </r>
  <r>
    <x v="0"/>
    <x v="1"/>
    <x v="4"/>
    <x v="1"/>
    <x v="18"/>
    <x v="1"/>
    <x v="1"/>
    <n v="23.35"/>
    <n v="123104.24"/>
    <n v="397725.14"/>
    <x v="2"/>
  </r>
  <r>
    <x v="0"/>
    <x v="1"/>
    <x v="4"/>
    <x v="1"/>
    <x v="19"/>
    <x v="1"/>
    <x v="1"/>
    <n v="14.09"/>
    <n v="74284.31"/>
    <n v="232726.05"/>
    <x v="2"/>
  </r>
  <r>
    <x v="0"/>
    <x v="1"/>
    <x v="4"/>
    <x v="1"/>
    <x v="20"/>
    <x v="1"/>
    <x v="1"/>
    <n v="22.25"/>
    <n v="117304.89"/>
    <n v="361500.19"/>
    <x v="2"/>
  </r>
  <r>
    <x v="0"/>
    <x v="1"/>
    <x v="4"/>
    <x v="2"/>
    <x v="21"/>
    <x v="1"/>
    <x v="1"/>
    <n v="1.44"/>
    <n v="7591.87"/>
    <n v="21524.32"/>
    <x v="2"/>
  </r>
  <r>
    <x v="0"/>
    <x v="1"/>
    <x v="4"/>
    <x v="2"/>
    <x v="22"/>
    <x v="1"/>
    <x v="1"/>
    <n v="12.87"/>
    <n v="67852.31"/>
    <n v="192018.58"/>
    <x v="2"/>
  </r>
  <r>
    <x v="0"/>
    <x v="1"/>
    <x v="4"/>
    <x v="2"/>
    <x v="29"/>
    <x v="1"/>
    <x v="1"/>
    <n v="2.0099999999999998"/>
    <n v="10596.98"/>
    <n v="31944.799999999999"/>
    <x v="2"/>
  </r>
  <r>
    <x v="0"/>
    <x v="1"/>
    <x v="4"/>
    <x v="2"/>
    <x v="23"/>
    <x v="1"/>
    <x v="1"/>
    <n v="2.37"/>
    <n v="12494.95"/>
    <n v="36826.43"/>
    <x v="2"/>
  </r>
  <r>
    <x v="0"/>
    <x v="1"/>
    <x v="4"/>
    <x v="2"/>
    <x v="24"/>
    <x v="1"/>
    <x v="1"/>
    <n v="3.42"/>
    <n v="18030.68"/>
    <n v="51895.360000000001"/>
    <x v="2"/>
  </r>
  <r>
    <x v="0"/>
    <x v="1"/>
    <x v="4"/>
    <x v="3"/>
    <x v="25"/>
    <x v="1"/>
    <x v="1"/>
    <n v="7.81"/>
    <n v="41175.339999999997"/>
    <n v="131050.36"/>
    <x v="2"/>
  </r>
  <r>
    <x v="0"/>
    <x v="1"/>
    <x v="4"/>
    <x v="3"/>
    <x v="26"/>
    <x v="1"/>
    <x v="1"/>
    <n v="11.93"/>
    <n v="62896.51"/>
    <n v="201718.51"/>
    <x v="2"/>
  </r>
  <r>
    <x v="0"/>
    <x v="1"/>
    <x v="4"/>
    <x v="3"/>
    <x v="27"/>
    <x v="1"/>
    <x v="1"/>
    <n v="27.12"/>
    <n v="142980.17000000001"/>
    <n v="449918.87"/>
    <x v="2"/>
  </r>
  <r>
    <x v="0"/>
    <x v="1"/>
    <x v="5"/>
    <x v="0"/>
    <x v="0"/>
    <x v="0"/>
    <x v="0"/>
    <n v="1.96"/>
    <n v="10969.94"/>
    <n v="45092.91"/>
    <x v="2"/>
  </r>
  <r>
    <x v="0"/>
    <x v="1"/>
    <x v="5"/>
    <x v="0"/>
    <x v="1"/>
    <x v="0"/>
    <x v="0"/>
    <n v="3.59"/>
    <n v="20092.91"/>
    <n v="82545.399999999994"/>
    <x v="2"/>
  </r>
  <r>
    <x v="0"/>
    <x v="1"/>
    <x v="5"/>
    <x v="0"/>
    <x v="2"/>
    <x v="0"/>
    <x v="0"/>
    <n v="0"/>
    <n v="0"/>
    <n v="0"/>
    <x v="2"/>
  </r>
  <r>
    <x v="0"/>
    <x v="1"/>
    <x v="5"/>
    <x v="0"/>
    <x v="3"/>
    <x v="0"/>
    <x v="0"/>
    <n v="1.53"/>
    <n v="8563.27"/>
    <n v="35182.33"/>
    <x v="2"/>
  </r>
  <r>
    <x v="0"/>
    <x v="1"/>
    <x v="5"/>
    <x v="0"/>
    <x v="4"/>
    <x v="0"/>
    <x v="0"/>
    <n v="0"/>
    <n v="0"/>
    <n v="0"/>
    <x v="2"/>
  </r>
  <r>
    <x v="0"/>
    <x v="1"/>
    <x v="5"/>
    <x v="0"/>
    <x v="5"/>
    <x v="0"/>
    <x v="0"/>
    <n v="0"/>
    <n v="0"/>
    <n v="0"/>
    <x v="2"/>
  </r>
  <r>
    <x v="0"/>
    <x v="1"/>
    <x v="5"/>
    <x v="0"/>
    <x v="6"/>
    <x v="0"/>
    <x v="0"/>
    <n v="0"/>
    <n v="0"/>
    <n v="0"/>
    <x v="2"/>
  </r>
  <r>
    <x v="0"/>
    <x v="1"/>
    <x v="5"/>
    <x v="0"/>
    <x v="8"/>
    <x v="0"/>
    <x v="0"/>
    <n v="0"/>
    <n v="0"/>
    <n v="0"/>
    <x v="2"/>
  </r>
  <r>
    <x v="0"/>
    <x v="1"/>
    <x v="5"/>
    <x v="1"/>
    <x v="10"/>
    <x v="0"/>
    <x v="0"/>
    <n v="1.39"/>
    <n v="7779.7"/>
    <n v="31949.119999999999"/>
    <x v="2"/>
  </r>
  <r>
    <x v="0"/>
    <x v="1"/>
    <x v="5"/>
    <x v="1"/>
    <x v="11"/>
    <x v="0"/>
    <x v="0"/>
    <n v="0"/>
    <n v="0"/>
    <n v="0"/>
    <x v="2"/>
  </r>
  <r>
    <x v="0"/>
    <x v="1"/>
    <x v="5"/>
    <x v="1"/>
    <x v="13"/>
    <x v="0"/>
    <x v="0"/>
    <n v="0"/>
    <n v="0"/>
    <n v="0"/>
    <x v="2"/>
  </r>
  <r>
    <x v="0"/>
    <x v="1"/>
    <x v="5"/>
    <x v="1"/>
    <x v="14"/>
    <x v="0"/>
    <x v="0"/>
    <n v="0"/>
    <n v="0"/>
    <n v="0"/>
    <x v="2"/>
  </r>
  <r>
    <x v="0"/>
    <x v="1"/>
    <x v="5"/>
    <x v="1"/>
    <x v="16"/>
    <x v="0"/>
    <x v="0"/>
    <n v="0"/>
    <n v="0"/>
    <n v="0"/>
    <x v="2"/>
  </r>
  <r>
    <x v="0"/>
    <x v="1"/>
    <x v="5"/>
    <x v="1"/>
    <x v="17"/>
    <x v="0"/>
    <x v="0"/>
    <n v="0"/>
    <n v="0"/>
    <n v="0"/>
    <x v="2"/>
  </r>
  <r>
    <x v="0"/>
    <x v="1"/>
    <x v="5"/>
    <x v="1"/>
    <x v="18"/>
    <x v="0"/>
    <x v="0"/>
    <n v="0"/>
    <n v="0"/>
    <n v="0"/>
    <x v="2"/>
  </r>
  <r>
    <x v="0"/>
    <x v="1"/>
    <x v="5"/>
    <x v="1"/>
    <x v="19"/>
    <x v="0"/>
    <x v="0"/>
    <n v="0"/>
    <n v="0"/>
    <n v="0"/>
    <x v="2"/>
  </r>
  <r>
    <x v="0"/>
    <x v="1"/>
    <x v="5"/>
    <x v="1"/>
    <x v="20"/>
    <x v="0"/>
    <x v="0"/>
    <n v="1.7"/>
    <n v="9514.75"/>
    <n v="39066.75"/>
    <x v="2"/>
  </r>
  <r>
    <x v="0"/>
    <x v="1"/>
    <x v="5"/>
    <x v="2"/>
    <x v="21"/>
    <x v="0"/>
    <x v="0"/>
    <n v="1.67"/>
    <n v="9346.84"/>
    <n v="38443.01"/>
    <x v="2"/>
  </r>
  <r>
    <x v="0"/>
    <x v="1"/>
    <x v="5"/>
    <x v="2"/>
    <x v="22"/>
    <x v="0"/>
    <x v="0"/>
    <n v="0"/>
    <n v="0"/>
    <n v="0"/>
    <x v="2"/>
  </r>
  <r>
    <x v="0"/>
    <x v="1"/>
    <x v="5"/>
    <x v="2"/>
    <x v="29"/>
    <x v="0"/>
    <x v="0"/>
    <n v="0"/>
    <n v="0"/>
    <n v="0"/>
    <x v="2"/>
  </r>
  <r>
    <x v="0"/>
    <x v="1"/>
    <x v="5"/>
    <x v="2"/>
    <x v="24"/>
    <x v="0"/>
    <x v="0"/>
    <n v="0"/>
    <n v="0"/>
    <n v="0"/>
    <x v="2"/>
  </r>
  <r>
    <x v="0"/>
    <x v="1"/>
    <x v="5"/>
    <x v="3"/>
    <x v="25"/>
    <x v="0"/>
    <x v="0"/>
    <n v="0"/>
    <n v="0"/>
    <n v="0"/>
    <x v="2"/>
  </r>
  <r>
    <x v="0"/>
    <x v="1"/>
    <x v="5"/>
    <x v="3"/>
    <x v="26"/>
    <x v="0"/>
    <x v="0"/>
    <n v="1.61"/>
    <n v="9011.0300000000007"/>
    <n v="37071.71"/>
    <x v="2"/>
  </r>
  <r>
    <x v="0"/>
    <x v="1"/>
    <x v="5"/>
    <x v="3"/>
    <x v="27"/>
    <x v="0"/>
    <x v="0"/>
    <n v="2.19"/>
    <n v="12257.23"/>
    <n v="50339.6"/>
    <x v="2"/>
  </r>
  <r>
    <x v="0"/>
    <x v="1"/>
    <x v="5"/>
    <x v="0"/>
    <x v="0"/>
    <x v="0"/>
    <x v="1"/>
    <n v="1.62"/>
    <n v="9066.99"/>
    <n v="37250.660000000003"/>
    <x v="2"/>
  </r>
  <r>
    <x v="0"/>
    <x v="1"/>
    <x v="5"/>
    <x v="0"/>
    <x v="1"/>
    <x v="0"/>
    <x v="1"/>
    <n v="4.1500000000000004"/>
    <n v="23227.18"/>
    <n v="95244.7"/>
    <x v="2"/>
  </r>
  <r>
    <x v="0"/>
    <x v="1"/>
    <x v="5"/>
    <x v="0"/>
    <x v="2"/>
    <x v="0"/>
    <x v="1"/>
    <n v="4.34"/>
    <n v="24290.59"/>
    <n v="99673.12"/>
    <x v="2"/>
  </r>
  <r>
    <x v="0"/>
    <x v="1"/>
    <x v="5"/>
    <x v="0"/>
    <x v="3"/>
    <x v="0"/>
    <x v="1"/>
    <n v="5.59"/>
    <n v="31286.73"/>
    <n v="128312.04"/>
    <x v="2"/>
  </r>
  <r>
    <x v="0"/>
    <x v="1"/>
    <x v="5"/>
    <x v="0"/>
    <x v="4"/>
    <x v="0"/>
    <x v="1"/>
    <n v="0.39"/>
    <n v="2182.79"/>
    <n v="9005.15"/>
    <x v="2"/>
  </r>
  <r>
    <x v="0"/>
    <x v="1"/>
    <x v="5"/>
    <x v="0"/>
    <x v="5"/>
    <x v="0"/>
    <x v="1"/>
    <n v="3.19"/>
    <n v="17854.14"/>
    <n v="73174.59"/>
    <x v="2"/>
  </r>
  <r>
    <x v="0"/>
    <x v="1"/>
    <x v="5"/>
    <x v="0"/>
    <x v="6"/>
    <x v="0"/>
    <x v="1"/>
    <n v="1.44"/>
    <n v="8059.55"/>
    <n v="33084.089999999997"/>
    <x v="2"/>
  </r>
  <r>
    <x v="0"/>
    <x v="1"/>
    <x v="5"/>
    <x v="0"/>
    <x v="8"/>
    <x v="0"/>
    <x v="1"/>
    <n v="2.14"/>
    <n v="11977.39"/>
    <n v="49217.23"/>
    <x v="2"/>
  </r>
  <r>
    <x v="0"/>
    <x v="1"/>
    <x v="5"/>
    <x v="1"/>
    <x v="10"/>
    <x v="0"/>
    <x v="1"/>
    <n v="3.04"/>
    <n v="17014.61"/>
    <n v="69888.7"/>
    <x v="2"/>
  </r>
  <r>
    <x v="0"/>
    <x v="1"/>
    <x v="5"/>
    <x v="1"/>
    <x v="11"/>
    <x v="0"/>
    <x v="1"/>
    <n v="8.5399999999999991"/>
    <n v="47797.61"/>
    <n v="196146.47"/>
    <x v="2"/>
  </r>
  <r>
    <x v="0"/>
    <x v="1"/>
    <x v="5"/>
    <x v="1"/>
    <x v="13"/>
    <x v="0"/>
    <x v="1"/>
    <n v="5.68"/>
    <n v="31790.45"/>
    <n v="130477.64"/>
    <x v="2"/>
  </r>
  <r>
    <x v="0"/>
    <x v="1"/>
    <x v="5"/>
    <x v="1"/>
    <x v="14"/>
    <x v="0"/>
    <x v="1"/>
    <n v="1.29"/>
    <n v="7220.01"/>
    <n v="29649.57"/>
    <x v="2"/>
  </r>
  <r>
    <x v="0"/>
    <x v="1"/>
    <x v="5"/>
    <x v="1"/>
    <x v="16"/>
    <x v="0"/>
    <x v="1"/>
    <n v="1.06"/>
    <n v="5932.72"/>
    <n v="24428.62"/>
    <x v="2"/>
  </r>
  <r>
    <x v="0"/>
    <x v="1"/>
    <x v="5"/>
    <x v="1"/>
    <x v="17"/>
    <x v="0"/>
    <x v="1"/>
    <n v="1.81"/>
    <n v="10130.41"/>
    <n v="41662.660000000003"/>
    <x v="2"/>
  </r>
  <r>
    <x v="0"/>
    <x v="1"/>
    <x v="5"/>
    <x v="1"/>
    <x v="18"/>
    <x v="0"/>
    <x v="1"/>
    <n v="10.09"/>
    <n v="56472.82"/>
    <n v="231678.68"/>
    <x v="2"/>
  </r>
  <r>
    <x v="0"/>
    <x v="1"/>
    <x v="5"/>
    <x v="1"/>
    <x v="19"/>
    <x v="0"/>
    <x v="1"/>
    <n v="3.98"/>
    <n v="22275.7"/>
    <n v="91294.07"/>
    <x v="2"/>
  </r>
  <r>
    <x v="0"/>
    <x v="1"/>
    <x v="5"/>
    <x v="1"/>
    <x v="20"/>
    <x v="0"/>
    <x v="1"/>
    <n v="10.11"/>
    <n v="56584.76"/>
    <n v="232230.13"/>
    <x v="2"/>
  </r>
  <r>
    <x v="0"/>
    <x v="1"/>
    <x v="5"/>
    <x v="2"/>
    <x v="21"/>
    <x v="0"/>
    <x v="1"/>
    <n v="0"/>
    <n v="0"/>
    <n v="0"/>
    <x v="2"/>
  </r>
  <r>
    <x v="0"/>
    <x v="1"/>
    <x v="5"/>
    <x v="2"/>
    <x v="22"/>
    <x v="0"/>
    <x v="1"/>
    <n v="2.72"/>
    <n v="15223.6"/>
    <n v="62398.16"/>
    <x v="2"/>
  </r>
  <r>
    <x v="0"/>
    <x v="1"/>
    <x v="5"/>
    <x v="2"/>
    <x v="29"/>
    <x v="0"/>
    <x v="1"/>
    <n v="1.34"/>
    <n v="7499.86"/>
    <n v="30867.71"/>
    <x v="2"/>
  </r>
  <r>
    <x v="0"/>
    <x v="1"/>
    <x v="5"/>
    <x v="2"/>
    <x v="24"/>
    <x v="0"/>
    <x v="1"/>
    <n v="1.94"/>
    <n v="10858.01"/>
    <n v="44461"/>
    <x v="2"/>
  </r>
  <r>
    <x v="0"/>
    <x v="1"/>
    <x v="5"/>
    <x v="3"/>
    <x v="25"/>
    <x v="0"/>
    <x v="1"/>
    <n v="1.39"/>
    <n v="7779.7"/>
    <n v="31924.06"/>
    <x v="2"/>
  </r>
  <r>
    <x v="0"/>
    <x v="1"/>
    <x v="5"/>
    <x v="3"/>
    <x v="26"/>
    <x v="0"/>
    <x v="1"/>
    <n v="1.36"/>
    <n v="7611.8"/>
    <n v="31218.28"/>
    <x v="2"/>
  </r>
  <r>
    <x v="0"/>
    <x v="1"/>
    <x v="5"/>
    <x v="3"/>
    <x v="27"/>
    <x v="0"/>
    <x v="1"/>
    <n v="8.35"/>
    <n v="46734.2"/>
    <n v="191769.92"/>
    <x v="2"/>
  </r>
  <r>
    <x v="0"/>
    <x v="1"/>
    <x v="5"/>
    <x v="0"/>
    <x v="0"/>
    <x v="1"/>
    <x v="0"/>
    <n v="3.8"/>
    <n v="21268.26"/>
    <n v="57034.13"/>
    <x v="2"/>
  </r>
  <r>
    <x v="0"/>
    <x v="1"/>
    <x v="5"/>
    <x v="0"/>
    <x v="1"/>
    <x v="1"/>
    <x v="0"/>
    <n v="10.72"/>
    <n v="59998.879999999997"/>
    <n v="158336.85999999999"/>
    <x v="2"/>
  </r>
  <r>
    <x v="0"/>
    <x v="1"/>
    <x v="5"/>
    <x v="0"/>
    <x v="2"/>
    <x v="1"/>
    <x v="0"/>
    <n v="4.3600000000000003"/>
    <n v="24402.53"/>
    <n v="62157.88"/>
    <x v="2"/>
  </r>
  <r>
    <x v="0"/>
    <x v="1"/>
    <x v="5"/>
    <x v="0"/>
    <x v="3"/>
    <x v="1"/>
    <x v="0"/>
    <n v="8.2899999999999991"/>
    <n v="46398.38"/>
    <n v="123003.2"/>
    <x v="2"/>
  </r>
  <r>
    <x v="0"/>
    <x v="1"/>
    <x v="5"/>
    <x v="0"/>
    <x v="28"/>
    <x v="1"/>
    <x v="0"/>
    <n v="0"/>
    <n v="0"/>
    <n v="0"/>
    <x v="2"/>
  </r>
  <r>
    <x v="0"/>
    <x v="1"/>
    <x v="5"/>
    <x v="0"/>
    <x v="4"/>
    <x v="1"/>
    <x v="0"/>
    <n v="3.83"/>
    <n v="21436.17"/>
    <n v="56239.01"/>
    <x v="2"/>
  </r>
  <r>
    <x v="0"/>
    <x v="1"/>
    <x v="5"/>
    <x v="0"/>
    <x v="5"/>
    <x v="1"/>
    <x v="0"/>
    <n v="2.62"/>
    <n v="14663.9"/>
    <n v="39686.54"/>
    <x v="2"/>
  </r>
  <r>
    <x v="0"/>
    <x v="1"/>
    <x v="5"/>
    <x v="0"/>
    <x v="6"/>
    <x v="1"/>
    <x v="0"/>
    <n v="0"/>
    <n v="0"/>
    <n v="0"/>
    <x v="2"/>
  </r>
  <r>
    <x v="0"/>
    <x v="1"/>
    <x v="5"/>
    <x v="0"/>
    <x v="7"/>
    <x v="1"/>
    <x v="0"/>
    <n v="0"/>
    <n v="0"/>
    <n v="0"/>
    <x v="2"/>
  </r>
  <r>
    <x v="0"/>
    <x v="1"/>
    <x v="5"/>
    <x v="0"/>
    <x v="8"/>
    <x v="1"/>
    <x v="0"/>
    <n v="0"/>
    <n v="0"/>
    <n v="0"/>
    <x v="2"/>
  </r>
  <r>
    <x v="0"/>
    <x v="1"/>
    <x v="5"/>
    <x v="1"/>
    <x v="30"/>
    <x v="1"/>
    <x v="0"/>
    <n v="1.52"/>
    <n v="8507.2999999999993"/>
    <n v="24031.86"/>
    <x v="2"/>
  </r>
  <r>
    <x v="0"/>
    <x v="1"/>
    <x v="5"/>
    <x v="1"/>
    <x v="9"/>
    <x v="1"/>
    <x v="0"/>
    <n v="0"/>
    <n v="0"/>
    <n v="0"/>
    <x v="2"/>
  </r>
  <r>
    <x v="0"/>
    <x v="1"/>
    <x v="5"/>
    <x v="1"/>
    <x v="31"/>
    <x v="1"/>
    <x v="0"/>
    <n v="3.02"/>
    <n v="16902.669999999998"/>
    <n v="48204.1"/>
    <x v="2"/>
  </r>
  <r>
    <x v="0"/>
    <x v="1"/>
    <x v="5"/>
    <x v="1"/>
    <x v="10"/>
    <x v="1"/>
    <x v="0"/>
    <n v="6.05"/>
    <n v="33861.31"/>
    <n v="94772"/>
    <x v="2"/>
  </r>
  <r>
    <x v="0"/>
    <x v="1"/>
    <x v="5"/>
    <x v="1"/>
    <x v="11"/>
    <x v="1"/>
    <x v="0"/>
    <n v="8.06"/>
    <n v="45111.09"/>
    <n v="120237.38"/>
    <x v="2"/>
  </r>
  <r>
    <x v="0"/>
    <x v="1"/>
    <x v="5"/>
    <x v="1"/>
    <x v="12"/>
    <x v="1"/>
    <x v="0"/>
    <n v="0.96"/>
    <n v="5373.03"/>
    <n v="15046.74"/>
    <x v="2"/>
  </r>
  <r>
    <x v="0"/>
    <x v="1"/>
    <x v="5"/>
    <x v="1"/>
    <x v="13"/>
    <x v="1"/>
    <x v="0"/>
    <n v="4.49"/>
    <n v="25130.13"/>
    <n v="70167.77"/>
    <x v="2"/>
  </r>
  <r>
    <x v="0"/>
    <x v="1"/>
    <x v="5"/>
    <x v="1"/>
    <x v="14"/>
    <x v="1"/>
    <x v="0"/>
    <n v="10.89"/>
    <n v="60950.35"/>
    <n v="167098.69"/>
    <x v="2"/>
  </r>
  <r>
    <x v="0"/>
    <x v="1"/>
    <x v="5"/>
    <x v="1"/>
    <x v="15"/>
    <x v="1"/>
    <x v="0"/>
    <n v="1.46"/>
    <n v="8171.49"/>
    <n v="23194.53"/>
    <x v="2"/>
  </r>
  <r>
    <x v="0"/>
    <x v="1"/>
    <x v="5"/>
    <x v="1"/>
    <x v="16"/>
    <x v="1"/>
    <x v="0"/>
    <n v="3.95"/>
    <n v="22107.79"/>
    <n v="59755.17"/>
    <x v="2"/>
  </r>
  <r>
    <x v="0"/>
    <x v="1"/>
    <x v="5"/>
    <x v="1"/>
    <x v="17"/>
    <x v="1"/>
    <x v="0"/>
    <n v="4.41"/>
    <n v="24682.37"/>
    <n v="67261.53"/>
    <x v="2"/>
  </r>
  <r>
    <x v="0"/>
    <x v="1"/>
    <x v="5"/>
    <x v="1"/>
    <x v="18"/>
    <x v="1"/>
    <x v="0"/>
    <n v="6"/>
    <n v="33581.46"/>
    <n v="95733.95"/>
    <x v="2"/>
  </r>
  <r>
    <x v="0"/>
    <x v="1"/>
    <x v="5"/>
    <x v="1"/>
    <x v="19"/>
    <x v="1"/>
    <x v="0"/>
    <n v="5.98"/>
    <n v="33469.519999999997"/>
    <n v="92513.12"/>
    <x v="2"/>
  </r>
  <r>
    <x v="0"/>
    <x v="1"/>
    <x v="5"/>
    <x v="1"/>
    <x v="20"/>
    <x v="1"/>
    <x v="0"/>
    <n v="8.7799999999999994"/>
    <n v="49140.87"/>
    <n v="133744.26999999999"/>
    <x v="2"/>
  </r>
  <r>
    <x v="0"/>
    <x v="1"/>
    <x v="5"/>
    <x v="2"/>
    <x v="21"/>
    <x v="1"/>
    <x v="0"/>
    <n v="0"/>
    <n v="0"/>
    <n v="0"/>
    <x v="2"/>
  </r>
  <r>
    <x v="0"/>
    <x v="1"/>
    <x v="5"/>
    <x v="2"/>
    <x v="22"/>
    <x v="1"/>
    <x v="0"/>
    <n v="4.9800000000000004"/>
    <n v="27872.61"/>
    <n v="69606.23"/>
    <x v="2"/>
  </r>
  <r>
    <x v="0"/>
    <x v="1"/>
    <x v="5"/>
    <x v="2"/>
    <x v="29"/>
    <x v="1"/>
    <x v="0"/>
    <n v="0"/>
    <n v="0"/>
    <n v="0"/>
    <x v="2"/>
  </r>
  <r>
    <x v="0"/>
    <x v="1"/>
    <x v="5"/>
    <x v="2"/>
    <x v="23"/>
    <x v="1"/>
    <x v="0"/>
    <n v="0"/>
    <n v="0"/>
    <n v="0"/>
    <x v="2"/>
  </r>
  <r>
    <x v="0"/>
    <x v="1"/>
    <x v="5"/>
    <x v="2"/>
    <x v="24"/>
    <x v="1"/>
    <x v="0"/>
    <n v="1.1000000000000001"/>
    <n v="6156.6"/>
    <n v="15702.59"/>
    <x v="2"/>
  </r>
  <r>
    <x v="0"/>
    <x v="1"/>
    <x v="5"/>
    <x v="3"/>
    <x v="25"/>
    <x v="1"/>
    <x v="0"/>
    <n v="4.37"/>
    <n v="24458.5"/>
    <n v="68718.64"/>
    <x v="2"/>
  </r>
  <r>
    <x v="0"/>
    <x v="1"/>
    <x v="5"/>
    <x v="3"/>
    <x v="26"/>
    <x v="1"/>
    <x v="0"/>
    <n v="4.67"/>
    <n v="26137.57"/>
    <n v="73918.52"/>
    <x v="2"/>
  </r>
  <r>
    <x v="0"/>
    <x v="1"/>
    <x v="5"/>
    <x v="3"/>
    <x v="27"/>
    <x v="1"/>
    <x v="0"/>
    <n v="10.17"/>
    <n v="56920.57"/>
    <n v="158050.04"/>
    <x v="2"/>
  </r>
  <r>
    <x v="0"/>
    <x v="1"/>
    <x v="5"/>
    <x v="0"/>
    <x v="0"/>
    <x v="1"/>
    <x v="1"/>
    <n v="6.04"/>
    <n v="33805.339999999997"/>
    <n v="90736.12"/>
    <x v="2"/>
  </r>
  <r>
    <x v="0"/>
    <x v="1"/>
    <x v="5"/>
    <x v="0"/>
    <x v="1"/>
    <x v="1"/>
    <x v="1"/>
    <n v="11.86"/>
    <n v="66379.350000000006"/>
    <n v="175130.16"/>
    <x v="2"/>
  </r>
  <r>
    <x v="0"/>
    <x v="1"/>
    <x v="5"/>
    <x v="0"/>
    <x v="2"/>
    <x v="1"/>
    <x v="1"/>
    <n v="9.4"/>
    <n v="52610.95"/>
    <n v="134066.01"/>
    <x v="2"/>
  </r>
  <r>
    <x v="0"/>
    <x v="1"/>
    <x v="5"/>
    <x v="0"/>
    <x v="3"/>
    <x v="1"/>
    <x v="1"/>
    <n v="18.829999999999998"/>
    <n v="105389.82"/>
    <n v="279343.71000000002"/>
    <x v="2"/>
  </r>
  <r>
    <x v="0"/>
    <x v="1"/>
    <x v="5"/>
    <x v="0"/>
    <x v="28"/>
    <x v="1"/>
    <x v="1"/>
    <n v="0.74"/>
    <n v="4141.71"/>
    <n v="11102.65"/>
    <x v="2"/>
  </r>
  <r>
    <x v="0"/>
    <x v="1"/>
    <x v="5"/>
    <x v="0"/>
    <x v="4"/>
    <x v="1"/>
    <x v="1"/>
    <n v="5.36"/>
    <n v="29999.439999999999"/>
    <n v="78734.62"/>
    <x v="2"/>
  </r>
  <r>
    <x v="0"/>
    <x v="1"/>
    <x v="5"/>
    <x v="0"/>
    <x v="5"/>
    <x v="1"/>
    <x v="1"/>
    <n v="21.56"/>
    <n v="120669.38"/>
    <n v="326311.56"/>
    <x v="2"/>
  </r>
  <r>
    <x v="0"/>
    <x v="1"/>
    <x v="5"/>
    <x v="0"/>
    <x v="6"/>
    <x v="1"/>
    <x v="1"/>
    <n v="1.04"/>
    <n v="5820.79"/>
    <n v="15625.22"/>
    <x v="2"/>
  </r>
  <r>
    <x v="0"/>
    <x v="1"/>
    <x v="5"/>
    <x v="0"/>
    <x v="7"/>
    <x v="1"/>
    <x v="1"/>
    <n v="2.98"/>
    <n v="16678.79"/>
    <n v="45685.48"/>
    <x v="2"/>
  </r>
  <r>
    <x v="0"/>
    <x v="1"/>
    <x v="5"/>
    <x v="0"/>
    <x v="8"/>
    <x v="1"/>
    <x v="1"/>
    <n v="1.61"/>
    <n v="9011.0300000000007"/>
    <n v="23515.87"/>
    <x v="2"/>
  </r>
  <r>
    <x v="0"/>
    <x v="1"/>
    <x v="5"/>
    <x v="1"/>
    <x v="30"/>
    <x v="1"/>
    <x v="1"/>
    <n v="0"/>
    <n v="0"/>
    <n v="0"/>
    <x v="2"/>
  </r>
  <r>
    <x v="0"/>
    <x v="1"/>
    <x v="5"/>
    <x v="1"/>
    <x v="9"/>
    <x v="1"/>
    <x v="1"/>
    <n v="3.44"/>
    <n v="19253.37"/>
    <n v="54338.57"/>
    <x v="2"/>
  </r>
  <r>
    <x v="0"/>
    <x v="1"/>
    <x v="5"/>
    <x v="1"/>
    <x v="31"/>
    <x v="1"/>
    <x v="1"/>
    <n v="0"/>
    <n v="0"/>
    <n v="0"/>
    <x v="2"/>
  </r>
  <r>
    <x v="0"/>
    <x v="1"/>
    <x v="5"/>
    <x v="1"/>
    <x v="10"/>
    <x v="1"/>
    <x v="1"/>
    <n v="23.95"/>
    <n v="134045.99"/>
    <n v="375139.18"/>
    <x v="2"/>
  </r>
  <r>
    <x v="0"/>
    <x v="1"/>
    <x v="5"/>
    <x v="1"/>
    <x v="11"/>
    <x v="1"/>
    <x v="1"/>
    <n v="25.57"/>
    <n v="143112.99"/>
    <n v="381622.98"/>
    <x v="2"/>
  </r>
  <r>
    <x v="0"/>
    <x v="1"/>
    <x v="5"/>
    <x v="1"/>
    <x v="12"/>
    <x v="1"/>
    <x v="1"/>
    <n v="2.78"/>
    <n v="15559.41"/>
    <n v="43635.55"/>
    <x v="2"/>
  </r>
  <r>
    <x v="0"/>
    <x v="1"/>
    <x v="5"/>
    <x v="1"/>
    <x v="13"/>
    <x v="1"/>
    <x v="1"/>
    <n v="7.73"/>
    <n v="43264.11"/>
    <n v="120904.46"/>
    <x v="2"/>
  </r>
  <r>
    <x v="0"/>
    <x v="1"/>
    <x v="5"/>
    <x v="1"/>
    <x v="14"/>
    <x v="1"/>
    <x v="1"/>
    <n v="5.27"/>
    <n v="29495.72"/>
    <n v="80854.210000000006"/>
    <x v="2"/>
  </r>
  <r>
    <x v="0"/>
    <x v="1"/>
    <x v="5"/>
    <x v="1"/>
    <x v="15"/>
    <x v="1"/>
    <x v="1"/>
    <n v="1.46"/>
    <n v="8171.49"/>
    <n v="23194.53"/>
    <x v="2"/>
  </r>
  <r>
    <x v="0"/>
    <x v="1"/>
    <x v="5"/>
    <x v="1"/>
    <x v="16"/>
    <x v="1"/>
    <x v="1"/>
    <n v="7.63"/>
    <n v="42704.42"/>
    <n v="115316.99"/>
    <x v="2"/>
  </r>
  <r>
    <x v="0"/>
    <x v="1"/>
    <x v="5"/>
    <x v="1"/>
    <x v="17"/>
    <x v="1"/>
    <x v="1"/>
    <n v="3.84"/>
    <n v="21492.13"/>
    <n v="58488.29"/>
    <x v="2"/>
  </r>
  <r>
    <x v="0"/>
    <x v="1"/>
    <x v="5"/>
    <x v="1"/>
    <x v="18"/>
    <x v="1"/>
    <x v="1"/>
    <n v="23.91"/>
    <n v="133822.12"/>
    <n v="381624.39"/>
    <x v="2"/>
  </r>
  <r>
    <x v="0"/>
    <x v="1"/>
    <x v="5"/>
    <x v="1"/>
    <x v="19"/>
    <x v="1"/>
    <x v="1"/>
    <n v="8.9"/>
    <n v="49812.5"/>
    <n v="137718.39000000001"/>
    <x v="2"/>
  </r>
  <r>
    <x v="0"/>
    <x v="1"/>
    <x v="5"/>
    <x v="1"/>
    <x v="20"/>
    <x v="1"/>
    <x v="1"/>
    <n v="17.079999999999998"/>
    <n v="95595.22"/>
    <n v="260058.31"/>
    <x v="2"/>
  </r>
  <r>
    <x v="0"/>
    <x v="1"/>
    <x v="5"/>
    <x v="2"/>
    <x v="21"/>
    <x v="1"/>
    <x v="1"/>
    <n v="1.88"/>
    <n v="10522.19"/>
    <n v="26224.39"/>
    <x v="2"/>
  </r>
  <r>
    <x v="0"/>
    <x v="1"/>
    <x v="5"/>
    <x v="2"/>
    <x v="22"/>
    <x v="1"/>
    <x v="1"/>
    <n v="10.45"/>
    <n v="58487.71"/>
    <n v="146173.09"/>
    <x v="2"/>
  </r>
  <r>
    <x v="0"/>
    <x v="1"/>
    <x v="5"/>
    <x v="2"/>
    <x v="29"/>
    <x v="1"/>
    <x v="1"/>
    <n v="1.38"/>
    <n v="7723.74"/>
    <n v="20554.259999999998"/>
    <x v="2"/>
  </r>
  <r>
    <x v="0"/>
    <x v="1"/>
    <x v="5"/>
    <x v="2"/>
    <x v="23"/>
    <x v="1"/>
    <x v="1"/>
    <n v="1.93"/>
    <n v="10802.04"/>
    <n v="28113.97"/>
    <x v="2"/>
  </r>
  <r>
    <x v="0"/>
    <x v="1"/>
    <x v="5"/>
    <x v="2"/>
    <x v="24"/>
    <x v="1"/>
    <x v="1"/>
    <n v="1.7"/>
    <n v="9514.75"/>
    <n v="24267.64"/>
    <x v="2"/>
  </r>
  <r>
    <x v="0"/>
    <x v="1"/>
    <x v="5"/>
    <x v="3"/>
    <x v="25"/>
    <x v="1"/>
    <x v="1"/>
    <n v="7.76"/>
    <n v="43432.02"/>
    <n v="122010.65"/>
    <x v="2"/>
  </r>
  <r>
    <x v="0"/>
    <x v="1"/>
    <x v="5"/>
    <x v="3"/>
    <x v="26"/>
    <x v="1"/>
    <x v="1"/>
    <n v="11.27"/>
    <n v="63077.18"/>
    <n v="178520.21"/>
    <x v="2"/>
  </r>
  <r>
    <x v="0"/>
    <x v="1"/>
    <x v="5"/>
    <x v="3"/>
    <x v="27"/>
    <x v="1"/>
    <x v="1"/>
    <n v="26.83"/>
    <n v="150165.1"/>
    <n v="417148.45"/>
    <x v="2"/>
  </r>
  <r>
    <x v="0"/>
    <x v="1"/>
    <x v="6"/>
    <x v="0"/>
    <x v="0"/>
    <x v="0"/>
    <x v="0"/>
    <n v="1.9"/>
    <n v="5045.01"/>
    <n v="17774.689999999999"/>
    <x v="2"/>
  </r>
  <r>
    <x v="0"/>
    <x v="1"/>
    <x v="6"/>
    <x v="0"/>
    <x v="1"/>
    <x v="0"/>
    <x v="0"/>
    <n v="2.66"/>
    <n v="7063.02"/>
    <n v="24931.07"/>
    <x v="2"/>
  </r>
  <r>
    <x v="0"/>
    <x v="1"/>
    <x v="6"/>
    <x v="0"/>
    <x v="2"/>
    <x v="0"/>
    <x v="0"/>
    <n v="0"/>
    <n v="0"/>
    <n v="0"/>
    <x v="2"/>
  </r>
  <r>
    <x v="0"/>
    <x v="1"/>
    <x v="6"/>
    <x v="0"/>
    <x v="3"/>
    <x v="0"/>
    <x v="0"/>
    <n v="1.31"/>
    <n v="3478.4"/>
    <n v="12297.83"/>
    <x v="2"/>
  </r>
  <r>
    <x v="0"/>
    <x v="1"/>
    <x v="6"/>
    <x v="0"/>
    <x v="4"/>
    <x v="0"/>
    <x v="0"/>
    <n v="0"/>
    <n v="0"/>
    <n v="0"/>
    <x v="2"/>
  </r>
  <r>
    <x v="0"/>
    <x v="1"/>
    <x v="6"/>
    <x v="0"/>
    <x v="5"/>
    <x v="0"/>
    <x v="0"/>
    <n v="0"/>
    <n v="0"/>
    <n v="0"/>
    <x v="2"/>
  </r>
  <r>
    <x v="0"/>
    <x v="1"/>
    <x v="6"/>
    <x v="0"/>
    <x v="6"/>
    <x v="0"/>
    <x v="0"/>
    <n v="0"/>
    <n v="0"/>
    <n v="0"/>
    <x v="2"/>
  </r>
  <r>
    <x v="0"/>
    <x v="1"/>
    <x v="6"/>
    <x v="0"/>
    <x v="8"/>
    <x v="0"/>
    <x v="0"/>
    <n v="0"/>
    <n v="0"/>
    <n v="0"/>
    <x v="2"/>
  </r>
  <r>
    <x v="0"/>
    <x v="1"/>
    <x v="6"/>
    <x v="1"/>
    <x v="10"/>
    <x v="0"/>
    <x v="0"/>
    <n v="2.36"/>
    <n v="6266.44"/>
    <n v="22077.43"/>
    <x v="2"/>
  </r>
  <r>
    <x v="0"/>
    <x v="1"/>
    <x v="6"/>
    <x v="1"/>
    <x v="11"/>
    <x v="0"/>
    <x v="0"/>
    <n v="0"/>
    <n v="0"/>
    <n v="0"/>
    <x v="2"/>
  </r>
  <r>
    <x v="0"/>
    <x v="1"/>
    <x v="6"/>
    <x v="1"/>
    <x v="13"/>
    <x v="0"/>
    <x v="0"/>
    <n v="0"/>
    <n v="0"/>
    <n v="0"/>
    <x v="2"/>
  </r>
  <r>
    <x v="0"/>
    <x v="1"/>
    <x v="6"/>
    <x v="1"/>
    <x v="14"/>
    <x v="0"/>
    <x v="0"/>
    <n v="0"/>
    <n v="0"/>
    <n v="0"/>
    <x v="2"/>
  </r>
  <r>
    <x v="0"/>
    <x v="1"/>
    <x v="6"/>
    <x v="1"/>
    <x v="16"/>
    <x v="0"/>
    <x v="0"/>
    <n v="0"/>
    <n v="0"/>
    <n v="0"/>
    <x v="2"/>
  </r>
  <r>
    <x v="0"/>
    <x v="1"/>
    <x v="6"/>
    <x v="1"/>
    <x v="17"/>
    <x v="0"/>
    <x v="0"/>
    <n v="0"/>
    <n v="0"/>
    <n v="0"/>
    <x v="2"/>
  </r>
  <r>
    <x v="0"/>
    <x v="1"/>
    <x v="6"/>
    <x v="1"/>
    <x v="18"/>
    <x v="0"/>
    <x v="0"/>
    <n v="0"/>
    <n v="0"/>
    <n v="0"/>
    <x v="2"/>
  </r>
  <r>
    <x v="0"/>
    <x v="1"/>
    <x v="6"/>
    <x v="1"/>
    <x v="19"/>
    <x v="0"/>
    <x v="0"/>
    <n v="0"/>
    <n v="0"/>
    <n v="0"/>
    <x v="2"/>
  </r>
  <r>
    <x v="0"/>
    <x v="1"/>
    <x v="6"/>
    <x v="1"/>
    <x v="20"/>
    <x v="0"/>
    <x v="0"/>
    <n v="1.26"/>
    <n v="3345.64"/>
    <n v="11842.66"/>
    <x v="2"/>
  </r>
  <r>
    <x v="0"/>
    <x v="1"/>
    <x v="6"/>
    <x v="2"/>
    <x v="21"/>
    <x v="0"/>
    <x v="0"/>
    <n v="1.08"/>
    <n v="2867.69"/>
    <n v="10162.549999999999"/>
    <x v="2"/>
  </r>
  <r>
    <x v="0"/>
    <x v="1"/>
    <x v="6"/>
    <x v="2"/>
    <x v="22"/>
    <x v="0"/>
    <x v="0"/>
    <n v="0"/>
    <n v="0"/>
    <n v="0"/>
    <x v="2"/>
  </r>
  <r>
    <x v="0"/>
    <x v="1"/>
    <x v="6"/>
    <x v="2"/>
    <x v="29"/>
    <x v="0"/>
    <x v="0"/>
    <n v="0"/>
    <n v="0"/>
    <n v="0"/>
    <x v="2"/>
  </r>
  <r>
    <x v="0"/>
    <x v="1"/>
    <x v="6"/>
    <x v="2"/>
    <x v="24"/>
    <x v="0"/>
    <x v="0"/>
    <n v="0"/>
    <n v="0"/>
    <n v="0"/>
    <x v="2"/>
  </r>
  <r>
    <x v="0"/>
    <x v="1"/>
    <x v="6"/>
    <x v="3"/>
    <x v="25"/>
    <x v="0"/>
    <x v="0"/>
    <n v="0"/>
    <n v="0"/>
    <n v="0"/>
    <x v="2"/>
  </r>
  <r>
    <x v="0"/>
    <x v="1"/>
    <x v="6"/>
    <x v="3"/>
    <x v="26"/>
    <x v="0"/>
    <x v="0"/>
    <n v="1.31"/>
    <n v="3478.4"/>
    <n v="12279.78"/>
    <x v="2"/>
  </r>
  <r>
    <x v="0"/>
    <x v="1"/>
    <x v="6"/>
    <x v="3"/>
    <x v="27"/>
    <x v="0"/>
    <x v="0"/>
    <n v="1.38"/>
    <n v="3664.27"/>
    <n v="12938.82"/>
    <x v="2"/>
  </r>
  <r>
    <x v="0"/>
    <x v="1"/>
    <x v="6"/>
    <x v="0"/>
    <x v="0"/>
    <x v="0"/>
    <x v="1"/>
    <n v="1.49"/>
    <n v="3956.35"/>
    <n v="13910.62"/>
    <x v="2"/>
  </r>
  <r>
    <x v="0"/>
    <x v="1"/>
    <x v="6"/>
    <x v="0"/>
    <x v="1"/>
    <x v="0"/>
    <x v="1"/>
    <n v="5.57"/>
    <n v="14789.85"/>
    <n v="52175.34"/>
    <x v="2"/>
  </r>
  <r>
    <x v="0"/>
    <x v="1"/>
    <x v="6"/>
    <x v="0"/>
    <x v="2"/>
    <x v="0"/>
    <x v="1"/>
    <n v="2.83"/>
    <n v="7514.41"/>
    <n v="26535.08"/>
    <x v="2"/>
  </r>
  <r>
    <x v="0"/>
    <x v="1"/>
    <x v="6"/>
    <x v="0"/>
    <x v="3"/>
    <x v="0"/>
    <x v="1"/>
    <n v="5.25"/>
    <n v="13940.17"/>
    <n v="49191.34"/>
    <x v="2"/>
  </r>
  <r>
    <x v="0"/>
    <x v="1"/>
    <x v="6"/>
    <x v="0"/>
    <x v="4"/>
    <x v="0"/>
    <x v="1"/>
    <n v="1.65"/>
    <n v="4381.2"/>
    <n v="15448.51"/>
    <x v="2"/>
  </r>
  <r>
    <x v="0"/>
    <x v="1"/>
    <x v="6"/>
    <x v="0"/>
    <x v="5"/>
    <x v="0"/>
    <x v="1"/>
    <n v="3.48"/>
    <n v="9240.34"/>
    <n v="32595.360000000001"/>
    <x v="2"/>
  </r>
  <r>
    <x v="0"/>
    <x v="1"/>
    <x v="6"/>
    <x v="0"/>
    <x v="6"/>
    <x v="0"/>
    <x v="1"/>
    <n v="1.67"/>
    <n v="4434.3"/>
    <n v="15642.2"/>
    <x v="2"/>
  </r>
  <r>
    <x v="0"/>
    <x v="1"/>
    <x v="6"/>
    <x v="0"/>
    <x v="8"/>
    <x v="0"/>
    <x v="1"/>
    <n v="2.4"/>
    <n v="6372.65"/>
    <n v="22510.16"/>
    <x v="2"/>
  </r>
  <r>
    <x v="0"/>
    <x v="1"/>
    <x v="6"/>
    <x v="1"/>
    <x v="10"/>
    <x v="0"/>
    <x v="1"/>
    <n v="3.32"/>
    <n v="8815.5"/>
    <n v="31071.94"/>
    <x v="2"/>
  </r>
  <r>
    <x v="0"/>
    <x v="1"/>
    <x v="6"/>
    <x v="1"/>
    <x v="11"/>
    <x v="0"/>
    <x v="1"/>
    <n v="10.78"/>
    <n v="28623.81"/>
    <n v="100951.78"/>
    <x v="2"/>
  </r>
  <r>
    <x v="0"/>
    <x v="1"/>
    <x v="6"/>
    <x v="1"/>
    <x v="13"/>
    <x v="0"/>
    <x v="1"/>
    <n v="3.48"/>
    <n v="9240.34"/>
    <n v="32572.93"/>
    <x v="2"/>
  </r>
  <r>
    <x v="0"/>
    <x v="1"/>
    <x v="6"/>
    <x v="1"/>
    <x v="14"/>
    <x v="0"/>
    <x v="1"/>
    <n v="2.64"/>
    <n v="7009.91"/>
    <n v="24751.59"/>
    <x v="2"/>
  </r>
  <r>
    <x v="0"/>
    <x v="1"/>
    <x v="6"/>
    <x v="1"/>
    <x v="16"/>
    <x v="0"/>
    <x v="1"/>
    <n v="1.63"/>
    <n v="4328.09"/>
    <n v="15267.23"/>
    <x v="2"/>
  </r>
  <r>
    <x v="0"/>
    <x v="1"/>
    <x v="6"/>
    <x v="1"/>
    <x v="17"/>
    <x v="0"/>
    <x v="1"/>
    <n v="0.47"/>
    <n v="1247.98"/>
    <n v="4388.43"/>
    <x v="2"/>
  </r>
  <r>
    <x v="0"/>
    <x v="1"/>
    <x v="6"/>
    <x v="1"/>
    <x v="18"/>
    <x v="0"/>
    <x v="1"/>
    <n v="9.36"/>
    <n v="24853.33"/>
    <n v="87676.93"/>
    <x v="2"/>
  </r>
  <r>
    <x v="0"/>
    <x v="1"/>
    <x v="6"/>
    <x v="1"/>
    <x v="19"/>
    <x v="0"/>
    <x v="1"/>
    <n v="2.96"/>
    <n v="7859.6"/>
    <n v="27744.639999999999"/>
    <x v="2"/>
  </r>
  <r>
    <x v="0"/>
    <x v="1"/>
    <x v="6"/>
    <x v="1"/>
    <x v="20"/>
    <x v="0"/>
    <x v="1"/>
    <n v="7.95"/>
    <n v="21109.4"/>
    <n v="74439.61"/>
    <x v="2"/>
  </r>
  <r>
    <x v="0"/>
    <x v="1"/>
    <x v="6"/>
    <x v="2"/>
    <x v="21"/>
    <x v="0"/>
    <x v="1"/>
    <n v="0"/>
    <n v="0"/>
    <n v="0"/>
    <x v="2"/>
  </r>
  <r>
    <x v="0"/>
    <x v="1"/>
    <x v="6"/>
    <x v="2"/>
    <x v="22"/>
    <x v="0"/>
    <x v="1"/>
    <n v="2.74"/>
    <n v="7275.44"/>
    <n v="25623"/>
    <x v="2"/>
  </r>
  <r>
    <x v="0"/>
    <x v="1"/>
    <x v="6"/>
    <x v="2"/>
    <x v="29"/>
    <x v="0"/>
    <x v="1"/>
    <n v="1.04"/>
    <n v="2761.48"/>
    <n v="9747.4599999999991"/>
    <x v="2"/>
  </r>
  <r>
    <x v="0"/>
    <x v="1"/>
    <x v="6"/>
    <x v="2"/>
    <x v="24"/>
    <x v="0"/>
    <x v="1"/>
    <n v="1.34"/>
    <n v="3558.06"/>
    <n v="12507.53"/>
    <x v="2"/>
  </r>
  <r>
    <x v="0"/>
    <x v="1"/>
    <x v="6"/>
    <x v="3"/>
    <x v="25"/>
    <x v="0"/>
    <x v="1"/>
    <n v="0.3"/>
    <n v="796.58"/>
    <n v="2852.71"/>
    <x v="2"/>
  </r>
  <r>
    <x v="0"/>
    <x v="1"/>
    <x v="6"/>
    <x v="3"/>
    <x v="26"/>
    <x v="0"/>
    <x v="1"/>
    <n v="0.9"/>
    <n v="2389.7399999999998"/>
    <n v="8442.35"/>
    <x v="2"/>
  </r>
  <r>
    <x v="0"/>
    <x v="1"/>
    <x v="6"/>
    <x v="3"/>
    <x v="27"/>
    <x v="0"/>
    <x v="1"/>
    <n v="6.82"/>
    <n v="18108.939999999999"/>
    <n v="63885.42"/>
    <x v="2"/>
  </r>
  <r>
    <x v="0"/>
    <x v="1"/>
    <x v="6"/>
    <x v="0"/>
    <x v="0"/>
    <x v="1"/>
    <x v="0"/>
    <n v="2.73"/>
    <n v="7248.89"/>
    <n v="16751.53"/>
    <x v="2"/>
  </r>
  <r>
    <x v="0"/>
    <x v="1"/>
    <x v="6"/>
    <x v="0"/>
    <x v="1"/>
    <x v="1"/>
    <x v="0"/>
    <n v="10.47"/>
    <n v="27800.68"/>
    <n v="63075.57"/>
    <x v="2"/>
  </r>
  <r>
    <x v="0"/>
    <x v="1"/>
    <x v="6"/>
    <x v="0"/>
    <x v="2"/>
    <x v="1"/>
    <x v="0"/>
    <n v="2.83"/>
    <n v="7514.41"/>
    <n v="16464.580000000002"/>
    <x v="2"/>
  </r>
  <r>
    <x v="0"/>
    <x v="1"/>
    <x v="6"/>
    <x v="0"/>
    <x v="3"/>
    <x v="1"/>
    <x v="0"/>
    <n v="9.6300000000000008"/>
    <n v="25570.25"/>
    <n v="58288.78"/>
    <x v="2"/>
  </r>
  <r>
    <x v="0"/>
    <x v="1"/>
    <x v="6"/>
    <x v="0"/>
    <x v="28"/>
    <x v="1"/>
    <x v="0"/>
    <n v="0"/>
    <n v="0"/>
    <n v="0"/>
    <x v="2"/>
  </r>
  <r>
    <x v="0"/>
    <x v="1"/>
    <x v="6"/>
    <x v="0"/>
    <x v="4"/>
    <x v="1"/>
    <x v="0"/>
    <n v="2.5499999999999998"/>
    <n v="6770.94"/>
    <n v="15286.06"/>
    <x v="2"/>
  </r>
  <r>
    <x v="0"/>
    <x v="1"/>
    <x v="6"/>
    <x v="0"/>
    <x v="5"/>
    <x v="1"/>
    <x v="0"/>
    <n v="2.69"/>
    <n v="7142.68"/>
    <n v="16633.39"/>
    <x v="2"/>
  </r>
  <r>
    <x v="0"/>
    <x v="1"/>
    <x v="6"/>
    <x v="0"/>
    <x v="6"/>
    <x v="1"/>
    <x v="0"/>
    <n v="0"/>
    <n v="0"/>
    <n v="0"/>
    <x v="2"/>
  </r>
  <r>
    <x v="0"/>
    <x v="1"/>
    <x v="6"/>
    <x v="0"/>
    <x v="7"/>
    <x v="1"/>
    <x v="0"/>
    <n v="0"/>
    <n v="0"/>
    <n v="0"/>
    <x v="2"/>
  </r>
  <r>
    <x v="0"/>
    <x v="1"/>
    <x v="6"/>
    <x v="0"/>
    <x v="8"/>
    <x v="1"/>
    <x v="0"/>
    <n v="0"/>
    <n v="0"/>
    <n v="0"/>
    <x v="2"/>
  </r>
  <r>
    <x v="0"/>
    <x v="1"/>
    <x v="6"/>
    <x v="1"/>
    <x v="30"/>
    <x v="1"/>
    <x v="0"/>
    <n v="1.06"/>
    <n v="2814.59"/>
    <n v="6849.32"/>
    <x v="2"/>
  </r>
  <r>
    <x v="0"/>
    <x v="1"/>
    <x v="6"/>
    <x v="1"/>
    <x v="9"/>
    <x v="1"/>
    <x v="0"/>
    <n v="0"/>
    <n v="0"/>
    <n v="0"/>
    <x v="2"/>
  </r>
  <r>
    <x v="0"/>
    <x v="1"/>
    <x v="6"/>
    <x v="1"/>
    <x v="31"/>
    <x v="1"/>
    <x v="0"/>
    <n v="0.95"/>
    <n v="2522.5100000000002"/>
    <n v="6187.29"/>
    <x v="2"/>
  </r>
  <r>
    <x v="0"/>
    <x v="1"/>
    <x v="6"/>
    <x v="1"/>
    <x v="10"/>
    <x v="1"/>
    <x v="0"/>
    <n v="8.9499999999999993"/>
    <n v="23764.67"/>
    <n v="57189.81"/>
    <x v="2"/>
  </r>
  <r>
    <x v="0"/>
    <x v="1"/>
    <x v="6"/>
    <x v="1"/>
    <x v="11"/>
    <x v="1"/>
    <x v="0"/>
    <n v="6.79"/>
    <n v="18029.28"/>
    <n v="41335.129999999997"/>
    <x v="2"/>
  </r>
  <r>
    <x v="0"/>
    <x v="1"/>
    <x v="6"/>
    <x v="1"/>
    <x v="12"/>
    <x v="1"/>
    <x v="0"/>
    <n v="1.97"/>
    <n v="5230.88"/>
    <n v="12595.79"/>
    <x v="2"/>
  </r>
  <r>
    <x v="0"/>
    <x v="1"/>
    <x v="6"/>
    <x v="1"/>
    <x v="13"/>
    <x v="1"/>
    <x v="0"/>
    <n v="1.4"/>
    <n v="3717.38"/>
    <n v="8924.11"/>
    <x v="2"/>
  </r>
  <r>
    <x v="0"/>
    <x v="1"/>
    <x v="6"/>
    <x v="1"/>
    <x v="14"/>
    <x v="1"/>
    <x v="0"/>
    <n v="9.7200000000000006"/>
    <n v="25809.22"/>
    <n v="60819.29"/>
    <x v="2"/>
  </r>
  <r>
    <x v="0"/>
    <x v="1"/>
    <x v="6"/>
    <x v="1"/>
    <x v="15"/>
    <x v="1"/>
    <x v="0"/>
    <n v="2.0499999999999998"/>
    <n v="5443.3"/>
    <n v="13291"/>
    <x v="2"/>
  </r>
  <r>
    <x v="0"/>
    <x v="1"/>
    <x v="6"/>
    <x v="1"/>
    <x v="16"/>
    <x v="1"/>
    <x v="0"/>
    <n v="3.77"/>
    <n v="10010.370000000001"/>
    <n v="23248.83"/>
    <x v="2"/>
  </r>
  <r>
    <x v="0"/>
    <x v="1"/>
    <x v="6"/>
    <x v="1"/>
    <x v="17"/>
    <x v="1"/>
    <x v="0"/>
    <n v="4.0199999999999996"/>
    <n v="10674.19"/>
    <n v="25000.65"/>
    <x v="2"/>
  </r>
  <r>
    <x v="0"/>
    <x v="1"/>
    <x v="6"/>
    <x v="1"/>
    <x v="18"/>
    <x v="1"/>
    <x v="0"/>
    <n v="9.0500000000000007"/>
    <n v="24030.19"/>
    <n v="58914.5"/>
    <x v="2"/>
  </r>
  <r>
    <x v="0"/>
    <x v="1"/>
    <x v="6"/>
    <x v="1"/>
    <x v="19"/>
    <x v="1"/>
    <x v="0"/>
    <n v="8.39"/>
    <n v="22277.72"/>
    <n v="52971.28"/>
    <x v="2"/>
  </r>
  <r>
    <x v="0"/>
    <x v="1"/>
    <x v="6"/>
    <x v="1"/>
    <x v="20"/>
    <x v="1"/>
    <x v="0"/>
    <n v="9.73"/>
    <n v="25835.78"/>
    <n v="60456.63"/>
    <x v="2"/>
  </r>
  <r>
    <x v="0"/>
    <x v="1"/>
    <x v="6"/>
    <x v="2"/>
    <x v="21"/>
    <x v="1"/>
    <x v="0"/>
    <n v="0"/>
    <n v="0"/>
    <n v="0"/>
    <x v="2"/>
  </r>
  <r>
    <x v="0"/>
    <x v="1"/>
    <x v="6"/>
    <x v="2"/>
    <x v="22"/>
    <x v="1"/>
    <x v="0"/>
    <n v="5.01"/>
    <n v="13302.9"/>
    <n v="28568.18"/>
    <x v="2"/>
  </r>
  <r>
    <x v="0"/>
    <x v="1"/>
    <x v="6"/>
    <x v="2"/>
    <x v="29"/>
    <x v="1"/>
    <x v="0"/>
    <n v="0"/>
    <n v="0"/>
    <n v="0"/>
    <x v="2"/>
  </r>
  <r>
    <x v="0"/>
    <x v="1"/>
    <x v="6"/>
    <x v="2"/>
    <x v="23"/>
    <x v="1"/>
    <x v="0"/>
    <n v="0"/>
    <n v="0"/>
    <n v="0"/>
    <x v="2"/>
  </r>
  <r>
    <x v="0"/>
    <x v="1"/>
    <x v="6"/>
    <x v="2"/>
    <x v="24"/>
    <x v="1"/>
    <x v="0"/>
    <n v="2.0099999999999998"/>
    <n v="5337.09"/>
    <n v="11696.94"/>
    <x v="2"/>
  </r>
  <r>
    <x v="0"/>
    <x v="1"/>
    <x v="6"/>
    <x v="3"/>
    <x v="25"/>
    <x v="1"/>
    <x v="0"/>
    <n v="4.38"/>
    <n v="11630.08"/>
    <n v="28093.85"/>
    <x v="2"/>
  </r>
  <r>
    <x v="0"/>
    <x v="1"/>
    <x v="6"/>
    <x v="3"/>
    <x v="26"/>
    <x v="1"/>
    <x v="0"/>
    <n v="2.76"/>
    <n v="7328.55"/>
    <n v="17838.28"/>
    <x v="2"/>
  </r>
  <r>
    <x v="0"/>
    <x v="1"/>
    <x v="6"/>
    <x v="3"/>
    <x v="27"/>
    <x v="1"/>
    <x v="0"/>
    <n v="9.26"/>
    <n v="24587.8"/>
    <n v="58694.99"/>
    <x v="2"/>
  </r>
  <r>
    <x v="0"/>
    <x v="1"/>
    <x v="6"/>
    <x v="0"/>
    <x v="0"/>
    <x v="1"/>
    <x v="1"/>
    <n v="3.93"/>
    <n v="10435.209999999999"/>
    <n v="24080.33"/>
    <x v="2"/>
  </r>
  <r>
    <x v="0"/>
    <x v="1"/>
    <x v="6"/>
    <x v="0"/>
    <x v="1"/>
    <x v="1"/>
    <x v="1"/>
    <n v="18.71"/>
    <n v="49680.1"/>
    <n v="112701.21"/>
    <x v="2"/>
  </r>
  <r>
    <x v="0"/>
    <x v="1"/>
    <x v="6"/>
    <x v="0"/>
    <x v="2"/>
    <x v="1"/>
    <x v="1"/>
    <n v="11.58"/>
    <n v="30748.03"/>
    <n v="67355.11"/>
    <x v="2"/>
  </r>
  <r>
    <x v="0"/>
    <x v="1"/>
    <x v="6"/>
    <x v="0"/>
    <x v="3"/>
    <x v="1"/>
    <x v="1"/>
    <n v="21.26"/>
    <n v="56451.040000000001"/>
    <n v="128637.31"/>
    <x v="2"/>
  </r>
  <r>
    <x v="0"/>
    <x v="1"/>
    <x v="6"/>
    <x v="0"/>
    <x v="28"/>
    <x v="1"/>
    <x v="1"/>
    <n v="1.43"/>
    <n v="3797.04"/>
    <n v="8781.4699999999993"/>
    <x v="2"/>
  </r>
  <r>
    <x v="0"/>
    <x v="1"/>
    <x v="6"/>
    <x v="0"/>
    <x v="4"/>
    <x v="1"/>
    <x v="1"/>
    <n v="5.01"/>
    <n v="13302.9"/>
    <n v="30005.98"/>
    <x v="2"/>
  </r>
  <r>
    <x v="0"/>
    <x v="1"/>
    <x v="6"/>
    <x v="0"/>
    <x v="5"/>
    <x v="1"/>
    <x v="1"/>
    <n v="14.69"/>
    <n v="39005.919999999998"/>
    <n v="90678.79"/>
    <x v="2"/>
  </r>
  <r>
    <x v="0"/>
    <x v="1"/>
    <x v="6"/>
    <x v="0"/>
    <x v="6"/>
    <x v="1"/>
    <x v="1"/>
    <n v="2.0699999999999998"/>
    <n v="5496.41"/>
    <n v="12749.74"/>
    <x v="2"/>
  </r>
  <r>
    <x v="0"/>
    <x v="1"/>
    <x v="6"/>
    <x v="0"/>
    <x v="7"/>
    <x v="1"/>
    <x v="1"/>
    <n v="2.5499999999999998"/>
    <n v="6770.94"/>
    <n v="15938.28"/>
    <x v="2"/>
  </r>
  <r>
    <x v="0"/>
    <x v="1"/>
    <x v="6"/>
    <x v="0"/>
    <x v="8"/>
    <x v="1"/>
    <x v="1"/>
    <n v="3.57"/>
    <n v="9479.31"/>
    <n v="21275.91"/>
    <x v="2"/>
  </r>
  <r>
    <x v="0"/>
    <x v="1"/>
    <x v="6"/>
    <x v="1"/>
    <x v="30"/>
    <x v="1"/>
    <x v="1"/>
    <n v="0"/>
    <n v="0"/>
    <n v="0"/>
    <x v="2"/>
  </r>
  <r>
    <x v="0"/>
    <x v="1"/>
    <x v="6"/>
    <x v="1"/>
    <x v="9"/>
    <x v="1"/>
    <x v="1"/>
    <n v="3.88"/>
    <n v="10302.450000000001"/>
    <n v="25022.97"/>
    <x v="2"/>
  </r>
  <r>
    <x v="0"/>
    <x v="1"/>
    <x v="6"/>
    <x v="1"/>
    <x v="31"/>
    <x v="1"/>
    <x v="1"/>
    <n v="0"/>
    <n v="0"/>
    <n v="0"/>
    <x v="2"/>
  </r>
  <r>
    <x v="0"/>
    <x v="1"/>
    <x v="6"/>
    <x v="1"/>
    <x v="10"/>
    <x v="1"/>
    <x v="1"/>
    <n v="22.34"/>
    <n v="59318.73"/>
    <n v="142712.20000000001"/>
    <x v="2"/>
  </r>
  <r>
    <x v="0"/>
    <x v="1"/>
    <x v="6"/>
    <x v="1"/>
    <x v="11"/>
    <x v="1"/>
    <x v="1"/>
    <n v="23.13"/>
    <n v="61416.4"/>
    <n v="140845.60999999999"/>
    <x v="2"/>
  </r>
  <r>
    <x v="0"/>
    <x v="1"/>
    <x v="6"/>
    <x v="1"/>
    <x v="12"/>
    <x v="1"/>
    <x v="1"/>
    <n v="1.86"/>
    <n v="4938.8"/>
    <n v="11932.85"/>
    <x v="2"/>
  </r>
  <r>
    <x v="0"/>
    <x v="1"/>
    <x v="6"/>
    <x v="1"/>
    <x v="13"/>
    <x v="1"/>
    <x v="1"/>
    <n v="11.69"/>
    <n v="31040.11"/>
    <n v="74542.539999999994"/>
    <x v="2"/>
  </r>
  <r>
    <x v="0"/>
    <x v="1"/>
    <x v="6"/>
    <x v="1"/>
    <x v="14"/>
    <x v="1"/>
    <x v="1"/>
    <n v="7.54"/>
    <n v="20020.740000000002"/>
    <n v="47187.38"/>
    <x v="2"/>
  </r>
  <r>
    <x v="0"/>
    <x v="1"/>
    <x v="6"/>
    <x v="1"/>
    <x v="15"/>
    <x v="1"/>
    <x v="1"/>
    <n v="1.63"/>
    <n v="4328.09"/>
    <n v="10522.04"/>
    <x v="2"/>
  </r>
  <r>
    <x v="0"/>
    <x v="1"/>
    <x v="6"/>
    <x v="1"/>
    <x v="16"/>
    <x v="1"/>
    <x v="1"/>
    <n v="8.1199999999999992"/>
    <n v="21560.79"/>
    <n v="50035.519999999997"/>
    <x v="2"/>
  </r>
  <r>
    <x v="0"/>
    <x v="1"/>
    <x v="6"/>
    <x v="1"/>
    <x v="17"/>
    <x v="1"/>
    <x v="1"/>
    <n v="3.42"/>
    <n v="9081.02"/>
    <n v="21277.15"/>
    <x v="2"/>
  </r>
  <r>
    <x v="0"/>
    <x v="1"/>
    <x v="6"/>
    <x v="1"/>
    <x v="18"/>
    <x v="1"/>
    <x v="1"/>
    <n v="33.4"/>
    <n v="88686.02"/>
    <n v="217463.82"/>
    <x v="2"/>
  </r>
  <r>
    <x v="0"/>
    <x v="1"/>
    <x v="6"/>
    <x v="1"/>
    <x v="19"/>
    <x v="1"/>
    <x v="1"/>
    <n v="13.71"/>
    <n v="36403.75"/>
    <n v="86537.25"/>
    <x v="2"/>
  </r>
  <r>
    <x v="0"/>
    <x v="1"/>
    <x v="6"/>
    <x v="1"/>
    <x v="20"/>
    <x v="1"/>
    <x v="1"/>
    <n v="21.13"/>
    <n v="56105.86"/>
    <n v="131247.73000000001"/>
    <x v="2"/>
  </r>
  <r>
    <x v="0"/>
    <x v="1"/>
    <x v="6"/>
    <x v="2"/>
    <x v="21"/>
    <x v="1"/>
    <x v="1"/>
    <n v="1.66"/>
    <n v="4407.75"/>
    <n v="9445.42"/>
    <x v="2"/>
  </r>
  <r>
    <x v="0"/>
    <x v="1"/>
    <x v="6"/>
    <x v="2"/>
    <x v="22"/>
    <x v="1"/>
    <x v="1"/>
    <n v="10.9"/>
    <n v="28942.44"/>
    <n v="62177.81"/>
    <x v="2"/>
  </r>
  <r>
    <x v="0"/>
    <x v="1"/>
    <x v="6"/>
    <x v="2"/>
    <x v="29"/>
    <x v="1"/>
    <x v="1"/>
    <n v="2.46"/>
    <n v="6531.96"/>
    <n v="14924.04"/>
    <x v="2"/>
  </r>
  <r>
    <x v="0"/>
    <x v="1"/>
    <x v="6"/>
    <x v="2"/>
    <x v="23"/>
    <x v="1"/>
    <x v="1"/>
    <n v="2.44"/>
    <n v="6478.86"/>
    <n v="14506.16"/>
    <x v="2"/>
  </r>
  <r>
    <x v="0"/>
    <x v="1"/>
    <x v="6"/>
    <x v="2"/>
    <x v="24"/>
    <x v="1"/>
    <x v="1"/>
    <n v="1.26"/>
    <n v="3345.64"/>
    <n v="7310.59"/>
    <x v="2"/>
  </r>
  <r>
    <x v="0"/>
    <x v="1"/>
    <x v="6"/>
    <x v="3"/>
    <x v="25"/>
    <x v="1"/>
    <x v="1"/>
    <n v="8.2899999999999991"/>
    <n v="22012.19"/>
    <n v="53198.99"/>
    <x v="2"/>
  </r>
  <r>
    <x v="0"/>
    <x v="1"/>
    <x v="6"/>
    <x v="3"/>
    <x v="26"/>
    <x v="1"/>
    <x v="1"/>
    <n v="13.71"/>
    <n v="36403.75"/>
    <n v="88615.99"/>
    <x v="2"/>
  </r>
  <r>
    <x v="0"/>
    <x v="1"/>
    <x v="6"/>
    <x v="3"/>
    <x v="27"/>
    <x v="1"/>
    <x v="1"/>
    <n v="27.33"/>
    <n v="72568.53"/>
    <n v="173316.33"/>
    <x v="2"/>
  </r>
  <r>
    <x v="0"/>
    <x v="1"/>
    <x v="7"/>
    <x v="0"/>
    <x v="0"/>
    <x v="0"/>
    <x v="0"/>
    <n v="1.05"/>
    <n v="4986.18"/>
    <n v="19399.52"/>
    <x v="2"/>
  </r>
  <r>
    <x v="0"/>
    <x v="1"/>
    <x v="7"/>
    <x v="0"/>
    <x v="1"/>
    <x v="0"/>
    <x v="0"/>
    <n v="3.06"/>
    <n v="14531.14"/>
    <n v="56753.24"/>
    <x v="2"/>
  </r>
  <r>
    <x v="0"/>
    <x v="1"/>
    <x v="7"/>
    <x v="0"/>
    <x v="2"/>
    <x v="0"/>
    <x v="0"/>
    <n v="0"/>
    <n v="0"/>
    <n v="0"/>
    <x v="2"/>
  </r>
  <r>
    <x v="0"/>
    <x v="1"/>
    <x v="7"/>
    <x v="0"/>
    <x v="3"/>
    <x v="0"/>
    <x v="0"/>
    <n v="1.67"/>
    <n v="7930.4"/>
    <n v="31029.06"/>
    <x v="2"/>
  </r>
  <r>
    <x v="0"/>
    <x v="1"/>
    <x v="7"/>
    <x v="0"/>
    <x v="4"/>
    <x v="0"/>
    <x v="0"/>
    <n v="0"/>
    <n v="0"/>
    <n v="0"/>
    <x v="2"/>
  </r>
  <r>
    <x v="0"/>
    <x v="1"/>
    <x v="7"/>
    <x v="0"/>
    <x v="5"/>
    <x v="0"/>
    <x v="0"/>
    <n v="0"/>
    <n v="0"/>
    <n v="0"/>
    <x v="2"/>
  </r>
  <r>
    <x v="0"/>
    <x v="1"/>
    <x v="7"/>
    <x v="0"/>
    <x v="6"/>
    <x v="0"/>
    <x v="0"/>
    <n v="0"/>
    <n v="0"/>
    <n v="0"/>
    <x v="2"/>
  </r>
  <r>
    <x v="0"/>
    <x v="1"/>
    <x v="7"/>
    <x v="0"/>
    <x v="8"/>
    <x v="0"/>
    <x v="0"/>
    <n v="0"/>
    <n v="0"/>
    <n v="0"/>
    <x v="2"/>
  </r>
  <r>
    <x v="0"/>
    <x v="1"/>
    <x v="7"/>
    <x v="1"/>
    <x v="10"/>
    <x v="0"/>
    <x v="0"/>
    <n v="0.89"/>
    <n v="4226.38"/>
    <n v="16435.36"/>
    <x v="2"/>
  </r>
  <r>
    <x v="0"/>
    <x v="1"/>
    <x v="7"/>
    <x v="1"/>
    <x v="11"/>
    <x v="0"/>
    <x v="0"/>
    <n v="0"/>
    <n v="0"/>
    <n v="0"/>
    <x v="2"/>
  </r>
  <r>
    <x v="0"/>
    <x v="1"/>
    <x v="7"/>
    <x v="1"/>
    <x v="13"/>
    <x v="0"/>
    <x v="0"/>
    <n v="0"/>
    <n v="0"/>
    <n v="0"/>
    <x v="2"/>
  </r>
  <r>
    <x v="0"/>
    <x v="1"/>
    <x v="7"/>
    <x v="1"/>
    <x v="14"/>
    <x v="0"/>
    <x v="0"/>
    <n v="0"/>
    <n v="0"/>
    <n v="0"/>
    <x v="2"/>
  </r>
  <r>
    <x v="0"/>
    <x v="1"/>
    <x v="7"/>
    <x v="1"/>
    <x v="16"/>
    <x v="0"/>
    <x v="0"/>
    <n v="0"/>
    <n v="0"/>
    <n v="0"/>
    <x v="2"/>
  </r>
  <r>
    <x v="0"/>
    <x v="1"/>
    <x v="7"/>
    <x v="1"/>
    <x v="17"/>
    <x v="0"/>
    <x v="0"/>
    <n v="0"/>
    <n v="0"/>
    <n v="0"/>
    <x v="2"/>
  </r>
  <r>
    <x v="0"/>
    <x v="1"/>
    <x v="7"/>
    <x v="1"/>
    <x v="18"/>
    <x v="0"/>
    <x v="0"/>
    <n v="0"/>
    <n v="0"/>
    <n v="0"/>
    <x v="2"/>
  </r>
  <r>
    <x v="0"/>
    <x v="1"/>
    <x v="7"/>
    <x v="1"/>
    <x v="19"/>
    <x v="0"/>
    <x v="0"/>
    <n v="0"/>
    <n v="0"/>
    <n v="0"/>
    <x v="2"/>
  </r>
  <r>
    <x v="0"/>
    <x v="1"/>
    <x v="7"/>
    <x v="1"/>
    <x v="20"/>
    <x v="0"/>
    <x v="0"/>
    <n v="1.48"/>
    <n v="7028.14"/>
    <n v="27499.87"/>
    <x v="2"/>
  </r>
  <r>
    <x v="0"/>
    <x v="1"/>
    <x v="7"/>
    <x v="2"/>
    <x v="21"/>
    <x v="0"/>
    <x v="0"/>
    <n v="1.05"/>
    <n v="4986.18"/>
    <n v="19453.830000000002"/>
    <x v="2"/>
  </r>
  <r>
    <x v="0"/>
    <x v="1"/>
    <x v="7"/>
    <x v="2"/>
    <x v="22"/>
    <x v="0"/>
    <x v="0"/>
    <n v="0"/>
    <n v="0"/>
    <n v="0"/>
    <x v="2"/>
  </r>
  <r>
    <x v="0"/>
    <x v="1"/>
    <x v="7"/>
    <x v="2"/>
    <x v="29"/>
    <x v="0"/>
    <x v="0"/>
    <n v="0"/>
    <n v="0"/>
    <n v="0"/>
    <x v="2"/>
  </r>
  <r>
    <x v="0"/>
    <x v="1"/>
    <x v="7"/>
    <x v="2"/>
    <x v="24"/>
    <x v="0"/>
    <x v="0"/>
    <n v="0"/>
    <n v="0"/>
    <n v="0"/>
    <x v="2"/>
  </r>
  <r>
    <x v="0"/>
    <x v="1"/>
    <x v="7"/>
    <x v="3"/>
    <x v="25"/>
    <x v="0"/>
    <x v="0"/>
    <n v="0"/>
    <n v="0"/>
    <n v="0"/>
    <x v="2"/>
  </r>
  <r>
    <x v="0"/>
    <x v="1"/>
    <x v="7"/>
    <x v="3"/>
    <x v="26"/>
    <x v="0"/>
    <x v="0"/>
    <n v="1.56"/>
    <n v="7408.03"/>
    <n v="28941.69"/>
    <x v="2"/>
  </r>
  <r>
    <x v="0"/>
    <x v="1"/>
    <x v="7"/>
    <x v="3"/>
    <x v="27"/>
    <x v="0"/>
    <x v="0"/>
    <n v="2.08"/>
    <n v="9877.3799999999992"/>
    <n v="38530.47"/>
    <x v="2"/>
  </r>
  <r>
    <x v="0"/>
    <x v="1"/>
    <x v="7"/>
    <x v="0"/>
    <x v="0"/>
    <x v="0"/>
    <x v="1"/>
    <n v="1.05"/>
    <n v="4986.18"/>
    <n v="19399.52"/>
    <x v="2"/>
  </r>
  <r>
    <x v="0"/>
    <x v="1"/>
    <x v="7"/>
    <x v="0"/>
    <x v="1"/>
    <x v="0"/>
    <x v="1"/>
    <n v="4.7699999999999996"/>
    <n v="22651.49"/>
    <n v="88330.22"/>
    <x v="2"/>
  </r>
  <r>
    <x v="0"/>
    <x v="1"/>
    <x v="7"/>
    <x v="0"/>
    <x v="2"/>
    <x v="0"/>
    <x v="1"/>
    <n v="3.9"/>
    <n v="18520.09"/>
    <n v="72221.710000000006"/>
    <x v="2"/>
  </r>
  <r>
    <x v="0"/>
    <x v="1"/>
    <x v="7"/>
    <x v="0"/>
    <x v="3"/>
    <x v="0"/>
    <x v="1"/>
    <n v="4.5199999999999996"/>
    <n v="21464.3"/>
    <n v="83778.45"/>
    <x v="2"/>
  </r>
  <r>
    <x v="0"/>
    <x v="1"/>
    <x v="7"/>
    <x v="0"/>
    <x v="4"/>
    <x v="0"/>
    <x v="1"/>
    <n v="3.81"/>
    <n v="18092.7"/>
    <n v="70661.11"/>
    <x v="2"/>
  </r>
  <r>
    <x v="0"/>
    <x v="1"/>
    <x v="7"/>
    <x v="0"/>
    <x v="5"/>
    <x v="0"/>
    <x v="1"/>
    <n v="1.94"/>
    <n v="9212.56"/>
    <n v="36046.06"/>
    <x v="2"/>
  </r>
  <r>
    <x v="0"/>
    <x v="1"/>
    <x v="7"/>
    <x v="0"/>
    <x v="6"/>
    <x v="0"/>
    <x v="1"/>
    <n v="1.68"/>
    <n v="7977.88"/>
    <n v="31142.09"/>
    <x v="2"/>
  </r>
  <r>
    <x v="0"/>
    <x v="1"/>
    <x v="7"/>
    <x v="0"/>
    <x v="8"/>
    <x v="0"/>
    <x v="1"/>
    <n v="2.35"/>
    <n v="11159.54"/>
    <n v="43510.23"/>
    <x v="2"/>
  </r>
  <r>
    <x v="0"/>
    <x v="1"/>
    <x v="7"/>
    <x v="1"/>
    <x v="10"/>
    <x v="0"/>
    <x v="1"/>
    <n v="3.81"/>
    <n v="18092.7"/>
    <n v="70672.03"/>
    <x v="2"/>
  </r>
  <r>
    <x v="0"/>
    <x v="1"/>
    <x v="7"/>
    <x v="1"/>
    <x v="11"/>
    <x v="0"/>
    <x v="1"/>
    <n v="7.79"/>
    <n v="36992.68"/>
    <n v="144427.97"/>
    <x v="2"/>
  </r>
  <r>
    <x v="0"/>
    <x v="1"/>
    <x v="7"/>
    <x v="1"/>
    <x v="13"/>
    <x v="0"/>
    <x v="1"/>
    <n v="3.68"/>
    <n v="17475.36"/>
    <n v="68209.56"/>
    <x v="2"/>
  </r>
  <r>
    <x v="0"/>
    <x v="1"/>
    <x v="7"/>
    <x v="1"/>
    <x v="14"/>
    <x v="0"/>
    <x v="1"/>
    <n v="1.33"/>
    <n v="6315.82"/>
    <n v="24676.51"/>
    <x v="2"/>
  </r>
  <r>
    <x v="0"/>
    <x v="1"/>
    <x v="7"/>
    <x v="1"/>
    <x v="16"/>
    <x v="0"/>
    <x v="1"/>
    <n v="0.71"/>
    <n v="3371.61"/>
    <n v="13173.37"/>
    <x v="2"/>
  </r>
  <r>
    <x v="0"/>
    <x v="1"/>
    <x v="7"/>
    <x v="1"/>
    <x v="17"/>
    <x v="0"/>
    <x v="1"/>
    <n v="2.0699999999999998"/>
    <n v="9829.89"/>
    <n v="38432.230000000003"/>
    <x v="2"/>
  </r>
  <r>
    <x v="0"/>
    <x v="1"/>
    <x v="7"/>
    <x v="1"/>
    <x v="18"/>
    <x v="0"/>
    <x v="1"/>
    <n v="9.26"/>
    <n v="43973.33"/>
    <n v="171684.82"/>
    <x v="2"/>
  </r>
  <r>
    <x v="0"/>
    <x v="1"/>
    <x v="7"/>
    <x v="1"/>
    <x v="19"/>
    <x v="0"/>
    <x v="1"/>
    <n v="3.03"/>
    <n v="14388.68"/>
    <n v="56072.01"/>
    <x v="2"/>
  </r>
  <r>
    <x v="0"/>
    <x v="1"/>
    <x v="7"/>
    <x v="1"/>
    <x v="20"/>
    <x v="0"/>
    <x v="1"/>
    <n v="9.18"/>
    <n v="43593.43"/>
    <n v="170155.44"/>
    <x v="2"/>
  </r>
  <r>
    <x v="0"/>
    <x v="1"/>
    <x v="7"/>
    <x v="2"/>
    <x v="21"/>
    <x v="0"/>
    <x v="1"/>
    <n v="0"/>
    <n v="0"/>
    <n v="0"/>
    <x v="2"/>
  </r>
  <r>
    <x v="0"/>
    <x v="1"/>
    <x v="7"/>
    <x v="2"/>
    <x v="22"/>
    <x v="0"/>
    <x v="1"/>
    <n v="4.38"/>
    <n v="20799.48"/>
    <n v="81175.289999999994"/>
    <x v="2"/>
  </r>
  <r>
    <x v="0"/>
    <x v="1"/>
    <x v="7"/>
    <x v="2"/>
    <x v="29"/>
    <x v="0"/>
    <x v="1"/>
    <n v="1.22"/>
    <n v="5793.46"/>
    <n v="22652.81"/>
    <x v="2"/>
  </r>
  <r>
    <x v="0"/>
    <x v="1"/>
    <x v="7"/>
    <x v="2"/>
    <x v="24"/>
    <x v="0"/>
    <x v="1"/>
    <n v="1.96"/>
    <n v="9307.5300000000007"/>
    <n v="36360.03"/>
    <x v="2"/>
  </r>
  <r>
    <x v="0"/>
    <x v="1"/>
    <x v="7"/>
    <x v="3"/>
    <x v="25"/>
    <x v="0"/>
    <x v="1"/>
    <n v="2.29"/>
    <n v="10874.61"/>
    <n v="42497.63"/>
    <x v="2"/>
  </r>
  <r>
    <x v="0"/>
    <x v="1"/>
    <x v="7"/>
    <x v="3"/>
    <x v="26"/>
    <x v="0"/>
    <x v="1"/>
    <n v="1.64"/>
    <n v="7787.93"/>
    <n v="30464.94"/>
    <x v="2"/>
  </r>
  <r>
    <x v="0"/>
    <x v="1"/>
    <x v="7"/>
    <x v="3"/>
    <x v="27"/>
    <x v="0"/>
    <x v="1"/>
    <n v="5.12"/>
    <n v="24313.55"/>
    <n v="94844.23"/>
    <x v="2"/>
  </r>
  <r>
    <x v="0"/>
    <x v="1"/>
    <x v="7"/>
    <x v="0"/>
    <x v="0"/>
    <x v="1"/>
    <x v="0"/>
    <n v="3.86"/>
    <n v="18330.14"/>
    <n v="46763.71"/>
    <x v="2"/>
  </r>
  <r>
    <x v="0"/>
    <x v="1"/>
    <x v="7"/>
    <x v="0"/>
    <x v="1"/>
    <x v="1"/>
    <x v="0"/>
    <n v="12.12"/>
    <n v="57554.73"/>
    <n v="144497.87"/>
    <x v="2"/>
  </r>
  <r>
    <x v="0"/>
    <x v="1"/>
    <x v="7"/>
    <x v="0"/>
    <x v="2"/>
    <x v="1"/>
    <x v="0"/>
    <n v="3.39"/>
    <n v="16098.23"/>
    <n v="39076.01"/>
    <x v="2"/>
  </r>
  <r>
    <x v="0"/>
    <x v="1"/>
    <x v="7"/>
    <x v="0"/>
    <x v="3"/>
    <x v="1"/>
    <x v="0"/>
    <n v="12.11"/>
    <n v="57507.24"/>
    <n v="144984.03"/>
    <x v="2"/>
  </r>
  <r>
    <x v="0"/>
    <x v="1"/>
    <x v="7"/>
    <x v="0"/>
    <x v="28"/>
    <x v="1"/>
    <x v="0"/>
    <n v="0"/>
    <n v="0"/>
    <n v="0"/>
    <x v="2"/>
  </r>
  <r>
    <x v="0"/>
    <x v="1"/>
    <x v="7"/>
    <x v="0"/>
    <x v="4"/>
    <x v="1"/>
    <x v="0"/>
    <n v="6.64"/>
    <n v="31531.63"/>
    <n v="78733.679999999993"/>
    <x v="2"/>
  </r>
  <r>
    <x v="0"/>
    <x v="1"/>
    <x v="7"/>
    <x v="0"/>
    <x v="5"/>
    <x v="1"/>
    <x v="0"/>
    <n v="1.84"/>
    <n v="8737.68"/>
    <n v="22436.05"/>
    <x v="2"/>
  </r>
  <r>
    <x v="0"/>
    <x v="1"/>
    <x v="7"/>
    <x v="0"/>
    <x v="6"/>
    <x v="1"/>
    <x v="0"/>
    <n v="0"/>
    <n v="0"/>
    <n v="0"/>
    <x v="2"/>
  </r>
  <r>
    <x v="0"/>
    <x v="1"/>
    <x v="7"/>
    <x v="0"/>
    <x v="7"/>
    <x v="1"/>
    <x v="0"/>
    <n v="0"/>
    <n v="0"/>
    <n v="0"/>
    <x v="2"/>
  </r>
  <r>
    <x v="0"/>
    <x v="1"/>
    <x v="7"/>
    <x v="0"/>
    <x v="8"/>
    <x v="1"/>
    <x v="0"/>
    <n v="0"/>
    <n v="0"/>
    <n v="0"/>
    <x v="2"/>
  </r>
  <r>
    <x v="0"/>
    <x v="1"/>
    <x v="7"/>
    <x v="1"/>
    <x v="30"/>
    <x v="1"/>
    <x v="0"/>
    <n v="1.48"/>
    <n v="7028.14"/>
    <n v="18896.96"/>
    <x v="2"/>
  </r>
  <r>
    <x v="0"/>
    <x v="1"/>
    <x v="7"/>
    <x v="1"/>
    <x v="9"/>
    <x v="1"/>
    <x v="0"/>
    <n v="0"/>
    <n v="0"/>
    <n v="0"/>
    <x v="2"/>
  </r>
  <r>
    <x v="0"/>
    <x v="1"/>
    <x v="7"/>
    <x v="1"/>
    <x v="31"/>
    <x v="1"/>
    <x v="0"/>
    <n v="1.46"/>
    <n v="6933.16"/>
    <n v="18795.29"/>
    <x v="2"/>
  </r>
  <r>
    <x v="0"/>
    <x v="1"/>
    <x v="7"/>
    <x v="1"/>
    <x v="10"/>
    <x v="1"/>
    <x v="0"/>
    <n v="4.71"/>
    <n v="22366.57"/>
    <n v="59501.9"/>
    <x v="2"/>
  </r>
  <r>
    <x v="0"/>
    <x v="1"/>
    <x v="7"/>
    <x v="1"/>
    <x v="11"/>
    <x v="1"/>
    <x v="0"/>
    <n v="5.68"/>
    <n v="26972.84"/>
    <n v="68490.41"/>
    <x v="2"/>
  </r>
  <r>
    <x v="0"/>
    <x v="1"/>
    <x v="7"/>
    <x v="1"/>
    <x v="12"/>
    <x v="1"/>
    <x v="0"/>
    <n v="2.25"/>
    <n v="10684.67"/>
    <n v="28504.94"/>
    <x v="2"/>
  </r>
  <r>
    <x v="0"/>
    <x v="1"/>
    <x v="7"/>
    <x v="1"/>
    <x v="13"/>
    <x v="1"/>
    <x v="0"/>
    <n v="1.19"/>
    <n v="5651"/>
    <n v="14976.62"/>
    <x v="2"/>
  </r>
  <r>
    <x v="0"/>
    <x v="1"/>
    <x v="7"/>
    <x v="1"/>
    <x v="14"/>
    <x v="1"/>
    <x v="0"/>
    <n v="11.83"/>
    <n v="56177.59"/>
    <n v="146489.64000000001"/>
    <x v="2"/>
  </r>
  <r>
    <x v="0"/>
    <x v="1"/>
    <x v="7"/>
    <x v="1"/>
    <x v="15"/>
    <x v="1"/>
    <x v="0"/>
    <n v="4.0199999999999996"/>
    <n v="19089.93"/>
    <n v="51535.21"/>
    <x v="2"/>
  </r>
  <r>
    <x v="0"/>
    <x v="1"/>
    <x v="7"/>
    <x v="1"/>
    <x v="16"/>
    <x v="1"/>
    <x v="0"/>
    <n v="2.19"/>
    <n v="10399.74"/>
    <n v="26688.49"/>
    <x v="2"/>
  </r>
  <r>
    <x v="0"/>
    <x v="1"/>
    <x v="7"/>
    <x v="1"/>
    <x v="17"/>
    <x v="1"/>
    <x v="0"/>
    <n v="6.94"/>
    <n v="32956.26"/>
    <n v="85439.79"/>
    <x v="2"/>
  </r>
  <r>
    <x v="0"/>
    <x v="1"/>
    <x v="7"/>
    <x v="1"/>
    <x v="18"/>
    <x v="1"/>
    <x v="0"/>
    <n v="6.02"/>
    <n v="28587.41"/>
    <n v="77574.16"/>
    <x v="2"/>
  </r>
  <r>
    <x v="0"/>
    <x v="1"/>
    <x v="7"/>
    <x v="1"/>
    <x v="19"/>
    <x v="1"/>
    <x v="0"/>
    <n v="7.02"/>
    <n v="33336.15"/>
    <n v="87731.57"/>
    <x v="2"/>
  </r>
  <r>
    <x v="0"/>
    <x v="1"/>
    <x v="7"/>
    <x v="1"/>
    <x v="20"/>
    <x v="1"/>
    <x v="0"/>
    <n v="9.77"/>
    <n v="46395.19"/>
    <n v="120064.78"/>
    <x v="2"/>
  </r>
  <r>
    <x v="0"/>
    <x v="1"/>
    <x v="7"/>
    <x v="2"/>
    <x v="21"/>
    <x v="1"/>
    <x v="0"/>
    <n v="0"/>
    <n v="0"/>
    <n v="0"/>
    <x v="2"/>
  </r>
  <r>
    <x v="0"/>
    <x v="1"/>
    <x v="7"/>
    <x v="2"/>
    <x v="22"/>
    <x v="1"/>
    <x v="0"/>
    <n v="3.74"/>
    <n v="17760.29"/>
    <n v="42179.76"/>
    <x v="2"/>
  </r>
  <r>
    <x v="0"/>
    <x v="1"/>
    <x v="7"/>
    <x v="2"/>
    <x v="29"/>
    <x v="1"/>
    <x v="0"/>
    <n v="0"/>
    <n v="0"/>
    <n v="0"/>
    <x v="2"/>
  </r>
  <r>
    <x v="0"/>
    <x v="1"/>
    <x v="7"/>
    <x v="2"/>
    <x v="23"/>
    <x v="1"/>
    <x v="0"/>
    <n v="0"/>
    <n v="0"/>
    <n v="0"/>
    <x v="2"/>
  </r>
  <r>
    <x v="0"/>
    <x v="1"/>
    <x v="7"/>
    <x v="2"/>
    <x v="24"/>
    <x v="1"/>
    <x v="0"/>
    <n v="1.99"/>
    <n v="9449.99"/>
    <n v="22860.79"/>
    <x v="2"/>
  </r>
  <r>
    <x v="0"/>
    <x v="1"/>
    <x v="7"/>
    <x v="3"/>
    <x v="25"/>
    <x v="1"/>
    <x v="0"/>
    <n v="4.51"/>
    <n v="21416.82"/>
    <n v="57242.71"/>
    <x v="2"/>
  </r>
  <r>
    <x v="0"/>
    <x v="1"/>
    <x v="7"/>
    <x v="3"/>
    <x v="26"/>
    <x v="1"/>
    <x v="0"/>
    <n v="5.29"/>
    <n v="25120.83"/>
    <n v="67634.100000000006"/>
    <x v="2"/>
  </r>
  <r>
    <x v="0"/>
    <x v="1"/>
    <x v="7"/>
    <x v="3"/>
    <x v="27"/>
    <x v="1"/>
    <x v="0"/>
    <n v="9.6999999999999993"/>
    <n v="46062.78"/>
    <n v="121739.47"/>
    <x v="2"/>
  </r>
  <r>
    <x v="0"/>
    <x v="1"/>
    <x v="7"/>
    <x v="0"/>
    <x v="0"/>
    <x v="1"/>
    <x v="1"/>
    <n v="6.56"/>
    <n v="31151.73"/>
    <n v="79498.31"/>
    <x v="2"/>
  </r>
  <r>
    <x v="0"/>
    <x v="1"/>
    <x v="7"/>
    <x v="0"/>
    <x v="1"/>
    <x v="1"/>
    <x v="1"/>
    <n v="21.77"/>
    <n v="103380.07"/>
    <n v="259439.35"/>
    <x v="2"/>
  </r>
  <r>
    <x v="0"/>
    <x v="1"/>
    <x v="7"/>
    <x v="0"/>
    <x v="2"/>
    <x v="1"/>
    <x v="1"/>
    <n v="8.6199999999999992"/>
    <n v="40934.14"/>
    <n v="99192.960000000006"/>
    <x v="2"/>
  </r>
  <r>
    <x v="0"/>
    <x v="1"/>
    <x v="7"/>
    <x v="0"/>
    <x v="3"/>
    <x v="1"/>
    <x v="1"/>
    <n v="21.4"/>
    <n v="101623.03999999999"/>
    <n v="256274.59"/>
    <x v="2"/>
  </r>
  <r>
    <x v="0"/>
    <x v="1"/>
    <x v="7"/>
    <x v="0"/>
    <x v="28"/>
    <x v="1"/>
    <x v="1"/>
    <n v="2.64"/>
    <n v="12536.67"/>
    <n v="31993.77"/>
    <x v="2"/>
  </r>
  <r>
    <x v="0"/>
    <x v="1"/>
    <x v="7"/>
    <x v="0"/>
    <x v="4"/>
    <x v="1"/>
    <x v="1"/>
    <n v="7.17"/>
    <n v="34048.47"/>
    <n v="85083.17"/>
    <x v="2"/>
  </r>
  <r>
    <x v="0"/>
    <x v="1"/>
    <x v="7"/>
    <x v="0"/>
    <x v="5"/>
    <x v="1"/>
    <x v="1"/>
    <n v="13.91"/>
    <n v="66054.97"/>
    <n v="169872.98"/>
    <x v="2"/>
  </r>
  <r>
    <x v="0"/>
    <x v="1"/>
    <x v="7"/>
    <x v="0"/>
    <x v="6"/>
    <x v="1"/>
    <x v="1"/>
    <n v="1.68"/>
    <n v="7977.88"/>
    <n v="20475.25"/>
    <x v="2"/>
  </r>
  <r>
    <x v="0"/>
    <x v="1"/>
    <x v="7"/>
    <x v="0"/>
    <x v="7"/>
    <x v="1"/>
    <x v="1"/>
    <n v="4.88"/>
    <n v="23173.85"/>
    <n v="60379.57"/>
    <x v="2"/>
  </r>
  <r>
    <x v="0"/>
    <x v="1"/>
    <x v="7"/>
    <x v="0"/>
    <x v="8"/>
    <x v="1"/>
    <x v="1"/>
    <n v="2.86"/>
    <n v="13581.4"/>
    <n v="33769.32"/>
    <x v="2"/>
  </r>
  <r>
    <x v="0"/>
    <x v="1"/>
    <x v="7"/>
    <x v="1"/>
    <x v="30"/>
    <x v="1"/>
    <x v="1"/>
    <n v="0"/>
    <n v="0"/>
    <n v="0"/>
    <x v="2"/>
  </r>
  <r>
    <x v="0"/>
    <x v="1"/>
    <x v="7"/>
    <x v="1"/>
    <x v="9"/>
    <x v="1"/>
    <x v="1"/>
    <n v="4.2"/>
    <n v="19944.71"/>
    <n v="53537.59"/>
    <x v="2"/>
  </r>
  <r>
    <x v="0"/>
    <x v="1"/>
    <x v="7"/>
    <x v="1"/>
    <x v="31"/>
    <x v="1"/>
    <x v="1"/>
    <n v="0"/>
    <n v="0"/>
    <n v="0"/>
    <x v="2"/>
  </r>
  <r>
    <x v="0"/>
    <x v="1"/>
    <x v="7"/>
    <x v="1"/>
    <x v="10"/>
    <x v="1"/>
    <x v="1"/>
    <n v="27.17"/>
    <n v="129023.27"/>
    <n v="343440.77"/>
    <x v="2"/>
  </r>
  <r>
    <x v="0"/>
    <x v="1"/>
    <x v="7"/>
    <x v="1"/>
    <x v="11"/>
    <x v="1"/>
    <x v="1"/>
    <n v="18.37"/>
    <n v="87234.35"/>
    <n v="221276.72"/>
    <x v="2"/>
  </r>
  <r>
    <x v="0"/>
    <x v="1"/>
    <x v="7"/>
    <x v="1"/>
    <x v="12"/>
    <x v="1"/>
    <x v="1"/>
    <n v="2.5"/>
    <n v="11871.85"/>
    <n v="31672.16"/>
    <x v="2"/>
  </r>
  <r>
    <x v="0"/>
    <x v="1"/>
    <x v="7"/>
    <x v="1"/>
    <x v="13"/>
    <x v="1"/>
    <x v="1"/>
    <n v="9.92"/>
    <n v="47107.5"/>
    <n v="125161.72"/>
    <x v="2"/>
  </r>
  <r>
    <x v="0"/>
    <x v="1"/>
    <x v="7"/>
    <x v="1"/>
    <x v="14"/>
    <x v="1"/>
    <x v="1"/>
    <n v="8.01"/>
    <n v="38037.410000000003"/>
    <n v="99128.33"/>
    <x v="2"/>
  </r>
  <r>
    <x v="0"/>
    <x v="1"/>
    <x v="7"/>
    <x v="1"/>
    <x v="15"/>
    <x v="1"/>
    <x v="1"/>
    <n v="2.0099999999999998"/>
    <n v="9544.9699999999993"/>
    <n v="25767.61"/>
    <x v="2"/>
  </r>
  <r>
    <x v="0"/>
    <x v="1"/>
    <x v="7"/>
    <x v="1"/>
    <x v="16"/>
    <x v="1"/>
    <x v="1"/>
    <n v="7.42"/>
    <n v="35235.65"/>
    <n v="90550.25"/>
    <x v="2"/>
  </r>
  <r>
    <x v="0"/>
    <x v="1"/>
    <x v="7"/>
    <x v="1"/>
    <x v="17"/>
    <x v="1"/>
    <x v="1"/>
    <n v="5.73"/>
    <n v="27210.28"/>
    <n v="70537.5"/>
    <x v="2"/>
  </r>
  <r>
    <x v="0"/>
    <x v="1"/>
    <x v="7"/>
    <x v="1"/>
    <x v="18"/>
    <x v="1"/>
    <x v="1"/>
    <n v="20.12"/>
    <n v="95544.65"/>
    <n v="259235.16"/>
    <x v="2"/>
  </r>
  <r>
    <x v="0"/>
    <x v="1"/>
    <x v="7"/>
    <x v="1"/>
    <x v="19"/>
    <x v="1"/>
    <x v="1"/>
    <n v="12.96"/>
    <n v="61543.67"/>
    <n v="161885.63"/>
    <x v="2"/>
  </r>
  <r>
    <x v="0"/>
    <x v="1"/>
    <x v="7"/>
    <x v="1"/>
    <x v="20"/>
    <x v="1"/>
    <x v="1"/>
    <n v="14.54"/>
    <n v="69046.679999999993"/>
    <n v="178679.08"/>
    <x v="2"/>
  </r>
  <r>
    <x v="0"/>
    <x v="1"/>
    <x v="7"/>
    <x v="2"/>
    <x v="21"/>
    <x v="1"/>
    <x v="1"/>
    <n v="0.83"/>
    <n v="3941.45"/>
    <n v="9371.3700000000008"/>
    <x v="2"/>
  </r>
  <r>
    <x v="0"/>
    <x v="1"/>
    <x v="7"/>
    <x v="2"/>
    <x v="22"/>
    <x v="1"/>
    <x v="1"/>
    <n v="8.86"/>
    <n v="42073.84"/>
    <n v="100041.73"/>
    <x v="2"/>
  </r>
  <r>
    <x v="0"/>
    <x v="1"/>
    <x v="7"/>
    <x v="2"/>
    <x v="29"/>
    <x v="1"/>
    <x v="1"/>
    <n v="1.91"/>
    <n v="9070.09"/>
    <n v="22941.88"/>
    <x v="2"/>
  </r>
  <r>
    <x v="0"/>
    <x v="1"/>
    <x v="7"/>
    <x v="2"/>
    <x v="23"/>
    <x v="1"/>
    <x v="1"/>
    <n v="2.76"/>
    <n v="13106.52"/>
    <n v="32420.06"/>
    <x v="2"/>
  </r>
  <r>
    <x v="0"/>
    <x v="1"/>
    <x v="7"/>
    <x v="2"/>
    <x v="24"/>
    <x v="1"/>
    <x v="1"/>
    <n v="3.73"/>
    <n v="17712.8"/>
    <n v="42863.98"/>
    <x v="2"/>
  </r>
  <r>
    <x v="0"/>
    <x v="1"/>
    <x v="7"/>
    <x v="3"/>
    <x v="25"/>
    <x v="1"/>
    <x v="1"/>
    <n v="4.0599999999999996"/>
    <n v="19279.88"/>
    <n v="51589.1"/>
    <x v="2"/>
  </r>
  <r>
    <x v="0"/>
    <x v="1"/>
    <x v="7"/>
    <x v="3"/>
    <x v="26"/>
    <x v="1"/>
    <x v="1"/>
    <n v="16.46"/>
    <n v="78164.259999999995"/>
    <n v="210538.41"/>
    <x v="2"/>
  </r>
  <r>
    <x v="0"/>
    <x v="1"/>
    <x v="7"/>
    <x v="3"/>
    <x v="27"/>
    <x v="1"/>
    <x v="1"/>
    <n v="27.82"/>
    <n v="132109.95000000001"/>
    <n v="349058.3"/>
    <x v="2"/>
  </r>
  <r>
    <x v="0"/>
    <x v="1"/>
    <x v="8"/>
    <x v="0"/>
    <x v="0"/>
    <x v="0"/>
    <x v="0"/>
    <n v="2.19"/>
    <n v="7371.89"/>
    <n v="26459.22"/>
    <x v="2"/>
  </r>
  <r>
    <x v="0"/>
    <x v="1"/>
    <x v="8"/>
    <x v="0"/>
    <x v="1"/>
    <x v="0"/>
    <x v="0"/>
    <n v="7.96"/>
    <n v="26794.63"/>
    <n v="96170.65"/>
    <x v="2"/>
  </r>
  <r>
    <x v="0"/>
    <x v="1"/>
    <x v="8"/>
    <x v="0"/>
    <x v="2"/>
    <x v="0"/>
    <x v="0"/>
    <n v="0"/>
    <n v="0"/>
    <n v="0"/>
    <x v="2"/>
  </r>
  <r>
    <x v="0"/>
    <x v="1"/>
    <x v="8"/>
    <x v="0"/>
    <x v="3"/>
    <x v="0"/>
    <x v="0"/>
    <n v="2.67"/>
    <n v="8987.65"/>
    <n v="32302.19"/>
    <x v="2"/>
  </r>
  <r>
    <x v="0"/>
    <x v="1"/>
    <x v="8"/>
    <x v="0"/>
    <x v="4"/>
    <x v="0"/>
    <x v="0"/>
    <n v="0"/>
    <n v="0"/>
    <n v="0"/>
    <x v="2"/>
  </r>
  <r>
    <x v="0"/>
    <x v="1"/>
    <x v="8"/>
    <x v="0"/>
    <x v="5"/>
    <x v="0"/>
    <x v="0"/>
    <n v="0"/>
    <n v="0"/>
    <n v="0"/>
    <x v="2"/>
  </r>
  <r>
    <x v="0"/>
    <x v="1"/>
    <x v="8"/>
    <x v="0"/>
    <x v="6"/>
    <x v="0"/>
    <x v="0"/>
    <n v="0"/>
    <n v="0"/>
    <n v="0"/>
    <x v="2"/>
  </r>
  <r>
    <x v="0"/>
    <x v="1"/>
    <x v="8"/>
    <x v="0"/>
    <x v="8"/>
    <x v="0"/>
    <x v="0"/>
    <n v="0"/>
    <n v="0"/>
    <n v="0"/>
    <x v="2"/>
  </r>
  <r>
    <x v="0"/>
    <x v="1"/>
    <x v="8"/>
    <x v="1"/>
    <x v="10"/>
    <x v="0"/>
    <x v="0"/>
    <n v="1.6"/>
    <n v="5385.86"/>
    <n v="19337.98"/>
    <x v="2"/>
  </r>
  <r>
    <x v="0"/>
    <x v="1"/>
    <x v="8"/>
    <x v="1"/>
    <x v="11"/>
    <x v="0"/>
    <x v="0"/>
    <n v="0"/>
    <n v="0"/>
    <n v="0"/>
    <x v="2"/>
  </r>
  <r>
    <x v="0"/>
    <x v="1"/>
    <x v="8"/>
    <x v="1"/>
    <x v="13"/>
    <x v="0"/>
    <x v="0"/>
    <n v="0"/>
    <n v="0"/>
    <n v="0"/>
    <x v="2"/>
  </r>
  <r>
    <x v="0"/>
    <x v="1"/>
    <x v="8"/>
    <x v="1"/>
    <x v="14"/>
    <x v="0"/>
    <x v="0"/>
    <n v="0"/>
    <n v="0"/>
    <n v="0"/>
    <x v="2"/>
  </r>
  <r>
    <x v="0"/>
    <x v="1"/>
    <x v="8"/>
    <x v="1"/>
    <x v="16"/>
    <x v="0"/>
    <x v="0"/>
    <n v="0"/>
    <n v="0"/>
    <n v="0"/>
    <x v="2"/>
  </r>
  <r>
    <x v="0"/>
    <x v="1"/>
    <x v="8"/>
    <x v="1"/>
    <x v="17"/>
    <x v="0"/>
    <x v="0"/>
    <n v="0"/>
    <n v="0"/>
    <n v="0"/>
    <x v="2"/>
  </r>
  <r>
    <x v="0"/>
    <x v="1"/>
    <x v="8"/>
    <x v="1"/>
    <x v="18"/>
    <x v="0"/>
    <x v="0"/>
    <n v="0"/>
    <n v="0"/>
    <n v="0"/>
    <x v="2"/>
  </r>
  <r>
    <x v="0"/>
    <x v="1"/>
    <x v="8"/>
    <x v="1"/>
    <x v="19"/>
    <x v="0"/>
    <x v="0"/>
    <n v="0"/>
    <n v="0"/>
    <n v="0"/>
    <x v="2"/>
  </r>
  <r>
    <x v="0"/>
    <x v="1"/>
    <x v="8"/>
    <x v="1"/>
    <x v="20"/>
    <x v="0"/>
    <x v="0"/>
    <n v="3.25"/>
    <n v="10940.02"/>
    <n v="39236.959999999999"/>
    <x v="2"/>
  </r>
  <r>
    <x v="0"/>
    <x v="1"/>
    <x v="8"/>
    <x v="2"/>
    <x v="21"/>
    <x v="0"/>
    <x v="0"/>
    <n v="2.58"/>
    <n v="8684.69"/>
    <n v="31117.68"/>
    <x v="2"/>
  </r>
  <r>
    <x v="0"/>
    <x v="1"/>
    <x v="8"/>
    <x v="2"/>
    <x v="22"/>
    <x v="0"/>
    <x v="0"/>
    <n v="0"/>
    <n v="0"/>
    <n v="0"/>
    <x v="2"/>
  </r>
  <r>
    <x v="0"/>
    <x v="1"/>
    <x v="8"/>
    <x v="2"/>
    <x v="29"/>
    <x v="0"/>
    <x v="0"/>
    <n v="0"/>
    <n v="0"/>
    <n v="0"/>
    <x v="2"/>
  </r>
  <r>
    <x v="0"/>
    <x v="1"/>
    <x v="8"/>
    <x v="2"/>
    <x v="24"/>
    <x v="0"/>
    <x v="0"/>
    <n v="0"/>
    <n v="0"/>
    <n v="0"/>
    <x v="2"/>
  </r>
  <r>
    <x v="0"/>
    <x v="1"/>
    <x v="8"/>
    <x v="3"/>
    <x v="25"/>
    <x v="0"/>
    <x v="0"/>
    <n v="0"/>
    <n v="0"/>
    <n v="0"/>
    <x v="2"/>
  </r>
  <r>
    <x v="0"/>
    <x v="1"/>
    <x v="8"/>
    <x v="3"/>
    <x v="26"/>
    <x v="0"/>
    <x v="0"/>
    <n v="3.07"/>
    <n v="10334.11"/>
    <n v="37039.129999999997"/>
    <x v="2"/>
  </r>
  <r>
    <x v="0"/>
    <x v="1"/>
    <x v="8"/>
    <x v="3"/>
    <x v="27"/>
    <x v="0"/>
    <x v="0"/>
    <n v="2.73"/>
    <n v="9189.6200000000008"/>
    <n v="32935.49"/>
    <x v="2"/>
  </r>
  <r>
    <x v="0"/>
    <x v="1"/>
    <x v="8"/>
    <x v="0"/>
    <x v="0"/>
    <x v="0"/>
    <x v="1"/>
    <n v="1.94"/>
    <n v="6530.35"/>
    <n v="23406.23"/>
    <x v="2"/>
  </r>
  <r>
    <x v="0"/>
    <x v="1"/>
    <x v="8"/>
    <x v="0"/>
    <x v="1"/>
    <x v="0"/>
    <x v="1"/>
    <n v="9.1999999999999993"/>
    <n v="30968.67"/>
    <n v="111143.32"/>
    <x v="2"/>
  </r>
  <r>
    <x v="0"/>
    <x v="1"/>
    <x v="8"/>
    <x v="0"/>
    <x v="2"/>
    <x v="0"/>
    <x v="1"/>
    <n v="4.66"/>
    <n v="15686.31"/>
    <n v="56253.43"/>
    <x v="2"/>
  </r>
  <r>
    <x v="0"/>
    <x v="1"/>
    <x v="8"/>
    <x v="0"/>
    <x v="3"/>
    <x v="0"/>
    <x v="1"/>
    <n v="8.6300000000000008"/>
    <n v="29049.96"/>
    <n v="104200.6"/>
    <x v="2"/>
  </r>
  <r>
    <x v="0"/>
    <x v="1"/>
    <x v="8"/>
    <x v="0"/>
    <x v="4"/>
    <x v="0"/>
    <x v="1"/>
    <n v="2.31"/>
    <n v="7775.83"/>
    <n v="27954.6"/>
    <x v="2"/>
  </r>
  <r>
    <x v="0"/>
    <x v="1"/>
    <x v="8"/>
    <x v="0"/>
    <x v="5"/>
    <x v="0"/>
    <x v="1"/>
    <n v="4.9000000000000004"/>
    <n v="16494.18"/>
    <n v="59188.38"/>
    <x v="2"/>
  </r>
  <r>
    <x v="0"/>
    <x v="1"/>
    <x v="8"/>
    <x v="0"/>
    <x v="6"/>
    <x v="0"/>
    <x v="1"/>
    <n v="5.62"/>
    <n v="18917.82"/>
    <n v="67896.17"/>
    <x v="2"/>
  </r>
  <r>
    <x v="0"/>
    <x v="1"/>
    <x v="8"/>
    <x v="0"/>
    <x v="8"/>
    <x v="0"/>
    <x v="1"/>
    <n v="4.29"/>
    <n v="14440.83"/>
    <n v="51758.71"/>
    <x v="2"/>
  </r>
  <r>
    <x v="0"/>
    <x v="1"/>
    <x v="8"/>
    <x v="1"/>
    <x v="10"/>
    <x v="0"/>
    <x v="1"/>
    <n v="5.43"/>
    <n v="18278.25"/>
    <n v="65534.28"/>
    <x v="2"/>
  </r>
  <r>
    <x v="0"/>
    <x v="1"/>
    <x v="8"/>
    <x v="1"/>
    <x v="11"/>
    <x v="0"/>
    <x v="1"/>
    <n v="12.79"/>
    <n v="43053.19"/>
    <n v="154447.73000000001"/>
    <x v="2"/>
  </r>
  <r>
    <x v="0"/>
    <x v="1"/>
    <x v="8"/>
    <x v="1"/>
    <x v="13"/>
    <x v="0"/>
    <x v="1"/>
    <n v="5.8"/>
    <n v="19523.73"/>
    <n v="70010.94"/>
    <x v="2"/>
  </r>
  <r>
    <x v="0"/>
    <x v="1"/>
    <x v="8"/>
    <x v="1"/>
    <x v="14"/>
    <x v="0"/>
    <x v="1"/>
    <n v="2.89"/>
    <n v="9728.2000000000007"/>
    <n v="34944.54"/>
    <x v="2"/>
  </r>
  <r>
    <x v="0"/>
    <x v="1"/>
    <x v="8"/>
    <x v="1"/>
    <x v="16"/>
    <x v="0"/>
    <x v="1"/>
    <n v="2.65"/>
    <n v="8920.32"/>
    <n v="32006.26"/>
    <x v="2"/>
  </r>
  <r>
    <x v="0"/>
    <x v="1"/>
    <x v="8"/>
    <x v="1"/>
    <x v="17"/>
    <x v="0"/>
    <x v="1"/>
    <n v="2.35"/>
    <n v="7910.48"/>
    <n v="28338.15"/>
    <x v="2"/>
  </r>
  <r>
    <x v="0"/>
    <x v="1"/>
    <x v="8"/>
    <x v="1"/>
    <x v="18"/>
    <x v="0"/>
    <x v="1"/>
    <n v="16.16"/>
    <n v="54397.15"/>
    <n v="195108.5"/>
    <x v="2"/>
  </r>
  <r>
    <x v="0"/>
    <x v="1"/>
    <x v="8"/>
    <x v="1"/>
    <x v="19"/>
    <x v="0"/>
    <x v="1"/>
    <n v="4.38"/>
    <n v="14743.78"/>
    <n v="52903.14"/>
    <x v="2"/>
  </r>
  <r>
    <x v="0"/>
    <x v="1"/>
    <x v="8"/>
    <x v="1"/>
    <x v="20"/>
    <x v="0"/>
    <x v="1"/>
    <n v="14.23"/>
    <n v="47900.46"/>
    <n v="171794.24"/>
    <x v="2"/>
  </r>
  <r>
    <x v="0"/>
    <x v="1"/>
    <x v="8"/>
    <x v="2"/>
    <x v="21"/>
    <x v="0"/>
    <x v="1"/>
    <n v="0"/>
    <n v="0"/>
    <n v="0"/>
    <x v="2"/>
  </r>
  <r>
    <x v="0"/>
    <x v="1"/>
    <x v="8"/>
    <x v="2"/>
    <x v="22"/>
    <x v="0"/>
    <x v="1"/>
    <n v="5.74"/>
    <n v="19321.759999999998"/>
    <n v="69275.789999999994"/>
    <x v="2"/>
  </r>
  <r>
    <x v="0"/>
    <x v="1"/>
    <x v="8"/>
    <x v="2"/>
    <x v="29"/>
    <x v="0"/>
    <x v="1"/>
    <n v="1.98"/>
    <n v="6665"/>
    <n v="23934.21"/>
    <x v="2"/>
  </r>
  <r>
    <x v="0"/>
    <x v="1"/>
    <x v="8"/>
    <x v="2"/>
    <x v="24"/>
    <x v="0"/>
    <x v="1"/>
    <n v="3.91"/>
    <n v="13161.69"/>
    <n v="47198.01"/>
    <x v="2"/>
  </r>
  <r>
    <x v="0"/>
    <x v="1"/>
    <x v="8"/>
    <x v="3"/>
    <x v="25"/>
    <x v="0"/>
    <x v="1"/>
    <n v="3.46"/>
    <n v="11646.91"/>
    <n v="41769.99"/>
    <x v="2"/>
  </r>
  <r>
    <x v="0"/>
    <x v="1"/>
    <x v="8"/>
    <x v="3"/>
    <x v="26"/>
    <x v="0"/>
    <x v="1"/>
    <n v="2.98"/>
    <n v="10031.16"/>
    <n v="35949.74"/>
    <x v="2"/>
  </r>
  <r>
    <x v="0"/>
    <x v="1"/>
    <x v="8"/>
    <x v="3"/>
    <x v="27"/>
    <x v="0"/>
    <x v="1"/>
    <n v="9.77"/>
    <n v="32887.379999999997"/>
    <n v="117930.3"/>
    <x v="2"/>
  </r>
  <r>
    <x v="0"/>
    <x v="1"/>
    <x v="8"/>
    <x v="0"/>
    <x v="0"/>
    <x v="1"/>
    <x v="0"/>
    <n v="5.62"/>
    <n v="18917.82"/>
    <n v="44401.5"/>
    <x v="2"/>
  </r>
  <r>
    <x v="0"/>
    <x v="1"/>
    <x v="8"/>
    <x v="0"/>
    <x v="1"/>
    <x v="1"/>
    <x v="0"/>
    <n v="17.600000000000001"/>
    <n v="59244.42"/>
    <n v="136640.94"/>
    <x v="2"/>
  </r>
  <r>
    <x v="0"/>
    <x v="1"/>
    <x v="8"/>
    <x v="0"/>
    <x v="2"/>
    <x v="1"/>
    <x v="0"/>
    <n v="7.84"/>
    <n v="26390.69"/>
    <n v="58826.35"/>
    <x v="2"/>
  </r>
  <r>
    <x v="0"/>
    <x v="1"/>
    <x v="8"/>
    <x v="0"/>
    <x v="3"/>
    <x v="1"/>
    <x v="0"/>
    <n v="14.43"/>
    <n v="48573.69"/>
    <n v="112600.29"/>
    <x v="2"/>
  </r>
  <r>
    <x v="0"/>
    <x v="1"/>
    <x v="8"/>
    <x v="0"/>
    <x v="28"/>
    <x v="1"/>
    <x v="0"/>
    <n v="0"/>
    <n v="0"/>
    <n v="0"/>
    <x v="2"/>
  </r>
  <r>
    <x v="0"/>
    <x v="1"/>
    <x v="8"/>
    <x v="0"/>
    <x v="4"/>
    <x v="1"/>
    <x v="0"/>
    <n v="9.74"/>
    <n v="32786.400000000001"/>
    <n v="75275.100000000006"/>
    <x v="2"/>
  </r>
  <r>
    <x v="0"/>
    <x v="1"/>
    <x v="8"/>
    <x v="0"/>
    <x v="5"/>
    <x v="1"/>
    <x v="0"/>
    <n v="2.67"/>
    <n v="8987.65"/>
    <n v="21227.040000000001"/>
    <x v="2"/>
  </r>
  <r>
    <x v="0"/>
    <x v="1"/>
    <x v="8"/>
    <x v="0"/>
    <x v="6"/>
    <x v="1"/>
    <x v="0"/>
    <n v="0"/>
    <n v="0"/>
    <n v="0"/>
    <x v="2"/>
  </r>
  <r>
    <x v="0"/>
    <x v="1"/>
    <x v="8"/>
    <x v="0"/>
    <x v="7"/>
    <x v="1"/>
    <x v="0"/>
    <n v="0"/>
    <n v="0"/>
    <n v="0"/>
    <x v="2"/>
  </r>
  <r>
    <x v="0"/>
    <x v="1"/>
    <x v="8"/>
    <x v="0"/>
    <x v="8"/>
    <x v="1"/>
    <x v="0"/>
    <n v="0"/>
    <n v="0"/>
    <n v="0"/>
    <x v="2"/>
  </r>
  <r>
    <x v="0"/>
    <x v="1"/>
    <x v="8"/>
    <x v="1"/>
    <x v="30"/>
    <x v="1"/>
    <x v="0"/>
    <n v="3.79"/>
    <n v="12757.75"/>
    <n v="31574.31"/>
    <x v="2"/>
  </r>
  <r>
    <x v="0"/>
    <x v="1"/>
    <x v="8"/>
    <x v="1"/>
    <x v="9"/>
    <x v="1"/>
    <x v="0"/>
    <n v="0"/>
    <n v="0"/>
    <n v="0"/>
    <x v="2"/>
  </r>
  <r>
    <x v="0"/>
    <x v="1"/>
    <x v="8"/>
    <x v="1"/>
    <x v="31"/>
    <x v="1"/>
    <x v="0"/>
    <n v="2.86"/>
    <n v="9627.2199999999993"/>
    <n v="24040.95"/>
    <x v="2"/>
  </r>
  <r>
    <x v="0"/>
    <x v="1"/>
    <x v="8"/>
    <x v="1"/>
    <x v="10"/>
    <x v="1"/>
    <x v="0"/>
    <n v="12.48"/>
    <n v="42009.68"/>
    <n v="102786.49"/>
    <x v="2"/>
  </r>
  <r>
    <x v="0"/>
    <x v="1"/>
    <x v="8"/>
    <x v="1"/>
    <x v="11"/>
    <x v="1"/>
    <x v="0"/>
    <n v="7.66"/>
    <n v="25784.79"/>
    <n v="60158.94"/>
    <x v="2"/>
  </r>
  <r>
    <x v="0"/>
    <x v="1"/>
    <x v="8"/>
    <x v="1"/>
    <x v="12"/>
    <x v="1"/>
    <x v="0"/>
    <n v="2.15"/>
    <n v="7237.24"/>
    <n v="17785.599999999999"/>
    <x v="2"/>
  </r>
  <r>
    <x v="0"/>
    <x v="1"/>
    <x v="8"/>
    <x v="1"/>
    <x v="13"/>
    <x v="1"/>
    <x v="0"/>
    <n v="3.73"/>
    <n v="12555.78"/>
    <n v="30713.82"/>
    <x v="2"/>
  </r>
  <r>
    <x v="0"/>
    <x v="1"/>
    <x v="8"/>
    <x v="1"/>
    <x v="14"/>
    <x v="1"/>
    <x v="0"/>
    <n v="16.100000000000001"/>
    <n v="54195.18"/>
    <n v="129914.05"/>
    <x v="2"/>
  </r>
  <r>
    <x v="0"/>
    <x v="1"/>
    <x v="8"/>
    <x v="1"/>
    <x v="15"/>
    <x v="1"/>
    <x v="0"/>
    <n v="2.79"/>
    <n v="9391.59"/>
    <n v="23270.560000000001"/>
    <x v="2"/>
  </r>
  <r>
    <x v="0"/>
    <x v="1"/>
    <x v="8"/>
    <x v="1"/>
    <x v="16"/>
    <x v="1"/>
    <x v="0"/>
    <n v="8.61"/>
    <n v="28982.639999999999"/>
    <n v="68426.31"/>
    <x v="2"/>
  </r>
  <r>
    <x v="0"/>
    <x v="1"/>
    <x v="8"/>
    <x v="1"/>
    <x v="17"/>
    <x v="1"/>
    <x v="0"/>
    <n v="8"/>
    <n v="26929.279999999999"/>
    <n v="64172.02"/>
    <x v="2"/>
  </r>
  <r>
    <x v="0"/>
    <x v="1"/>
    <x v="8"/>
    <x v="1"/>
    <x v="18"/>
    <x v="1"/>
    <x v="0"/>
    <n v="6.59"/>
    <n v="22182.99"/>
    <n v="55321.91"/>
    <x v="2"/>
  </r>
  <r>
    <x v="0"/>
    <x v="1"/>
    <x v="8"/>
    <x v="1"/>
    <x v="19"/>
    <x v="1"/>
    <x v="0"/>
    <n v="9.6999999999999993"/>
    <n v="32651.75"/>
    <n v="78984.649999999994"/>
    <x v="2"/>
  </r>
  <r>
    <x v="0"/>
    <x v="1"/>
    <x v="8"/>
    <x v="1"/>
    <x v="20"/>
    <x v="1"/>
    <x v="0"/>
    <n v="13.92"/>
    <n v="46856.95"/>
    <n v="111475.98"/>
    <x v="2"/>
  </r>
  <r>
    <x v="0"/>
    <x v="1"/>
    <x v="8"/>
    <x v="2"/>
    <x v="21"/>
    <x v="1"/>
    <x v="0"/>
    <n v="0"/>
    <n v="0"/>
    <n v="0"/>
    <x v="2"/>
  </r>
  <r>
    <x v="0"/>
    <x v="1"/>
    <x v="8"/>
    <x v="2"/>
    <x v="22"/>
    <x v="1"/>
    <x v="0"/>
    <n v="5.75"/>
    <n v="19355.419999999998"/>
    <n v="42281.22"/>
    <x v="2"/>
  </r>
  <r>
    <x v="0"/>
    <x v="1"/>
    <x v="8"/>
    <x v="2"/>
    <x v="29"/>
    <x v="1"/>
    <x v="0"/>
    <n v="0"/>
    <n v="0"/>
    <n v="0"/>
    <x v="2"/>
  </r>
  <r>
    <x v="0"/>
    <x v="1"/>
    <x v="8"/>
    <x v="2"/>
    <x v="23"/>
    <x v="1"/>
    <x v="0"/>
    <n v="0"/>
    <n v="0"/>
    <n v="0"/>
    <x v="2"/>
  </r>
  <r>
    <x v="0"/>
    <x v="1"/>
    <x v="8"/>
    <x v="2"/>
    <x v="24"/>
    <x v="1"/>
    <x v="0"/>
    <n v="2.1800000000000002"/>
    <n v="7338.23"/>
    <n v="16298.71"/>
    <x v="2"/>
  </r>
  <r>
    <x v="0"/>
    <x v="1"/>
    <x v="8"/>
    <x v="3"/>
    <x v="25"/>
    <x v="1"/>
    <x v="0"/>
    <n v="9.35"/>
    <n v="31473.599999999999"/>
    <n v="77343.350000000006"/>
    <x v="2"/>
  </r>
  <r>
    <x v="0"/>
    <x v="1"/>
    <x v="8"/>
    <x v="3"/>
    <x v="26"/>
    <x v="1"/>
    <x v="0"/>
    <n v="6.48"/>
    <n v="21812.720000000001"/>
    <n v="54002.13"/>
    <x v="2"/>
  </r>
  <r>
    <x v="0"/>
    <x v="1"/>
    <x v="8"/>
    <x v="3"/>
    <x v="27"/>
    <x v="1"/>
    <x v="0"/>
    <n v="13.57"/>
    <n v="45678.79"/>
    <n v="110963.59"/>
    <x v="2"/>
  </r>
  <r>
    <x v="0"/>
    <x v="1"/>
    <x v="8"/>
    <x v="0"/>
    <x v="0"/>
    <x v="1"/>
    <x v="1"/>
    <n v="9.34"/>
    <n v="31439.93"/>
    <n v="73774.789999999994"/>
    <x v="2"/>
  </r>
  <r>
    <x v="0"/>
    <x v="1"/>
    <x v="8"/>
    <x v="0"/>
    <x v="1"/>
    <x v="1"/>
    <x v="1"/>
    <n v="23.41"/>
    <n v="78801.81"/>
    <n v="181745.72"/>
    <x v="2"/>
  </r>
  <r>
    <x v="0"/>
    <x v="1"/>
    <x v="8"/>
    <x v="0"/>
    <x v="2"/>
    <x v="1"/>
    <x v="1"/>
    <n v="15.51"/>
    <n v="52209.14"/>
    <n v="116345.45"/>
    <x v="2"/>
  </r>
  <r>
    <x v="0"/>
    <x v="1"/>
    <x v="8"/>
    <x v="0"/>
    <x v="3"/>
    <x v="1"/>
    <x v="1"/>
    <n v="34.44"/>
    <n v="115930.55"/>
    <n v="268705.25"/>
    <x v="2"/>
  </r>
  <r>
    <x v="0"/>
    <x v="1"/>
    <x v="8"/>
    <x v="0"/>
    <x v="28"/>
    <x v="1"/>
    <x v="1"/>
    <n v="1.77"/>
    <n v="5958.1"/>
    <n v="13948.28"/>
    <x v="2"/>
  </r>
  <r>
    <x v="0"/>
    <x v="1"/>
    <x v="8"/>
    <x v="0"/>
    <x v="4"/>
    <x v="1"/>
    <x v="1"/>
    <n v="9.74"/>
    <n v="32786.400000000001"/>
    <n v="75275.100000000006"/>
    <x v="2"/>
  </r>
  <r>
    <x v="0"/>
    <x v="1"/>
    <x v="8"/>
    <x v="0"/>
    <x v="5"/>
    <x v="1"/>
    <x v="1"/>
    <n v="28.97"/>
    <n v="97517.66"/>
    <n v="230569.61"/>
    <x v="2"/>
  </r>
  <r>
    <x v="0"/>
    <x v="1"/>
    <x v="8"/>
    <x v="0"/>
    <x v="6"/>
    <x v="1"/>
    <x v="1"/>
    <n v="2.65"/>
    <n v="8920.32"/>
    <n v="21036.3"/>
    <x v="2"/>
  </r>
  <r>
    <x v="0"/>
    <x v="1"/>
    <x v="8"/>
    <x v="0"/>
    <x v="7"/>
    <x v="1"/>
    <x v="1"/>
    <n v="3.98"/>
    <n v="13397.32"/>
    <n v="32141.01"/>
    <x v="2"/>
  </r>
  <r>
    <x v="0"/>
    <x v="1"/>
    <x v="8"/>
    <x v="0"/>
    <x v="8"/>
    <x v="1"/>
    <x v="1"/>
    <n v="5.35"/>
    <n v="18008.96"/>
    <n v="41183.1"/>
    <x v="2"/>
  </r>
  <r>
    <x v="0"/>
    <x v="1"/>
    <x v="8"/>
    <x v="1"/>
    <x v="30"/>
    <x v="1"/>
    <x v="1"/>
    <n v="0"/>
    <n v="0"/>
    <n v="0"/>
    <x v="2"/>
  </r>
  <r>
    <x v="0"/>
    <x v="1"/>
    <x v="8"/>
    <x v="1"/>
    <x v="9"/>
    <x v="1"/>
    <x v="1"/>
    <n v="5.24"/>
    <n v="17638.68"/>
    <n v="43523.040000000001"/>
    <x v="2"/>
  </r>
  <r>
    <x v="0"/>
    <x v="1"/>
    <x v="8"/>
    <x v="1"/>
    <x v="31"/>
    <x v="1"/>
    <x v="1"/>
    <n v="0"/>
    <n v="0"/>
    <n v="0"/>
    <x v="2"/>
  </r>
  <r>
    <x v="0"/>
    <x v="1"/>
    <x v="8"/>
    <x v="1"/>
    <x v="10"/>
    <x v="1"/>
    <x v="1"/>
    <n v="27.77"/>
    <n v="93478.26"/>
    <n v="228728.18"/>
    <x v="2"/>
  </r>
  <r>
    <x v="0"/>
    <x v="1"/>
    <x v="8"/>
    <x v="1"/>
    <x v="11"/>
    <x v="1"/>
    <x v="1"/>
    <n v="32.44"/>
    <n v="109198.23"/>
    <n v="254672.83"/>
    <x v="2"/>
  </r>
  <r>
    <x v="0"/>
    <x v="1"/>
    <x v="8"/>
    <x v="1"/>
    <x v="12"/>
    <x v="1"/>
    <x v="1"/>
    <n v="3.88"/>
    <n v="13060.7"/>
    <n v="32014.09"/>
    <x v="2"/>
  </r>
  <r>
    <x v="0"/>
    <x v="1"/>
    <x v="8"/>
    <x v="1"/>
    <x v="13"/>
    <x v="1"/>
    <x v="1"/>
    <n v="16.809999999999999"/>
    <n v="56585.15"/>
    <n v="138212.19"/>
    <x v="2"/>
  </r>
  <r>
    <x v="0"/>
    <x v="1"/>
    <x v="8"/>
    <x v="1"/>
    <x v="14"/>
    <x v="1"/>
    <x v="1"/>
    <n v="9.01"/>
    <n v="30329.1"/>
    <n v="72723.63"/>
    <x v="2"/>
  </r>
  <r>
    <x v="0"/>
    <x v="1"/>
    <x v="8"/>
    <x v="1"/>
    <x v="15"/>
    <x v="1"/>
    <x v="1"/>
    <n v="2.69"/>
    <n v="9054.9699999999993"/>
    <n v="22439.46"/>
    <x v="2"/>
  </r>
  <r>
    <x v="0"/>
    <x v="1"/>
    <x v="8"/>
    <x v="1"/>
    <x v="16"/>
    <x v="1"/>
    <x v="1"/>
    <n v="10.3"/>
    <n v="34671.449999999997"/>
    <n v="81843.23"/>
    <x v="2"/>
  </r>
  <r>
    <x v="0"/>
    <x v="1"/>
    <x v="8"/>
    <x v="1"/>
    <x v="17"/>
    <x v="1"/>
    <x v="1"/>
    <n v="7.1"/>
    <n v="23899.74"/>
    <n v="56894.78"/>
    <x v="2"/>
  </r>
  <r>
    <x v="0"/>
    <x v="1"/>
    <x v="8"/>
    <x v="1"/>
    <x v="18"/>
    <x v="1"/>
    <x v="1"/>
    <n v="25.46"/>
    <n v="85702.43"/>
    <n v="213717.28"/>
    <x v="2"/>
  </r>
  <r>
    <x v="0"/>
    <x v="1"/>
    <x v="8"/>
    <x v="1"/>
    <x v="19"/>
    <x v="1"/>
    <x v="1"/>
    <n v="15.44"/>
    <n v="51973.51"/>
    <n v="125688.61"/>
    <x v="2"/>
  </r>
  <r>
    <x v="0"/>
    <x v="1"/>
    <x v="8"/>
    <x v="1"/>
    <x v="20"/>
    <x v="1"/>
    <x v="1"/>
    <n v="25.92"/>
    <n v="87250.87"/>
    <n v="207506.49"/>
    <x v="2"/>
  </r>
  <r>
    <x v="0"/>
    <x v="1"/>
    <x v="8"/>
    <x v="2"/>
    <x v="21"/>
    <x v="1"/>
    <x v="1"/>
    <n v="3.31"/>
    <n v="11141.99"/>
    <n v="24346.3"/>
    <x v="2"/>
  </r>
  <r>
    <x v="0"/>
    <x v="1"/>
    <x v="8"/>
    <x v="2"/>
    <x v="22"/>
    <x v="1"/>
    <x v="1"/>
    <n v="11.55"/>
    <n v="38879.15"/>
    <n v="84943.35"/>
    <x v="2"/>
  </r>
  <r>
    <x v="0"/>
    <x v="1"/>
    <x v="8"/>
    <x v="2"/>
    <x v="29"/>
    <x v="1"/>
    <x v="1"/>
    <n v="3.8"/>
    <n v="12791.41"/>
    <n v="29655.66"/>
    <x v="2"/>
  </r>
  <r>
    <x v="0"/>
    <x v="1"/>
    <x v="8"/>
    <x v="2"/>
    <x v="23"/>
    <x v="1"/>
    <x v="1"/>
    <n v="2.0099999999999998"/>
    <n v="6765.98"/>
    <n v="15359.61"/>
    <x v="2"/>
  </r>
  <r>
    <x v="0"/>
    <x v="1"/>
    <x v="8"/>
    <x v="2"/>
    <x v="24"/>
    <x v="1"/>
    <x v="1"/>
    <n v="3.52"/>
    <n v="11848.88"/>
    <n v="26328.68"/>
    <x v="2"/>
  </r>
  <r>
    <x v="0"/>
    <x v="1"/>
    <x v="8"/>
    <x v="3"/>
    <x v="25"/>
    <x v="1"/>
    <x v="1"/>
    <n v="9.52"/>
    <n v="32045.84"/>
    <n v="78712.259999999995"/>
    <x v="2"/>
  </r>
  <r>
    <x v="0"/>
    <x v="1"/>
    <x v="8"/>
    <x v="3"/>
    <x v="26"/>
    <x v="1"/>
    <x v="1"/>
    <n v="16.73"/>
    <n v="56315.86"/>
    <n v="139376.94"/>
    <x v="2"/>
  </r>
  <r>
    <x v="0"/>
    <x v="1"/>
    <x v="8"/>
    <x v="3"/>
    <x v="27"/>
    <x v="1"/>
    <x v="1"/>
    <n v="43.16"/>
    <n v="145283.47"/>
    <n v="352878"/>
    <x v="2"/>
  </r>
  <r>
    <x v="0"/>
    <x v="1"/>
    <x v="9"/>
    <x v="0"/>
    <x v="0"/>
    <x v="0"/>
    <x v="0"/>
    <n v="1.26"/>
    <n v="3401.76"/>
    <n v="11783.72"/>
    <x v="2"/>
  </r>
  <r>
    <x v="0"/>
    <x v="1"/>
    <x v="9"/>
    <x v="0"/>
    <x v="1"/>
    <x v="0"/>
    <x v="0"/>
    <n v="3.76"/>
    <n v="10151.290000000001"/>
    <n v="35293.870000000003"/>
    <x v="2"/>
  </r>
  <r>
    <x v="0"/>
    <x v="1"/>
    <x v="9"/>
    <x v="0"/>
    <x v="2"/>
    <x v="0"/>
    <x v="0"/>
    <n v="0"/>
    <n v="0"/>
    <n v="0"/>
    <x v="2"/>
  </r>
  <r>
    <x v="0"/>
    <x v="1"/>
    <x v="9"/>
    <x v="0"/>
    <x v="3"/>
    <x v="0"/>
    <x v="0"/>
    <n v="1.87"/>
    <n v="5048.6400000000003"/>
    <n v="17519.55"/>
    <x v="2"/>
  </r>
  <r>
    <x v="0"/>
    <x v="1"/>
    <x v="9"/>
    <x v="0"/>
    <x v="4"/>
    <x v="0"/>
    <x v="0"/>
    <n v="0"/>
    <n v="0"/>
    <n v="0"/>
    <x v="2"/>
  </r>
  <r>
    <x v="0"/>
    <x v="1"/>
    <x v="9"/>
    <x v="0"/>
    <x v="5"/>
    <x v="0"/>
    <x v="0"/>
    <n v="0"/>
    <n v="0"/>
    <n v="0"/>
    <x v="2"/>
  </r>
  <r>
    <x v="0"/>
    <x v="1"/>
    <x v="9"/>
    <x v="0"/>
    <x v="6"/>
    <x v="0"/>
    <x v="0"/>
    <n v="0"/>
    <n v="0"/>
    <n v="0"/>
    <x v="2"/>
  </r>
  <r>
    <x v="0"/>
    <x v="1"/>
    <x v="9"/>
    <x v="0"/>
    <x v="8"/>
    <x v="0"/>
    <x v="0"/>
    <n v="0"/>
    <n v="0"/>
    <n v="0"/>
    <x v="2"/>
  </r>
  <r>
    <x v="0"/>
    <x v="1"/>
    <x v="9"/>
    <x v="1"/>
    <x v="10"/>
    <x v="0"/>
    <x v="0"/>
    <n v="1.53"/>
    <n v="4130.71"/>
    <n v="14328.43"/>
    <x v="2"/>
  </r>
  <r>
    <x v="0"/>
    <x v="1"/>
    <x v="9"/>
    <x v="1"/>
    <x v="11"/>
    <x v="0"/>
    <x v="0"/>
    <n v="0"/>
    <n v="0"/>
    <n v="0"/>
    <x v="2"/>
  </r>
  <r>
    <x v="0"/>
    <x v="1"/>
    <x v="9"/>
    <x v="1"/>
    <x v="13"/>
    <x v="0"/>
    <x v="0"/>
    <n v="0"/>
    <n v="0"/>
    <n v="0"/>
    <x v="2"/>
  </r>
  <r>
    <x v="0"/>
    <x v="1"/>
    <x v="9"/>
    <x v="1"/>
    <x v="14"/>
    <x v="0"/>
    <x v="0"/>
    <n v="0"/>
    <n v="0"/>
    <n v="0"/>
    <x v="2"/>
  </r>
  <r>
    <x v="0"/>
    <x v="1"/>
    <x v="9"/>
    <x v="1"/>
    <x v="16"/>
    <x v="0"/>
    <x v="0"/>
    <n v="0"/>
    <n v="0"/>
    <n v="0"/>
    <x v="2"/>
  </r>
  <r>
    <x v="0"/>
    <x v="1"/>
    <x v="9"/>
    <x v="1"/>
    <x v="17"/>
    <x v="0"/>
    <x v="0"/>
    <n v="0"/>
    <n v="0"/>
    <n v="0"/>
    <x v="2"/>
  </r>
  <r>
    <x v="0"/>
    <x v="1"/>
    <x v="9"/>
    <x v="1"/>
    <x v="18"/>
    <x v="0"/>
    <x v="0"/>
    <n v="0"/>
    <n v="0"/>
    <n v="0"/>
    <x v="2"/>
  </r>
  <r>
    <x v="0"/>
    <x v="1"/>
    <x v="9"/>
    <x v="1"/>
    <x v="19"/>
    <x v="0"/>
    <x v="0"/>
    <n v="0"/>
    <n v="0"/>
    <n v="0"/>
    <x v="2"/>
  </r>
  <r>
    <x v="0"/>
    <x v="1"/>
    <x v="9"/>
    <x v="1"/>
    <x v="20"/>
    <x v="0"/>
    <x v="0"/>
    <n v="1.73"/>
    <n v="4670.67"/>
    <n v="16273.25"/>
    <x v="2"/>
  </r>
  <r>
    <x v="0"/>
    <x v="1"/>
    <x v="9"/>
    <x v="2"/>
    <x v="21"/>
    <x v="0"/>
    <x v="0"/>
    <n v="2.1"/>
    <n v="5669.6"/>
    <n v="19675.29"/>
    <x v="2"/>
  </r>
  <r>
    <x v="0"/>
    <x v="1"/>
    <x v="9"/>
    <x v="2"/>
    <x v="22"/>
    <x v="0"/>
    <x v="0"/>
    <n v="0"/>
    <n v="0"/>
    <n v="0"/>
    <x v="2"/>
  </r>
  <r>
    <x v="0"/>
    <x v="1"/>
    <x v="9"/>
    <x v="2"/>
    <x v="29"/>
    <x v="0"/>
    <x v="0"/>
    <n v="0"/>
    <n v="0"/>
    <n v="0"/>
    <x v="2"/>
  </r>
  <r>
    <x v="0"/>
    <x v="1"/>
    <x v="9"/>
    <x v="2"/>
    <x v="24"/>
    <x v="0"/>
    <x v="0"/>
    <n v="0"/>
    <n v="0"/>
    <n v="0"/>
    <x v="2"/>
  </r>
  <r>
    <x v="0"/>
    <x v="1"/>
    <x v="9"/>
    <x v="3"/>
    <x v="25"/>
    <x v="0"/>
    <x v="0"/>
    <n v="0"/>
    <n v="0"/>
    <n v="0"/>
    <x v="2"/>
  </r>
  <r>
    <x v="0"/>
    <x v="1"/>
    <x v="9"/>
    <x v="3"/>
    <x v="26"/>
    <x v="0"/>
    <x v="0"/>
    <n v="1.27"/>
    <n v="3428.76"/>
    <n v="11952.67"/>
    <x v="2"/>
  </r>
  <r>
    <x v="0"/>
    <x v="1"/>
    <x v="9"/>
    <x v="3"/>
    <x v="27"/>
    <x v="0"/>
    <x v="0"/>
    <n v="2.82"/>
    <n v="7613.46"/>
    <n v="26417.35"/>
    <x v="2"/>
  </r>
  <r>
    <x v="0"/>
    <x v="1"/>
    <x v="9"/>
    <x v="0"/>
    <x v="0"/>
    <x v="0"/>
    <x v="1"/>
    <n v="1.7"/>
    <n v="4589.68"/>
    <n v="15992.2"/>
    <x v="2"/>
  </r>
  <r>
    <x v="0"/>
    <x v="1"/>
    <x v="9"/>
    <x v="0"/>
    <x v="1"/>
    <x v="0"/>
    <x v="1"/>
    <n v="7.82"/>
    <n v="21112.51"/>
    <n v="73302.64"/>
    <x v="2"/>
  </r>
  <r>
    <x v="0"/>
    <x v="1"/>
    <x v="9"/>
    <x v="0"/>
    <x v="2"/>
    <x v="0"/>
    <x v="1"/>
    <n v="3.52"/>
    <n v="9503.33"/>
    <n v="33035.949999999997"/>
    <x v="2"/>
  </r>
  <r>
    <x v="0"/>
    <x v="1"/>
    <x v="9"/>
    <x v="0"/>
    <x v="3"/>
    <x v="0"/>
    <x v="1"/>
    <n v="6.03"/>
    <n v="16279.85"/>
    <n v="56540.37"/>
    <x v="2"/>
  </r>
  <r>
    <x v="0"/>
    <x v="1"/>
    <x v="9"/>
    <x v="0"/>
    <x v="4"/>
    <x v="0"/>
    <x v="1"/>
    <n v="1.44"/>
    <n v="3887.73"/>
    <n v="13467.5"/>
    <x v="2"/>
  </r>
  <r>
    <x v="0"/>
    <x v="1"/>
    <x v="9"/>
    <x v="0"/>
    <x v="5"/>
    <x v="0"/>
    <x v="1"/>
    <n v="5.75"/>
    <n v="15523.91"/>
    <n v="53893.13"/>
    <x v="2"/>
  </r>
  <r>
    <x v="0"/>
    <x v="1"/>
    <x v="9"/>
    <x v="0"/>
    <x v="6"/>
    <x v="0"/>
    <x v="1"/>
    <n v="1.94"/>
    <n v="5237.63"/>
    <n v="18188.04"/>
    <x v="2"/>
  </r>
  <r>
    <x v="0"/>
    <x v="1"/>
    <x v="9"/>
    <x v="0"/>
    <x v="8"/>
    <x v="0"/>
    <x v="1"/>
    <n v="3.32"/>
    <n v="8963.3700000000008"/>
    <n v="31135.81"/>
    <x v="2"/>
  </r>
  <r>
    <x v="0"/>
    <x v="1"/>
    <x v="9"/>
    <x v="1"/>
    <x v="10"/>
    <x v="0"/>
    <x v="1"/>
    <n v="4.58"/>
    <n v="12365.13"/>
    <n v="42985.3"/>
    <x v="2"/>
  </r>
  <r>
    <x v="0"/>
    <x v="1"/>
    <x v="9"/>
    <x v="1"/>
    <x v="11"/>
    <x v="0"/>
    <x v="1"/>
    <n v="10.08"/>
    <n v="27214.080000000002"/>
    <n v="94566.8"/>
    <x v="2"/>
  </r>
  <r>
    <x v="0"/>
    <x v="1"/>
    <x v="9"/>
    <x v="1"/>
    <x v="13"/>
    <x v="0"/>
    <x v="1"/>
    <n v="0.83"/>
    <n v="2240.84"/>
    <n v="7773.76"/>
    <x v="2"/>
  </r>
  <r>
    <x v="0"/>
    <x v="1"/>
    <x v="9"/>
    <x v="1"/>
    <x v="14"/>
    <x v="0"/>
    <x v="1"/>
    <n v="1.8"/>
    <n v="4859.66"/>
    <n v="16869.46"/>
    <x v="2"/>
  </r>
  <r>
    <x v="0"/>
    <x v="1"/>
    <x v="9"/>
    <x v="1"/>
    <x v="16"/>
    <x v="0"/>
    <x v="1"/>
    <n v="1.75"/>
    <n v="4724.67"/>
    <n v="16437.240000000002"/>
    <x v="2"/>
  </r>
  <r>
    <x v="0"/>
    <x v="1"/>
    <x v="9"/>
    <x v="1"/>
    <x v="17"/>
    <x v="0"/>
    <x v="1"/>
    <n v="2.31"/>
    <n v="6236.56"/>
    <n v="21697.02"/>
    <x v="2"/>
  </r>
  <r>
    <x v="0"/>
    <x v="1"/>
    <x v="9"/>
    <x v="1"/>
    <x v="18"/>
    <x v="0"/>
    <x v="1"/>
    <n v="11.04"/>
    <n v="29805.9"/>
    <n v="103552.48"/>
    <x v="2"/>
  </r>
  <r>
    <x v="0"/>
    <x v="1"/>
    <x v="9"/>
    <x v="1"/>
    <x v="19"/>
    <x v="0"/>
    <x v="1"/>
    <n v="3.46"/>
    <n v="9341.34"/>
    <n v="32450.91"/>
    <x v="2"/>
  </r>
  <r>
    <x v="0"/>
    <x v="1"/>
    <x v="9"/>
    <x v="1"/>
    <x v="20"/>
    <x v="0"/>
    <x v="1"/>
    <n v="9.8000000000000007"/>
    <n v="26458.14"/>
    <n v="91943.87"/>
    <x v="2"/>
  </r>
  <r>
    <x v="0"/>
    <x v="1"/>
    <x v="9"/>
    <x v="2"/>
    <x v="21"/>
    <x v="0"/>
    <x v="1"/>
    <n v="0"/>
    <n v="0"/>
    <n v="0"/>
    <x v="2"/>
  </r>
  <r>
    <x v="0"/>
    <x v="1"/>
    <x v="9"/>
    <x v="2"/>
    <x v="22"/>
    <x v="0"/>
    <x v="1"/>
    <n v="3.36"/>
    <n v="9071.36"/>
    <n v="31502.62"/>
    <x v="2"/>
  </r>
  <r>
    <x v="0"/>
    <x v="1"/>
    <x v="9"/>
    <x v="2"/>
    <x v="29"/>
    <x v="0"/>
    <x v="1"/>
    <n v="2.1"/>
    <n v="5669.6"/>
    <n v="19668.7"/>
    <x v="2"/>
  </r>
  <r>
    <x v="0"/>
    <x v="1"/>
    <x v="9"/>
    <x v="2"/>
    <x v="24"/>
    <x v="0"/>
    <x v="1"/>
    <n v="1.96"/>
    <n v="5291.63"/>
    <n v="18346.18"/>
    <x v="2"/>
  </r>
  <r>
    <x v="0"/>
    <x v="1"/>
    <x v="9"/>
    <x v="3"/>
    <x v="25"/>
    <x v="0"/>
    <x v="1"/>
    <n v="0.47"/>
    <n v="1268.9100000000001"/>
    <n v="4390.6000000000004"/>
    <x v="2"/>
  </r>
  <r>
    <x v="0"/>
    <x v="1"/>
    <x v="9"/>
    <x v="3"/>
    <x v="26"/>
    <x v="0"/>
    <x v="1"/>
    <n v="1.02"/>
    <n v="2753.81"/>
    <n v="9562.1299999999992"/>
    <x v="2"/>
  </r>
  <r>
    <x v="0"/>
    <x v="1"/>
    <x v="9"/>
    <x v="3"/>
    <x v="27"/>
    <x v="0"/>
    <x v="1"/>
    <n v="7.75"/>
    <n v="20923.53"/>
    <n v="72647.72"/>
    <x v="2"/>
  </r>
  <r>
    <x v="0"/>
    <x v="1"/>
    <x v="9"/>
    <x v="0"/>
    <x v="0"/>
    <x v="1"/>
    <x v="0"/>
    <n v="4.2"/>
    <n v="11339.2"/>
    <n v="25793.84"/>
    <x v="2"/>
  </r>
  <r>
    <x v="0"/>
    <x v="1"/>
    <x v="9"/>
    <x v="0"/>
    <x v="1"/>
    <x v="1"/>
    <x v="0"/>
    <n v="13.18"/>
    <n v="35583.5"/>
    <n v="79490.710000000006"/>
    <x v="2"/>
  </r>
  <r>
    <x v="0"/>
    <x v="1"/>
    <x v="9"/>
    <x v="0"/>
    <x v="2"/>
    <x v="1"/>
    <x v="0"/>
    <n v="6.53"/>
    <n v="17629.759999999998"/>
    <n v="38016.11"/>
    <x v="2"/>
  </r>
  <r>
    <x v="0"/>
    <x v="1"/>
    <x v="9"/>
    <x v="0"/>
    <x v="3"/>
    <x v="1"/>
    <x v="0"/>
    <n v="12.3"/>
    <n v="33207.660000000003"/>
    <n v="74500.53"/>
    <x v="2"/>
  </r>
  <r>
    <x v="0"/>
    <x v="1"/>
    <x v="9"/>
    <x v="0"/>
    <x v="28"/>
    <x v="1"/>
    <x v="0"/>
    <n v="0"/>
    <n v="0"/>
    <n v="0"/>
    <x v="2"/>
  </r>
  <r>
    <x v="0"/>
    <x v="1"/>
    <x v="9"/>
    <x v="0"/>
    <x v="4"/>
    <x v="1"/>
    <x v="0"/>
    <n v="8"/>
    <n v="21598.48"/>
    <n v="48003.02"/>
    <x v="2"/>
  </r>
  <r>
    <x v="0"/>
    <x v="1"/>
    <x v="9"/>
    <x v="0"/>
    <x v="5"/>
    <x v="1"/>
    <x v="0"/>
    <n v="2.61"/>
    <n v="7046.5"/>
    <n v="16150.01"/>
    <x v="2"/>
  </r>
  <r>
    <x v="0"/>
    <x v="1"/>
    <x v="9"/>
    <x v="0"/>
    <x v="6"/>
    <x v="1"/>
    <x v="0"/>
    <n v="0"/>
    <n v="0"/>
    <n v="0"/>
    <x v="2"/>
  </r>
  <r>
    <x v="0"/>
    <x v="1"/>
    <x v="9"/>
    <x v="0"/>
    <x v="7"/>
    <x v="1"/>
    <x v="0"/>
    <n v="0"/>
    <n v="0"/>
    <n v="0"/>
    <x v="2"/>
  </r>
  <r>
    <x v="0"/>
    <x v="1"/>
    <x v="9"/>
    <x v="0"/>
    <x v="8"/>
    <x v="1"/>
    <x v="0"/>
    <n v="0"/>
    <n v="0"/>
    <n v="0"/>
    <x v="2"/>
  </r>
  <r>
    <x v="0"/>
    <x v="1"/>
    <x v="9"/>
    <x v="1"/>
    <x v="30"/>
    <x v="1"/>
    <x v="0"/>
    <n v="1.95"/>
    <n v="5264.63"/>
    <n v="12624.46"/>
    <x v="2"/>
  </r>
  <r>
    <x v="0"/>
    <x v="1"/>
    <x v="9"/>
    <x v="1"/>
    <x v="9"/>
    <x v="1"/>
    <x v="0"/>
    <n v="0"/>
    <n v="0"/>
    <n v="0"/>
    <x v="2"/>
  </r>
  <r>
    <x v="0"/>
    <x v="1"/>
    <x v="9"/>
    <x v="1"/>
    <x v="31"/>
    <x v="1"/>
    <x v="0"/>
    <n v="0"/>
    <n v="0"/>
    <n v="0"/>
    <x v="2"/>
  </r>
  <r>
    <x v="0"/>
    <x v="1"/>
    <x v="9"/>
    <x v="1"/>
    <x v="10"/>
    <x v="1"/>
    <x v="0"/>
    <n v="3.83"/>
    <n v="10340.27"/>
    <n v="24486.59"/>
    <x v="2"/>
  </r>
  <r>
    <x v="0"/>
    <x v="1"/>
    <x v="9"/>
    <x v="1"/>
    <x v="11"/>
    <x v="1"/>
    <x v="0"/>
    <n v="7.36"/>
    <n v="19870.599999999999"/>
    <n v="44880.34"/>
    <x v="2"/>
  </r>
  <r>
    <x v="0"/>
    <x v="1"/>
    <x v="9"/>
    <x v="1"/>
    <x v="12"/>
    <x v="1"/>
    <x v="0"/>
    <n v="1.89"/>
    <n v="5102.6400000000003"/>
    <n v="12104.95"/>
    <x v="2"/>
  </r>
  <r>
    <x v="0"/>
    <x v="1"/>
    <x v="9"/>
    <x v="1"/>
    <x v="13"/>
    <x v="1"/>
    <x v="0"/>
    <n v="2.73"/>
    <n v="7370.48"/>
    <n v="17409.96"/>
    <x v="2"/>
  </r>
  <r>
    <x v="0"/>
    <x v="1"/>
    <x v="9"/>
    <x v="1"/>
    <x v="14"/>
    <x v="1"/>
    <x v="0"/>
    <n v="12.41"/>
    <n v="33504.639999999999"/>
    <n v="77754.789999999994"/>
    <x v="2"/>
  </r>
  <r>
    <x v="0"/>
    <x v="1"/>
    <x v="9"/>
    <x v="1"/>
    <x v="15"/>
    <x v="1"/>
    <x v="0"/>
    <n v="1.97"/>
    <n v="5318.63"/>
    <n v="12800.36"/>
    <x v="2"/>
  </r>
  <r>
    <x v="0"/>
    <x v="1"/>
    <x v="9"/>
    <x v="1"/>
    <x v="16"/>
    <x v="1"/>
    <x v="0"/>
    <n v="5.95"/>
    <n v="16063.87"/>
    <n v="36712.31"/>
    <x v="2"/>
  </r>
  <r>
    <x v="0"/>
    <x v="1"/>
    <x v="9"/>
    <x v="1"/>
    <x v="17"/>
    <x v="1"/>
    <x v="0"/>
    <n v="6.54"/>
    <n v="17656.759999999998"/>
    <n v="40714.639999999999"/>
    <x v="2"/>
  </r>
  <r>
    <x v="0"/>
    <x v="1"/>
    <x v="9"/>
    <x v="1"/>
    <x v="18"/>
    <x v="1"/>
    <x v="0"/>
    <n v="7.55"/>
    <n v="20383.57"/>
    <n v="49234.04"/>
    <x v="2"/>
  </r>
  <r>
    <x v="0"/>
    <x v="1"/>
    <x v="9"/>
    <x v="1"/>
    <x v="19"/>
    <x v="1"/>
    <x v="0"/>
    <n v="6.7"/>
    <n v="18088.73"/>
    <n v="42328.89"/>
    <x v="2"/>
  </r>
  <r>
    <x v="0"/>
    <x v="1"/>
    <x v="9"/>
    <x v="1"/>
    <x v="20"/>
    <x v="1"/>
    <x v="0"/>
    <n v="9.08"/>
    <n v="24514.27"/>
    <n v="56473.99"/>
    <x v="2"/>
  </r>
  <r>
    <x v="0"/>
    <x v="1"/>
    <x v="9"/>
    <x v="2"/>
    <x v="21"/>
    <x v="1"/>
    <x v="0"/>
    <n v="0"/>
    <n v="0"/>
    <n v="0"/>
    <x v="2"/>
  </r>
  <r>
    <x v="0"/>
    <x v="1"/>
    <x v="9"/>
    <x v="2"/>
    <x v="22"/>
    <x v="1"/>
    <x v="0"/>
    <n v="8.16"/>
    <n v="22030.45"/>
    <n v="46626.7"/>
    <x v="2"/>
  </r>
  <r>
    <x v="0"/>
    <x v="1"/>
    <x v="9"/>
    <x v="2"/>
    <x v="29"/>
    <x v="1"/>
    <x v="0"/>
    <n v="0"/>
    <n v="0"/>
    <n v="0"/>
    <x v="2"/>
  </r>
  <r>
    <x v="0"/>
    <x v="1"/>
    <x v="9"/>
    <x v="2"/>
    <x v="23"/>
    <x v="1"/>
    <x v="0"/>
    <n v="0"/>
    <n v="0"/>
    <n v="0"/>
    <x v="2"/>
  </r>
  <r>
    <x v="0"/>
    <x v="1"/>
    <x v="9"/>
    <x v="2"/>
    <x v="24"/>
    <x v="1"/>
    <x v="0"/>
    <n v="1.28"/>
    <n v="3455.76"/>
    <n v="7458.48"/>
    <x v="2"/>
  </r>
  <r>
    <x v="0"/>
    <x v="1"/>
    <x v="9"/>
    <x v="3"/>
    <x v="25"/>
    <x v="1"/>
    <x v="0"/>
    <n v="4.92"/>
    <n v="13283.07"/>
    <n v="31634.799999999999"/>
    <x v="2"/>
  </r>
  <r>
    <x v="0"/>
    <x v="1"/>
    <x v="9"/>
    <x v="3"/>
    <x v="26"/>
    <x v="1"/>
    <x v="0"/>
    <n v="5.04"/>
    <n v="13607.04"/>
    <n v="32628.799999999999"/>
    <x v="2"/>
  </r>
  <r>
    <x v="0"/>
    <x v="1"/>
    <x v="9"/>
    <x v="3"/>
    <x v="27"/>
    <x v="1"/>
    <x v="0"/>
    <n v="10.38"/>
    <n v="28024.03"/>
    <n v="65940.45"/>
    <x v="2"/>
  </r>
  <r>
    <x v="0"/>
    <x v="1"/>
    <x v="9"/>
    <x v="0"/>
    <x v="0"/>
    <x v="1"/>
    <x v="1"/>
    <n v="10.98"/>
    <n v="29643.91"/>
    <n v="67379.83"/>
    <x v="2"/>
  </r>
  <r>
    <x v="0"/>
    <x v="1"/>
    <x v="9"/>
    <x v="0"/>
    <x v="1"/>
    <x v="1"/>
    <x v="1"/>
    <n v="23.24"/>
    <n v="62743.58"/>
    <n v="140182.94"/>
    <x v="2"/>
  </r>
  <r>
    <x v="0"/>
    <x v="1"/>
    <x v="9"/>
    <x v="0"/>
    <x v="2"/>
    <x v="1"/>
    <x v="1"/>
    <n v="12.24"/>
    <n v="33045.67"/>
    <n v="71280.210000000006"/>
    <x v="2"/>
  </r>
  <r>
    <x v="0"/>
    <x v="1"/>
    <x v="9"/>
    <x v="0"/>
    <x v="3"/>
    <x v="1"/>
    <x v="1"/>
    <n v="25.01"/>
    <n v="67522.25"/>
    <n v="151570.04"/>
    <x v="2"/>
  </r>
  <r>
    <x v="0"/>
    <x v="1"/>
    <x v="9"/>
    <x v="0"/>
    <x v="28"/>
    <x v="1"/>
    <x v="1"/>
    <n v="3.75"/>
    <n v="10124.290000000001"/>
    <n v="22975.98"/>
    <x v="2"/>
  </r>
  <r>
    <x v="0"/>
    <x v="1"/>
    <x v="9"/>
    <x v="0"/>
    <x v="4"/>
    <x v="1"/>
    <x v="1"/>
    <n v="7.59"/>
    <n v="20491.560000000001"/>
    <n v="45578.63"/>
    <x v="2"/>
  </r>
  <r>
    <x v="0"/>
    <x v="1"/>
    <x v="9"/>
    <x v="0"/>
    <x v="5"/>
    <x v="1"/>
    <x v="1"/>
    <n v="20.309999999999999"/>
    <n v="54833.14"/>
    <n v="125553.34"/>
    <x v="2"/>
  </r>
  <r>
    <x v="0"/>
    <x v="1"/>
    <x v="9"/>
    <x v="0"/>
    <x v="6"/>
    <x v="1"/>
    <x v="1"/>
    <n v="2.4500000000000002"/>
    <n v="6614.53"/>
    <n v="15120.49"/>
    <x v="2"/>
  </r>
  <r>
    <x v="0"/>
    <x v="1"/>
    <x v="9"/>
    <x v="0"/>
    <x v="7"/>
    <x v="1"/>
    <x v="1"/>
    <n v="4.1399999999999997"/>
    <n v="11177.21"/>
    <n v="25935.95"/>
    <x v="2"/>
  </r>
  <r>
    <x v="0"/>
    <x v="1"/>
    <x v="9"/>
    <x v="0"/>
    <x v="8"/>
    <x v="1"/>
    <x v="1"/>
    <n v="2.62"/>
    <n v="7073.5"/>
    <n v="15657.73"/>
    <x v="2"/>
  </r>
  <r>
    <x v="0"/>
    <x v="1"/>
    <x v="9"/>
    <x v="1"/>
    <x v="30"/>
    <x v="1"/>
    <x v="1"/>
    <n v="0"/>
    <n v="0"/>
    <n v="0"/>
    <x v="2"/>
  </r>
  <r>
    <x v="0"/>
    <x v="1"/>
    <x v="9"/>
    <x v="1"/>
    <x v="9"/>
    <x v="1"/>
    <x v="1"/>
    <n v="3.95"/>
    <n v="10664.25"/>
    <n v="25471.64"/>
    <x v="2"/>
  </r>
  <r>
    <x v="0"/>
    <x v="1"/>
    <x v="9"/>
    <x v="1"/>
    <x v="31"/>
    <x v="1"/>
    <x v="1"/>
    <n v="0"/>
    <n v="0"/>
    <n v="0"/>
    <x v="2"/>
  </r>
  <r>
    <x v="0"/>
    <x v="1"/>
    <x v="9"/>
    <x v="1"/>
    <x v="10"/>
    <x v="1"/>
    <x v="1"/>
    <n v="22.19"/>
    <n v="59908.78"/>
    <n v="141939.20000000001"/>
    <x v="2"/>
  </r>
  <r>
    <x v="0"/>
    <x v="1"/>
    <x v="9"/>
    <x v="1"/>
    <x v="11"/>
    <x v="1"/>
    <x v="1"/>
    <n v="29.36"/>
    <n v="79266.42"/>
    <n v="179017.1"/>
    <x v="2"/>
  </r>
  <r>
    <x v="0"/>
    <x v="1"/>
    <x v="9"/>
    <x v="1"/>
    <x v="12"/>
    <x v="1"/>
    <x v="1"/>
    <n v="2.87"/>
    <n v="7748.45"/>
    <n v="18420.580000000002"/>
    <x v="2"/>
  </r>
  <r>
    <x v="0"/>
    <x v="1"/>
    <x v="9"/>
    <x v="1"/>
    <x v="13"/>
    <x v="1"/>
    <x v="1"/>
    <n v="10.65"/>
    <n v="28752.98"/>
    <n v="68057.13"/>
    <x v="2"/>
  </r>
  <r>
    <x v="0"/>
    <x v="1"/>
    <x v="9"/>
    <x v="1"/>
    <x v="14"/>
    <x v="1"/>
    <x v="1"/>
    <n v="5.35"/>
    <n v="14443.98"/>
    <n v="33551.72"/>
    <x v="2"/>
  </r>
  <r>
    <x v="0"/>
    <x v="1"/>
    <x v="9"/>
    <x v="1"/>
    <x v="15"/>
    <x v="1"/>
    <x v="1"/>
    <n v="2.42"/>
    <n v="6533.54"/>
    <n v="15709.54"/>
    <x v="2"/>
  </r>
  <r>
    <x v="0"/>
    <x v="1"/>
    <x v="9"/>
    <x v="1"/>
    <x v="16"/>
    <x v="1"/>
    <x v="1"/>
    <n v="8.8800000000000008"/>
    <n v="23974.31"/>
    <n v="54817"/>
    <x v="2"/>
  </r>
  <r>
    <x v="0"/>
    <x v="1"/>
    <x v="9"/>
    <x v="1"/>
    <x v="17"/>
    <x v="1"/>
    <x v="1"/>
    <n v="4.3"/>
    <n v="11609.18"/>
    <n v="26771.27"/>
    <x v="2"/>
  </r>
  <r>
    <x v="0"/>
    <x v="1"/>
    <x v="9"/>
    <x v="1"/>
    <x v="18"/>
    <x v="1"/>
    <x v="1"/>
    <n v="25.81"/>
    <n v="69682.100000000006"/>
    <n v="168261.37"/>
    <x v="2"/>
  </r>
  <r>
    <x v="0"/>
    <x v="1"/>
    <x v="9"/>
    <x v="1"/>
    <x v="19"/>
    <x v="1"/>
    <x v="1"/>
    <n v="9.3699999999999992"/>
    <n v="25297.22"/>
    <n v="59260.45"/>
    <x v="2"/>
  </r>
  <r>
    <x v="0"/>
    <x v="1"/>
    <x v="9"/>
    <x v="1"/>
    <x v="20"/>
    <x v="1"/>
    <x v="1"/>
    <n v="15.02"/>
    <n v="40551.15"/>
    <n v="93399.29"/>
    <x v="2"/>
  </r>
  <r>
    <x v="0"/>
    <x v="1"/>
    <x v="9"/>
    <x v="2"/>
    <x v="21"/>
    <x v="1"/>
    <x v="1"/>
    <n v="1.77"/>
    <n v="4778.66"/>
    <n v="10103.969999999999"/>
    <x v="2"/>
  </r>
  <r>
    <x v="0"/>
    <x v="1"/>
    <x v="9"/>
    <x v="2"/>
    <x v="22"/>
    <x v="1"/>
    <x v="1"/>
    <n v="11"/>
    <n v="29697.91"/>
    <n v="62823.35"/>
    <x v="2"/>
  </r>
  <r>
    <x v="0"/>
    <x v="1"/>
    <x v="9"/>
    <x v="2"/>
    <x v="29"/>
    <x v="1"/>
    <x v="1"/>
    <n v="1.85"/>
    <n v="4994.6499999999996"/>
    <n v="11198.46"/>
    <x v="2"/>
  </r>
  <r>
    <x v="0"/>
    <x v="1"/>
    <x v="9"/>
    <x v="2"/>
    <x v="23"/>
    <x v="1"/>
    <x v="1"/>
    <n v="5.47"/>
    <n v="14767.96"/>
    <n v="32517.94"/>
    <x v="2"/>
  </r>
  <r>
    <x v="0"/>
    <x v="1"/>
    <x v="9"/>
    <x v="2"/>
    <x v="24"/>
    <x v="1"/>
    <x v="1"/>
    <n v="2.38"/>
    <n v="6425.55"/>
    <n v="13851.47"/>
    <x v="2"/>
  </r>
  <r>
    <x v="0"/>
    <x v="1"/>
    <x v="9"/>
    <x v="3"/>
    <x v="25"/>
    <x v="1"/>
    <x v="1"/>
    <n v="8.32"/>
    <n v="22462.42"/>
    <n v="53451.91"/>
    <x v="2"/>
  </r>
  <r>
    <x v="0"/>
    <x v="1"/>
    <x v="9"/>
    <x v="3"/>
    <x v="26"/>
    <x v="1"/>
    <x v="1"/>
    <n v="16.13"/>
    <n v="43547.94"/>
    <n v="104412.15"/>
    <x v="2"/>
  </r>
  <r>
    <x v="0"/>
    <x v="1"/>
    <x v="9"/>
    <x v="3"/>
    <x v="27"/>
    <x v="1"/>
    <x v="1"/>
    <n v="35.85"/>
    <n v="96788.19"/>
    <n v="227621.35"/>
    <x v="2"/>
  </r>
  <r>
    <x v="1"/>
    <x v="1"/>
    <x v="0"/>
    <x v="0"/>
    <x v="0"/>
    <x v="0"/>
    <x v="0"/>
    <n v="3.33"/>
    <n v="22098.080000000002"/>
    <n v="97029.04"/>
    <x v="2"/>
  </r>
  <r>
    <x v="1"/>
    <x v="1"/>
    <x v="0"/>
    <x v="0"/>
    <x v="1"/>
    <x v="0"/>
    <x v="0"/>
    <n v="6.77"/>
    <n v="44926.13"/>
    <n v="196984.11"/>
    <x v="2"/>
  </r>
  <r>
    <x v="1"/>
    <x v="1"/>
    <x v="0"/>
    <x v="0"/>
    <x v="2"/>
    <x v="0"/>
    <x v="0"/>
    <n v="0"/>
    <n v="0"/>
    <n v="0"/>
    <x v="2"/>
  </r>
  <r>
    <x v="1"/>
    <x v="1"/>
    <x v="0"/>
    <x v="0"/>
    <x v="3"/>
    <x v="0"/>
    <x v="0"/>
    <n v="2.1"/>
    <n v="13935.73"/>
    <n v="61131.42"/>
    <x v="2"/>
  </r>
  <r>
    <x v="1"/>
    <x v="1"/>
    <x v="0"/>
    <x v="0"/>
    <x v="4"/>
    <x v="0"/>
    <x v="0"/>
    <n v="0"/>
    <n v="0"/>
    <n v="0"/>
    <x v="2"/>
  </r>
  <r>
    <x v="1"/>
    <x v="1"/>
    <x v="0"/>
    <x v="0"/>
    <x v="5"/>
    <x v="0"/>
    <x v="0"/>
    <n v="0"/>
    <n v="0"/>
    <n v="0"/>
    <x v="2"/>
  </r>
  <r>
    <x v="1"/>
    <x v="1"/>
    <x v="0"/>
    <x v="0"/>
    <x v="6"/>
    <x v="0"/>
    <x v="0"/>
    <n v="0"/>
    <n v="0"/>
    <n v="0"/>
    <x v="2"/>
  </r>
  <r>
    <x v="1"/>
    <x v="1"/>
    <x v="0"/>
    <x v="0"/>
    <x v="8"/>
    <x v="0"/>
    <x v="0"/>
    <n v="0"/>
    <n v="0"/>
    <n v="0"/>
    <x v="2"/>
  </r>
  <r>
    <x v="1"/>
    <x v="1"/>
    <x v="0"/>
    <x v="1"/>
    <x v="10"/>
    <x v="0"/>
    <x v="0"/>
    <n v="2.17"/>
    <n v="14400.25"/>
    <n v="63193.34"/>
    <x v="2"/>
  </r>
  <r>
    <x v="1"/>
    <x v="1"/>
    <x v="0"/>
    <x v="1"/>
    <x v="11"/>
    <x v="0"/>
    <x v="0"/>
    <n v="0"/>
    <n v="0"/>
    <n v="0"/>
    <x v="2"/>
  </r>
  <r>
    <x v="1"/>
    <x v="1"/>
    <x v="0"/>
    <x v="1"/>
    <x v="13"/>
    <x v="0"/>
    <x v="0"/>
    <n v="0"/>
    <n v="0"/>
    <n v="0"/>
    <x v="2"/>
  </r>
  <r>
    <x v="1"/>
    <x v="1"/>
    <x v="0"/>
    <x v="1"/>
    <x v="14"/>
    <x v="0"/>
    <x v="0"/>
    <n v="0"/>
    <n v="0"/>
    <n v="0"/>
    <x v="2"/>
  </r>
  <r>
    <x v="1"/>
    <x v="1"/>
    <x v="0"/>
    <x v="1"/>
    <x v="16"/>
    <x v="0"/>
    <x v="0"/>
    <n v="0"/>
    <n v="0"/>
    <n v="0"/>
    <x v="2"/>
  </r>
  <r>
    <x v="1"/>
    <x v="1"/>
    <x v="0"/>
    <x v="1"/>
    <x v="17"/>
    <x v="0"/>
    <x v="0"/>
    <n v="0"/>
    <n v="0"/>
    <n v="0"/>
    <x v="2"/>
  </r>
  <r>
    <x v="1"/>
    <x v="1"/>
    <x v="0"/>
    <x v="1"/>
    <x v="18"/>
    <x v="0"/>
    <x v="0"/>
    <n v="0"/>
    <n v="0"/>
    <n v="0"/>
    <x v="2"/>
  </r>
  <r>
    <x v="1"/>
    <x v="1"/>
    <x v="0"/>
    <x v="1"/>
    <x v="19"/>
    <x v="0"/>
    <x v="0"/>
    <n v="0"/>
    <n v="0"/>
    <n v="0"/>
    <x v="2"/>
  </r>
  <r>
    <x v="1"/>
    <x v="1"/>
    <x v="0"/>
    <x v="1"/>
    <x v="20"/>
    <x v="0"/>
    <x v="0"/>
    <n v="2.88"/>
    <n v="19111.849999999999"/>
    <n v="83713.63"/>
    <x v="2"/>
  </r>
  <r>
    <x v="1"/>
    <x v="1"/>
    <x v="0"/>
    <x v="2"/>
    <x v="21"/>
    <x v="0"/>
    <x v="0"/>
    <n v="2"/>
    <n v="13272.12"/>
    <n v="58184.03"/>
    <x v="2"/>
  </r>
  <r>
    <x v="1"/>
    <x v="1"/>
    <x v="0"/>
    <x v="2"/>
    <x v="22"/>
    <x v="0"/>
    <x v="0"/>
    <n v="0"/>
    <n v="0"/>
    <n v="0"/>
    <x v="2"/>
  </r>
  <r>
    <x v="1"/>
    <x v="1"/>
    <x v="0"/>
    <x v="2"/>
    <x v="29"/>
    <x v="0"/>
    <x v="0"/>
    <n v="0"/>
    <n v="0"/>
    <n v="0"/>
    <x v="2"/>
  </r>
  <r>
    <x v="1"/>
    <x v="1"/>
    <x v="0"/>
    <x v="2"/>
    <x v="24"/>
    <x v="0"/>
    <x v="0"/>
    <n v="0"/>
    <n v="0"/>
    <n v="0"/>
    <x v="2"/>
  </r>
  <r>
    <x v="1"/>
    <x v="1"/>
    <x v="0"/>
    <x v="3"/>
    <x v="25"/>
    <x v="0"/>
    <x v="0"/>
    <n v="0"/>
    <n v="0"/>
    <n v="0"/>
    <x v="2"/>
  </r>
  <r>
    <x v="1"/>
    <x v="1"/>
    <x v="0"/>
    <x v="3"/>
    <x v="26"/>
    <x v="0"/>
    <x v="0"/>
    <n v="2.54"/>
    <n v="16855.59"/>
    <n v="73991.509999999995"/>
    <x v="2"/>
  </r>
  <r>
    <x v="1"/>
    <x v="1"/>
    <x v="0"/>
    <x v="3"/>
    <x v="27"/>
    <x v="0"/>
    <x v="0"/>
    <n v="3.08"/>
    <n v="20439.060000000001"/>
    <n v="89601.83"/>
    <x v="2"/>
  </r>
  <r>
    <x v="1"/>
    <x v="1"/>
    <x v="0"/>
    <x v="0"/>
    <x v="0"/>
    <x v="0"/>
    <x v="1"/>
    <n v="2.58"/>
    <n v="17121.03"/>
    <n v="75197.5"/>
    <x v="2"/>
  </r>
  <r>
    <x v="1"/>
    <x v="1"/>
    <x v="0"/>
    <x v="0"/>
    <x v="1"/>
    <x v="0"/>
    <x v="1"/>
    <n v="6.53"/>
    <n v="43333.47"/>
    <n v="189976.17"/>
    <x v="2"/>
  </r>
  <r>
    <x v="1"/>
    <x v="1"/>
    <x v="0"/>
    <x v="0"/>
    <x v="2"/>
    <x v="0"/>
    <x v="1"/>
    <n v="3.62"/>
    <n v="24022.54"/>
    <n v="105288.11"/>
    <x v="2"/>
  </r>
  <r>
    <x v="1"/>
    <x v="1"/>
    <x v="0"/>
    <x v="0"/>
    <x v="3"/>
    <x v="0"/>
    <x v="1"/>
    <n v="7.09"/>
    <n v="47049.67"/>
    <n v="206318.54"/>
    <x v="2"/>
  </r>
  <r>
    <x v="1"/>
    <x v="1"/>
    <x v="0"/>
    <x v="0"/>
    <x v="4"/>
    <x v="0"/>
    <x v="1"/>
    <n v="1.96"/>
    <n v="13006.68"/>
    <n v="57015.23"/>
    <x v="2"/>
  </r>
  <r>
    <x v="1"/>
    <x v="1"/>
    <x v="0"/>
    <x v="0"/>
    <x v="5"/>
    <x v="0"/>
    <x v="1"/>
    <n v="4.7300000000000004"/>
    <n v="31388.560000000001"/>
    <n v="137627.54"/>
    <x v="2"/>
  </r>
  <r>
    <x v="1"/>
    <x v="1"/>
    <x v="0"/>
    <x v="0"/>
    <x v="6"/>
    <x v="0"/>
    <x v="1"/>
    <n v="2.97"/>
    <n v="19709.099999999999"/>
    <n v="86362.13"/>
    <x v="2"/>
  </r>
  <r>
    <x v="1"/>
    <x v="1"/>
    <x v="0"/>
    <x v="0"/>
    <x v="8"/>
    <x v="0"/>
    <x v="1"/>
    <n v="4.46"/>
    <n v="29596.83"/>
    <n v="129888.47"/>
    <x v="2"/>
  </r>
  <r>
    <x v="1"/>
    <x v="1"/>
    <x v="0"/>
    <x v="1"/>
    <x v="10"/>
    <x v="0"/>
    <x v="1"/>
    <n v="4.51"/>
    <n v="29928.63"/>
    <n v="131442.15"/>
    <x v="2"/>
  </r>
  <r>
    <x v="1"/>
    <x v="1"/>
    <x v="0"/>
    <x v="1"/>
    <x v="11"/>
    <x v="0"/>
    <x v="1"/>
    <n v="12.12"/>
    <n v="80429.05"/>
    <n v="352726.88"/>
    <x v="2"/>
  </r>
  <r>
    <x v="1"/>
    <x v="1"/>
    <x v="0"/>
    <x v="1"/>
    <x v="13"/>
    <x v="0"/>
    <x v="1"/>
    <n v="5.6"/>
    <n v="37161.94"/>
    <n v="163053.73000000001"/>
    <x v="2"/>
  </r>
  <r>
    <x v="1"/>
    <x v="1"/>
    <x v="0"/>
    <x v="1"/>
    <x v="14"/>
    <x v="0"/>
    <x v="1"/>
    <n v="5.33"/>
    <n v="35370.199999999997"/>
    <n v="155049.89000000001"/>
    <x v="2"/>
  </r>
  <r>
    <x v="1"/>
    <x v="1"/>
    <x v="0"/>
    <x v="1"/>
    <x v="16"/>
    <x v="0"/>
    <x v="1"/>
    <n v="2.6"/>
    <n v="17253.759999999998"/>
    <n v="75652.38"/>
    <x v="2"/>
  </r>
  <r>
    <x v="1"/>
    <x v="1"/>
    <x v="0"/>
    <x v="1"/>
    <x v="17"/>
    <x v="0"/>
    <x v="1"/>
    <n v="2.56"/>
    <n v="16988.310000000001"/>
    <n v="74481.58"/>
    <x v="2"/>
  </r>
  <r>
    <x v="1"/>
    <x v="1"/>
    <x v="0"/>
    <x v="1"/>
    <x v="18"/>
    <x v="0"/>
    <x v="1"/>
    <n v="14.92"/>
    <n v="99010.02"/>
    <n v="434432.63"/>
    <x v="2"/>
  </r>
  <r>
    <x v="1"/>
    <x v="1"/>
    <x v="0"/>
    <x v="1"/>
    <x v="19"/>
    <x v="0"/>
    <x v="1"/>
    <n v="2.39"/>
    <n v="15860.18"/>
    <n v="69436.990000000005"/>
    <x v="2"/>
  </r>
  <r>
    <x v="1"/>
    <x v="1"/>
    <x v="0"/>
    <x v="1"/>
    <x v="20"/>
    <x v="0"/>
    <x v="1"/>
    <n v="12.4"/>
    <n v="82287.14"/>
    <n v="361015.03"/>
    <x v="2"/>
  </r>
  <r>
    <x v="1"/>
    <x v="1"/>
    <x v="0"/>
    <x v="2"/>
    <x v="21"/>
    <x v="0"/>
    <x v="1"/>
    <n v="0"/>
    <n v="0"/>
    <n v="0"/>
    <x v="2"/>
  </r>
  <r>
    <x v="1"/>
    <x v="1"/>
    <x v="0"/>
    <x v="2"/>
    <x v="22"/>
    <x v="0"/>
    <x v="1"/>
    <n v="4.9400000000000004"/>
    <n v="32782.14"/>
    <n v="143960.88"/>
    <x v="2"/>
  </r>
  <r>
    <x v="1"/>
    <x v="1"/>
    <x v="0"/>
    <x v="2"/>
    <x v="29"/>
    <x v="0"/>
    <x v="1"/>
    <n v="3.17"/>
    <n v="21036.31"/>
    <n v="92268.22"/>
    <x v="2"/>
  </r>
  <r>
    <x v="1"/>
    <x v="1"/>
    <x v="0"/>
    <x v="2"/>
    <x v="24"/>
    <x v="0"/>
    <x v="1"/>
    <n v="2.81"/>
    <n v="18647.330000000002"/>
    <n v="81915.960000000006"/>
    <x v="2"/>
  </r>
  <r>
    <x v="1"/>
    <x v="1"/>
    <x v="0"/>
    <x v="3"/>
    <x v="25"/>
    <x v="0"/>
    <x v="1"/>
    <n v="2.14"/>
    <n v="14201.17"/>
    <n v="62367.74"/>
    <x v="2"/>
  </r>
  <r>
    <x v="1"/>
    <x v="1"/>
    <x v="0"/>
    <x v="3"/>
    <x v="26"/>
    <x v="0"/>
    <x v="1"/>
    <n v="1.67"/>
    <n v="11082.22"/>
    <n v="48477.2"/>
    <x v="2"/>
  </r>
  <r>
    <x v="1"/>
    <x v="1"/>
    <x v="0"/>
    <x v="3"/>
    <x v="27"/>
    <x v="0"/>
    <x v="1"/>
    <n v="11.28"/>
    <n v="74854.759999999995"/>
    <n v="328540.03000000003"/>
    <x v="2"/>
  </r>
  <r>
    <x v="1"/>
    <x v="1"/>
    <x v="0"/>
    <x v="0"/>
    <x v="0"/>
    <x v="1"/>
    <x v="0"/>
    <n v="6.53"/>
    <n v="43333.47"/>
    <n v="124279.09"/>
    <x v="2"/>
  </r>
  <r>
    <x v="1"/>
    <x v="1"/>
    <x v="0"/>
    <x v="0"/>
    <x v="1"/>
    <x v="1"/>
    <x v="0"/>
    <n v="10.67"/>
    <n v="70806.759999999995"/>
    <n v="199778.73"/>
    <x v="2"/>
  </r>
  <r>
    <x v="1"/>
    <x v="1"/>
    <x v="0"/>
    <x v="0"/>
    <x v="2"/>
    <x v="1"/>
    <x v="0"/>
    <n v="4.78"/>
    <n v="31720.37"/>
    <n v="86411.5"/>
    <x v="2"/>
  </r>
  <r>
    <x v="1"/>
    <x v="1"/>
    <x v="0"/>
    <x v="0"/>
    <x v="3"/>
    <x v="1"/>
    <x v="0"/>
    <n v="8.91"/>
    <n v="59127.29"/>
    <n v="167584.06"/>
    <x v="2"/>
  </r>
  <r>
    <x v="1"/>
    <x v="1"/>
    <x v="0"/>
    <x v="0"/>
    <x v="28"/>
    <x v="1"/>
    <x v="0"/>
    <n v="0"/>
    <n v="0"/>
    <n v="0"/>
    <x v="2"/>
  </r>
  <r>
    <x v="1"/>
    <x v="1"/>
    <x v="0"/>
    <x v="0"/>
    <x v="4"/>
    <x v="1"/>
    <x v="0"/>
    <n v="6.49"/>
    <n v="43068.03"/>
    <n v="120854.36"/>
    <x v="2"/>
  </r>
  <r>
    <x v="1"/>
    <x v="1"/>
    <x v="0"/>
    <x v="0"/>
    <x v="5"/>
    <x v="1"/>
    <x v="0"/>
    <n v="1.41"/>
    <n v="9356.84"/>
    <n v="27065.3"/>
    <x v="2"/>
  </r>
  <r>
    <x v="1"/>
    <x v="1"/>
    <x v="0"/>
    <x v="0"/>
    <x v="6"/>
    <x v="1"/>
    <x v="0"/>
    <n v="0"/>
    <n v="0"/>
    <n v="0"/>
    <x v="2"/>
  </r>
  <r>
    <x v="1"/>
    <x v="1"/>
    <x v="0"/>
    <x v="0"/>
    <x v="7"/>
    <x v="1"/>
    <x v="0"/>
    <n v="0"/>
    <n v="0"/>
    <n v="0"/>
    <x v="2"/>
  </r>
  <r>
    <x v="1"/>
    <x v="1"/>
    <x v="0"/>
    <x v="0"/>
    <x v="8"/>
    <x v="1"/>
    <x v="0"/>
    <n v="0"/>
    <n v="0"/>
    <n v="0"/>
    <x v="2"/>
  </r>
  <r>
    <x v="1"/>
    <x v="1"/>
    <x v="0"/>
    <x v="1"/>
    <x v="30"/>
    <x v="1"/>
    <x v="0"/>
    <n v="2.92"/>
    <n v="19377.3"/>
    <n v="58529.64"/>
    <x v="2"/>
  </r>
  <r>
    <x v="1"/>
    <x v="1"/>
    <x v="0"/>
    <x v="1"/>
    <x v="9"/>
    <x v="1"/>
    <x v="0"/>
    <n v="0"/>
    <n v="0"/>
    <n v="0"/>
    <x v="2"/>
  </r>
  <r>
    <x v="1"/>
    <x v="1"/>
    <x v="0"/>
    <x v="1"/>
    <x v="31"/>
    <x v="1"/>
    <x v="0"/>
    <n v="3.36"/>
    <n v="22297.16"/>
    <n v="67945.13"/>
    <x v="2"/>
  </r>
  <r>
    <x v="1"/>
    <x v="1"/>
    <x v="0"/>
    <x v="1"/>
    <x v="10"/>
    <x v="1"/>
    <x v="0"/>
    <n v="9.27"/>
    <n v="61516.28"/>
    <n v="183979.18"/>
    <x v="2"/>
  </r>
  <r>
    <x v="1"/>
    <x v="1"/>
    <x v="0"/>
    <x v="1"/>
    <x v="11"/>
    <x v="1"/>
    <x v="0"/>
    <n v="9.4700000000000006"/>
    <n v="62843.49"/>
    <n v="179139.6"/>
    <x v="2"/>
  </r>
  <r>
    <x v="1"/>
    <x v="1"/>
    <x v="0"/>
    <x v="1"/>
    <x v="12"/>
    <x v="1"/>
    <x v="0"/>
    <n v="2.3199999999999998"/>
    <n v="15395.66"/>
    <n v="46131.58"/>
    <x v="2"/>
  </r>
  <r>
    <x v="1"/>
    <x v="1"/>
    <x v="0"/>
    <x v="1"/>
    <x v="13"/>
    <x v="1"/>
    <x v="0"/>
    <n v="2.64"/>
    <n v="17519.2"/>
    <n v="52338.28"/>
    <x v="2"/>
  </r>
  <r>
    <x v="1"/>
    <x v="1"/>
    <x v="0"/>
    <x v="1"/>
    <x v="14"/>
    <x v="1"/>
    <x v="0"/>
    <n v="13.34"/>
    <n v="88525.04"/>
    <n v="259528.18"/>
    <x v="2"/>
  </r>
  <r>
    <x v="1"/>
    <x v="1"/>
    <x v="0"/>
    <x v="1"/>
    <x v="15"/>
    <x v="1"/>
    <x v="0"/>
    <n v="3.07"/>
    <n v="20372.7"/>
    <n v="61753.36"/>
    <x v="2"/>
  </r>
  <r>
    <x v="1"/>
    <x v="1"/>
    <x v="0"/>
    <x v="1"/>
    <x v="16"/>
    <x v="1"/>
    <x v="0"/>
    <n v="5.18"/>
    <n v="34374.79"/>
    <n v="99159.32"/>
    <x v="2"/>
  </r>
  <r>
    <x v="1"/>
    <x v="1"/>
    <x v="0"/>
    <x v="1"/>
    <x v="17"/>
    <x v="1"/>
    <x v="0"/>
    <n v="8.66"/>
    <n v="57468.28"/>
    <n v="167498.46"/>
    <x v="2"/>
  </r>
  <r>
    <x v="1"/>
    <x v="1"/>
    <x v="0"/>
    <x v="1"/>
    <x v="18"/>
    <x v="1"/>
    <x v="0"/>
    <n v="6"/>
    <n v="39816.36"/>
    <n v="121478.23"/>
    <x v="2"/>
  </r>
  <r>
    <x v="1"/>
    <x v="1"/>
    <x v="0"/>
    <x v="1"/>
    <x v="19"/>
    <x v="1"/>
    <x v="0"/>
    <n v="9.36"/>
    <n v="62113.52"/>
    <n v="183571.61"/>
    <x v="2"/>
  </r>
  <r>
    <x v="1"/>
    <x v="1"/>
    <x v="0"/>
    <x v="1"/>
    <x v="20"/>
    <x v="1"/>
    <x v="0"/>
    <n v="7.08"/>
    <n v="46983.3"/>
    <n v="136719.70000000001"/>
    <x v="2"/>
  </r>
  <r>
    <x v="1"/>
    <x v="1"/>
    <x v="0"/>
    <x v="2"/>
    <x v="21"/>
    <x v="1"/>
    <x v="0"/>
    <n v="0"/>
    <n v="0"/>
    <n v="0"/>
    <x v="2"/>
  </r>
  <r>
    <x v="1"/>
    <x v="1"/>
    <x v="0"/>
    <x v="2"/>
    <x v="22"/>
    <x v="1"/>
    <x v="0"/>
    <n v="7.26"/>
    <n v="48177.8"/>
    <n v="128762.58"/>
    <x v="2"/>
  </r>
  <r>
    <x v="1"/>
    <x v="1"/>
    <x v="0"/>
    <x v="2"/>
    <x v="29"/>
    <x v="1"/>
    <x v="0"/>
    <n v="0"/>
    <n v="0"/>
    <n v="0"/>
    <x v="2"/>
  </r>
  <r>
    <x v="1"/>
    <x v="1"/>
    <x v="0"/>
    <x v="2"/>
    <x v="23"/>
    <x v="1"/>
    <x v="0"/>
    <n v="0"/>
    <n v="0"/>
    <n v="0"/>
    <x v="2"/>
  </r>
  <r>
    <x v="1"/>
    <x v="1"/>
    <x v="0"/>
    <x v="2"/>
    <x v="24"/>
    <x v="1"/>
    <x v="0"/>
    <n v="2.17"/>
    <n v="14400.25"/>
    <n v="39244.58"/>
    <x v="2"/>
  </r>
  <r>
    <x v="1"/>
    <x v="1"/>
    <x v="0"/>
    <x v="3"/>
    <x v="25"/>
    <x v="1"/>
    <x v="0"/>
    <n v="8.1"/>
    <n v="53752.09"/>
    <n v="161589.91"/>
    <x v="2"/>
  </r>
  <r>
    <x v="1"/>
    <x v="1"/>
    <x v="0"/>
    <x v="3"/>
    <x v="26"/>
    <x v="1"/>
    <x v="0"/>
    <n v="5.61"/>
    <n v="37228.300000000003"/>
    <n v="112750.13"/>
    <x v="2"/>
  </r>
  <r>
    <x v="1"/>
    <x v="1"/>
    <x v="0"/>
    <x v="3"/>
    <x v="27"/>
    <x v="1"/>
    <x v="0"/>
    <n v="14.86"/>
    <n v="98611.85"/>
    <n v="292941.64"/>
    <x v="2"/>
  </r>
  <r>
    <x v="1"/>
    <x v="1"/>
    <x v="0"/>
    <x v="0"/>
    <x v="0"/>
    <x v="1"/>
    <x v="1"/>
    <n v="11.02"/>
    <n v="73129.38"/>
    <n v="209821.84"/>
    <x v="2"/>
  </r>
  <r>
    <x v="1"/>
    <x v="1"/>
    <x v="0"/>
    <x v="0"/>
    <x v="1"/>
    <x v="1"/>
    <x v="1"/>
    <n v="19.989999999999998"/>
    <n v="132654.84"/>
    <n v="374252.15"/>
    <x v="2"/>
  </r>
  <r>
    <x v="1"/>
    <x v="1"/>
    <x v="0"/>
    <x v="0"/>
    <x v="2"/>
    <x v="1"/>
    <x v="1"/>
    <n v="14.42"/>
    <n v="95691.99"/>
    <n v="260777.55"/>
    <x v="2"/>
  </r>
  <r>
    <x v="1"/>
    <x v="1"/>
    <x v="0"/>
    <x v="0"/>
    <x v="3"/>
    <x v="1"/>
    <x v="1"/>
    <n v="25.62"/>
    <n v="170015.86"/>
    <n v="481804.18"/>
    <x v="2"/>
  </r>
  <r>
    <x v="1"/>
    <x v="1"/>
    <x v="0"/>
    <x v="0"/>
    <x v="28"/>
    <x v="1"/>
    <x v="1"/>
    <n v="2.48"/>
    <n v="16457.43"/>
    <n v="47264.39"/>
    <x v="2"/>
  </r>
  <r>
    <x v="1"/>
    <x v="1"/>
    <x v="0"/>
    <x v="0"/>
    <x v="4"/>
    <x v="1"/>
    <x v="1"/>
    <n v="9.06"/>
    <n v="60122.7"/>
    <n v="168886.22"/>
    <x v="2"/>
  </r>
  <r>
    <x v="1"/>
    <x v="1"/>
    <x v="0"/>
    <x v="0"/>
    <x v="5"/>
    <x v="1"/>
    <x v="1"/>
    <n v="25.06"/>
    <n v="166299.66"/>
    <n v="480807.04"/>
    <x v="2"/>
  </r>
  <r>
    <x v="1"/>
    <x v="1"/>
    <x v="0"/>
    <x v="0"/>
    <x v="6"/>
    <x v="1"/>
    <x v="1"/>
    <n v="2.64"/>
    <n v="17519.2"/>
    <n v="50452.47"/>
    <x v="2"/>
  </r>
  <r>
    <x v="1"/>
    <x v="1"/>
    <x v="0"/>
    <x v="0"/>
    <x v="7"/>
    <x v="1"/>
    <x v="1"/>
    <n v="4.18"/>
    <n v="27738.73"/>
    <n v="81298.210000000006"/>
    <x v="2"/>
  </r>
  <r>
    <x v="1"/>
    <x v="1"/>
    <x v="0"/>
    <x v="0"/>
    <x v="8"/>
    <x v="1"/>
    <x v="1"/>
    <n v="4.1399999999999997"/>
    <n v="27473.29"/>
    <n v="76827.149999999994"/>
    <x v="2"/>
  </r>
  <r>
    <x v="1"/>
    <x v="1"/>
    <x v="0"/>
    <x v="1"/>
    <x v="30"/>
    <x v="1"/>
    <x v="1"/>
    <n v="0"/>
    <n v="0"/>
    <n v="0"/>
    <x v="2"/>
  </r>
  <r>
    <x v="1"/>
    <x v="1"/>
    <x v="0"/>
    <x v="1"/>
    <x v="9"/>
    <x v="1"/>
    <x v="1"/>
    <n v="4.6900000000000004"/>
    <n v="31123.119999999999"/>
    <n v="93898.53"/>
    <x v="2"/>
  </r>
  <r>
    <x v="1"/>
    <x v="1"/>
    <x v="0"/>
    <x v="1"/>
    <x v="31"/>
    <x v="1"/>
    <x v="1"/>
    <n v="0"/>
    <n v="0"/>
    <n v="0"/>
    <x v="2"/>
  </r>
  <r>
    <x v="1"/>
    <x v="1"/>
    <x v="0"/>
    <x v="1"/>
    <x v="10"/>
    <x v="1"/>
    <x v="1"/>
    <n v="30.14"/>
    <n v="200010.85"/>
    <n v="598346.68999999994"/>
    <x v="2"/>
  </r>
  <r>
    <x v="1"/>
    <x v="1"/>
    <x v="0"/>
    <x v="1"/>
    <x v="11"/>
    <x v="1"/>
    <x v="1"/>
    <n v="30.39"/>
    <n v="201669.86"/>
    <n v="575132.39"/>
    <x v="2"/>
  </r>
  <r>
    <x v="1"/>
    <x v="1"/>
    <x v="0"/>
    <x v="1"/>
    <x v="12"/>
    <x v="1"/>
    <x v="1"/>
    <n v="2.4"/>
    <n v="15926.54"/>
    <n v="47779.14"/>
    <x v="2"/>
  </r>
  <r>
    <x v="1"/>
    <x v="1"/>
    <x v="0"/>
    <x v="1"/>
    <x v="13"/>
    <x v="1"/>
    <x v="1"/>
    <n v="11.92"/>
    <n v="79101.84"/>
    <n v="236366.43"/>
    <x v="2"/>
  </r>
  <r>
    <x v="1"/>
    <x v="1"/>
    <x v="0"/>
    <x v="1"/>
    <x v="14"/>
    <x v="1"/>
    <x v="1"/>
    <n v="7.82"/>
    <n v="51893.99"/>
    <n v="152080.21"/>
    <x v="2"/>
  </r>
  <r>
    <x v="1"/>
    <x v="1"/>
    <x v="0"/>
    <x v="1"/>
    <x v="15"/>
    <x v="1"/>
    <x v="1"/>
    <n v="1.71"/>
    <n v="11347.66"/>
    <n v="34307.42"/>
    <x v="2"/>
  </r>
  <r>
    <x v="1"/>
    <x v="1"/>
    <x v="0"/>
    <x v="1"/>
    <x v="16"/>
    <x v="1"/>
    <x v="1"/>
    <n v="10.72"/>
    <n v="71138.559999999998"/>
    <n v="205277.2"/>
    <x v="2"/>
  </r>
  <r>
    <x v="1"/>
    <x v="1"/>
    <x v="0"/>
    <x v="1"/>
    <x v="17"/>
    <x v="1"/>
    <x v="1"/>
    <n v="5.72"/>
    <n v="37958.26"/>
    <n v="110581.51"/>
    <x v="2"/>
  </r>
  <r>
    <x v="1"/>
    <x v="1"/>
    <x v="0"/>
    <x v="1"/>
    <x v="18"/>
    <x v="1"/>
    <x v="1"/>
    <n v="16.64"/>
    <n v="110424.04"/>
    <n v="336668.25"/>
    <x v="2"/>
  </r>
  <r>
    <x v="1"/>
    <x v="1"/>
    <x v="0"/>
    <x v="1"/>
    <x v="19"/>
    <x v="1"/>
    <x v="1"/>
    <n v="9.67"/>
    <n v="64170.7"/>
    <n v="189815.54"/>
    <x v="2"/>
  </r>
  <r>
    <x v="1"/>
    <x v="1"/>
    <x v="0"/>
    <x v="1"/>
    <x v="20"/>
    <x v="1"/>
    <x v="1"/>
    <n v="26.31"/>
    <n v="174594.74"/>
    <n v="507816.03"/>
    <x v="2"/>
  </r>
  <r>
    <x v="1"/>
    <x v="1"/>
    <x v="0"/>
    <x v="2"/>
    <x v="21"/>
    <x v="1"/>
    <x v="1"/>
    <n v="1.06"/>
    <n v="7034.22"/>
    <n v="18741.84"/>
    <x v="2"/>
  </r>
  <r>
    <x v="1"/>
    <x v="1"/>
    <x v="0"/>
    <x v="2"/>
    <x v="22"/>
    <x v="1"/>
    <x v="1"/>
    <n v="17.25"/>
    <n v="114472.04"/>
    <n v="305811.12"/>
    <x v="2"/>
  </r>
  <r>
    <x v="1"/>
    <x v="1"/>
    <x v="0"/>
    <x v="2"/>
    <x v="29"/>
    <x v="1"/>
    <x v="1"/>
    <n v="2.46"/>
    <n v="16324.71"/>
    <n v="46363.19"/>
    <x v="2"/>
  </r>
  <r>
    <x v="1"/>
    <x v="1"/>
    <x v="0"/>
    <x v="2"/>
    <x v="23"/>
    <x v="1"/>
    <x v="1"/>
    <n v="3.1"/>
    <n v="20571.79"/>
    <n v="57195.19"/>
    <x v="2"/>
  </r>
  <r>
    <x v="1"/>
    <x v="1"/>
    <x v="0"/>
    <x v="2"/>
    <x v="24"/>
    <x v="1"/>
    <x v="1"/>
    <n v="2"/>
    <n v="13272.12"/>
    <n v="36105.01"/>
    <x v="2"/>
  </r>
  <r>
    <x v="1"/>
    <x v="1"/>
    <x v="0"/>
    <x v="3"/>
    <x v="25"/>
    <x v="1"/>
    <x v="1"/>
    <n v="11.16"/>
    <n v="74058.429999999993"/>
    <n v="222598.34"/>
    <x v="2"/>
  </r>
  <r>
    <x v="1"/>
    <x v="1"/>
    <x v="0"/>
    <x v="3"/>
    <x v="26"/>
    <x v="1"/>
    <x v="1"/>
    <n v="24.02"/>
    <n v="159398.16"/>
    <n v="482504.24"/>
    <x v="2"/>
  </r>
  <r>
    <x v="1"/>
    <x v="1"/>
    <x v="0"/>
    <x v="3"/>
    <x v="27"/>
    <x v="1"/>
    <x v="1"/>
    <n v="35.590000000000003"/>
    <n v="236177.38"/>
    <n v="701385.99"/>
    <x v="2"/>
  </r>
  <r>
    <x v="1"/>
    <x v="1"/>
    <x v="1"/>
    <x v="0"/>
    <x v="0"/>
    <x v="0"/>
    <x v="0"/>
    <n v="2.0099999999999998"/>
    <n v="5472.79"/>
    <n v="19378.939999999999"/>
    <x v="2"/>
  </r>
  <r>
    <x v="1"/>
    <x v="1"/>
    <x v="1"/>
    <x v="0"/>
    <x v="1"/>
    <x v="0"/>
    <x v="0"/>
    <n v="2.34"/>
    <n v="6371.31"/>
    <n v="22528.32"/>
    <x v="2"/>
  </r>
  <r>
    <x v="1"/>
    <x v="1"/>
    <x v="1"/>
    <x v="0"/>
    <x v="2"/>
    <x v="0"/>
    <x v="0"/>
    <n v="0"/>
    <n v="0"/>
    <n v="0"/>
    <x v="2"/>
  </r>
  <r>
    <x v="1"/>
    <x v="1"/>
    <x v="1"/>
    <x v="0"/>
    <x v="3"/>
    <x v="0"/>
    <x v="0"/>
    <n v="0.37"/>
    <n v="1007.43"/>
    <n v="3588.93"/>
    <x v="2"/>
  </r>
  <r>
    <x v="1"/>
    <x v="1"/>
    <x v="1"/>
    <x v="0"/>
    <x v="4"/>
    <x v="0"/>
    <x v="0"/>
    <n v="0"/>
    <n v="0"/>
    <n v="0"/>
    <x v="2"/>
  </r>
  <r>
    <x v="1"/>
    <x v="1"/>
    <x v="1"/>
    <x v="0"/>
    <x v="5"/>
    <x v="0"/>
    <x v="0"/>
    <n v="0"/>
    <n v="0"/>
    <n v="0"/>
    <x v="2"/>
  </r>
  <r>
    <x v="1"/>
    <x v="1"/>
    <x v="1"/>
    <x v="0"/>
    <x v="6"/>
    <x v="0"/>
    <x v="0"/>
    <n v="0"/>
    <n v="0"/>
    <n v="0"/>
    <x v="2"/>
  </r>
  <r>
    <x v="1"/>
    <x v="1"/>
    <x v="1"/>
    <x v="0"/>
    <x v="8"/>
    <x v="0"/>
    <x v="0"/>
    <n v="0"/>
    <n v="0"/>
    <n v="0"/>
    <x v="2"/>
  </r>
  <r>
    <x v="1"/>
    <x v="1"/>
    <x v="1"/>
    <x v="1"/>
    <x v="10"/>
    <x v="0"/>
    <x v="0"/>
    <n v="0.85"/>
    <n v="2314.36"/>
    <n v="8158.03"/>
    <x v="2"/>
  </r>
  <r>
    <x v="1"/>
    <x v="1"/>
    <x v="1"/>
    <x v="1"/>
    <x v="11"/>
    <x v="0"/>
    <x v="0"/>
    <n v="0"/>
    <n v="0"/>
    <n v="0"/>
    <x v="2"/>
  </r>
  <r>
    <x v="1"/>
    <x v="1"/>
    <x v="1"/>
    <x v="1"/>
    <x v="13"/>
    <x v="0"/>
    <x v="0"/>
    <n v="0"/>
    <n v="0"/>
    <n v="0"/>
    <x v="2"/>
  </r>
  <r>
    <x v="1"/>
    <x v="1"/>
    <x v="1"/>
    <x v="1"/>
    <x v="14"/>
    <x v="0"/>
    <x v="0"/>
    <n v="0"/>
    <n v="0"/>
    <n v="0"/>
    <x v="2"/>
  </r>
  <r>
    <x v="1"/>
    <x v="1"/>
    <x v="1"/>
    <x v="1"/>
    <x v="16"/>
    <x v="0"/>
    <x v="0"/>
    <n v="0"/>
    <n v="0"/>
    <n v="0"/>
    <x v="2"/>
  </r>
  <r>
    <x v="1"/>
    <x v="1"/>
    <x v="1"/>
    <x v="1"/>
    <x v="17"/>
    <x v="0"/>
    <x v="0"/>
    <n v="0"/>
    <n v="0"/>
    <n v="0"/>
    <x v="2"/>
  </r>
  <r>
    <x v="1"/>
    <x v="1"/>
    <x v="1"/>
    <x v="1"/>
    <x v="18"/>
    <x v="0"/>
    <x v="0"/>
    <n v="0"/>
    <n v="0"/>
    <n v="0"/>
    <x v="2"/>
  </r>
  <r>
    <x v="1"/>
    <x v="1"/>
    <x v="1"/>
    <x v="1"/>
    <x v="19"/>
    <x v="0"/>
    <x v="0"/>
    <n v="0"/>
    <n v="0"/>
    <n v="0"/>
    <x v="2"/>
  </r>
  <r>
    <x v="1"/>
    <x v="1"/>
    <x v="1"/>
    <x v="1"/>
    <x v="20"/>
    <x v="0"/>
    <x v="0"/>
    <n v="1.07"/>
    <n v="2913.37"/>
    <n v="10268.52"/>
    <x v="2"/>
  </r>
  <r>
    <x v="1"/>
    <x v="1"/>
    <x v="1"/>
    <x v="2"/>
    <x v="21"/>
    <x v="0"/>
    <x v="0"/>
    <n v="0.96"/>
    <n v="2613.87"/>
    <n v="9232.75"/>
    <x v="2"/>
  </r>
  <r>
    <x v="1"/>
    <x v="1"/>
    <x v="1"/>
    <x v="2"/>
    <x v="22"/>
    <x v="0"/>
    <x v="0"/>
    <n v="0"/>
    <n v="0"/>
    <n v="0"/>
    <x v="2"/>
  </r>
  <r>
    <x v="1"/>
    <x v="1"/>
    <x v="1"/>
    <x v="2"/>
    <x v="29"/>
    <x v="0"/>
    <x v="0"/>
    <n v="0"/>
    <n v="0"/>
    <n v="0"/>
    <x v="2"/>
  </r>
  <r>
    <x v="1"/>
    <x v="1"/>
    <x v="1"/>
    <x v="2"/>
    <x v="24"/>
    <x v="0"/>
    <x v="0"/>
    <n v="0"/>
    <n v="0"/>
    <n v="0"/>
    <x v="2"/>
  </r>
  <r>
    <x v="1"/>
    <x v="1"/>
    <x v="1"/>
    <x v="3"/>
    <x v="25"/>
    <x v="0"/>
    <x v="0"/>
    <n v="0"/>
    <n v="0"/>
    <n v="0"/>
    <x v="2"/>
  </r>
  <r>
    <x v="1"/>
    <x v="1"/>
    <x v="1"/>
    <x v="3"/>
    <x v="26"/>
    <x v="0"/>
    <x v="0"/>
    <n v="2.06"/>
    <n v="5608.93"/>
    <n v="19867.3"/>
    <x v="2"/>
  </r>
  <r>
    <x v="1"/>
    <x v="1"/>
    <x v="1"/>
    <x v="3"/>
    <x v="27"/>
    <x v="0"/>
    <x v="0"/>
    <n v="1.34"/>
    <n v="3648.53"/>
    <n v="12906.05"/>
    <x v="2"/>
  </r>
  <r>
    <x v="1"/>
    <x v="1"/>
    <x v="1"/>
    <x v="0"/>
    <x v="0"/>
    <x v="0"/>
    <x v="1"/>
    <n v="1.57"/>
    <n v="4274.76"/>
    <n v="15072.51"/>
    <x v="2"/>
  </r>
  <r>
    <x v="1"/>
    <x v="1"/>
    <x v="1"/>
    <x v="0"/>
    <x v="1"/>
    <x v="0"/>
    <x v="1"/>
    <n v="4.0199999999999996"/>
    <n v="10945.58"/>
    <n v="38659.71"/>
    <x v="2"/>
  </r>
  <r>
    <x v="1"/>
    <x v="1"/>
    <x v="1"/>
    <x v="0"/>
    <x v="2"/>
    <x v="0"/>
    <x v="1"/>
    <n v="2.02"/>
    <n v="5500.02"/>
    <n v="19469.2"/>
    <x v="2"/>
  </r>
  <r>
    <x v="1"/>
    <x v="1"/>
    <x v="1"/>
    <x v="0"/>
    <x v="3"/>
    <x v="0"/>
    <x v="1"/>
    <n v="1.07"/>
    <n v="2913.37"/>
    <n v="10254.09"/>
    <x v="2"/>
  </r>
  <r>
    <x v="1"/>
    <x v="1"/>
    <x v="1"/>
    <x v="0"/>
    <x v="4"/>
    <x v="0"/>
    <x v="1"/>
    <n v="1.21"/>
    <n v="3294.56"/>
    <n v="11683.25"/>
    <x v="2"/>
  </r>
  <r>
    <x v="1"/>
    <x v="1"/>
    <x v="1"/>
    <x v="0"/>
    <x v="5"/>
    <x v="0"/>
    <x v="1"/>
    <n v="3"/>
    <n v="8168.34"/>
    <n v="28893.42"/>
    <x v="2"/>
  </r>
  <r>
    <x v="1"/>
    <x v="1"/>
    <x v="1"/>
    <x v="0"/>
    <x v="6"/>
    <x v="0"/>
    <x v="1"/>
    <n v="1.44"/>
    <n v="3920.8"/>
    <n v="13852.24"/>
    <x v="2"/>
  </r>
  <r>
    <x v="1"/>
    <x v="1"/>
    <x v="1"/>
    <x v="0"/>
    <x v="8"/>
    <x v="0"/>
    <x v="1"/>
    <n v="2.14"/>
    <n v="5826.75"/>
    <n v="20618.23"/>
    <x v="2"/>
  </r>
  <r>
    <x v="1"/>
    <x v="1"/>
    <x v="1"/>
    <x v="1"/>
    <x v="10"/>
    <x v="0"/>
    <x v="1"/>
    <n v="2.46"/>
    <n v="6698.04"/>
    <n v="23658.27"/>
    <x v="2"/>
  </r>
  <r>
    <x v="1"/>
    <x v="1"/>
    <x v="1"/>
    <x v="1"/>
    <x v="11"/>
    <x v="0"/>
    <x v="1"/>
    <n v="5.42"/>
    <n v="14757.47"/>
    <n v="52190.87"/>
    <x v="2"/>
  </r>
  <r>
    <x v="1"/>
    <x v="1"/>
    <x v="1"/>
    <x v="1"/>
    <x v="13"/>
    <x v="0"/>
    <x v="1"/>
    <n v="2.36"/>
    <n v="6425.76"/>
    <n v="22748.47"/>
    <x v="2"/>
  </r>
  <r>
    <x v="1"/>
    <x v="1"/>
    <x v="1"/>
    <x v="1"/>
    <x v="14"/>
    <x v="0"/>
    <x v="1"/>
    <n v="1.4"/>
    <n v="3811.89"/>
    <n v="13510.29"/>
    <x v="2"/>
  </r>
  <r>
    <x v="1"/>
    <x v="1"/>
    <x v="1"/>
    <x v="1"/>
    <x v="16"/>
    <x v="0"/>
    <x v="1"/>
    <n v="1.27"/>
    <n v="3457.93"/>
    <n v="12254.39"/>
    <x v="2"/>
  </r>
  <r>
    <x v="1"/>
    <x v="1"/>
    <x v="1"/>
    <x v="1"/>
    <x v="17"/>
    <x v="0"/>
    <x v="1"/>
    <n v="0.77"/>
    <n v="2096.54"/>
    <n v="7397.49"/>
    <x v="2"/>
  </r>
  <r>
    <x v="1"/>
    <x v="1"/>
    <x v="1"/>
    <x v="1"/>
    <x v="18"/>
    <x v="0"/>
    <x v="1"/>
    <n v="7.89"/>
    <n v="21482.73"/>
    <n v="75919.350000000006"/>
    <x v="2"/>
  </r>
  <r>
    <x v="1"/>
    <x v="1"/>
    <x v="1"/>
    <x v="1"/>
    <x v="19"/>
    <x v="0"/>
    <x v="1"/>
    <n v="4.37"/>
    <n v="11898.55"/>
    <n v="42083.75"/>
    <x v="2"/>
  </r>
  <r>
    <x v="1"/>
    <x v="1"/>
    <x v="1"/>
    <x v="1"/>
    <x v="20"/>
    <x v="0"/>
    <x v="1"/>
    <n v="8.09"/>
    <n v="22027.29"/>
    <n v="77869.600000000006"/>
    <x v="2"/>
  </r>
  <r>
    <x v="1"/>
    <x v="1"/>
    <x v="1"/>
    <x v="2"/>
    <x v="21"/>
    <x v="0"/>
    <x v="1"/>
    <n v="0"/>
    <n v="0"/>
    <n v="0"/>
    <x v="2"/>
  </r>
  <r>
    <x v="1"/>
    <x v="1"/>
    <x v="1"/>
    <x v="2"/>
    <x v="22"/>
    <x v="0"/>
    <x v="1"/>
    <n v="2.75"/>
    <n v="7487.65"/>
    <n v="26450.2"/>
    <x v="2"/>
  </r>
  <r>
    <x v="1"/>
    <x v="1"/>
    <x v="1"/>
    <x v="2"/>
    <x v="29"/>
    <x v="0"/>
    <x v="1"/>
    <n v="1.44"/>
    <n v="3920.8"/>
    <n v="13842.25"/>
    <x v="2"/>
  </r>
  <r>
    <x v="1"/>
    <x v="1"/>
    <x v="1"/>
    <x v="2"/>
    <x v="24"/>
    <x v="0"/>
    <x v="1"/>
    <n v="1.97"/>
    <n v="5363.88"/>
    <n v="19002.75"/>
    <x v="2"/>
  </r>
  <r>
    <x v="1"/>
    <x v="1"/>
    <x v="1"/>
    <x v="3"/>
    <x v="25"/>
    <x v="0"/>
    <x v="1"/>
    <n v="1.28"/>
    <n v="3485.16"/>
    <n v="12369.6"/>
    <x v="2"/>
  </r>
  <r>
    <x v="1"/>
    <x v="1"/>
    <x v="1"/>
    <x v="3"/>
    <x v="26"/>
    <x v="0"/>
    <x v="1"/>
    <n v="0.98"/>
    <n v="2668.32"/>
    <n v="9460.6200000000008"/>
    <x v="2"/>
  </r>
  <r>
    <x v="1"/>
    <x v="1"/>
    <x v="1"/>
    <x v="3"/>
    <x v="27"/>
    <x v="0"/>
    <x v="1"/>
    <n v="5.28"/>
    <n v="14376.28"/>
    <n v="50817.56"/>
    <x v="2"/>
  </r>
  <r>
    <x v="1"/>
    <x v="1"/>
    <x v="1"/>
    <x v="0"/>
    <x v="0"/>
    <x v="1"/>
    <x v="0"/>
    <n v="3.76"/>
    <n v="10237.65"/>
    <n v="23660.39"/>
    <x v="2"/>
  </r>
  <r>
    <x v="1"/>
    <x v="1"/>
    <x v="1"/>
    <x v="0"/>
    <x v="1"/>
    <x v="1"/>
    <x v="0"/>
    <n v="5.78"/>
    <n v="15737.67"/>
    <n v="35805.26"/>
    <x v="2"/>
  </r>
  <r>
    <x v="1"/>
    <x v="1"/>
    <x v="1"/>
    <x v="0"/>
    <x v="2"/>
    <x v="1"/>
    <x v="0"/>
    <n v="1.76"/>
    <n v="4792.09"/>
    <n v="10528.13"/>
    <x v="2"/>
  </r>
  <r>
    <x v="1"/>
    <x v="1"/>
    <x v="1"/>
    <x v="0"/>
    <x v="3"/>
    <x v="1"/>
    <x v="0"/>
    <n v="5.07"/>
    <n v="13804.49"/>
    <n v="31530.99"/>
    <x v="2"/>
  </r>
  <r>
    <x v="1"/>
    <x v="1"/>
    <x v="1"/>
    <x v="0"/>
    <x v="28"/>
    <x v="1"/>
    <x v="0"/>
    <n v="0"/>
    <n v="0"/>
    <n v="0"/>
    <x v="2"/>
  </r>
  <r>
    <x v="1"/>
    <x v="1"/>
    <x v="1"/>
    <x v="0"/>
    <x v="4"/>
    <x v="1"/>
    <x v="0"/>
    <n v="2.48"/>
    <n v="6752.49"/>
    <n v="15278.33"/>
    <x v="2"/>
  </r>
  <r>
    <x v="1"/>
    <x v="1"/>
    <x v="1"/>
    <x v="0"/>
    <x v="5"/>
    <x v="1"/>
    <x v="0"/>
    <n v="0.32"/>
    <n v="871.29"/>
    <n v="2032.72"/>
    <x v="2"/>
  </r>
  <r>
    <x v="1"/>
    <x v="1"/>
    <x v="1"/>
    <x v="0"/>
    <x v="6"/>
    <x v="1"/>
    <x v="0"/>
    <n v="0"/>
    <n v="0"/>
    <n v="0"/>
    <x v="2"/>
  </r>
  <r>
    <x v="1"/>
    <x v="1"/>
    <x v="1"/>
    <x v="0"/>
    <x v="7"/>
    <x v="1"/>
    <x v="0"/>
    <n v="0"/>
    <n v="0"/>
    <n v="0"/>
    <x v="2"/>
  </r>
  <r>
    <x v="1"/>
    <x v="1"/>
    <x v="1"/>
    <x v="0"/>
    <x v="8"/>
    <x v="1"/>
    <x v="0"/>
    <n v="0"/>
    <n v="0"/>
    <n v="0"/>
    <x v="2"/>
  </r>
  <r>
    <x v="1"/>
    <x v="1"/>
    <x v="1"/>
    <x v="1"/>
    <x v="30"/>
    <x v="1"/>
    <x v="0"/>
    <n v="0.75"/>
    <n v="2042.09"/>
    <n v="4965.62"/>
    <x v="2"/>
  </r>
  <r>
    <x v="1"/>
    <x v="1"/>
    <x v="1"/>
    <x v="1"/>
    <x v="9"/>
    <x v="1"/>
    <x v="0"/>
    <n v="0"/>
    <n v="0"/>
    <n v="0"/>
    <x v="2"/>
  </r>
  <r>
    <x v="1"/>
    <x v="1"/>
    <x v="1"/>
    <x v="1"/>
    <x v="31"/>
    <x v="1"/>
    <x v="0"/>
    <n v="2.15"/>
    <n v="5853.98"/>
    <n v="14364.33"/>
    <x v="2"/>
  </r>
  <r>
    <x v="1"/>
    <x v="1"/>
    <x v="1"/>
    <x v="1"/>
    <x v="10"/>
    <x v="1"/>
    <x v="0"/>
    <n v="6.02"/>
    <n v="16391.14"/>
    <n v="39540.43"/>
    <x v="2"/>
  </r>
  <r>
    <x v="1"/>
    <x v="1"/>
    <x v="1"/>
    <x v="1"/>
    <x v="11"/>
    <x v="1"/>
    <x v="0"/>
    <n v="4.2699999999999996"/>
    <n v="11626.27"/>
    <n v="26739.74"/>
    <x v="2"/>
  </r>
  <r>
    <x v="1"/>
    <x v="1"/>
    <x v="1"/>
    <x v="1"/>
    <x v="12"/>
    <x v="1"/>
    <x v="0"/>
    <n v="1.65"/>
    <n v="4492.59"/>
    <n v="10842.84"/>
    <x v="2"/>
  </r>
  <r>
    <x v="1"/>
    <x v="1"/>
    <x v="1"/>
    <x v="1"/>
    <x v="13"/>
    <x v="1"/>
    <x v="0"/>
    <n v="1.2"/>
    <n v="3267.34"/>
    <n v="7883.17"/>
    <x v="2"/>
  </r>
  <r>
    <x v="1"/>
    <x v="1"/>
    <x v="1"/>
    <x v="1"/>
    <x v="14"/>
    <x v="1"/>
    <x v="0"/>
    <n v="9.39"/>
    <n v="25566.9"/>
    <n v="60366.62"/>
    <x v="2"/>
  </r>
  <r>
    <x v="1"/>
    <x v="1"/>
    <x v="1"/>
    <x v="1"/>
    <x v="15"/>
    <x v="1"/>
    <x v="0"/>
    <n v="1.05"/>
    <n v="2858.92"/>
    <n v="6961.02"/>
    <x v="2"/>
  </r>
  <r>
    <x v="1"/>
    <x v="1"/>
    <x v="1"/>
    <x v="1"/>
    <x v="16"/>
    <x v="1"/>
    <x v="0"/>
    <n v="2.74"/>
    <n v="7460.42"/>
    <n v="17340.43"/>
    <x v="2"/>
  </r>
  <r>
    <x v="1"/>
    <x v="1"/>
    <x v="1"/>
    <x v="1"/>
    <x v="17"/>
    <x v="1"/>
    <x v="0"/>
    <n v="5.54"/>
    <n v="15084.2"/>
    <n v="35403.61"/>
    <x v="2"/>
  </r>
  <r>
    <x v="1"/>
    <x v="1"/>
    <x v="1"/>
    <x v="1"/>
    <x v="18"/>
    <x v="1"/>
    <x v="0"/>
    <n v="3.95"/>
    <n v="10754.98"/>
    <n v="26403.86"/>
    <x v="2"/>
  </r>
  <r>
    <x v="1"/>
    <x v="1"/>
    <x v="1"/>
    <x v="1"/>
    <x v="19"/>
    <x v="1"/>
    <x v="0"/>
    <n v="5.55"/>
    <n v="15111.43"/>
    <n v="36040.89"/>
    <x v="2"/>
  </r>
  <r>
    <x v="1"/>
    <x v="1"/>
    <x v="1"/>
    <x v="1"/>
    <x v="20"/>
    <x v="1"/>
    <x v="0"/>
    <n v="2.52"/>
    <n v="6861.41"/>
    <n v="16111.11"/>
    <x v="2"/>
  </r>
  <r>
    <x v="1"/>
    <x v="1"/>
    <x v="1"/>
    <x v="2"/>
    <x v="21"/>
    <x v="1"/>
    <x v="0"/>
    <n v="0"/>
    <n v="0"/>
    <n v="0"/>
    <x v="2"/>
  </r>
  <r>
    <x v="1"/>
    <x v="1"/>
    <x v="1"/>
    <x v="2"/>
    <x v="22"/>
    <x v="1"/>
    <x v="0"/>
    <n v="2.62"/>
    <n v="7133.68"/>
    <n v="15367.52"/>
    <x v="2"/>
  </r>
  <r>
    <x v="1"/>
    <x v="1"/>
    <x v="1"/>
    <x v="2"/>
    <x v="29"/>
    <x v="1"/>
    <x v="0"/>
    <n v="0"/>
    <n v="0"/>
    <n v="0"/>
    <x v="2"/>
  </r>
  <r>
    <x v="1"/>
    <x v="1"/>
    <x v="1"/>
    <x v="2"/>
    <x v="23"/>
    <x v="1"/>
    <x v="0"/>
    <n v="0"/>
    <n v="0"/>
    <n v="0"/>
    <x v="2"/>
  </r>
  <r>
    <x v="1"/>
    <x v="1"/>
    <x v="1"/>
    <x v="2"/>
    <x v="24"/>
    <x v="1"/>
    <x v="0"/>
    <n v="2.06"/>
    <n v="5608.93"/>
    <n v="12321.16"/>
    <x v="2"/>
  </r>
  <r>
    <x v="1"/>
    <x v="1"/>
    <x v="1"/>
    <x v="3"/>
    <x v="25"/>
    <x v="1"/>
    <x v="0"/>
    <n v="4.0199999999999996"/>
    <n v="10945.58"/>
    <n v="26482.41"/>
    <x v="2"/>
  </r>
  <r>
    <x v="1"/>
    <x v="1"/>
    <x v="1"/>
    <x v="3"/>
    <x v="26"/>
    <x v="1"/>
    <x v="0"/>
    <n v="1.3"/>
    <n v="3539.61"/>
    <n v="8631.24"/>
    <x v="2"/>
  </r>
  <r>
    <x v="1"/>
    <x v="1"/>
    <x v="1"/>
    <x v="3"/>
    <x v="27"/>
    <x v="1"/>
    <x v="0"/>
    <n v="6.05"/>
    <n v="16472.82"/>
    <n v="39405.67"/>
    <x v="2"/>
  </r>
  <r>
    <x v="1"/>
    <x v="1"/>
    <x v="1"/>
    <x v="0"/>
    <x v="0"/>
    <x v="1"/>
    <x v="1"/>
    <n v="7.27"/>
    <n v="19794.61"/>
    <n v="45777.71"/>
    <x v="2"/>
  </r>
  <r>
    <x v="1"/>
    <x v="1"/>
    <x v="1"/>
    <x v="0"/>
    <x v="1"/>
    <x v="1"/>
    <x v="1"/>
    <n v="8.27"/>
    <n v="22517.39"/>
    <n v="51198.17"/>
    <x v="2"/>
  </r>
  <r>
    <x v="1"/>
    <x v="1"/>
    <x v="1"/>
    <x v="0"/>
    <x v="2"/>
    <x v="1"/>
    <x v="1"/>
    <n v="8.66"/>
    <n v="23579.27"/>
    <n v="51763.3"/>
    <x v="2"/>
  </r>
  <r>
    <x v="1"/>
    <x v="1"/>
    <x v="1"/>
    <x v="0"/>
    <x v="3"/>
    <x v="1"/>
    <x v="1"/>
    <n v="17.45"/>
    <n v="47512.51"/>
    <n v="108487.97"/>
    <x v="2"/>
  </r>
  <r>
    <x v="1"/>
    <x v="1"/>
    <x v="1"/>
    <x v="0"/>
    <x v="28"/>
    <x v="1"/>
    <x v="1"/>
    <n v="2"/>
    <n v="5445.56"/>
    <n v="12597.47"/>
    <x v="2"/>
  </r>
  <r>
    <x v="1"/>
    <x v="1"/>
    <x v="1"/>
    <x v="0"/>
    <x v="4"/>
    <x v="1"/>
    <x v="1"/>
    <n v="2.84"/>
    <n v="7732.7"/>
    <n v="17500.63"/>
    <x v="2"/>
  </r>
  <r>
    <x v="1"/>
    <x v="1"/>
    <x v="1"/>
    <x v="0"/>
    <x v="5"/>
    <x v="1"/>
    <x v="1"/>
    <n v="6.05"/>
    <n v="16472.82"/>
    <n v="38367.599999999999"/>
    <x v="2"/>
  </r>
  <r>
    <x v="1"/>
    <x v="1"/>
    <x v="1"/>
    <x v="0"/>
    <x v="6"/>
    <x v="1"/>
    <x v="1"/>
    <n v="2.5099999999999998"/>
    <n v="6834.18"/>
    <n v="15856.92"/>
    <x v="2"/>
  </r>
  <r>
    <x v="1"/>
    <x v="1"/>
    <x v="1"/>
    <x v="0"/>
    <x v="7"/>
    <x v="1"/>
    <x v="1"/>
    <n v="2.67"/>
    <n v="7269.82"/>
    <n v="17169.59"/>
    <x v="2"/>
  </r>
  <r>
    <x v="1"/>
    <x v="1"/>
    <x v="1"/>
    <x v="0"/>
    <x v="8"/>
    <x v="1"/>
    <x v="1"/>
    <n v="2.19"/>
    <n v="5962.89"/>
    <n v="13448.18"/>
    <x v="2"/>
  </r>
  <r>
    <x v="1"/>
    <x v="1"/>
    <x v="1"/>
    <x v="1"/>
    <x v="30"/>
    <x v="1"/>
    <x v="1"/>
    <n v="0"/>
    <n v="0"/>
    <n v="0"/>
    <x v="2"/>
  </r>
  <r>
    <x v="1"/>
    <x v="1"/>
    <x v="1"/>
    <x v="1"/>
    <x v="9"/>
    <x v="1"/>
    <x v="1"/>
    <n v="3.8"/>
    <n v="10346.56"/>
    <n v="25163.67"/>
    <x v="2"/>
  </r>
  <r>
    <x v="1"/>
    <x v="1"/>
    <x v="1"/>
    <x v="1"/>
    <x v="31"/>
    <x v="1"/>
    <x v="1"/>
    <n v="0"/>
    <n v="0"/>
    <n v="0"/>
    <x v="2"/>
  </r>
  <r>
    <x v="1"/>
    <x v="1"/>
    <x v="1"/>
    <x v="1"/>
    <x v="10"/>
    <x v="1"/>
    <x v="1"/>
    <n v="16.37"/>
    <n v="44571.91"/>
    <n v="107483.15"/>
    <x v="2"/>
  </r>
  <r>
    <x v="1"/>
    <x v="1"/>
    <x v="1"/>
    <x v="1"/>
    <x v="11"/>
    <x v="1"/>
    <x v="1"/>
    <n v="14.19"/>
    <n v="38636.25"/>
    <n v="88775.94"/>
    <x v="2"/>
  </r>
  <r>
    <x v="1"/>
    <x v="1"/>
    <x v="1"/>
    <x v="1"/>
    <x v="12"/>
    <x v="1"/>
    <x v="1"/>
    <n v="0.78"/>
    <n v="2123.77"/>
    <n v="5136.08"/>
    <x v="2"/>
  </r>
  <r>
    <x v="1"/>
    <x v="1"/>
    <x v="1"/>
    <x v="1"/>
    <x v="13"/>
    <x v="1"/>
    <x v="1"/>
    <n v="5.67"/>
    <n v="15438.16"/>
    <n v="37163.519999999997"/>
    <x v="2"/>
  </r>
  <r>
    <x v="1"/>
    <x v="1"/>
    <x v="1"/>
    <x v="1"/>
    <x v="14"/>
    <x v="1"/>
    <x v="1"/>
    <n v="4.3899999999999997"/>
    <n v="11953"/>
    <n v="28208.7"/>
    <x v="2"/>
  </r>
  <r>
    <x v="1"/>
    <x v="1"/>
    <x v="1"/>
    <x v="1"/>
    <x v="15"/>
    <x v="1"/>
    <x v="1"/>
    <n v="2.57"/>
    <n v="6997.54"/>
    <n v="17086.150000000001"/>
    <x v="2"/>
  </r>
  <r>
    <x v="1"/>
    <x v="1"/>
    <x v="1"/>
    <x v="1"/>
    <x v="16"/>
    <x v="1"/>
    <x v="1"/>
    <n v="8.0399999999999991"/>
    <n v="21891.15"/>
    <n v="50902.559999999998"/>
    <x v="2"/>
  </r>
  <r>
    <x v="1"/>
    <x v="1"/>
    <x v="1"/>
    <x v="1"/>
    <x v="17"/>
    <x v="1"/>
    <x v="1"/>
    <n v="1.96"/>
    <n v="5336.65"/>
    <n v="12527.43"/>
    <x v="2"/>
  </r>
  <r>
    <x v="1"/>
    <x v="1"/>
    <x v="1"/>
    <x v="1"/>
    <x v="18"/>
    <x v="1"/>
    <x v="1"/>
    <n v="16.39"/>
    <n v="44626.36"/>
    <n v="109677.58"/>
    <x v="2"/>
  </r>
  <r>
    <x v="1"/>
    <x v="1"/>
    <x v="1"/>
    <x v="1"/>
    <x v="19"/>
    <x v="1"/>
    <x v="1"/>
    <n v="9.57"/>
    <n v="26057"/>
    <n v="62101.23"/>
    <x v="2"/>
  </r>
  <r>
    <x v="1"/>
    <x v="1"/>
    <x v="1"/>
    <x v="1"/>
    <x v="20"/>
    <x v="1"/>
    <x v="1"/>
    <n v="5.73"/>
    <n v="15601.53"/>
    <n v="36595.24"/>
    <x v="2"/>
  </r>
  <r>
    <x v="1"/>
    <x v="1"/>
    <x v="1"/>
    <x v="2"/>
    <x v="21"/>
    <x v="1"/>
    <x v="1"/>
    <n v="2.0499999999999998"/>
    <n v="5581.7"/>
    <n v="12032.06"/>
    <x v="2"/>
  </r>
  <r>
    <x v="1"/>
    <x v="1"/>
    <x v="1"/>
    <x v="2"/>
    <x v="22"/>
    <x v="1"/>
    <x v="1"/>
    <n v="9.01"/>
    <n v="24532.25"/>
    <n v="52825.86"/>
    <x v="2"/>
  </r>
  <r>
    <x v="1"/>
    <x v="1"/>
    <x v="1"/>
    <x v="2"/>
    <x v="29"/>
    <x v="1"/>
    <x v="1"/>
    <n v="2.52"/>
    <n v="6861.41"/>
    <n v="15664.86"/>
    <x v="2"/>
  </r>
  <r>
    <x v="1"/>
    <x v="1"/>
    <x v="1"/>
    <x v="2"/>
    <x v="23"/>
    <x v="1"/>
    <x v="1"/>
    <n v="1.47"/>
    <n v="4002.49"/>
    <n v="8949.56"/>
    <x v="2"/>
  </r>
  <r>
    <x v="1"/>
    <x v="1"/>
    <x v="1"/>
    <x v="2"/>
    <x v="24"/>
    <x v="1"/>
    <x v="1"/>
    <n v="1.82"/>
    <n v="4955.46"/>
    <n v="10842.62"/>
    <x v="2"/>
  </r>
  <r>
    <x v="1"/>
    <x v="1"/>
    <x v="1"/>
    <x v="3"/>
    <x v="25"/>
    <x v="1"/>
    <x v="1"/>
    <n v="5.41"/>
    <n v="14730.24"/>
    <n v="35693.68"/>
    <x v="2"/>
  </r>
  <r>
    <x v="1"/>
    <x v="1"/>
    <x v="1"/>
    <x v="3"/>
    <x v="26"/>
    <x v="1"/>
    <x v="1"/>
    <n v="10.46"/>
    <n v="28480.28"/>
    <n v="69504.17"/>
    <x v="2"/>
  </r>
  <r>
    <x v="1"/>
    <x v="1"/>
    <x v="1"/>
    <x v="3"/>
    <x v="27"/>
    <x v="1"/>
    <x v="1"/>
    <n v="18.3"/>
    <n v="49826.87"/>
    <n v="119296.61"/>
    <x v="2"/>
  </r>
  <r>
    <x v="1"/>
    <x v="1"/>
    <x v="2"/>
    <x v="0"/>
    <x v="0"/>
    <x v="0"/>
    <x v="0"/>
    <n v="2.14"/>
    <n v="11598.2"/>
    <n v="50264.19"/>
    <x v="2"/>
  </r>
  <r>
    <x v="1"/>
    <x v="1"/>
    <x v="2"/>
    <x v="0"/>
    <x v="1"/>
    <x v="0"/>
    <x v="0"/>
    <n v="3.64"/>
    <n v="19727.78"/>
    <n v="85238.14"/>
    <x v="2"/>
  </r>
  <r>
    <x v="1"/>
    <x v="1"/>
    <x v="2"/>
    <x v="0"/>
    <x v="2"/>
    <x v="0"/>
    <x v="0"/>
    <n v="0"/>
    <n v="0"/>
    <n v="0"/>
    <x v="2"/>
  </r>
  <r>
    <x v="1"/>
    <x v="1"/>
    <x v="2"/>
    <x v="0"/>
    <x v="3"/>
    <x v="0"/>
    <x v="0"/>
    <n v="1.63"/>
    <n v="8834.14"/>
    <n v="38084.42"/>
    <x v="2"/>
  </r>
  <r>
    <x v="1"/>
    <x v="1"/>
    <x v="2"/>
    <x v="0"/>
    <x v="4"/>
    <x v="0"/>
    <x v="0"/>
    <n v="0"/>
    <n v="0"/>
    <n v="0"/>
    <x v="2"/>
  </r>
  <r>
    <x v="1"/>
    <x v="1"/>
    <x v="2"/>
    <x v="0"/>
    <x v="5"/>
    <x v="0"/>
    <x v="0"/>
    <n v="0"/>
    <n v="0"/>
    <n v="0"/>
    <x v="2"/>
  </r>
  <r>
    <x v="1"/>
    <x v="1"/>
    <x v="2"/>
    <x v="0"/>
    <x v="6"/>
    <x v="0"/>
    <x v="0"/>
    <n v="0"/>
    <n v="0"/>
    <n v="0"/>
    <x v="2"/>
  </r>
  <r>
    <x v="1"/>
    <x v="1"/>
    <x v="2"/>
    <x v="0"/>
    <x v="8"/>
    <x v="0"/>
    <x v="0"/>
    <n v="0"/>
    <n v="0"/>
    <n v="0"/>
    <x v="2"/>
  </r>
  <r>
    <x v="1"/>
    <x v="1"/>
    <x v="2"/>
    <x v="1"/>
    <x v="10"/>
    <x v="0"/>
    <x v="0"/>
    <n v="1.46"/>
    <n v="7912.79"/>
    <n v="34141.300000000003"/>
    <x v="2"/>
  </r>
  <r>
    <x v="1"/>
    <x v="1"/>
    <x v="2"/>
    <x v="1"/>
    <x v="11"/>
    <x v="0"/>
    <x v="0"/>
    <n v="0"/>
    <n v="0"/>
    <n v="0"/>
    <x v="2"/>
  </r>
  <r>
    <x v="1"/>
    <x v="1"/>
    <x v="2"/>
    <x v="1"/>
    <x v="13"/>
    <x v="0"/>
    <x v="0"/>
    <n v="0"/>
    <n v="0"/>
    <n v="0"/>
    <x v="2"/>
  </r>
  <r>
    <x v="1"/>
    <x v="1"/>
    <x v="2"/>
    <x v="1"/>
    <x v="14"/>
    <x v="0"/>
    <x v="0"/>
    <n v="0"/>
    <n v="0"/>
    <n v="0"/>
    <x v="2"/>
  </r>
  <r>
    <x v="1"/>
    <x v="1"/>
    <x v="2"/>
    <x v="1"/>
    <x v="16"/>
    <x v="0"/>
    <x v="0"/>
    <n v="0"/>
    <n v="0"/>
    <n v="0"/>
    <x v="2"/>
  </r>
  <r>
    <x v="1"/>
    <x v="1"/>
    <x v="2"/>
    <x v="1"/>
    <x v="17"/>
    <x v="0"/>
    <x v="0"/>
    <n v="0"/>
    <n v="0"/>
    <n v="0"/>
    <x v="2"/>
  </r>
  <r>
    <x v="1"/>
    <x v="1"/>
    <x v="2"/>
    <x v="1"/>
    <x v="18"/>
    <x v="0"/>
    <x v="0"/>
    <n v="0"/>
    <n v="0"/>
    <n v="0"/>
    <x v="2"/>
  </r>
  <r>
    <x v="1"/>
    <x v="1"/>
    <x v="2"/>
    <x v="1"/>
    <x v="19"/>
    <x v="0"/>
    <x v="0"/>
    <n v="0"/>
    <n v="0"/>
    <n v="0"/>
    <x v="2"/>
  </r>
  <r>
    <x v="1"/>
    <x v="1"/>
    <x v="2"/>
    <x v="1"/>
    <x v="20"/>
    <x v="0"/>
    <x v="0"/>
    <n v="1.81"/>
    <n v="9809.69"/>
    <n v="42447.18"/>
    <x v="2"/>
  </r>
  <r>
    <x v="1"/>
    <x v="1"/>
    <x v="2"/>
    <x v="2"/>
    <x v="21"/>
    <x v="0"/>
    <x v="0"/>
    <n v="2.13"/>
    <n v="11544"/>
    <n v="49998.98"/>
    <x v="2"/>
  </r>
  <r>
    <x v="1"/>
    <x v="1"/>
    <x v="2"/>
    <x v="2"/>
    <x v="22"/>
    <x v="0"/>
    <x v="0"/>
    <n v="0"/>
    <n v="0"/>
    <n v="0"/>
    <x v="2"/>
  </r>
  <r>
    <x v="1"/>
    <x v="1"/>
    <x v="2"/>
    <x v="2"/>
    <x v="29"/>
    <x v="0"/>
    <x v="0"/>
    <n v="0"/>
    <n v="0"/>
    <n v="0"/>
    <x v="2"/>
  </r>
  <r>
    <x v="1"/>
    <x v="1"/>
    <x v="2"/>
    <x v="2"/>
    <x v="24"/>
    <x v="0"/>
    <x v="0"/>
    <n v="0"/>
    <n v="0"/>
    <n v="0"/>
    <x v="2"/>
  </r>
  <r>
    <x v="1"/>
    <x v="1"/>
    <x v="2"/>
    <x v="3"/>
    <x v="25"/>
    <x v="0"/>
    <x v="0"/>
    <n v="0"/>
    <n v="0"/>
    <n v="0"/>
    <x v="2"/>
  </r>
  <r>
    <x v="1"/>
    <x v="1"/>
    <x v="2"/>
    <x v="3"/>
    <x v="26"/>
    <x v="0"/>
    <x v="0"/>
    <n v="1.76"/>
    <n v="9538.7099999999991"/>
    <n v="41188.69"/>
    <x v="2"/>
  </r>
  <r>
    <x v="1"/>
    <x v="1"/>
    <x v="2"/>
    <x v="3"/>
    <x v="27"/>
    <x v="0"/>
    <x v="0"/>
    <n v="1.58"/>
    <n v="8563.16"/>
    <n v="36996.58"/>
    <x v="2"/>
  </r>
  <r>
    <x v="1"/>
    <x v="1"/>
    <x v="2"/>
    <x v="0"/>
    <x v="0"/>
    <x v="0"/>
    <x v="1"/>
    <n v="2.23"/>
    <n v="12085.98"/>
    <n v="52274.76"/>
    <x v="2"/>
  </r>
  <r>
    <x v="1"/>
    <x v="1"/>
    <x v="2"/>
    <x v="0"/>
    <x v="1"/>
    <x v="0"/>
    <x v="1"/>
    <n v="6.18"/>
    <n v="33493.870000000003"/>
    <n v="144852.54999999999"/>
    <x v="2"/>
  </r>
  <r>
    <x v="1"/>
    <x v="1"/>
    <x v="2"/>
    <x v="0"/>
    <x v="2"/>
    <x v="0"/>
    <x v="1"/>
    <n v="5.18"/>
    <n v="28074.15"/>
    <n v="121461"/>
    <x v="2"/>
  </r>
  <r>
    <x v="1"/>
    <x v="1"/>
    <x v="2"/>
    <x v="0"/>
    <x v="3"/>
    <x v="0"/>
    <x v="1"/>
    <n v="4.43"/>
    <n v="24009.360000000001"/>
    <n v="103866.61"/>
    <x v="2"/>
  </r>
  <r>
    <x v="1"/>
    <x v="1"/>
    <x v="2"/>
    <x v="0"/>
    <x v="4"/>
    <x v="0"/>
    <x v="1"/>
    <n v="2.2599999999999998"/>
    <n v="12248.57"/>
    <n v="52905.89"/>
    <x v="2"/>
  </r>
  <r>
    <x v="1"/>
    <x v="1"/>
    <x v="2"/>
    <x v="0"/>
    <x v="5"/>
    <x v="0"/>
    <x v="1"/>
    <n v="4.83"/>
    <n v="26177.25"/>
    <n v="113138.92"/>
    <x v="2"/>
  </r>
  <r>
    <x v="1"/>
    <x v="1"/>
    <x v="2"/>
    <x v="0"/>
    <x v="6"/>
    <x v="0"/>
    <x v="1"/>
    <n v="2.33"/>
    <n v="12627.95"/>
    <n v="54697.13"/>
    <x v="2"/>
  </r>
  <r>
    <x v="1"/>
    <x v="1"/>
    <x v="2"/>
    <x v="0"/>
    <x v="8"/>
    <x v="0"/>
    <x v="1"/>
    <n v="4.13"/>
    <n v="22383.439999999999"/>
    <n v="96701.4"/>
    <x v="2"/>
  </r>
  <r>
    <x v="1"/>
    <x v="1"/>
    <x v="2"/>
    <x v="1"/>
    <x v="10"/>
    <x v="0"/>
    <x v="1"/>
    <n v="4.88"/>
    <n v="26448.23"/>
    <n v="114473.76"/>
    <x v="2"/>
  </r>
  <r>
    <x v="1"/>
    <x v="1"/>
    <x v="2"/>
    <x v="1"/>
    <x v="11"/>
    <x v="0"/>
    <x v="1"/>
    <n v="11.31"/>
    <n v="61297.03"/>
    <n v="265017.52"/>
    <x v="2"/>
  </r>
  <r>
    <x v="1"/>
    <x v="1"/>
    <x v="2"/>
    <x v="1"/>
    <x v="13"/>
    <x v="0"/>
    <x v="1"/>
    <n v="3.25"/>
    <n v="17614.09"/>
    <n v="76148.42"/>
    <x v="2"/>
  </r>
  <r>
    <x v="1"/>
    <x v="1"/>
    <x v="2"/>
    <x v="1"/>
    <x v="14"/>
    <x v="0"/>
    <x v="1"/>
    <n v="1.62"/>
    <n v="8779.9500000000007"/>
    <n v="37862.6"/>
    <x v="2"/>
  </r>
  <r>
    <x v="1"/>
    <x v="1"/>
    <x v="2"/>
    <x v="1"/>
    <x v="16"/>
    <x v="0"/>
    <x v="1"/>
    <n v="1.62"/>
    <n v="8779.9500000000007"/>
    <n v="38043.08"/>
    <x v="2"/>
  </r>
  <r>
    <x v="1"/>
    <x v="1"/>
    <x v="2"/>
    <x v="1"/>
    <x v="17"/>
    <x v="0"/>
    <x v="1"/>
    <n v="1.27"/>
    <n v="6883.04"/>
    <n v="29667.7"/>
    <x v="2"/>
  </r>
  <r>
    <x v="1"/>
    <x v="1"/>
    <x v="2"/>
    <x v="1"/>
    <x v="18"/>
    <x v="0"/>
    <x v="1"/>
    <n v="12.27"/>
    <n v="66499.960000000006"/>
    <n v="287626.49"/>
    <x v="2"/>
  </r>
  <r>
    <x v="1"/>
    <x v="1"/>
    <x v="2"/>
    <x v="1"/>
    <x v="19"/>
    <x v="0"/>
    <x v="1"/>
    <n v="3.97"/>
    <n v="21516.29"/>
    <n v="93019.34"/>
    <x v="2"/>
  </r>
  <r>
    <x v="1"/>
    <x v="1"/>
    <x v="2"/>
    <x v="1"/>
    <x v="20"/>
    <x v="0"/>
    <x v="1"/>
    <n v="11.38"/>
    <n v="61676.41"/>
    <n v="266810.87"/>
    <x v="2"/>
  </r>
  <r>
    <x v="1"/>
    <x v="1"/>
    <x v="2"/>
    <x v="2"/>
    <x v="21"/>
    <x v="0"/>
    <x v="1"/>
    <n v="0"/>
    <n v="0"/>
    <n v="0"/>
    <x v="2"/>
  </r>
  <r>
    <x v="1"/>
    <x v="1"/>
    <x v="2"/>
    <x v="2"/>
    <x v="22"/>
    <x v="0"/>
    <x v="1"/>
    <n v="5.12"/>
    <n v="27748.97"/>
    <n v="120030.87"/>
    <x v="2"/>
  </r>
  <r>
    <x v="1"/>
    <x v="1"/>
    <x v="2"/>
    <x v="2"/>
    <x v="29"/>
    <x v="0"/>
    <x v="1"/>
    <n v="2.21"/>
    <n v="11977.58"/>
    <n v="51696.49"/>
    <x v="2"/>
  </r>
  <r>
    <x v="1"/>
    <x v="1"/>
    <x v="2"/>
    <x v="2"/>
    <x v="24"/>
    <x v="0"/>
    <x v="1"/>
    <n v="2.14"/>
    <n v="11598.2"/>
    <n v="50124.39"/>
    <x v="2"/>
  </r>
  <r>
    <x v="1"/>
    <x v="1"/>
    <x v="2"/>
    <x v="3"/>
    <x v="25"/>
    <x v="0"/>
    <x v="1"/>
    <n v="0.8"/>
    <n v="4335.78"/>
    <n v="18829.009999999998"/>
    <x v="2"/>
  </r>
  <r>
    <x v="1"/>
    <x v="1"/>
    <x v="2"/>
    <x v="3"/>
    <x v="26"/>
    <x v="0"/>
    <x v="1"/>
    <n v="1.42"/>
    <n v="7696"/>
    <n v="33343.230000000003"/>
    <x v="2"/>
  </r>
  <r>
    <x v="1"/>
    <x v="1"/>
    <x v="2"/>
    <x v="3"/>
    <x v="27"/>
    <x v="0"/>
    <x v="1"/>
    <n v="8.07"/>
    <n v="43737.14"/>
    <n v="189093.64"/>
    <x v="2"/>
  </r>
  <r>
    <x v="1"/>
    <x v="1"/>
    <x v="2"/>
    <x v="0"/>
    <x v="0"/>
    <x v="1"/>
    <x v="0"/>
    <n v="3.77"/>
    <n v="20432.34"/>
    <n v="57750.86"/>
    <x v="2"/>
  </r>
  <r>
    <x v="1"/>
    <x v="1"/>
    <x v="2"/>
    <x v="0"/>
    <x v="1"/>
    <x v="1"/>
    <x v="0"/>
    <n v="14.89"/>
    <n v="80699.63"/>
    <n v="224332.31"/>
    <x v="2"/>
  </r>
  <r>
    <x v="1"/>
    <x v="1"/>
    <x v="2"/>
    <x v="0"/>
    <x v="2"/>
    <x v="1"/>
    <x v="0"/>
    <n v="6.06"/>
    <n v="32843.5"/>
    <n v="88189.54"/>
    <x v="2"/>
  </r>
  <r>
    <x v="1"/>
    <x v="1"/>
    <x v="2"/>
    <x v="0"/>
    <x v="3"/>
    <x v="1"/>
    <x v="0"/>
    <n v="18.03"/>
    <n v="97717.55"/>
    <n v="272973.13"/>
    <x v="2"/>
  </r>
  <r>
    <x v="1"/>
    <x v="1"/>
    <x v="2"/>
    <x v="0"/>
    <x v="28"/>
    <x v="1"/>
    <x v="0"/>
    <n v="0"/>
    <n v="0"/>
    <n v="0"/>
    <x v="2"/>
  </r>
  <r>
    <x v="1"/>
    <x v="1"/>
    <x v="2"/>
    <x v="0"/>
    <x v="4"/>
    <x v="1"/>
    <x v="0"/>
    <n v="7.14"/>
    <n v="38696.800000000003"/>
    <n v="107123.06"/>
    <x v="2"/>
  </r>
  <r>
    <x v="1"/>
    <x v="1"/>
    <x v="2"/>
    <x v="0"/>
    <x v="5"/>
    <x v="1"/>
    <x v="0"/>
    <n v="2.42"/>
    <n v="13115.72"/>
    <n v="37396.589999999997"/>
    <x v="2"/>
  </r>
  <r>
    <x v="1"/>
    <x v="1"/>
    <x v="2"/>
    <x v="0"/>
    <x v="6"/>
    <x v="1"/>
    <x v="0"/>
    <n v="0"/>
    <n v="0"/>
    <n v="0"/>
    <x v="2"/>
  </r>
  <r>
    <x v="1"/>
    <x v="1"/>
    <x v="2"/>
    <x v="0"/>
    <x v="7"/>
    <x v="1"/>
    <x v="0"/>
    <n v="0"/>
    <n v="0"/>
    <n v="0"/>
    <x v="2"/>
  </r>
  <r>
    <x v="1"/>
    <x v="1"/>
    <x v="2"/>
    <x v="0"/>
    <x v="8"/>
    <x v="1"/>
    <x v="0"/>
    <n v="0"/>
    <n v="0"/>
    <n v="0"/>
    <x v="2"/>
  </r>
  <r>
    <x v="1"/>
    <x v="1"/>
    <x v="2"/>
    <x v="1"/>
    <x v="30"/>
    <x v="1"/>
    <x v="0"/>
    <n v="3.48"/>
    <n v="18860.63"/>
    <n v="56227.17"/>
    <x v="2"/>
  </r>
  <r>
    <x v="1"/>
    <x v="1"/>
    <x v="2"/>
    <x v="1"/>
    <x v="9"/>
    <x v="1"/>
    <x v="0"/>
    <n v="0"/>
    <n v="0"/>
    <n v="0"/>
    <x v="2"/>
  </r>
  <r>
    <x v="1"/>
    <x v="1"/>
    <x v="2"/>
    <x v="1"/>
    <x v="31"/>
    <x v="1"/>
    <x v="0"/>
    <n v="3.61"/>
    <n v="19565.189999999999"/>
    <n v="58817.08"/>
    <x v="2"/>
  </r>
  <r>
    <x v="1"/>
    <x v="1"/>
    <x v="2"/>
    <x v="1"/>
    <x v="10"/>
    <x v="1"/>
    <x v="0"/>
    <n v="7.59"/>
    <n v="41135.67"/>
    <n v="121257.74"/>
    <x v="2"/>
  </r>
  <r>
    <x v="1"/>
    <x v="1"/>
    <x v="2"/>
    <x v="1"/>
    <x v="11"/>
    <x v="1"/>
    <x v="0"/>
    <n v="10.35"/>
    <n v="56094.1"/>
    <n v="157630.56"/>
    <x v="2"/>
  </r>
  <r>
    <x v="1"/>
    <x v="1"/>
    <x v="2"/>
    <x v="1"/>
    <x v="12"/>
    <x v="1"/>
    <x v="0"/>
    <n v="0.64"/>
    <n v="3468.62"/>
    <n v="10218.91"/>
    <x v="2"/>
  </r>
  <r>
    <x v="1"/>
    <x v="1"/>
    <x v="2"/>
    <x v="1"/>
    <x v="13"/>
    <x v="1"/>
    <x v="0"/>
    <n v="2.17"/>
    <n v="11760.79"/>
    <n v="34598.33"/>
    <x v="2"/>
  </r>
  <r>
    <x v="1"/>
    <x v="1"/>
    <x v="2"/>
    <x v="1"/>
    <x v="14"/>
    <x v="1"/>
    <x v="0"/>
    <n v="17.41"/>
    <n v="94357.33"/>
    <n v="272633.40999999997"/>
    <x v="2"/>
  </r>
  <r>
    <x v="1"/>
    <x v="1"/>
    <x v="2"/>
    <x v="1"/>
    <x v="15"/>
    <x v="1"/>
    <x v="0"/>
    <n v="1.57"/>
    <n v="8508.9599999999991"/>
    <n v="25439.48"/>
    <x v="2"/>
  </r>
  <r>
    <x v="1"/>
    <x v="1"/>
    <x v="2"/>
    <x v="1"/>
    <x v="16"/>
    <x v="1"/>
    <x v="0"/>
    <n v="6.26"/>
    <n v="33927.449999999997"/>
    <n v="96481.42"/>
    <x v="2"/>
  </r>
  <r>
    <x v="1"/>
    <x v="1"/>
    <x v="2"/>
    <x v="1"/>
    <x v="17"/>
    <x v="1"/>
    <x v="0"/>
    <n v="5.66"/>
    <n v="30675.62"/>
    <n v="88047.039999999994"/>
    <x v="2"/>
  </r>
  <r>
    <x v="1"/>
    <x v="1"/>
    <x v="2"/>
    <x v="1"/>
    <x v="18"/>
    <x v="1"/>
    <x v="0"/>
    <n v="5.0599999999999996"/>
    <n v="27423.78"/>
    <n v="82496.23"/>
    <x v="2"/>
  </r>
  <r>
    <x v="1"/>
    <x v="1"/>
    <x v="2"/>
    <x v="1"/>
    <x v="19"/>
    <x v="1"/>
    <x v="0"/>
    <n v="10.57"/>
    <n v="57286.44"/>
    <n v="166983.4"/>
    <x v="2"/>
  </r>
  <r>
    <x v="1"/>
    <x v="1"/>
    <x v="2"/>
    <x v="1"/>
    <x v="20"/>
    <x v="1"/>
    <x v="0"/>
    <n v="15.16"/>
    <n v="82162.960000000006"/>
    <n v="235538.31"/>
    <x v="2"/>
  </r>
  <r>
    <x v="1"/>
    <x v="1"/>
    <x v="2"/>
    <x v="2"/>
    <x v="21"/>
    <x v="1"/>
    <x v="0"/>
    <n v="0"/>
    <n v="0"/>
    <n v="0"/>
    <x v="2"/>
  </r>
  <r>
    <x v="1"/>
    <x v="1"/>
    <x v="2"/>
    <x v="2"/>
    <x v="22"/>
    <x v="1"/>
    <x v="0"/>
    <n v="9.06"/>
    <n v="49102.66"/>
    <n v="129318.01"/>
    <x v="2"/>
  </r>
  <r>
    <x v="1"/>
    <x v="1"/>
    <x v="2"/>
    <x v="2"/>
    <x v="29"/>
    <x v="1"/>
    <x v="0"/>
    <n v="0"/>
    <n v="0"/>
    <n v="0"/>
    <x v="2"/>
  </r>
  <r>
    <x v="1"/>
    <x v="1"/>
    <x v="2"/>
    <x v="2"/>
    <x v="23"/>
    <x v="1"/>
    <x v="0"/>
    <n v="0"/>
    <n v="0"/>
    <n v="0"/>
    <x v="2"/>
  </r>
  <r>
    <x v="1"/>
    <x v="1"/>
    <x v="2"/>
    <x v="2"/>
    <x v="24"/>
    <x v="1"/>
    <x v="0"/>
    <n v="4.2"/>
    <n v="22762.82"/>
    <n v="60978.55"/>
    <x v="2"/>
  </r>
  <r>
    <x v="1"/>
    <x v="1"/>
    <x v="2"/>
    <x v="3"/>
    <x v="25"/>
    <x v="1"/>
    <x v="0"/>
    <n v="7.48"/>
    <n v="40539.51"/>
    <n v="120067.7"/>
    <x v="2"/>
  </r>
  <r>
    <x v="1"/>
    <x v="1"/>
    <x v="2"/>
    <x v="3"/>
    <x v="26"/>
    <x v="1"/>
    <x v="0"/>
    <n v="2.4700000000000002"/>
    <n v="13386.71"/>
    <n v="39994.519999999997"/>
    <x v="2"/>
  </r>
  <r>
    <x v="1"/>
    <x v="1"/>
    <x v="2"/>
    <x v="3"/>
    <x v="27"/>
    <x v="1"/>
    <x v="0"/>
    <n v="11.18"/>
    <n v="60592.47"/>
    <n v="177357.58"/>
    <x v="2"/>
  </r>
  <r>
    <x v="1"/>
    <x v="1"/>
    <x v="2"/>
    <x v="0"/>
    <x v="0"/>
    <x v="1"/>
    <x v="1"/>
    <n v="12.86"/>
    <n v="69697.600000000006"/>
    <n v="197106.18"/>
    <x v="2"/>
  </r>
  <r>
    <x v="1"/>
    <x v="1"/>
    <x v="2"/>
    <x v="0"/>
    <x v="1"/>
    <x v="1"/>
    <x v="1"/>
    <n v="20.37"/>
    <n v="110399.7"/>
    <n v="306916.18"/>
    <x v="2"/>
  </r>
  <r>
    <x v="1"/>
    <x v="1"/>
    <x v="2"/>
    <x v="0"/>
    <x v="2"/>
    <x v="1"/>
    <x v="1"/>
    <n v="17.02"/>
    <n v="92243.63"/>
    <n v="247655.56"/>
    <x v="2"/>
  </r>
  <r>
    <x v="1"/>
    <x v="1"/>
    <x v="2"/>
    <x v="0"/>
    <x v="3"/>
    <x v="1"/>
    <x v="1"/>
    <n v="37.6"/>
    <n v="203781.47"/>
    <n v="569248.85"/>
    <x v="2"/>
  </r>
  <r>
    <x v="1"/>
    <x v="1"/>
    <x v="2"/>
    <x v="0"/>
    <x v="28"/>
    <x v="1"/>
    <x v="1"/>
    <n v="5.0199999999999996"/>
    <n v="27206.99"/>
    <n v="76948.759999999995"/>
    <x v="2"/>
  </r>
  <r>
    <x v="1"/>
    <x v="1"/>
    <x v="2"/>
    <x v="0"/>
    <x v="4"/>
    <x v="1"/>
    <x v="1"/>
    <n v="6.39"/>
    <n v="34632.01"/>
    <n v="95780.62"/>
    <x v="2"/>
  </r>
  <r>
    <x v="1"/>
    <x v="1"/>
    <x v="2"/>
    <x v="0"/>
    <x v="5"/>
    <x v="1"/>
    <x v="1"/>
    <n v="18.850000000000001"/>
    <n v="102161.72"/>
    <n v="291159.13"/>
    <x v="2"/>
  </r>
  <r>
    <x v="1"/>
    <x v="1"/>
    <x v="2"/>
    <x v="0"/>
    <x v="6"/>
    <x v="1"/>
    <x v="1"/>
    <n v="2.84"/>
    <n v="15392"/>
    <n v="43799.01"/>
    <x v="2"/>
  </r>
  <r>
    <x v="1"/>
    <x v="1"/>
    <x v="2"/>
    <x v="0"/>
    <x v="7"/>
    <x v="1"/>
    <x v="1"/>
    <n v="4.46"/>
    <n v="24171.95"/>
    <n v="69830.86"/>
    <x v="2"/>
  </r>
  <r>
    <x v="1"/>
    <x v="1"/>
    <x v="2"/>
    <x v="0"/>
    <x v="8"/>
    <x v="1"/>
    <x v="1"/>
    <n v="4.29"/>
    <n v="23250.6"/>
    <n v="64108.02"/>
    <x v="2"/>
  </r>
  <r>
    <x v="1"/>
    <x v="1"/>
    <x v="2"/>
    <x v="1"/>
    <x v="30"/>
    <x v="1"/>
    <x v="1"/>
    <n v="0"/>
    <n v="0"/>
    <n v="0"/>
    <x v="2"/>
  </r>
  <r>
    <x v="1"/>
    <x v="1"/>
    <x v="2"/>
    <x v="1"/>
    <x v="9"/>
    <x v="1"/>
    <x v="1"/>
    <n v="2.56"/>
    <n v="13874.48"/>
    <n v="41288.720000000001"/>
    <x v="2"/>
  </r>
  <r>
    <x v="1"/>
    <x v="1"/>
    <x v="2"/>
    <x v="1"/>
    <x v="31"/>
    <x v="1"/>
    <x v="1"/>
    <n v="0"/>
    <n v="0"/>
    <n v="0"/>
    <x v="2"/>
  </r>
  <r>
    <x v="1"/>
    <x v="1"/>
    <x v="2"/>
    <x v="1"/>
    <x v="10"/>
    <x v="1"/>
    <x v="1"/>
    <n v="34.1"/>
    <n v="184812.45"/>
    <n v="544993.59"/>
    <x v="2"/>
  </r>
  <r>
    <x v="1"/>
    <x v="1"/>
    <x v="2"/>
    <x v="1"/>
    <x v="11"/>
    <x v="1"/>
    <x v="1"/>
    <n v="30.39"/>
    <n v="164705.29"/>
    <n v="462962.19"/>
    <x v="2"/>
  </r>
  <r>
    <x v="1"/>
    <x v="1"/>
    <x v="2"/>
    <x v="1"/>
    <x v="12"/>
    <x v="1"/>
    <x v="1"/>
    <n v="3.03"/>
    <n v="16421.75"/>
    <n v="48539.839999999997"/>
    <x v="2"/>
  </r>
  <r>
    <x v="1"/>
    <x v="1"/>
    <x v="2"/>
    <x v="1"/>
    <x v="13"/>
    <x v="1"/>
    <x v="1"/>
    <n v="14.09"/>
    <n v="76363.850000000006"/>
    <n v="224889.15"/>
    <x v="2"/>
  </r>
  <r>
    <x v="1"/>
    <x v="1"/>
    <x v="2"/>
    <x v="1"/>
    <x v="14"/>
    <x v="1"/>
    <x v="1"/>
    <n v="11.18"/>
    <n v="60592.47"/>
    <n v="174951.92"/>
    <x v="2"/>
  </r>
  <r>
    <x v="1"/>
    <x v="1"/>
    <x v="2"/>
    <x v="1"/>
    <x v="15"/>
    <x v="1"/>
    <x v="1"/>
    <n v="1.66"/>
    <n v="8996.74"/>
    <n v="26935.91"/>
    <x v="2"/>
  </r>
  <r>
    <x v="1"/>
    <x v="1"/>
    <x v="2"/>
    <x v="1"/>
    <x v="16"/>
    <x v="1"/>
    <x v="1"/>
    <n v="10.64"/>
    <n v="57665.82"/>
    <n v="164143.71"/>
    <x v="2"/>
  </r>
  <r>
    <x v="1"/>
    <x v="1"/>
    <x v="2"/>
    <x v="1"/>
    <x v="17"/>
    <x v="1"/>
    <x v="1"/>
    <n v="3.03"/>
    <n v="16421.75"/>
    <n v="47200.47"/>
    <x v="2"/>
  </r>
  <r>
    <x v="1"/>
    <x v="1"/>
    <x v="2"/>
    <x v="1"/>
    <x v="18"/>
    <x v="1"/>
    <x v="1"/>
    <n v="21.54"/>
    <n v="116740.77"/>
    <n v="350835.62"/>
    <x v="2"/>
  </r>
  <r>
    <x v="1"/>
    <x v="1"/>
    <x v="2"/>
    <x v="1"/>
    <x v="19"/>
    <x v="1"/>
    <x v="1"/>
    <n v="16.14"/>
    <n v="87474.28"/>
    <n v="255005.65"/>
    <x v="2"/>
  </r>
  <r>
    <x v="1"/>
    <x v="1"/>
    <x v="2"/>
    <x v="1"/>
    <x v="20"/>
    <x v="1"/>
    <x v="1"/>
    <n v="29.25"/>
    <n v="158526.81"/>
    <n v="454525.29"/>
    <x v="2"/>
  </r>
  <r>
    <x v="1"/>
    <x v="1"/>
    <x v="2"/>
    <x v="2"/>
    <x v="21"/>
    <x v="1"/>
    <x v="1"/>
    <n v="3.02"/>
    <n v="16367.55"/>
    <n v="43108.29"/>
    <x v="2"/>
  </r>
  <r>
    <x v="1"/>
    <x v="1"/>
    <x v="2"/>
    <x v="2"/>
    <x v="22"/>
    <x v="1"/>
    <x v="1"/>
    <n v="19.46"/>
    <n v="105467.75"/>
    <n v="277752.59000000003"/>
    <x v="2"/>
  </r>
  <r>
    <x v="1"/>
    <x v="1"/>
    <x v="2"/>
    <x v="2"/>
    <x v="29"/>
    <x v="1"/>
    <x v="1"/>
    <n v="3.34"/>
    <n v="18101.86"/>
    <n v="50579.839999999997"/>
    <x v="2"/>
  </r>
  <r>
    <x v="1"/>
    <x v="1"/>
    <x v="2"/>
    <x v="2"/>
    <x v="23"/>
    <x v="1"/>
    <x v="1"/>
    <n v="2.17"/>
    <n v="11760.79"/>
    <n v="32214.1"/>
    <x v="2"/>
  </r>
  <r>
    <x v="1"/>
    <x v="1"/>
    <x v="2"/>
    <x v="2"/>
    <x v="24"/>
    <x v="1"/>
    <x v="1"/>
    <n v="2.94"/>
    <n v="15933.98"/>
    <n v="42684.99"/>
    <x v="2"/>
  </r>
  <r>
    <x v="1"/>
    <x v="1"/>
    <x v="2"/>
    <x v="3"/>
    <x v="25"/>
    <x v="1"/>
    <x v="1"/>
    <n v="10.11"/>
    <n v="54793.37"/>
    <n v="162289.31"/>
    <x v="2"/>
  </r>
  <r>
    <x v="1"/>
    <x v="1"/>
    <x v="2"/>
    <x v="3"/>
    <x v="26"/>
    <x v="1"/>
    <x v="1"/>
    <n v="23.67"/>
    <n v="128284.77"/>
    <n v="382804.73"/>
    <x v="2"/>
  </r>
  <r>
    <x v="1"/>
    <x v="1"/>
    <x v="2"/>
    <x v="3"/>
    <x v="27"/>
    <x v="1"/>
    <x v="1"/>
    <n v="31.12"/>
    <n v="168661.69"/>
    <n v="493754.76"/>
    <x v="2"/>
  </r>
  <r>
    <x v="1"/>
    <x v="1"/>
    <x v="3"/>
    <x v="0"/>
    <x v="0"/>
    <x v="0"/>
    <x v="0"/>
    <n v="1.87"/>
    <n v="11264.51"/>
    <n v="51302.09"/>
    <x v="2"/>
  </r>
  <r>
    <x v="1"/>
    <x v="1"/>
    <x v="3"/>
    <x v="0"/>
    <x v="1"/>
    <x v="0"/>
    <x v="0"/>
    <n v="4.5199999999999996"/>
    <n v="27227.58"/>
    <n v="124312.42"/>
    <x v="2"/>
  </r>
  <r>
    <x v="1"/>
    <x v="1"/>
    <x v="3"/>
    <x v="0"/>
    <x v="2"/>
    <x v="0"/>
    <x v="0"/>
    <n v="0"/>
    <n v="0"/>
    <n v="0"/>
    <x v="2"/>
  </r>
  <r>
    <x v="1"/>
    <x v="1"/>
    <x v="3"/>
    <x v="0"/>
    <x v="3"/>
    <x v="0"/>
    <x v="0"/>
    <n v="1.89"/>
    <n v="11384.98"/>
    <n v="52077.05"/>
    <x v="2"/>
  </r>
  <r>
    <x v="1"/>
    <x v="1"/>
    <x v="3"/>
    <x v="0"/>
    <x v="4"/>
    <x v="0"/>
    <x v="0"/>
    <n v="0"/>
    <n v="0"/>
    <n v="0"/>
    <x v="2"/>
  </r>
  <r>
    <x v="1"/>
    <x v="1"/>
    <x v="3"/>
    <x v="0"/>
    <x v="5"/>
    <x v="0"/>
    <x v="0"/>
    <n v="0"/>
    <n v="0"/>
    <n v="0"/>
    <x v="2"/>
  </r>
  <r>
    <x v="1"/>
    <x v="1"/>
    <x v="3"/>
    <x v="0"/>
    <x v="6"/>
    <x v="0"/>
    <x v="0"/>
    <n v="0"/>
    <n v="0"/>
    <n v="0"/>
    <x v="2"/>
  </r>
  <r>
    <x v="1"/>
    <x v="1"/>
    <x v="3"/>
    <x v="0"/>
    <x v="8"/>
    <x v="0"/>
    <x v="0"/>
    <n v="0"/>
    <n v="0"/>
    <n v="0"/>
    <x v="2"/>
  </r>
  <r>
    <x v="1"/>
    <x v="1"/>
    <x v="3"/>
    <x v="1"/>
    <x v="10"/>
    <x v="0"/>
    <x v="0"/>
    <n v="2.78"/>
    <n v="16746.16"/>
    <n v="76290.97"/>
    <x v="2"/>
  </r>
  <r>
    <x v="1"/>
    <x v="1"/>
    <x v="3"/>
    <x v="1"/>
    <x v="11"/>
    <x v="0"/>
    <x v="0"/>
    <n v="0"/>
    <n v="0"/>
    <n v="0"/>
    <x v="2"/>
  </r>
  <r>
    <x v="1"/>
    <x v="1"/>
    <x v="3"/>
    <x v="1"/>
    <x v="13"/>
    <x v="0"/>
    <x v="0"/>
    <n v="0"/>
    <n v="0"/>
    <n v="0"/>
    <x v="2"/>
  </r>
  <r>
    <x v="1"/>
    <x v="1"/>
    <x v="3"/>
    <x v="1"/>
    <x v="14"/>
    <x v="0"/>
    <x v="0"/>
    <n v="0"/>
    <n v="0"/>
    <n v="0"/>
    <x v="2"/>
  </r>
  <r>
    <x v="1"/>
    <x v="1"/>
    <x v="3"/>
    <x v="1"/>
    <x v="16"/>
    <x v="0"/>
    <x v="0"/>
    <n v="0"/>
    <n v="0"/>
    <n v="0"/>
    <x v="2"/>
  </r>
  <r>
    <x v="1"/>
    <x v="1"/>
    <x v="3"/>
    <x v="1"/>
    <x v="17"/>
    <x v="0"/>
    <x v="0"/>
    <n v="0"/>
    <n v="0"/>
    <n v="0"/>
    <x v="2"/>
  </r>
  <r>
    <x v="1"/>
    <x v="1"/>
    <x v="3"/>
    <x v="1"/>
    <x v="18"/>
    <x v="0"/>
    <x v="0"/>
    <n v="0"/>
    <n v="0"/>
    <n v="0"/>
    <x v="2"/>
  </r>
  <r>
    <x v="1"/>
    <x v="1"/>
    <x v="3"/>
    <x v="1"/>
    <x v="19"/>
    <x v="0"/>
    <x v="0"/>
    <n v="0"/>
    <n v="0"/>
    <n v="0"/>
    <x v="2"/>
  </r>
  <r>
    <x v="1"/>
    <x v="1"/>
    <x v="3"/>
    <x v="1"/>
    <x v="20"/>
    <x v="0"/>
    <x v="0"/>
    <n v="2.2799999999999998"/>
    <n v="13734.26"/>
    <n v="62717.81"/>
    <x v="2"/>
  </r>
  <r>
    <x v="1"/>
    <x v="1"/>
    <x v="3"/>
    <x v="2"/>
    <x v="21"/>
    <x v="0"/>
    <x v="0"/>
    <n v="2.87"/>
    <n v="17288.310000000001"/>
    <n v="78984.850000000006"/>
    <x v="2"/>
  </r>
  <r>
    <x v="1"/>
    <x v="1"/>
    <x v="3"/>
    <x v="2"/>
    <x v="22"/>
    <x v="0"/>
    <x v="0"/>
    <n v="0"/>
    <n v="0"/>
    <n v="0"/>
    <x v="2"/>
  </r>
  <r>
    <x v="1"/>
    <x v="1"/>
    <x v="3"/>
    <x v="2"/>
    <x v="29"/>
    <x v="0"/>
    <x v="0"/>
    <n v="0"/>
    <n v="0"/>
    <n v="0"/>
    <x v="2"/>
  </r>
  <r>
    <x v="1"/>
    <x v="1"/>
    <x v="3"/>
    <x v="2"/>
    <x v="24"/>
    <x v="0"/>
    <x v="0"/>
    <n v="0"/>
    <n v="0"/>
    <n v="0"/>
    <x v="2"/>
  </r>
  <r>
    <x v="1"/>
    <x v="1"/>
    <x v="3"/>
    <x v="3"/>
    <x v="25"/>
    <x v="0"/>
    <x v="0"/>
    <n v="0"/>
    <n v="0"/>
    <n v="0"/>
    <x v="2"/>
  </r>
  <r>
    <x v="1"/>
    <x v="1"/>
    <x v="3"/>
    <x v="3"/>
    <x v="26"/>
    <x v="0"/>
    <x v="0"/>
    <n v="2.75"/>
    <n v="16565.45"/>
    <n v="75670.62"/>
    <x v="2"/>
  </r>
  <r>
    <x v="1"/>
    <x v="1"/>
    <x v="3"/>
    <x v="3"/>
    <x v="27"/>
    <x v="0"/>
    <x v="0"/>
    <n v="1.69"/>
    <n v="10180.219999999999"/>
    <n v="46339.94"/>
    <x v="2"/>
  </r>
  <r>
    <x v="1"/>
    <x v="1"/>
    <x v="3"/>
    <x v="0"/>
    <x v="0"/>
    <x v="0"/>
    <x v="1"/>
    <n v="2.0299999999999998"/>
    <n v="12228.31"/>
    <n v="55763.14"/>
    <x v="2"/>
  </r>
  <r>
    <x v="1"/>
    <x v="1"/>
    <x v="3"/>
    <x v="0"/>
    <x v="1"/>
    <x v="0"/>
    <x v="1"/>
    <n v="6.71"/>
    <n v="40419.699999999997"/>
    <n v="184285.15"/>
    <x v="2"/>
  </r>
  <r>
    <x v="1"/>
    <x v="1"/>
    <x v="3"/>
    <x v="0"/>
    <x v="2"/>
    <x v="0"/>
    <x v="1"/>
    <n v="5.84"/>
    <n v="35178.99"/>
    <n v="160584.28"/>
    <x v="2"/>
  </r>
  <r>
    <x v="1"/>
    <x v="1"/>
    <x v="3"/>
    <x v="0"/>
    <x v="3"/>
    <x v="0"/>
    <x v="1"/>
    <n v="8.44"/>
    <n v="50840.87"/>
    <n v="231979.6"/>
    <x v="2"/>
  </r>
  <r>
    <x v="1"/>
    <x v="1"/>
    <x v="3"/>
    <x v="0"/>
    <x v="4"/>
    <x v="0"/>
    <x v="1"/>
    <n v="1.8"/>
    <n v="10842.84"/>
    <n v="49435.62"/>
    <x v="2"/>
  </r>
  <r>
    <x v="1"/>
    <x v="1"/>
    <x v="3"/>
    <x v="0"/>
    <x v="5"/>
    <x v="0"/>
    <x v="1"/>
    <n v="4.63"/>
    <n v="27890.19"/>
    <n v="127305.91"/>
    <x v="2"/>
  </r>
  <r>
    <x v="1"/>
    <x v="1"/>
    <x v="3"/>
    <x v="0"/>
    <x v="6"/>
    <x v="0"/>
    <x v="1"/>
    <n v="2.2799999999999998"/>
    <n v="13734.26"/>
    <n v="62749.4"/>
    <x v="2"/>
  </r>
  <r>
    <x v="1"/>
    <x v="1"/>
    <x v="3"/>
    <x v="0"/>
    <x v="8"/>
    <x v="0"/>
    <x v="1"/>
    <n v="2.98"/>
    <n v="17950.919999999998"/>
    <n v="82036.31"/>
    <x v="2"/>
  </r>
  <r>
    <x v="1"/>
    <x v="1"/>
    <x v="3"/>
    <x v="1"/>
    <x v="10"/>
    <x v="0"/>
    <x v="1"/>
    <n v="6.87"/>
    <n v="41383.51"/>
    <n v="188910.97"/>
    <x v="2"/>
  </r>
  <r>
    <x v="1"/>
    <x v="1"/>
    <x v="3"/>
    <x v="1"/>
    <x v="11"/>
    <x v="0"/>
    <x v="1"/>
    <n v="13.14"/>
    <n v="79152.73"/>
    <n v="361120.49"/>
    <x v="2"/>
  </r>
  <r>
    <x v="1"/>
    <x v="1"/>
    <x v="3"/>
    <x v="1"/>
    <x v="13"/>
    <x v="0"/>
    <x v="1"/>
    <n v="5.33"/>
    <n v="32106.85"/>
    <n v="146603.47"/>
    <x v="2"/>
  </r>
  <r>
    <x v="1"/>
    <x v="1"/>
    <x v="3"/>
    <x v="1"/>
    <x v="14"/>
    <x v="0"/>
    <x v="1"/>
    <n v="1.89"/>
    <n v="11384.98"/>
    <n v="51816.22"/>
    <x v="2"/>
  </r>
  <r>
    <x v="1"/>
    <x v="1"/>
    <x v="3"/>
    <x v="1"/>
    <x v="16"/>
    <x v="0"/>
    <x v="1"/>
    <n v="2.2799999999999998"/>
    <n v="13734.26"/>
    <n v="62526.22"/>
    <x v="2"/>
  </r>
  <r>
    <x v="1"/>
    <x v="1"/>
    <x v="3"/>
    <x v="1"/>
    <x v="17"/>
    <x v="0"/>
    <x v="1"/>
    <n v="1.77"/>
    <n v="10662.13"/>
    <n v="48517.16"/>
    <x v="2"/>
  </r>
  <r>
    <x v="1"/>
    <x v="1"/>
    <x v="3"/>
    <x v="1"/>
    <x v="18"/>
    <x v="0"/>
    <x v="1"/>
    <n v="15.4"/>
    <n v="92766.52"/>
    <n v="423261.28"/>
    <x v="2"/>
  </r>
  <r>
    <x v="1"/>
    <x v="1"/>
    <x v="3"/>
    <x v="1"/>
    <x v="19"/>
    <x v="0"/>
    <x v="1"/>
    <n v="3.89"/>
    <n v="23432.58"/>
    <n v="106819.55"/>
    <x v="2"/>
  </r>
  <r>
    <x v="1"/>
    <x v="1"/>
    <x v="3"/>
    <x v="1"/>
    <x v="20"/>
    <x v="0"/>
    <x v="1"/>
    <n v="11.94"/>
    <n v="71924.17"/>
    <n v="328062.38"/>
    <x v="2"/>
  </r>
  <r>
    <x v="1"/>
    <x v="1"/>
    <x v="3"/>
    <x v="2"/>
    <x v="21"/>
    <x v="0"/>
    <x v="1"/>
    <n v="0"/>
    <n v="0"/>
    <n v="0"/>
    <x v="2"/>
  </r>
  <r>
    <x v="1"/>
    <x v="1"/>
    <x v="3"/>
    <x v="2"/>
    <x v="22"/>
    <x v="0"/>
    <x v="1"/>
    <n v="5.39"/>
    <n v="32468.28"/>
    <n v="148199.93"/>
    <x v="2"/>
  </r>
  <r>
    <x v="1"/>
    <x v="1"/>
    <x v="3"/>
    <x v="2"/>
    <x v="29"/>
    <x v="0"/>
    <x v="1"/>
    <n v="2.96"/>
    <n v="17830.45"/>
    <n v="81373.320000000007"/>
    <x v="2"/>
  </r>
  <r>
    <x v="1"/>
    <x v="1"/>
    <x v="3"/>
    <x v="2"/>
    <x v="24"/>
    <x v="0"/>
    <x v="1"/>
    <n v="1.48"/>
    <n v="8915.2199999999993"/>
    <n v="40686.83"/>
    <x v="2"/>
  </r>
  <r>
    <x v="1"/>
    <x v="1"/>
    <x v="3"/>
    <x v="3"/>
    <x v="25"/>
    <x v="0"/>
    <x v="1"/>
    <n v="2.56"/>
    <n v="15420.93"/>
    <n v="70320.7"/>
    <x v="2"/>
  </r>
  <r>
    <x v="1"/>
    <x v="1"/>
    <x v="3"/>
    <x v="3"/>
    <x v="26"/>
    <x v="0"/>
    <x v="1"/>
    <n v="2.67"/>
    <n v="16083.55"/>
    <n v="73377.570000000007"/>
    <x v="2"/>
  </r>
  <r>
    <x v="1"/>
    <x v="1"/>
    <x v="3"/>
    <x v="3"/>
    <x v="27"/>
    <x v="0"/>
    <x v="1"/>
    <n v="7.24"/>
    <n v="43612.31"/>
    <n v="198875.59"/>
    <x v="2"/>
  </r>
  <r>
    <x v="1"/>
    <x v="1"/>
    <x v="3"/>
    <x v="0"/>
    <x v="0"/>
    <x v="1"/>
    <x v="0"/>
    <n v="4.32"/>
    <n v="26022.82"/>
    <n v="77601.070000000007"/>
    <x v="2"/>
  </r>
  <r>
    <x v="1"/>
    <x v="1"/>
    <x v="3"/>
    <x v="0"/>
    <x v="1"/>
    <x v="1"/>
    <x v="0"/>
    <n v="12.77"/>
    <n v="76923.929999999993"/>
    <n v="225598.62"/>
    <x v="2"/>
  </r>
  <r>
    <x v="1"/>
    <x v="1"/>
    <x v="3"/>
    <x v="0"/>
    <x v="2"/>
    <x v="1"/>
    <x v="0"/>
    <n v="4.4800000000000004"/>
    <n v="26986.62"/>
    <n v="76499.64"/>
    <x v="2"/>
  </r>
  <r>
    <x v="1"/>
    <x v="1"/>
    <x v="3"/>
    <x v="0"/>
    <x v="3"/>
    <x v="1"/>
    <x v="0"/>
    <n v="8.99"/>
    <n v="54153.96"/>
    <n v="159577.04999999999"/>
    <x v="2"/>
  </r>
  <r>
    <x v="1"/>
    <x v="1"/>
    <x v="3"/>
    <x v="0"/>
    <x v="28"/>
    <x v="1"/>
    <x v="0"/>
    <n v="0"/>
    <n v="0"/>
    <n v="0"/>
    <x v="2"/>
  </r>
  <r>
    <x v="1"/>
    <x v="1"/>
    <x v="3"/>
    <x v="0"/>
    <x v="4"/>
    <x v="1"/>
    <x v="0"/>
    <n v="6.36"/>
    <n v="38311.370000000003"/>
    <n v="111954.36"/>
    <x v="2"/>
  </r>
  <r>
    <x v="1"/>
    <x v="1"/>
    <x v="3"/>
    <x v="0"/>
    <x v="5"/>
    <x v="1"/>
    <x v="0"/>
    <n v="2.98"/>
    <n v="17950.919999999998"/>
    <n v="53921.3"/>
    <x v="2"/>
  </r>
  <r>
    <x v="1"/>
    <x v="1"/>
    <x v="3"/>
    <x v="0"/>
    <x v="6"/>
    <x v="1"/>
    <x v="0"/>
    <n v="0"/>
    <n v="0"/>
    <n v="0"/>
    <x v="2"/>
  </r>
  <r>
    <x v="1"/>
    <x v="1"/>
    <x v="3"/>
    <x v="0"/>
    <x v="7"/>
    <x v="1"/>
    <x v="0"/>
    <n v="0"/>
    <n v="0"/>
    <n v="0"/>
    <x v="2"/>
  </r>
  <r>
    <x v="1"/>
    <x v="1"/>
    <x v="3"/>
    <x v="0"/>
    <x v="8"/>
    <x v="1"/>
    <x v="0"/>
    <n v="0"/>
    <n v="0"/>
    <n v="0"/>
    <x v="2"/>
  </r>
  <r>
    <x v="1"/>
    <x v="1"/>
    <x v="3"/>
    <x v="1"/>
    <x v="30"/>
    <x v="1"/>
    <x v="0"/>
    <n v="2.73"/>
    <n v="16444.97"/>
    <n v="51661.63"/>
    <x v="2"/>
  </r>
  <r>
    <x v="1"/>
    <x v="1"/>
    <x v="3"/>
    <x v="1"/>
    <x v="9"/>
    <x v="1"/>
    <x v="0"/>
    <n v="0"/>
    <n v="0"/>
    <n v="0"/>
    <x v="2"/>
  </r>
  <r>
    <x v="1"/>
    <x v="1"/>
    <x v="3"/>
    <x v="1"/>
    <x v="31"/>
    <x v="1"/>
    <x v="0"/>
    <n v="2.13"/>
    <n v="12830.69"/>
    <n v="40698.160000000003"/>
    <x v="2"/>
  </r>
  <r>
    <x v="1"/>
    <x v="1"/>
    <x v="3"/>
    <x v="1"/>
    <x v="10"/>
    <x v="1"/>
    <x v="0"/>
    <n v="10.67"/>
    <n v="64273.95"/>
    <n v="199981.54"/>
    <x v="2"/>
  </r>
  <r>
    <x v="1"/>
    <x v="1"/>
    <x v="3"/>
    <x v="1"/>
    <x v="11"/>
    <x v="1"/>
    <x v="0"/>
    <n v="8.02"/>
    <n v="48310.879999999997"/>
    <n v="143288.21"/>
    <x v="2"/>
  </r>
  <r>
    <x v="1"/>
    <x v="1"/>
    <x v="3"/>
    <x v="1"/>
    <x v="12"/>
    <x v="1"/>
    <x v="0"/>
    <n v="1.51"/>
    <n v="9095.94"/>
    <n v="28355.84"/>
    <x v="2"/>
  </r>
  <r>
    <x v="1"/>
    <x v="1"/>
    <x v="3"/>
    <x v="1"/>
    <x v="13"/>
    <x v="1"/>
    <x v="0"/>
    <n v="2.15"/>
    <n v="12951.17"/>
    <n v="40254.9"/>
    <x v="2"/>
  </r>
  <r>
    <x v="1"/>
    <x v="1"/>
    <x v="3"/>
    <x v="1"/>
    <x v="14"/>
    <x v="1"/>
    <x v="0"/>
    <n v="10.93"/>
    <n v="65840.13"/>
    <n v="200649.96"/>
    <x v="2"/>
  </r>
  <r>
    <x v="1"/>
    <x v="1"/>
    <x v="3"/>
    <x v="1"/>
    <x v="15"/>
    <x v="1"/>
    <x v="0"/>
    <n v="1.95"/>
    <n v="11746.41"/>
    <n v="37117.29"/>
    <x v="2"/>
  </r>
  <r>
    <x v="1"/>
    <x v="1"/>
    <x v="3"/>
    <x v="1"/>
    <x v="16"/>
    <x v="1"/>
    <x v="0"/>
    <n v="6.2"/>
    <n v="37347.56"/>
    <n v="112205.83"/>
    <x v="2"/>
  </r>
  <r>
    <x v="1"/>
    <x v="1"/>
    <x v="3"/>
    <x v="1"/>
    <x v="17"/>
    <x v="1"/>
    <x v="0"/>
    <n v="6.66"/>
    <n v="40118.51"/>
    <n v="121593.98"/>
    <x v="2"/>
  </r>
  <r>
    <x v="1"/>
    <x v="1"/>
    <x v="3"/>
    <x v="1"/>
    <x v="18"/>
    <x v="1"/>
    <x v="0"/>
    <n v="3.94"/>
    <n v="23733.77"/>
    <n v="75280.789999999994"/>
    <x v="2"/>
  </r>
  <r>
    <x v="1"/>
    <x v="1"/>
    <x v="3"/>
    <x v="1"/>
    <x v="19"/>
    <x v="1"/>
    <x v="0"/>
    <n v="10.56"/>
    <n v="63611.33"/>
    <n v="195670.54"/>
    <x v="2"/>
  </r>
  <r>
    <x v="1"/>
    <x v="1"/>
    <x v="3"/>
    <x v="1"/>
    <x v="20"/>
    <x v="1"/>
    <x v="0"/>
    <n v="13.36"/>
    <n v="80477.97"/>
    <n v="243414.54"/>
    <x v="2"/>
  </r>
  <r>
    <x v="1"/>
    <x v="1"/>
    <x v="3"/>
    <x v="2"/>
    <x v="21"/>
    <x v="1"/>
    <x v="0"/>
    <n v="0"/>
    <n v="0"/>
    <n v="0"/>
    <x v="2"/>
  </r>
  <r>
    <x v="1"/>
    <x v="1"/>
    <x v="3"/>
    <x v="2"/>
    <x v="22"/>
    <x v="1"/>
    <x v="0"/>
    <n v="6.46"/>
    <n v="38913.75"/>
    <n v="108198.02"/>
    <x v="2"/>
  </r>
  <r>
    <x v="1"/>
    <x v="1"/>
    <x v="3"/>
    <x v="2"/>
    <x v="29"/>
    <x v="1"/>
    <x v="0"/>
    <n v="0"/>
    <n v="0"/>
    <n v="0"/>
    <x v="2"/>
  </r>
  <r>
    <x v="1"/>
    <x v="1"/>
    <x v="3"/>
    <x v="2"/>
    <x v="23"/>
    <x v="1"/>
    <x v="0"/>
    <n v="0"/>
    <n v="0"/>
    <n v="0"/>
    <x v="2"/>
  </r>
  <r>
    <x v="1"/>
    <x v="1"/>
    <x v="3"/>
    <x v="2"/>
    <x v="24"/>
    <x v="1"/>
    <x v="0"/>
    <n v="2.52"/>
    <n v="15179.98"/>
    <n v="42891.62"/>
    <x v="2"/>
  </r>
  <r>
    <x v="1"/>
    <x v="1"/>
    <x v="3"/>
    <x v="3"/>
    <x v="25"/>
    <x v="1"/>
    <x v="0"/>
    <n v="7.57"/>
    <n v="45600.17"/>
    <n v="142462.97"/>
    <x v="2"/>
  </r>
  <r>
    <x v="1"/>
    <x v="1"/>
    <x v="3"/>
    <x v="3"/>
    <x v="26"/>
    <x v="1"/>
    <x v="0"/>
    <n v="5.39"/>
    <n v="32468.28"/>
    <n v="102258.43"/>
    <x v="2"/>
  </r>
  <r>
    <x v="1"/>
    <x v="1"/>
    <x v="3"/>
    <x v="3"/>
    <x v="27"/>
    <x v="1"/>
    <x v="0"/>
    <n v="15.14"/>
    <n v="91200.33"/>
    <n v="281790.31"/>
    <x v="2"/>
  </r>
  <r>
    <x v="1"/>
    <x v="1"/>
    <x v="3"/>
    <x v="0"/>
    <x v="0"/>
    <x v="1"/>
    <x v="1"/>
    <n v="10.83"/>
    <n v="65237.75"/>
    <n v="194734.75"/>
    <x v="2"/>
  </r>
  <r>
    <x v="1"/>
    <x v="1"/>
    <x v="3"/>
    <x v="0"/>
    <x v="1"/>
    <x v="1"/>
    <x v="1"/>
    <n v="16.670000000000002"/>
    <n v="100416.75"/>
    <n v="294571.45"/>
    <x v="2"/>
  </r>
  <r>
    <x v="1"/>
    <x v="1"/>
    <x v="3"/>
    <x v="0"/>
    <x v="2"/>
    <x v="1"/>
    <x v="1"/>
    <n v="16.71"/>
    <n v="100657.7"/>
    <n v="285135.02"/>
    <x v="2"/>
  </r>
  <r>
    <x v="1"/>
    <x v="1"/>
    <x v="3"/>
    <x v="0"/>
    <x v="3"/>
    <x v="1"/>
    <x v="1"/>
    <n v="21.65"/>
    <n v="130415.27"/>
    <n v="384382.68"/>
    <x v="2"/>
  </r>
  <r>
    <x v="1"/>
    <x v="1"/>
    <x v="3"/>
    <x v="0"/>
    <x v="28"/>
    <x v="1"/>
    <x v="1"/>
    <n v="2.77"/>
    <n v="16685.93"/>
    <n v="49869.99"/>
    <x v="2"/>
  </r>
  <r>
    <x v="1"/>
    <x v="1"/>
    <x v="3"/>
    <x v="0"/>
    <x v="4"/>
    <x v="1"/>
    <x v="1"/>
    <n v="9.59"/>
    <n v="57768.24"/>
    <n v="168640.11"/>
    <x v="2"/>
  </r>
  <r>
    <x v="1"/>
    <x v="1"/>
    <x v="3"/>
    <x v="0"/>
    <x v="5"/>
    <x v="1"/>
    <x v="1"/>
    <n v="24.5"/>
    <n v="147583.1"/>
    <n v="443695.3"/>
    <x v="2"/>
  </r>
  <r>
    <x v="1"/>
    <x v="1"/>
    <x v="3"/>
    <x v="0"/>
    <x v="6"/>
    <x v="1"/>
    <x v="1"/>
    <n v="1.31"/>
    <n v="7891.18"/>
    <n v="23672.29"/>
    <x v="2"/>
  </r>
  <r>
    <x v="1"/>
    <x v="1"/>
    <x v="3"/>
    <x v="0"/>
    <x v="7"/>
    <x v="1"/>
    <x v="1"/>
    <n v="4.3099999999999996"/>
    <n v="25962.58"/>
    <n v="79109.95"/>
    <x v="2"/>
  </r>
  <r>
    <x v="1"/>
    <x v="1"/>
    <x v="3"/>
    <x v="0"/>
    <x v="8"/>
    <x v="1"/>
    <x v="1"/>
    <n v="3.39"/>
    <n v="20420.68"/>
    <n v="59327.92"/>
    <x v="2"/>
  </r>
  <r>
    <x v="1"/>
    <x v="1"/>
    <x v="3"/>
    <x v="1"/>
    <x v="30"/>
    <x v="1"/>
    <x v="1"/>
    <n v="0"/>
    <n v="0"/>
    <n v="0"/>
    <x v="2"/>
  </r>
  <r>
    <x v="1"/>
    <x v="1"/>
    <x v="3"/>
    <x v="1"/>
    <x v="9"/>
    <x v="1"/>
    <x v="1"/>
    <n v="4.45"/>
    <n v="26805.91"/>
    <n v="84218.33"/>
    <x v="2"/>
  </r>
  <r>
    <x v="1"/>
    <x v="1"/>
    <x v="3"/>
    <x v="1"/>
    <x v="31"/>
    <x v="1"/>
    <x v="1"/>
    <n v="0"/>
    <n v="0"/>
    <n v="0"/>
    <x v="2"/>
  </r>
  <r>
    <x v="1"/>
    <x v="1"/>
    <x v="3"/>
    <x v="1"/>
    <x v="10"/>
    <x v="1"/>
    <x v="1"/>
    <n v="28.99"/>
    <n v="174629.96"/>
    <n v="543461.29"/>
    <x v="2"/>
  </r>
  <r>
    <x v="1"/>
    <x v="1"/>
    <x v="3"/>
    <x v="1"/>
    <x v="11"/>
    <x v="1"/>
    <x v="1"/>
    <n v="28.81"/>
    <n v="173545.68"/>
    <n v="514667.87"/>
    <x v="2"/>
  </r>
  <r>
    <x v="1"/>
    <x v="1"/>
    <x v="3"/>
    <x v="1"/>
    <x v="12"/>
    <x v="1"/>
    <x v="1"/>
    <n v="3.69"/>
    <n v="22227.82"/>
    <n v="69314.28"/>
    <x v="2"/>
  </r>
  <r>
    <x v="1"/>
    <x v="1"/>
    <x v="3"/>
    <x v="1"/>
    <x v="13"/>
    <x v="1"/>
    <x v="1"/>
    <n v="11.08"/>
    <n v="66743.7"/>
    <n v="207467.57"/>
    <x v="2"/>
  </r>
  <r>
    <x v="1"/>
    <x v="1"/>
    <x v="3"/>
    <x v="1"/>
    <x v="14"/>
    <x v="1"/>
    <x v="1"/>
    <n v="5.71"/>
    <n v="34395.9"/>
    <n v="104741.8"/>
    <x v="2"/>
  </r>
  <r>
    <x v="1"/>
    <x v="1"/>
    <x v="3"/>
    <x v="1"/>
    <x v="15"/>
    <x v="1"/>
    <x v="1"/>
    <n v="2.42"/>
    <n v="14577.6"/>
    <n v="45954.74"/>
    <x v="2"/>
  </r>
  <r>
    <x v="1"/>
    <x v="1"/>
    <x v="3"/>
    <x v="1"/>
    <x v="16"/>
    <x v="1"/>
    <x v="1"/>
    <n v="12.41"/>
    <n v="74755.360000000001"/>
    <n v="224411.66"/>
    <x v="2"/>
  </r>
  <r>
    <x v="1"/>
    <x v="1"/>
    <x v="3"/>
    <x v="1"/>
    <x v="17"/>
    <x v="1"/>
    <x v="1"/>
    <n v="3.96"/>
    <n v="23854.25"/>
    <n v="72299.13"/>
    <x v="2"/>
  </r>
  <r>
    <x v="1"/>
    <x v="1"/>
    <x v="3"/>
    <x v="1"/>
    <x v="18"/>
    <x v="1"/>
    <x v="1"/>
    <n v="17.38"/>
    <n v="104693.64"/>
    <n v="331919.83"/>
    <x v="2"/>
  </r>
  <r>
    <x v="1"/>
    <x v="1"/>
    <x v="3"/>
    <x v="1"/>
    <x v="19"/>
    <x v="1"/>
    <x v="1"/>
    <n v="13.81"/>
    <n v="83188.679999999993"/>
    <n v="255758.34"/>
    <x v="2"/>
  </r>
  <r>
    <x v="1"/>
    <x v="1"/>
    <x v="3"/>
    <x v="1"/>
    <x v="20"/>
    <x v="1"/>
    <x v="1"/>
    <n v="24.81"/>
    <n v="149450.48000000001"/>
    <n v="452055.57"/>
    <x v="2"/>
  </r>
  <r>
    <x v="1"/>
    <x v="1"/>
    <x v="3"/>
    <x v="2"/>
    <x v="21"/>
    <x v="1"/>
    <x v="1"/>
    <n v="2.2599999999999998"/>
    <n v="13613.79"/>
    <n v="37744.25"/>
    <x v="2"/>
  </r>
  <r>
    <x v="1"/>
    <x v="1"/>
    <x v="3"/>
    <x v="2"/>
    <x v="22"/>
    <x v="1"/>
    <x v="1"/>
    <n v="13.01"/>
    <n v="78369.64"/>
    <n v="217783.2"/>
    <x v="2"/>
  </r>
  <r>
    <x v="1"/>
    <x v="1"/>
    <x v="3"/>
    <x v="2"/>
    <x v="29"/>
    <x v="1"/>
    <x v="1"/>
    <n v="3.57"/>
    <n v="21504.97"/>
    <n v="63429.93"/>
    <x v="2"/>
  </r>
  <r>
    <x v="1"/>
    <x v="1"/>
    <x v="3"/>
    <x v="2"/>
    <x v="23"/>
    <x v="1"/>
    <x v="1"/>
    <n v="1.91"/>
    <n v="11505.46"/>
    <n v="33284.85"/>
    <x v="2"/>
  </r>
  <r>
    <x v="1"/>
    <x v="1"/>
    <x v="3"/>
    <x v="2"/>
    <x v="24"/>
    <x v="1"/>
    <x v="1"/>
    <n v="2.6"/>
    <n v="15661.88"/>
    <n v="44275.22"/>
    <x v="2"/>
  </r>
  <r>
    <x v="1"/>
    <x v="1"/>
    <x v="3"/>
    <x v="3"/>
    <x v="25"/>
    <x v="1"/>
    <x v="1"/>
    <n v="9.11"/>
    <n v="54876.82"/>
    <n v="171568.31"/>
    <x v="2"/>
  </r>
  <r>
    <x v="1"/>
    <x v="1"/>
    <x v="3"/>
    <x v="3"/>
    <x v="26"/>
    <x v="1"/>
    <x v="1"/>
    <n v="22.45"/>
    <n v="135234.31"/>
    <n v="425822.44"/>
    <x v="2"/>
  </r>
  <r>
    <x v="1"/>
    <x v="1"/>
    <x v="3"/>
    <x v="3"/>
    <x v="27"/>
    <x v="1"/>
    <x v="1"/>
    <n v="30.12"/>
    <n v="181436.86"/>
    <n v="560484.01"/>
    <x v="2"/>
  </r>
  <r>
    <x v="1"/>
    <x v="1"/>
    <x v="4"/>
    <x v="0"/>
    <x v="0"/>
    <x v="0"/>
    <x v="0"/>
    <n v="1.49"/>
    <n v="7855.47"/>
    <n v="36602.33"/>
    <x v="2"/>
  </r>
  <r>
    <x v="1"/>
    <x v="1"/>
    <x v="4"/>
    <x v="0"/>
    <x v="1"/>
    <x v="0"/>
    <x v="0"/>
    <n v="2.77"/>
    <n v="14603.8"/>
    <n v="67811.64"/>
    <x v="2"/>
  </r>
  <r>
    <x v="1"/>
    <x v="1"/>
    <x v="4"/>
    <x v="0"/>
    <x v="2"/>
    <x v="0"/>
    <x v="0"/>
    <n v="0"/>
    <n v="0"/>
    <n v="0"/>
    <x v="2"/>
  </r>
  <r>
    <x v="1"/>
    <x v="1"/>
    <x v="4"/>
    <x v="0"/>
    <x v="3"/>
    <x v="0"/>
    <x v="0"/>
    <n v="1.86"/>
    <n v="9806.16"/>
    <n v="45564.11"/>
    <x v="2"/>
  </r>
  <r>
    <x v="1"/>
    <x v="1"/>
    <x v="4"/>
    <x v="0"/>
    <x v="4"/>
    <x v="0"/>
    <x v="0"/>
    <n v="0"/>
    <n v="0"/>
    <n v="0"/>
    <x v="2"/>
  </r>
  <r>
    <x v="1"/>
    <x v="1"/>
    <x v="4"/>
    <x v="0"/>
    <x v="5"/>
    <x v="0"/>
    <x v="0"/>
    <n v="0"/>
    <n v="0"/>
    <n v="0"/>
    <x v="2"/>
  </r>
  <r>
    <x v="1"/>
    <x v="1"/>
    <x v="4"/>
    <x v="0"/>
    <x v="6"/>
    <x v="0"/>
    <x v="0"/>
    <n v="0"/>
    <n v="0"/>
    <n v="0"/>
    <x v="2"/>
  </r>
  <r>
    <x v="1"/>
    <x v="1"/>
    <x v="4"/>
    <x v="0"/>
    <x v="8"/>
    <x v="0"/>
    <x v="0"/>
    <n v="0"/>
    <n v="0"/>
    <n v="0"/>
    <x v="2"/>
  </r>
  <r>
    <x v="1"/>
    <x v="1"/>
    <x v="4"/>
    <x v="1"/>
    <x v="10"/>
    <x v="0"/>
    <x v="0"/>
    <n v="0.95"/>
    <n v="5008.5200000000004"/>
    <n v="23211.17"/>
    <x v="2"/>
  </r>
  <r>
    <x v="1"/>
    <x v="1"/>
    <x v="4"/>
    <x v="1"/>
    <x v="11"/>
    <x v="0"/>
    <x v="0"/>
    <n v="0"/>
    <n v="0"/>
    <n v="0"/>
    <x v="2"/>
  </r>
  <r>
    <x v="1"/>
    <x v="1"/>
    <x v="4"/>
    <x v="1"/>
    <x v="13"/>
    <x v="0"/>
    <x v="0"/>
    <n v="0"/>
    <n v="0"/>
    <n v="0"/>
    <x v="2"/>
  </r>
  <r>
    <x v="1"/>
    <x v="1"/>
    <x v="4"/>
    <x v="1"/>
    <x v="14"/>
    <x v="0"/>
    <x v="0"/>
    <n v="0"/>
    <n v="0"/>
    <n v="0"/>
    <x v="2"/>
  </r>
  <r>
    <x v="1"/>
    <x v="1"/>
    <x v="4"/>
    <x v="1"/>
    <x v="16"/>
    <x v="0"/>
    <x v="0"/>
    <n v="0"/>
    <n v="0"/>
    <n v="0"/>
    <x v="2"/>
  </r>
  <r>
    <x v="1"/>
    <x v="1"/>
    <x v="4"/>
    <x v="1"/>
    <x v="17"/>
    <x v="0"/>
    <x v="0"/>
    <n v="0"/>
    <n v="0"/>
    <n v="0"/>
    <x v="2"/>
  </r>
  <r>
    <x v="1"/>
    <x v="1"/>
    <x v="4"/>
    <x v="1"/>
    <x v="18"/>
    <x v="0"/>
    <x v="0"/>
    <n v="0"/>
    <n v="0"/>
    <n v="0"/>
    <x v="2"/>
  </r>
  <r>
    <x v="1"/>
    <x v="1"/>
    <x v="4"/>
    <x v="1"/>
    <x v="19"/>
    <x v="0"/>
    <x v="0"/>
    <n v="0"/>
    <n v="0"/>
    <n v="0"/>
    <x v="2"/>
  </r>
  <r>
    <x v="1"/>
    <x v="1"/>
    <x v="4"/>
    <x v="1"/>
    <x v="20"/>
    <x v="0"/>
    <x v="0"/>
    <n v="1.61"/>
    <n v="8488.1299999999992"/>
    <n v="39336.86"/>
    <x v="2"/>
  </r>
  <r>
    <x v="1"/>
    <x v="1"/>
    <x v="4"/>
    <x v="2"/>
    <x v="21"/>
    <x v="0"/>
    <x v="0"/>
    <n v="1.33"/>
    <n v="7011.93"/>
    <n v="32476.87"/>
    <x v="2"/>
  </r>
  <r>
    <x v="1"/>
    <x v="1"/>
    <x v="4"/>
    <x v="2"/>
    <x v="22"/>
    <x v="0"/>
    <x v="0"/>
    <n v="0"/>
    <n v="0"/>
    <n v="0"/>
    <x v="2"/>
  </r>
  <r>
    <x v="1"/>
    <x v="1"/>
    <x v="4"/>
    <x v="2"/>
    <x v="29"/>
    <x v="0"/>
    <x v="0"/>
    <n v="0"/>
    <n v="0"/>
    <n v="0"/>
    <x v="2"/>
  </r>
  <r>
    <x v="1"/>
    <x v="1"/>
    <x v="4"/>
    <x v="2"/>
    <x v="24"/>
    <x v="0"/>
    <x v="0"/>
    <n v="0"/>
    <n v="0"/>
    <n v="0"/>
    <x v="2"/>
  </r>
  <r>
    <x v="1"/>
    <x v="1"/>
    <x v="4"/>
    <x v="3"/>
    <x v="25"/>
    <x v="0"/>
    <x v="0"/>
    <n v="0"/>
    <n v="0"/>
    <n v="0"/>
    <x v="2"/>
  </r>
  <r>
    <x v="1"/>
    <x v="1"/>
    <x v="4"/>
    <x v="3"/>
    <x v="26"/>
    <x v="0"/>
    <x v="0"/>
    <n v="1.1599999999999999"/>
    <n v="6115.67"/>
    <n v="28390.6"/>
    <x v="2"/>
  </r>
  <r>
    <x v="1"/>
    <x v="1"/>
    <x v="4"/>
    <x v="3"/>
    <x v="27"/>
    <x v="0"/>
    <x v="0"/>
    <n v="0.95"/>
    <n v="5008.5200000000004"/>
    <n v="23325.35"/>
    <x v="2"/>
  </r>
  <r>
    <x v="1"/>
    <x v="1"/>
    <x v="4"/>
    <x v="0"/>
    <x v="0"/>
    <x v="0"/>
    <x v="1"/>
    <n v="0.88"/>
    <n v="4639.47"/>
    <n v="21530.78"/>
    <x v="2"/>
  </r>
  <r>
    <x v="1"/>
    <x v="1"/>
    <x v="4"/>
    <x v="0"/>
    <x v="1"/>
    <x v="0"/>
    <x v="1"/>
    <n v="4.25"/>
    <n v="22406.55"/>
    <n v="104105.2"/>
    <x v="2"/>
  </r>
  <r>
    <x v="1"/>
    <x v="1"/>
    <x v="4"/>
    <x v="0"/>
    <x v="2"/>
    <x v="0"/>
    <x v="1"/>
    <n v="1.17"/>
    <n v="6168.39"/>
    <n v="28743.43"/>
    <x v="2"/>
  </r>
  <r>
    <x v="1"/>
    <x v="1"/>
    <x v="4"/>
    <x v="0"/>
    <x v="3"/>
    <x v="0"/>
    <x v="1"/>
    <n v="3.16"/>
    <n v="16659.93"/>
    <n v="77458.98"/>
    <x v="2"/>
  </r>
  <r>
    <x v="1"/>
    <x v="1"/>
    <x v="4"/>
    <x v="0"/>
    <x v="4"/>
    <x v="0"/>
    <x v="1"/>
    <n v="1.62"/>
    <n v="8540.85"/>
    <n v="39717.550000000003"/>
    <x v="2"/>
  </r>
  <r>
    <x v="1"/>
    <x v="1"/>
    <x v="4"/>
    <x v="0"/>
    <x v="5"/>
    <x v="0"/>
    <x v="1"/>
    <n v="2.11"/>
    <n v="11124.19"/>
    <n v="51822.96"/>
    <x v="2"/>
  </r>
  <r>
    <x v="1"/>
    <x v="1"/>
    <x v="4"/>
    <x v="0"/>
    <x v="6"/>
    <x v="0"/>
    <x v="1"/>
    <n v="1.9"/>
    <n v="10017.049999999999"/>
    <n v="46553.41"/>
    <x v="2"/>
  </r>
  <r>
    <x v="1"/>
    <x v="1"/>
    <x v="4"/>
    <x v="0"/>
    <x v="8"/>
    <x v="0"/>
    <x v="1"/>
    <n v="2.66"/>
    <n v="14023.87"/>
    <n v="65110.05"/>
    <x v="2"/>
  </r>
  <r>
    <x v="1"/>
    <x v="1"/>
    <x v="4"/>
    <x v="1"/>
    <x v="10"/>
    <x v="0"/>
    <x v="1"/>
    <n v="1.33"/>
    <n v="7011.93"/>
    <n v="32495.64"/>
    <x v="2"/>
  </r>
  <r>
    <x v="1"/>
    <x v="1"/>
    <x v="4"/>
    <x v="1"/>
    <x v="11"/>
    <x v="0"/>
    <x v="1"/>
    <n v="7.53"/>
    <n v="39699.14"/>
    <n v="184417.11"/>
    <x v="2"/>
  </r>
  <r>
    <x v="1"/>
    <x v="1"/>
    <x v="4"/>
    <x v="1"/>
    <x v="13"/>
    <x v="0"/>
    <x v="1"/>
    <n v="2.69"/>
    <n v="14182.03"/>
    <n v="66002.36"/>
    <x v="2"/>
  </r>
  <r>
    <x v="1"/>
    <x v="1"/>
    <x v="4"/>
    <x v="1"/>
    <x v="14"/>
    <x v="0"/>
    <x v="1"/>
    <n v="1.46"/>
    <n v="7697.31"/>
    <n v="35797.550000000003"/>
    <x v="2"/>
  </r>
  <r>
    <x v="1"/>
    <x v="1"/>
    <x v="4"/>
    <x v="1"/>
    <x v="16"/>
    <x v="0"/>
    <x v="1"/>
    <n v="0.84"/>
    <n v="4428.59"/>
    <n v="20683.490000000002"/>
    <x v="2"/>
  </r>
  <r>
    <x v="1"/>
    <x v="1"/>
    <x v="4"/>
    <x v="1"/>
    <x v="17"/>
    <x v="0"/>
    <x v="1"/>
    <n v="0"/>
    <n v="0"/>
    <n v="0"/>
    <x v="2"/>
  </r>
  <r>
    <x v="1"/>
    <x v="1"/>
    <x v="4"/>
    <x v="1"/>
    <x v="18"/>
    <x v="0"/>
    <x v="1"/>
    <n v="7.94"/>
    <n v="41860.71"/>
    <n v="194678.37"/>
    <x v="2"/>
  </r>
  <r>
    <x v="1"/>
    <x v="1"/>
    <x v="4"/>
    <x v="1"/>
    <x v="19"/>
    <x v="0"/>
    <x v="1"/>
    <n v="2.99"/>
    <n v="15763.67"/>
    <n v="73162.95"/>
    <x v="2"/>
  </r>
  <r>
    <x v="1"/>
    <x v="1"/>
    <x v="4"/>
    <x v="1"/>
    <x v="20"/>
    <x v="0"/>
    <x v="1"/>
    <n v="5.76"/>
    <n v="30367.47"/>
    <n v="141149.91"/>
    <x v="2"/>
  </r>
  <r>
    <x v="1"/>
    <x v="1"/>
    <x v="4"/>
    <x v="2"/>
    <x v="21"/>
    <x v="0"/>
    <x v="1"/>
    <n v="0"/>
    <n v="0"/>
    <n v="0"/>
    <x v="2"/>
  </r>
  <r>
    <x v="1"/>
    <x v="1"/>
    <x v="4"/>
    <x v="2"/>
    <x v="22"/>
    <x v="0"/>
    <x v="1"/>
    <n v="3.19"/>
    <n v="16818.09"/>
    <n v="78072.710000000006"/>
    <x v="2"/>
  </r>
  <r>
    <x v="1"/>
    <x v="1"/>
    <x v="4"/>
    <x v="2"/>
    <x v="29"/>
    <x v="0"/>
    <x v="1"/>
    <n v="1.37"/>
    <n v="7222.82"/>
    <n v="33449.46"/>
    <x v="2"/>
  </r>
  <r>
    <x v="1"/>
    <x v="1"/>
    <x v="4"/>
    <x v="2"/>
    <x v="24"/>
    <x v="0"/>
    <x v="1"/>
    <n v="0.2"/>
    <n v="1054.43"/>
    <n v="4815.42"/>
    <x v="2"/>
  </r>
  <r>
    <x v="1"/>
    <x v="1"/>
    <x v="4"/>
    <x v="3"/>
    <x v="25"/>
    <x v="0"/>
    <x v="1"/>
    <n v="1.37"/>
    <n v="7222.82"/>
    <n v="33487.25"/>
    <x v="2"/>
  </r>
  <r>
    <x v="1"/>
    <x v="1"/>
    <x v="4"/>
    <x v="3"/>
    <x v="26"/>
    <x v="0"/>
    <x v="1"/>
    <n v="1.37"/>
    <n v="7222.82"/>
    <n v="33552.53"/>
    <x v="2"/>
  </r>
  <r>
    <x v="1"/>
    <x v="1"/>
    <x v="4"/>
    <x v="3"/>
    <x v="27"/>
    <x v="0"/>
    <x v="1"/>
    <n v="3.88"/>
    <n v="20455.86"/>
    <n v="94967.49"/>
    <x v="2"/>
  </r>
  <r>
    <x v="1"/>
    <x v="1"/>
    <x v="4"/>
    <x v="0"/>
    <x v="0"/>
    <x v="1"/>
    <x v="0"/>
    <n v="3.1"/>
    <n v="16343.6"/>
    <n v="49733.73"/>
    <x v="2"/>
  </r>
  <r>
    <x v="1"/>
    <x v="1"/>
    <x v="4"/>
    <x v="0"/>
    <x v="1"/>
    <x v="1"/>
    <x v="0"/>
    <n v="11.65"/>
    <n v="61420.31"/>
    <n v="183580.96"/>
    <x v="2"/>
  </r>
  <r>
    <x v="1"/>
    <x v="1"/>
    <x v="4"/>
    <x v="0"/>
    <x v="2"/>
    <x v="1"/>
    <x v="0"/>
    <n v="4.79"/>
    <n v="25253.5"/>
    <n v="72814.19"/>
    <x v="2"/>
  </r>
  <r>
    <x v="1"/>
    <x v="1"/>
    <x v="4"/>
    <x v="0"/>
    <x v="3"/>
    <x v="1"/>
    <x v="0"/>
    <n v="7.52"/>
    <n v="39646.42"/>
    <n v="118979.45"/>
    <x v="2"/>
  </r>
  <r>
    <x v="1"/>
    <x v="1"/>
    <x v="4"/>
    <x v="0"/>
    <x v="28"/>
    <x v="1"/>
    <x v="0"/>
    <n v="0"/>
    <n v="0"/>
    <n v="0"/>
    <x v="2"/>
  </r>
  <r>
    <x v="1"/>
    <x v="1"/>
    <x v="4"/>
    <x v="0"/>
    <x v="4"/>
    <x v="1"/>
    <x v="0"/>
    <n v="7.51"/>
    <n v="39593.699999999997"/>
    <n v="117829.01"/>
    <x v="2"/>
  </r>
  <r>
    <x v="1"/>
    <x v="1"/>
    <x v="4"/>
    <x v="0"/>
    <x v="5"/>
    <x v="1"/>
    <x v="0"/>
    <n v="2.96"/>
    <n v="15605.5"/>
    <n v="47874.76"/>
    <x v="2"/>
  </r>
  <r>
    <x v="1"/>
    <x v="1"/>
    <x v="4"/>
    <x v="0"/>
    <x v="6"/>
    <x v="1"/>
    <x v="0"/>
    <n v="0"/>
    <n v="0"/>
    <n v="0"/>
    <x v="2"/>
  </r>
  <r>
    <x v="1"/>
    <x v="1"/>
    <x v="4"/>
    <x v="0"/>
    <x v="7"/>
    <x v="1"/>
    <x v="0"/>
    <n v="0"/>
    <n v="0"/>
    <n v="0"/>
    <x v="2"/>
  </r>
  <r>
    <x v="1"/>
    <x v="1"/>
    <x v="4"/>
    <x v="0"/>
    <x v="8"/>
    <x v="1"/>
    <x v="0"/>
    <n v="0"/>
    <n v="0"/>
    <n v="0"/>
    <x v="2"/>
  </r>
  <r>
    <x v="1"/>
    <x v="1"/>
    <x v="4"/>
    <x v="1"/>
    <x v="30"/>
    <x v="1"/>
    <x v="0"/>
    <n v="0"/>
    <n v="0"/>
    <n v="0"/>
    <x v="2"/>
  </r>
  <r>
    <x v="1"/>
    <x v="1"/>
    <x v="4"/>
    <x v="1"/>
    <x v="9"/>
    <x v="1"/>
    <x v="0"/>
    <n v="0"/>
    <n v="0"/>
    <n v="0"/>
    <x v="2"/>
  </r>
  <r>
    <x v="1"/>
    <x v="1"/>
    <x v="4"/>
    <x v="1"/>
    <x v="31"/>
    <x v="1"/>
    <x v="0"/>
    <n v="4.53"/>
    <n v="23882.75"/>
    <n v="77225.149999999994"/>
    <x v="2"/>
  </r>
  <r>
    <x v="1"/>
    <x v="1"/>
    <x v="4"/>
    <x v="1"/>
    <x v="10"/>
    <x v="1"/>
    <x v="0"/>
    <n v="10.56"/>
    <n v="55673.69"/>
    <n v="176439.46"/>
    <x v="2"/>
  </r>
  <r>
    <x v="1"/>
    <x v="1"/>
    <x v="4"/>
    <x v="1"/>
    <x v="11"/>
    <x v="1"/>
    <x v="0"/>
    <n v="6.98"/>
    <n v="36799.47"/>
    <n v="111122.96"/>
    <x v="2"/>
  </r>
  <r>
    <x v="1"/>
    <x v="1"/>
    <x v="4"/>
    <x v="1"/>
    <x v="12"/>
    <x v="1"/>
    <x v="0"/>
    <n v="2.48"/>
    <n v="13074.88"/>
    <n v="41515.519999999997"/>
    <x v="2"/>
  </r>
  <r>
    <x v="1"/>
    <x v="1"/>
    <x v="4"/>
    <x v="1"/>
    <x v="13"/>
    <x v="1"/>
    <x v="0"/>
    <n v="4.53"/>
    <n v="23882.75"/>
    <n v="75653.009999999995"/>
    <x v="2"/>
  </r>
  <r>
    <x v="1"/>
    <x v="1"/>
    <x v="4"/>
    <x v="1"/>
    <x v="14"/>
    <x v="1"/>
    <x v="0"/>
    <n v="15.21"/>
    <n v="80189.100000000006"/>
    <n v="249043.89"/>
    <x v="2"/>
  </r>
  <r>
    <x v="1"/>
    <x v="1"/>
    <x v="4"/>
    <x v="1"/>
    <x v="15"/>
    <x v="1"/>
    <x v="0"/>
    <n v="0"/>
    <n v="0"/>
    <n v="0"/>
    <x v="2"/>
  </r>
  <r>
    <x v="1"/>
    <x v="1"/>
    <x v="4"/>
    <x v="1"/>
    <x v="16"/>
    <x v="1"/>
    <x v="0"/>
    <n v="6.34"/>
    <n v="33425.300000000003"/>
    <n v="102276.83"/>
    <x v="2"/>
  </r>
  <r>
    <x v="1"/>
    <x v="1"/>
    <x v="4"/>
    <x v="1"/>
    <x v="17"/>
    <x v="1"/>
    <x v="0"/>
    <n v="6.41"/>
    <n v="33794.35"/>
    <n v="104216.97"/>
    <x v="2"/>
  </r>
  <r>
    <x v="1"/>
    <x v="1"/>
    <x v="4"/>
    <x v="1"/>
    <x v="18"/>
    <x v="1"/>
    <x v="0"/>
    <n v="6.69"/>
    <n v="35270.550000000003"/>
    <n v="113906.91"/>
    <x v="2"/>
  </r>
  <r>
    <x v="1"/>
    <x v="1"/>
    <x v="4"/>
    <x v="1"/>
    <x v="19"/>
    <x v="1"/>
    <x v="0"/>
    <n v="12.65"/>
    <n v="66692.44"/>
    <n v="208849.68"/>
    <x v="2"/>
  </r>
  <r>
    <x v="1"/>
    <x v="1"/>
    <x v="4"/>
    <x v="1"/>
    <x v="20"/>
    <x v="1"/>
    <x v="0"/>
    <n v="13.64"/>
    <n v="71911.850000000006"/>
    <n v="221607.99"/>
    <x v="2"/>
  </r>
  <r>
    <x v="1"/>
    <x v="1"/>
    <x v="4"/>
    <x v="2"/>
    <x v="21"/>
    <x v="1"/>
    <x v="0"/>
    <n v="0"/>
    <n v="0"/>
    <n v="0"/>
    <x v="2"/>
  </r>
  <r>
    <x v="1"/>
    <x v="1"/>
    <x v="4"/>
    <x v="2"/>
    <x v="22"/>
    <x v="1"/>
    <x v="0"/>
    <n v="8.52"/>
    <n v="44918.55"/>
    <n v="127163.1"/>
    <x v="2"/>
  </r>
  <r>
    <x v="1"/>
    <x v="1"/>
    <x v="4"/>
    <x v="2"/>
    <x v="29"/>
    <x v="1"/>
    <x v="0"/>
    <n v="0"/>
    <n v="0"/>
    <n v="0"/>
    <x v="2"/>
  </r>
  <r>
    <x v="1"/>
    <x v="1"/>
    <x v="4"/>
    <x v="2"/>
    <x v="23"/>
    <x v="1"/>
    <x v="0"/>
    <n v="0"/>
    <n v="0"/>
    <n v="0"/>
    <x v="2"/>
  </r>
  <r>
    <x v="1"/>
    <x v="1"/>
    <x v="4"/>
    <x v="2"/>
    <x v="24"/>
    <x v="1"/>
    <x v="0"/>
    <n v="2.2999999999999998"/>
    <n v="12125.9"/>
    <n v="35006.42"/>
    <x v="2"/>
  </r>
  <r>
    <x v="1"/>
    <x v="1"/>
    <x v="4"/>
    <x v="3"/>
    <x v="25"/>
    <x v="1"/>
    <x v="0"/>
    <n v="8.42"/>
    <n v="44391.33"/>
    <n v="141284.29"/>
    <x v="2"/>
  </r>
  <r>
    <x v="1"/>
    <x v="1"/>
    <x v="4"/>
    <x v="3"/>
    <x v="26"/>
    <x v="1"/>
    <x v="0"/>
    <n v="4.0599999999999996"/>
    <n v="21404.85"/>
    <n v="68640.89"/>
    <x v="2"/>
  </r>
  <r>
    <x v="1"/>
    <x v="1"/>
    <x v="4"/>
    <x v="3"/>
    <x v="27"/>
    <x v="1"/>
    <x v="0"/>
    <n v="15.79"/>
    <n v="83246.929999999993"/>
    <n v="261983.73"/>
    <x v="2"/>
  </r>
  <r>
    <x v="1"/>
    <x v="1"/>
    <x v="4"/>
    <x v="0"/>
    <x v="0"/>
    <x v="1"/>
    <x v="1"/>
    <n v="7.64"/>
    <n v="40279.07"/>
    <n v="122421.49"/>
    <x v="2"/>
  </r>
  <r>
    <x v="1"/>
    <x v="1"/>
    <x v="4"/>
    <x v="0"/>
    <x v="1"/>
    <x v="1"/>
    <x v="1"/>
    <n v="18.37"/>
    <n v="96849.03"/>
    <n v="289449.73"/>
    <x v="2"/>
  </r>
  <r>
    <x v="1"/>
    <x v="1"/>
    <x v="4"/>
    <x v="0"/>
    <x v="2"/>
    <x v="1"/>
    <x v="1"/>
    <n v="15.3"/>
    <n v="80663.59"/>
    <n v="232784.76"/>
    <x v="2"/>
  </r>
  <r>
    <x v="1"/>
    <x v="1"/>
    <x v="4"/>
    <x v="0"/>
    <x v="3"/>
    <x v="1"/>
    <x v="1"/>
    <n v="25.5"/>
    <n v="134439.32"/>
    <n v="403596.97"/>
    <x v="2"/>
  </r>
  <r>
    <x v="1"/>
    <x v="1"/>
    <x v="4"/>
    <x v="0"/>
    <x v="28"/>
    <x v="1"/>
    <x v="1"/>
    <n v="2.5"/>
    <n v="13180.33"/>
    <n v="40074.559999999998"/>
    <x v="2"/>
  </r>
  <r>
    <x v="1"/>
    <x v="1"/>
    <x v="4"/>
    <x v="0"/>
    <x v="4"/>
    <x v="1"/>
    <x v="1"/>
    <n v="7.43"/>
    <n v="39171.93"/>
    <n v="116474.65"/>
    <x v="2"/>
  </r>
  <r>
    <x v="1"/>
    <x v="1"/>
    <x v="4"/>
    <x v="0"/>
    <x v="5"/>
    <x v="1"/>
    <x v="1"/>
    <n v="23.38"/>
    <n v="123262.39999999999"/>
    <n v="377526.72"/>
    <x v="2"/>
  </r>
  <r>
    <x v="1"/>
    <x v="1"/>
    <x v="4"/>
    <x v="0"/>
    <x v="6"/>
    <x v="1"/>
    <x v="1"/>
    <n v="4.08"/>
    <n v="21510.29"/>
    <n v="65662.64"/>
    <x v="2"/>
  </r>
  <r>
    <x v="1"/>
    <x v="1"/>
    <x v="4"/>
    <x v="0"/>
    <x v="7"/>
    <x v="1"/>
    <x v="1"/>
    <n v="4.26"/>
    <n v="22459.27"/>
    <n v="69795.03"/>
    <x v="2"/>
  </r>
  <r>
    <x v="1"/>
    <x v="1"/>
    <x v="4"/>
    <x v="0"/>
    <x v="8"/>
    <x v="1"/>
    <x v="1"/>
    <n v="3.83"/>
    <n v="20192.259999999998"/>
    <n v="59766.9"/>
    <x v="2"/>
  </r>
  <r>
    <x v="1"/>
    <x v="1"/>
    <x v="4"/>
    <x v="1"/>
    <x v="30"/>
    <x v="1"/>
    <x v="1"/>
    <n v="0"/>
    <n v="0"/>
    <n v="0"/>
    <x v="2"/>
  </r>
  <r>
    <x v="1"/>
    <x v="1"/>
    <x v="4"/>
    <x v="1"/>
    <x v="9"/>
    <x v="1"/>
    <x v="1"/>
    <n v="5.54"/>
    <n v="29207.599999999999"/>
    <n v="93421.81"/>
    <x v="2"/>
  </r>
  <r>
    <x v="1"/>
    <x v="1"/>
    <x v="4"/>
    <x v="1"/>
    <x v="31"/>
    <x v="1"/>
    <x v="1"/>
    <n v="0"/>
    <n v="0"/>
    <n v="0"/>
    <x v="2"/>
  </r>
  <r>
    <x v="1"/>
    <x v="1"/>
    <x v="4"/>
    <x v="1"/>
    <x v="10"/>
    <x v="1"/>
    <x v="1"/>
    <n v="29.1"/>
    <n v="153418.98000000001"/>
    <n v="486284.37"/>
    <x v="2"/>
  </r>
  <r>
    <x v="1"/>
    <x v="1"/>
    <x v="4"/>
    <x v="1"/>
    <x v="11"/>
    <x v="1"/>
    <x v="1"/>
    <n v="26.29"/>
    <n v="138604.29999999999"/>
    <n v="418758.09"/>
    <x v="2"/>
  </r>
  <r>
    <x v="1"/>
    <x v="1"/>
    <x v="4"/>
    <x v="1"/>
    <x v="12"/>
    <x v="1"/>
    <x v="1"/>
    <n v="2.88"/>
    <n v="15183.73"/>
    <n v="48211.57"/>
    <x v="2"/>
  </r>
  <r>
    <x v="1"/>
    <x v="1"/>
    <x v="4"/>
    <x v="1"/>
    <x v="13"/>
    <x v="1"/>
    <x v="1"/>
    <n v="12.89"/>
    <n v="67957.759999999995"/>
    <n v="215091.9"/>
    <x v="2"/>
  </r>
  <r>
    <x v="1"/>
    <x v="1"/>
    <x v="4"/>
    <x v="1"/>
    <x v="14"/>
    <x v="1"/>
    <x v="1"/>
    <n v="7.09"/>
    <n v="37379.4"/>
    <n v="116031.81"/>
    <x v="2"/>
  </r>
  <r>
    <x v="1"/>
    <x v="1"/>
    <x v="4"/>
    <x v="1"/>
    <x v="15"/>
    <x v="1"/>
    <x v="1"/>
    <n v="0"/>
    <n v="0"/>
    <n v="0"/>
    <x v="2"/>
  </r>
  <r>
    <x v="1"/>
    <x v="1"/>
    <x v="4"/>
    <x v="1"/>
    <x v="16"/>
    <x v="1"/>
    <x v="1"/>
    <n v="8.57"/>
    <n v="45182.15"/>
    <n v="138211.93"/>
    <x v="2"/>
  </r>
  <r>
    <x v="1"/>
    <x v="1"/>
    <x v="4"/>
    <x v="1"/>
    <x v="17"/>
    <x v="1"/>
    <x v="1"/>
    <n v="5.29"/>
    <n v="27889.57"/>
    <n v="86092.28"/>
    <x v="2"/>
  </r>
  <r>
    <x v="1"/>
    <x v="1"/>
    <x v="4"/>
    <x v="1"/>
    <x v="18"/>
    <x v="1"/>
    <x v="1"/>
    <n v="30.55"/>
    <n v="161063.57"/>
    <n v="520315.53"/>
    <x v="2"/>
  </r>
  <r>
    <x v="1"/>
    <x v="1"/>
    <x v="4"/>
    <x v="1"/>
    <x v="19"/>
    <x v="1"/>
    <x v="1"/>
    <n v="14.17"/>
    <n v="74706.080000000002"/>
    <n v="234079.85"/>
    <x v="2"/>
  </r>
  <r>
    <x v="1"/>
    <x v="1"/>
    <x v="4"/>
    <x v="1"/>
    <x v="20"/>
    <x v="1"/>
    <x v="1"/>
    <n v="22.43"/>
    <n v="118253.88"/>
    <n v="364361.6"/>
    <x v="2"/>
  </r>
  <r>
    <x v="1"/>
    <x v="1"/>
    <x v="4"/>
    <x v="2"/>
    <x v="21"/>
    <x v="1"/>
    <x v="1"/>
    <n v="1.44"/>
    <n v="7591.87"/>
    <n v="21445.88"/>
    <x v="2"/>
  </r>
  <r>
    <x v="1"/>
    <x v="1"/>
    <x v="4"/>
    <x v="2"/>
    <x v="22"/>
    <x v="1"/>
    <x v="1"/>
    <n v="13.02"/>
    <n v="68643.13"/>
    <n v="194343.61"/>
    <x v="2"/>
  </r>
  <r>
    <x v="1"/>
    <x v="1"/>
    <x v="4"/>
    <x v="2"/>
    <x v="29"/>
    <x v="1"/>
    <x v="1"/>
    <n v="2.04"/>
    <n v="10755.15"/>
    <n v="32272.75"/>
    <x v="2"/>
  </r>
  <r>
    <x v="1"/>
    <x v="1"/>
    <x v="4"/>
    <x v="2"/>
    <x v="23"/>
    <x v="1"/>
    <x v="1"/>
    <n v="2.34"/>
    <n v="12336.78"/>
    <n v="36309.599999999999"/>
    <x v="2"/>
  </r>
  <r>
    <x v="1"/>
    <x v="1"/>
    <x v="4"/>
    <x v="2"/>
    <x v="24"/>
    <x v="1"/>
    <x v="1"/>
    <n v="3.46"/>
    <n v="18241.57"/>
    <n v="52509.63"/>
    <x v="2"/>
  </r>
  <r>
    <x v="1"/>
    <x v="1"/>
    <x v="4"/>
    <x v="3"/>
    <x v="25"/>
    <x v="1"/>
    <x v="1"/>
    <n v="7.93"/>
    <n v="41807.99"/>
    <n v="133054.13"/>
    <x v="2"/>
  </r>
  <r>
    <x v="1"/>
    <x v="1"/>
    <x v="4"/>
    <x v="3"/>
    <x v="26"/>
    <x v="1"/>
    <x v="1"/>
    <n v="10.93"/>
    <n v="57624.38"/>
    <n v="184802.39"/>
    <x v="2"/>
  </r>
  <r>
    <x v="1"/>
    <x v="1"/>
    <x v="4"/>
    <x v="3"/>
    <x v="27"/>
    <x v="1"/>
    <x v="1"/>
    <n v="36.04"/>
    <n v="190007.57"/>
    <n v="597939.34"/>
    <x v="2"/>
  </r>
  <r>
    <x v="1"/>
    <x v="1"/>
    <x v="5"/>
    <x v="0"/>
    <x v="0"/>
    <x v="0"/>
    <x v="0"/>
    <n v="1.99"/>
    <n v="11137.85"/>
    <n v="45726.21"/>
    <x v="2"/>
  </r>
  <r>
    <x v="1"/>
    <x v="1"/>
    <x v="5"/>
    <x v="0"/>
    <x v="1"/>
    <x v="0"/>
    <x v="0"/>
    <n v="3.62"/>
    <n v="20260.810000000001"/>
    <n v="83125.460000000006"/>
    <x v="2"/>
  </r>
  <r>
    <x v="1"/>
    <x v="1"/>
    <x v="5"/>
    <x v="0"/>
    <x v="2"/>
    <x v="0"/>
    <x v="0"/>
    <n v="0"/>
    <n v="0"/>
    <n v="0"/>
    <x v="2"/>
  </r>
  <r>
    <x v="1"/>
    <x v="1"/>
    <x v="5"/>
    <x v="0"/>
    <x v="3"/>
    <x v="0"/>
    <x v="0"/>
    <n v="1.54"/>
    <n v="8619.24"/>
    <n v="35307.47"/>
    <x v="2"/>
  </r>
  <r>
    <x v="1"/>
    <x v="1"/>
    <x v="5"/>
    <x v="0"/>
    <x v="4"/>
    <x v="0"/>
    <x v="0"/>
    <n v="0"/>
    <n v="0"/>
    <n v="0"/>
    <x v="2"/>
  </r>
  <r>
    <x v="1"/>
    <x v="1"/>
    <x v="5"/>
    <x v="0"/>
    <x v="5"/>
    <x v="0"/>
    <x v="0"/>
    <n v="0"/>
    <n v="0"/>
    <n v="0"/>
    <x v="2"/>
  </r>
  <r>
    <x v="1"/>
    <x v="1"/>
    <x v="5"/>
    <x v="0"/>
    <x v="6"/>
    <x v="0"/>
    <x v="0"/>
    <n v="0"/>
    <n v="0"/>
    <n v="0"/>
    <x v="2"/>
  </r>
  <r>
    <x v="1"/>
    <x v="1"/>
    <x v="5"/>
    <x v="0"/>
    <x v="8"/>
    <x v="0"/>
    <x v="0"/>
    <n v="0"/>
    <n v="0"/>
    <n v="0"/>
    <x v="2"/>
  </r>
  <r>
    <x v="1"/>
    <x v="1"/>
    <x v="5"/>
    <x v="1"/>
    <x v="10"/>
    <x v="0"/>
    <x v="0"/>
    <n v="1.41"/>
    <n v="7891.64"/>
    <n v="32278.75"/>
    <x v="2"/>
  </r>
  <r>
    <x v="1"/>
    <x v="1"/>
    <x v="5"/>
    <x v="1"/>
    <x v="11"/>
    <x v="0"/>
    <x v="0"/>
    <n v="0"/>
    <n v="0"/>
    <n v="0"/>
    <x v="2"/>
  </r>
  <r>
    <x v="1"/>
    <x v="1"/>
    <x v="5"/>
    <x v="1"/>
    <x v="13"/>
    <x v="0"/>
    <x v="0"/>
    <n v="0"/>
    <n v="0"/>
    <n v="0"/>
    <x v="2"/>
  </r>
  <r>
    <x v="1"/>
    <x v="1"/>
    <x v="5"/>
    <x v="1"/>
    <x v="14"/>
    <x v="0"/>
    <x v="0"/>
    <n v="0"/>
    <n v="0"/>
    <n v="0"/>
    <x v="2"/>
  </r>
  <r>
    <x v="1"/>
    <x v="1"/>
    <x v="5"/>
    <x v="1"/>
    <x v="16"/>
    <x v="0"/>
    <x v="0"/>
    <n v="0"/>
    <n v="0"/>
    <n v="0"/>
    <x v="2"/>
  </r>
  <r>
    <x v="1"/>
    <x v="1"/>
    <x v="5"/>
    <x v="1"/>
    <x v="17"/>
    <x v="0"/>
    <x v="0"/>
    <n v="0"/>
    <n v="0"/>
    <n v="0"/>
    <x v="2"/>
  </r>
  <r>
    <x v="1"/>
    <x v="1"/>
    <x v="5"/>
    <x v="1"/>
    <x v="18"/>
    <x v="0"/>
    <x v="0"/>
    <n v="0"/>
    <n v="0"/>
    <n v="0"/>
    <x v="2"/>
  </r>
  <r>
    <x v="1"/>
    <x v="1"/>
    <x v="5"/>
    <x v="1"/>
    <x v="19"/>
    <x v="0"/>
    <x v="0"/>
    <n v="0"/>
    <n v="0"/>
    <n v="0"/>
    <x v="2"/>
  </r>
  <r>
    <x v="1"/>
    <x v="1"/>
    <x v="5"/>
    <x v="1"/>
    <x v="20"/>
    <x v="0"/>
    <x v="0"/>
    <n v="1.5"/>
    <n v="8395.3700000000008"/>
    <n v="34491.449999999997"/>
    <x v="2"/>
  </r>
  <r>
    <x v="1"/>
    <x v="1"/>
    <x v="5"/>
    <x v="2"/>
    <x v="21"/>
    <x v="0"/>
    <x v="0"/>
    <n v="1.52"/>
    <n v="8507.2999999999993"/>
    <n v="34829.730000000003"/>
    <x v="2"/>
  </r>
  <r>
    <x v="1"/>
    <x v="1"/>
    <x v="5"/>
    <x v="2"/>
    <x v="22"/>
    <x v="0"/>
    <x v="0"/>
    <n v="0"/>
    <n v="0"/>
    <n v="0"/>
    <x v="2"/>
  </r>
  <r>
    <x v="1"/>
    <x v="1"/>
    <x v="5"/>
    <x v="2"/>
    <x v="29"/>
    <x v="0"/>
    <x v="0"/>
    <n v="0"/>
    <n v="0"/>
    <n v="0"/>
    <x v="2"/>
  </r>
  <r>
    <x v="1"/>
    <x v="1"/>
    <x v="5"/>
    <x v="2"/>
    <x v="24"/>
    <x v="0"/>
    <x v="0"/>
    <n v="0"/>
    <n v="0"/>
    <n v="0"/>
    <x v="2"/>
  </r>
  <r>
    <x v="1"/>
    <x v="1"/>
    <x v="5"/>
    <x v="3"/>
    <x v="25"/>
    <x v="0"/>
    <x v="0"/>
    <n v="0"/>
    <n v="0"/>
    <n v="0"/>
    <x v="2"/>
  </r>
  <r>
    <x v="1"/>
    <x v="1"/>
    <x v="5"/>
    <x v="3"/>
    <x v="26"/>
    <x v="0"/>
    <x v="0"/>
    <n v="1.64"/>
    <n v="9178.93"/>
    <n v="37627.51"/>
    <x v="2"/>
  </r>
  <r>
    <x v="1"/>
    <x v="1"/>
    <x v="5"/>
    <x v="3"/>
    <x v="27"/>
    <x v="0"/>
    <x v="0"/>
    <n v="2.0699999999999998"/>
    <n v="11585.6"/>
    <n v="47621.33"/>
    <x v="2"/>
  </r>
  <r>
    <x v="1"/>
    <x v="1"/>
    <x v="5"/>
    <x v="0"/>
    <x v="0"/>
    <x v="0"/>
    <x v="1"/>
    <n v="1.64"/>
    <n v="9178.93"/>
    <n v="37773.83"/>
    <x v="2"/>
  </r>
  <r>
    <x v="1"/>
    <x v="1"/>
    <x v="5"/>
    <x v="0"/>
    <x v="1"/>
    <x v="0"/>
    <x v="1"/>
    <n v="4.18"/>
    <n v="23395.08"/>
    <n v="95913.99"/>
    <x v="2"/>
  </r>
  <r>
    <x v="1"/>
    <x v="1"/>
    <x v="5"/>
    <x v="0"/>
    <x v="2"/>
    <x v="0"/>
    <x v="1"/>
    <n v="4.3899999999999997"/>
    <n v="24570.43"/>
    <n v="100705.25"/>
    <x v="2"/>
  </r>
  <r>
    <x v="1"/>
    <x v="1"/>
    <x v="5"/>
    <x v="0"/>
    <x v="3"/>
    <x v="0"/>
    <x v="1"/>
    <n v="5.61"/>
    <n v="31398.67"/>
    <n v="128768.42"/>
    <x v="2"/>
  </r>
  <r>
    <x v="1"/>
    <x v="1"/>
    <x v="5"/>
    <x v="0"/>
    <x v="4"/>
    <x v="0"/>
    <x v="1"/>
    <n v="0.4"/>
    <n v="2238.7600000000002"/>
    <n v="9286.0499999999993"/>
    <x v="2"/>
  </r>
  <r>
    <x v="1"/>
    <x v="1"/>
    <x v="5"/>
    <x v="0"/>
    <x v="5"/>
    <x v="0"/>
    <x v="1"/>
    <n v="3.22"/>
    <n v="18022.05"/>
    <n v="74056.39"/>
    <x v="2"/>
  </r>
  <r>
    <x v="1"/>
    <x v="1"/>
    <x v="5"/>
    <x v="0"/>
    <x v="6"/>
    <x v="0"/>
    <x v="1"/>
    <n v="1.43"/>
    <n v="8003.58"/>
    <n v="32797.410000000003"/>
    <x v="2"/>
  </r>
  <r>
    <x v="1"/>
    <x v="1"/>
    <x v="5"/>
    <x v="0"/>
    <x v="8"/>
    <x v="0"/>
    <x v="1"/>
    <n v="2.11"/>
    <n v="11809.48"/>
    <n v="48412.5"/>
    <x v="2"/>
  </r>
  <r>
    <x v="1"/>
    <x v="1"/>
    <x v="5"/>
    <x v="1"/>
    <x v="10"/>
    <x v="0"/>
    <x v="1"/>
    <n v="3.07"/>
    <n v="17182.509999999998"/>
    <n v="70609.77"/>
    <x v="2"/>
  </r>
  <r>
    <x v="1"/>
    <x v="1"/>
    <x v="5"/>
    <x v="1"/>
    <x v="11"/>
    <x v="0"/>
    <x v="1"/>
    <n v="8.6300000000000008"/>
    <n v="48301.33"/>
    <n v="198074.94"/>
    <x v="2"/>
  </r>
  <r>
    <x v="1"/>
    <x v="1"/>
    <x v="5"/>
    <x v="1"/>
    <x v="13"/>
    <x v="0"/>
    <x v="1"/>
    <n v="4.72"/>
    <n v="26417.42"/>
    <n v="108427.7"/>
    <x v="2"/>
  </r>
  <r>
    <x v="1"/>
    <x v="1"/>
    <x v="5"/>
    <x v="1"/>
    <x v="14"/>
    <x v="0"/>
    <x v="1"/>
    <n v="1.27"/>
    <n v="7108.08"/>
    <n v="29240.17"/>
    <x v="2"/>
  </r>
  <r>
    <x v="1"/>
    <x v="1"/>
    <x v="5"/>
    <x v="1"/>
    <x v="16"/>
    <x v="0"/>
    <x v="1"/>
    <n v="1.05"/>
    <n v="5876.76"/>
    <n v="24078.03"/>
    <x v="2"/>
  </r>
  <r>
    <x v="1"/>
    <x v="1"/>
    <x v="5"/>
    <x v="1"/>
    <x v="17"/>
    <x v="0"/>
    <x v="1"/>
    <n v="1.8"/>
    <n v="10074.44"/>
    <n v="41357.279999999999"/>
    <x v="2"/>
  </r>
  <r>
    <x v="1"/>
    <x v="1"/>
    <x v="5"/>
    <x v="1"/>
    <x v="18"/>
    <x v="0"/>
    <x v="1"/>
    <n v="10.19"/>
    <n v="57032.51"/>
    <n v="234054.21"/>
    <x v="2"/>
  </r>
  <r>
    <x v="1"/>
    <x v="1"/>
    <x v="5"/>
    <x v="1"/>
    <x v="19"/>
    <x v="0"/>
    <x v="1"/>
    <n v="4.07"/>
    <n v="22779.42"/>
    <n v="93505.18"/>
    <x v="2"/>
  </r>
  <r>
    <x v="1"/>
    <x v="1"/>
    <x v="5"/>
    <x v="1"/>
    <x v="20"/>
    <x v="0"/>
    <x v="1"/>
    <n v="8.93"/>
    <n v="49980.41"/>
    <n v="205032.51"/>
    <x v="2"/>
  </r>
  <r>
    <x v="1"/>
    <x v="1"/>
    <x v="5"/>
    <x v="2"/>
    <x v="21"/>
    <x v="0"/>
    <x v="1"/>
    <n v="0"/>
    <n v="0"/>
    <n v="0"/>
    <x v="2"/>
  </r>
  <r>
    <x v="1"/>
    <x v="1"/>
    <x v="5"/>
    <x v="2"/>
    <x v="22"/>
    <x v="0"/>
    <x v="1"/>
    <n v="2.74"/>
    <n v="15335.53"/>
    <n v="62930.29"/>
    <x v="2"/>
  </r>
  <r>
    <x v="1"/>
    <x v="1"/>
    <x v="5"/>
    <x v="2"/>
    <x v="29"/>
    <x v="0"/>
    <x v="1"/>
    <n v="1.42"/>
    <n v="7947.61"/>
    <n v="32582.37"/>
    <x v="2"/>
  </r>
  <r>
    <x v="1"/>
    <x v="1"/>
    <x v="5"/>
    <x v="2"/>
    <x v="24"/>
    <x v="0"/>
    <x v="1"/>
    <n v="1.95"/>
    <n v="10913.97"/>
    <n v="44816.4"/>
    <x v="2"/>
  </r>
  <r>
    <x v="1"/>
    <x v="1"/>
    <x v="5"/>
    <x v="3"/>
    <x v="25"/>
    <x v="0"/>
    <x v="1"/>
    <n v="1.39"/>
    <n v="7779.7"/>
    <n v="31880.87"/>
    <x v="2"/>
  </r>
  <r>
    <x v="1"/>
    <x v="1"/>
    <x v="5"/>
    <x v="3"/>
    <x v="26"/>
    <x v="0"/>
    <x v="1"/>
    <n v="1.38"/>
    <n v="7723.74"/>
    <n v="31686.32"/>
    <x v="2"/>
  </r>
  <r>
    <x v="1"/>
    <x v="1"/>
    <x v="5"/>
    <x v="3"/>
    <x v="27"/>
    <x v="0"/>
    <x v="1"/>
    <n v="7.9"/>
    <n v="44215.59"/>
    <n v="181414.59"/>
    <x v="2"/>
  </r>
  <r>
    <x v="1"/>
    <x v="1"/>
    <x v="5"/>
    <x v="0"/>
    <x v="0"/>
    <x v="1"/>
    <x v="0"/>
    <n v="3.79"/>
    <n v="21212.29"/>
    <n v="56994.239999999998"/>
    <x v="2"/>
  </r>
  <r>
    <x v="1"/>
    <x v="1"/>
    <x v="5"/>
    <x v="0"/>
    <x v="1"/>
    <x v="1"/>
    <x v="0"/>
    <n v="10.74"/>
    <n v="60110.81"/>
    <n v="158541.26"/>
    <x v="2"/>
  </r>
  <r>
    <x v="1"/>
    <x v="1"/>
    <x v="5"/>
    <x v="0"/>
    <x v="2"/>
    <x v="1"/>
    <x v="0"/>
    <n v="4.3600000000000003"/>
    <n v="24402.53"/>
    <n v="62232.11"/>
    <x v="2"/>
  </r>
  <r>
    <x v="1"/>
    <x v="1"/>
    <x v="5"/>
    <x v="0"/>
    <x v="3"/>
    <x v="1"/>
    <x v="0"/>
    <n v="8.81"/>
    <n v="49308.78"/>
    <n v="130638.85"/>
    <x v="2"/>
  </r>
  <r>
    <x v="1"/>
    <x v="1"/>
    <x v="5"/>
    <x v="0"/>
    <x v="28"/>
    <x v="1"/>
    <x v="0"/>
    <n v="0"/>
    <n v="0"/>
    <n v="0"/>
    <x v="2"/>
  </r>
  <r>
    <x v="1"/>
    <x v="1"/>
    <x v="5"/>
    <x v="0"/>
    <x v="4"/>
    <x v="1"/>
    <x v="0"/>
    <n v="3.85"/>
    <n v="21548.1"/>
    <n v="56512.06"/>
    <x v="2"/>
  </r>
  <r>
    <x v="1"/>
    <x v="1"/>
    <x v="5"/>
    <x v="0"/>
    <x v="5"/>
    <x v="1"/>
    <x v="0"/>
    <n v="1.84"/>
    <n v="10298.31"/>
    <n v="27919.53"/>
    <x v="2"/>
  </r>
  <r>
    <x v="1"/>
    <x v="1"/>
    <x v="5"/>
    <x v="0"/>
    <x v="6"/>
    <x v="1"/>
    <x v="0"/>
    <n v="0"/>
    <n v="0"/>
    <n v="0"/>
    <x v="2"/>
  </r>
  <r>
    <x v="1"/>
    <x v="1"/>
    <x v="5"/>
    <x v="0"/>
    <x v="7"/>
    <x v="1"/>
    <x v="0"/>
    <n v="0"/>
    <n v="0"/>
    <n v="0"/>
    <x v="2"/>
  </r>
  <r>
    <x v="1"/>
    <x v="1"/>
    <x v="5"/>
    <x v="0"/>
    <x v="8"/>
    <x v="1"/>
    <x v="0"/>
    <n v="0"/>
    <n v="0"/>
    <n v="0"/>
    <x v="2"/>
  </r>
  <r>
    <x v="1"/>
    <x v="1"/>
    <x v="5"/>
    <x v="1"/>
    <x v="30"/>
    <x v="1"/>
    <x v="0"/>
    <n v="1.55"/>
    <n v="8675.2099999999991"/>
    <n v="24493.33"/>
    <x v="2"/>
  </r>
  <r>
    <x v="1"/>
    <x v="1"/>
    <x v="5"/>
    <x v="1"/>
    <x v="9"/>
    <x v="1"/>
    <x v="0"/>
    <n v="0"/>
    <n v="0"/>
    <n v="0"/>
    <x v="2"/>
  </r>
  <r>
    <x v="1"/>
    <x v="1"/>
    <x v="5"/>
    <x v="1"/>
    <x v="31"/>
    <x v="1"/>
    <x v="0"/>
    <n v="3.06"/>
    <n v="17126.54"/>
    <n v="48819.85"/>
    <x v="2"/>
  </r>
  <r>
    <x v="1"/>
    <x v="1"/>
    <x v="5"/>
    <x v="1"/>
    <x v="10"/>
    <x v="1"/>
    <x v="0"/>
    <n v="6.09"/>
    <n v="34085.18"/>
    <n v="95354.72"/>
    <x v="2"/>
  </r>
  <r>
    <x v="1"/>
    <x v="1"/>
    <x v="5"/>
    <x v="1"/>
    <x v="11"/>
    <x v="1"/>
    <x v="0"/>
    <n v="6.09"/>
    <n v="34085.18"/>
    <n v="90900.32"/>
    <x v="2"/>
  </r>
  <r>
    <x v="1"/>
    <x v="1"/>
    <x v="5"/>
    <x v="1"/>
    <x v="12"/>
    <x v="1"/>
    <x v="0"/>
    <n v="0.94"/>
    <n v="5261.1"/>
    <n v="14823.33"/>
    <x v="2"/>
  </r>
  <r>
    <x v="1"/>
    <x v="1"/>
    <x v="5"/>
    <x v="1"/>
    <x v="13"/>
    <x v="1"/>
    <x v="0"/>
    <n v="5.2"/>
    <n v="29103.93"/>
    <n v="81293.19"/>
    <x v="2"/>
  </r>
  <r>
    <x v="1"/>
    <x v="1"/>
    <x v="5"/>
    <x v="1"/>
    <x v="14"/>
    <x v="1"/>
    <x v="0"/>
    <n v="10.88"/>
    <n v="60894.38"/>
    <n v="166839.03"/>
    <x v="2"/>
  </r>
  <r>
    <x v="1"/>
    <x v="1"/>
    <x v="5"/>
    <x v="1"/>
    <x v="15"/>
    <x v="1"/>
    <x v="0"/>
    <n v="1.47"/>
    <n v="8227.4599999999991"/>
    <n v="23310.98"/>
    <x v="2"/>
  </r>
  <r>
    <x v="1"/>
    <x v="1"/>
    <x v="5"/>
    <x v="1"/>
    <x v="16"/>
    <x v="1"/>
    <x v="0"/>
    <n v="3.07"/>
    <n v="17182.509999999998"/>
    <n v="46354.29"/>
    <x v="2"/>
  </r>
  <r>
    <x v="1"/>
    <x v="1"/>
    <x v="5"/>
    <x v="1"/>
    <x v="17"/>
    <x v="1"/>
    <x v="0"/>
    <n v="4.33"/>
    <n v="24234.62"/>
    <n v="66039.25"/>
    <x v="2"/>
  </r>
  <r>
    <x v="1"/>
    <x v="1"/>
    <x v="5"/>
    <x v="1"/>
    <x v="18"/>
    <x v="1"/>
    <x v="0"/>
    <n v="6.05"/>
    <n v="33861.31"/>
    <n v="96568.17"/>
    <x v="2"/>
  </r>
  <r>
    <x v="1"/>
    <x v="1"/>
    <x v="5"/>
    <x v="1"/>
    <x v="19"/>
    <x v="1"/>
    <x v="0"/>
    <n v="3.98"/>
    <n v="22275.7"/>
    <n v="61603.64"/>
    <x v="2"/>
  </r>
  <r>
    <x v="1"/>
    <x v="1"/>
    <x v="5"/>
    <x v="1"/>
    <x v="20"/>
    <x v="1"/>
    <x v="0"/>
    <n v="8.8699999999999992"/>
    <n v="49644.59"/>
    <n v="135052.96"/>
    <x v="2"/>
  </r>
  <r>
    <x v="1"/>
    <x v="1"/>
    <x v="5"/>
    <x v="2"/>
    <x v="21"/>
    <x v="1"/>
    <x v="0"/>
    <n v="0"/>
    <n v="0"/>
    <n v="0"/>
    <x v="2"/>
  </r>
  <r>
    <x v="1"/>
    <x v="1"/>
    <x v="5"/>
    <x v="2"/>
    <x v="22"/>
    <x v="1"/>
    <x v="0"/>
    <n v="4.99"/>
    <n v="27928.58"/>
    <n v="69831.990000000005"/>
    <x v="2"/>
  </r>
  <r>
    <x v="1"/>
    <x v="1"/>
    <x v="5"/>
    <x v="2"/>
    <x v="29"/>
    <x v="1"/>
    <x v="0"/>
    <n v="0"/>
    <n v="0"/>
    <n v="0"/>
    <x v="2"/>
  </r>
  <r>
    <x v="1"/>
    <x v="1"/>
    <x v="5"/>
    <x v="2"/>
    <x v="23"/>
    <x v="1"/>
    <x v="0"/>
    <n v="0"/>
    <n v="0"/>
    <n v="0"/>
    <x v="2"/>
  </r>
  <r>
    <x v="1"/>
    <x v="1"/>
    <x v="5"/>
    <x v="2"/>
    <x v="24"/>
    <x v="1"/>
    <x v="0"/>
    <n v="1.07"/>
    <n v="5988.69"/>
    <n v="15241.27"/>
    <x v="2"/>
  </r>
  <r>
    <x v="1"/>
    <x v="1"/>
    <x v="5"/>
    <x v="3"/>
    <x v="25"/>
    <x v="1"/>
    <x v="0"/>
    <n v="4.3499999999999996"/>
    <n v="24346.560000000001"/>
    <n v="68434.34"/>
    <x v="2"/>
  </r>
  <r>
    <x v="1"/>
    <x v="1"/>
    <x v="5"/>
    <x v="3"/>
    <x v="26"/>
    <x v="1"/>
    <x v="0"/>
    <n v="4.6500000000000004"/>
    <n v="26025.63"/>
    <n v="73723.850000000006"/>
    <x v="2"/>
  </r>
  <r>
    <x v="1"/>
    <x v="1"/>
    <x v="5"/>
    <x v="3"/>
    <x v="27"/>
    <x v="1"/>
    <x v="0"/>
    <n v="10.24"/>
    <n v="57312.36"/>
    <n v="159149.01999999999"/>
    <x v="2"/>
  </r>
  <r>
    <x v="1"/>
    <x v="1"/>
    <x v="5"/>
    <x v="0"/>
    <x v="0"/>
    <x v="1"/>
    <x v="1"/>
    <n v="6.04"/>
    <n v="33805.339999999997"/>
    <n v="90672.66"/>
    <x v="2"/>
  </r>
  <r>
    <x v="1"/>
    <x v="1"/>
    <x v="5"/>
    <x v="0"/>
    <x v="1"/>
    <x v="1"/>
    <x v="1"/>
    <n v="11.88"/>
    <n v="66491.289999999994"/>
    <n v="175356.25"/>
    <x v="2"/>
  </r>
  <r>
    <x v="1"/>
    <x v="1"/>
    <x v="5"/>
    <x v="0"/>
    <x v="2"/>
    <x v="1"/>
    <x v="1"/>
    <n v="9.41"/>
    <n v="52666.92"/>
    <n v="134226.13"/>
    <x v="2"/>
  </r>
  <r>
    <x v="1"/>
    <x v="1"/>
    <x v="5"/>
    <x v="0"/>
    <x v="3"/>
    <x v="1"/>
    <x v="1"/>
    <n v="20"/>
    <n v="111938.2"/>
    <n v="296684.49"/>
    <x v="2"/>
  </r>
  <r>
    <x v="1"/>
    <x v="1"/>
    <x v="5"/>
    <x v="0"/>
    <x v="28"/>
    <x v="1"/>
    <x v="1"/>
    <n v="0.61"/>
    <n v="3414.12"/>
    <n v="9216.52"/>
    <x v="2"/>
  </r>
  <r>
    <x v="1"/>
    <x v="1"/>
    <x v="5"/>
    <x v="0"/>
    <x v="4"/>
    <x v="1"/>
    <x v="1"/>
    <n v="5.38"/>
    <n v="30111.38"/>
    <n v="79116.89"/>
    <x v="2"/>
  </r>
  <r>
    <x v="1"/>
    <x v="1"/>
    <x v="5"/>
    <x v="0"/>
    <x v="5"/>
    <x v="1"/>
    <x v="1"/>
    <n v="15.17"/>
    <n v="84905.12"/>
    <n v="229560.62"/>
    <x v="2"/>
  </r>
  <r>
    <x v="1"/>
    <x v="1"/>
    <x v="5"/>
    <x v="0"/>
    <x v="6"/>
    <x v="1"/>
    <x v="1"/>
    <n v="1.01"/>
    <n v="5652.88"/>
    <n v="15233.66"/>
    <x v="2"/>
  </r>
  <r>
    <x v="1"/>
    <x v="1"/>
    <x v="5"/>
    <x v="0"/>
    <x v="7"/>
    <x v="1"/>
    <x v="1"/>
    <n v="3"/>
    <n v="16790.73"/>
    <n v="45989.84"/>
    <x v="2"/>
  </r>
  <r>
    <x v="1"/>
    <x v="1"/>
    <x v="5"/>
    <x v="0"/>
    <x v="8"/>
    <x v="1"/>
    <x v="1"/>
    <n v="1.6"/>
    <n v="8955.06"/>
    <n v="23343.91"/>
    <x v="2"/>
  </r>
  <r>
    <x v="1"/>
    <x v="1"/>
    <x v="5"/>
    <x v="1"/>
    <x v="30"/>
    <x v="1"/>
    <x v="1"/>
    <n v="0"/>
    <n v="0"/>
    <n v="0"/>
    <x v="2"/>
  </r>
  <r>
    <x v="1"/>
    <x v="1"/>
    <x v="5"/>
    <x v="1"/>
    <x v="9"/>
    <x v="1"/>
    <x v="1"/>
    <n v="3.49"/>
    <n v="19533.22"/>
    <n v="55197.98"/>
    <x v="2"/>
  </r>
  <r>
    <x v="1"/>
    <x v="1"/>
    <x v="5"/>
    <x v="1"/>
    <x v="31"/>
    <x v="1"/>
    <x v="1"/>
    <n v="0"/>
    <n v="0"/>
    <n v="0"/>
    <x v="2"/>
  </r>
  <r>
    <x v="1"/>
    <x v="1"/>
    <x v="5"/>
    <x v="1"/>
    <x v="10"/>
    <x v="1"/>
    <x v="1"/>
    <n v="24.1"/>
    <n v="134885.53"/>
    <n v="377445.75"/>
    <x v="2"/>
  </r>
  <r>
    <x v="1"/>
    <x v="1"/>
    <x v="5"/>
    <x v="1"/>
    <x v="11"/>
    <x v="1"/>
    <x v="1"/>
    <n v="19.329999999999998"/>
    <n v="108188.27"/>
    <n v="288509.7"/>
    <x v="2"/>
  </r>
  <r>
    <x v="1"/>
    <x v="1"/>
    <x v="5"/>
    <x v="1"/>
    <x v="12"/>
    <x v="1"/>
    <x v="1"/>
    <n v="2.74"/>
    <n v="15335.53"/>
    <n v="42987.65"/>
    <x v="2"/>
  </r>
  <r>
    <x v="1"/>
    <x v="1"/>
    <x v="5"/>
    <x v="1"/>
    <x v="13"/>
    <x v="1"/>
    <x v="1"/>
    <n v="8.9600000000000009"/>
    <n v="50148.31"/>
    <n v="140074.42000000001"/>
    <x v="2"/>
  </r>
  <r>
    <x v="1"/>
    <x v="1"/>
    <x v="5"/>
    <x v="1"/>
    <x v="14"/>
    <x v="1"/>
    <x v="1"/>
    <n v="5.26"/>
    <n v="29439.75"/>
    <n v="80728.56"/>
    <x v="2"/>
  </r>
  <r>
    <x v="1"/>
    <x v="1"/>
    <x v="5"/>
    <x v="1"/>
    <x v="15"/>
    <x v="1"/>
    <x v="1"/>
    <n v="1.47"/>
    <n v="8227.4599999999991"/>
    <n v="23310.98"/>
    <x v="2"/>
  </r>
  <r>
    <x v="1"/>
    <x v="1"/>
    <x v="5"/>
    <x v="1"/>
    <x v="16"/>
    <x v="1"/>
    <x v="1"/>
    <n v="5.92"/>
    <n v="33133.71"/>
    <n v="89455.65"/>
    <x v="2"/>
  </r>
  <r>
    <x v="1"/>
    <x v="1"/>
    <x v="5"/>
    <x v="1"/>
    <x v="17"/>
    <x v="1"/>
    <x v="1"/>
    <n v="3.77"/>
    <n v="21100.35"/>
    <n v="57425.440000000002"/>
    <x v="2"/>
  </r>
  <r>
    <x v="1"/>
    <x v="1"/>
    <x v="5"/>
    <x v="1"/>
    <x v="18"/>
    <x v="1"/>
    <x v="1"/>
    <n v="24.12"/>
    <n v="134997.47"/>
    <n v="384949.83"/>
    <x v="2"/>
  </r>
  <r>
    <x v="1"/>
    <x v="1"/>
    <x v="5"/>
    <x v="1"/>
    <x v="19"/>
    <x v="1"/>
    <x v="1"/>
    <n v="5.93"/>
    <n v="33189.68"/>
    <n v="91705.41"/>
    <x v="2"/>
  </r>
  <r>
    <x v="1"/>
    <x v="1"/>
    <x v="5"/>
    <x v="1"/>
    <x v="20"/>
    <x v="1"/>
    <x v="1"/>
    <n v="17.25"/>
    <n v="96546.7"/>
    <n v="262602.98"/>
    <x v="2"/>
  </r>
  <r>
    <x v="1"/>
    <x v="1"/>
    <x v="5"/>
    <x v="2"/>
    <x v="21"/>
    <x v="1"/>
    <x v="1"/>
    <n v="1.9"/>
    <n v="10634.13"/>
    <n v="26570.06"/>
    <x v="2"/>
  </r>
  <r>
    <x v="1"/>
    <x v="1"/>
    <x v="5"/>
    <x v="2"/>
    <x v="22"/>
    <x v="1"/>
    <x v="1"/>
    <n v="10.49"/>
    <n v="58711.59"/>
    <n v="146647.18"/>
    <x v="2"/>
  </r>
  <r>
    <x v="1"/>
    <x v="1"/>
    <x v="5"/>
    <x v="2"/>
    <x v="29"/>
    <x v="1"/>
    <x v="1"/>
    <n v="0.21"/>
    <n v="1175.3499999999999"/>
    <n v="3154.1"/>
    <x v="2"/>
  </r>
  <r>
    <x v="1"/>
    <x v="1"/>
    <x v="5"/>
    <x v="2"/>
    <x v="23"/>
    <x v="1"/>
    <x v="1"/>
    <n v="1.92"/>
    <n v="10746.07"/>
    <n v="27965.66"/>
    <x v="2"/>
  </r>
  <r>
    <x v="1"/>
    <x v="1"/>
    <x v="5"/>
    <x v="2"/>
    <x v="24"/>
    <x v="1"/>
    <x v="1"/>
    <n v="1.65"/>
    <n v="9234.9"/>
    <n v="23554.69"/>
    <x v="2"/>
  </r>
  <r>
    <x v="1"/>
    <x v="1"/>
    <x v="5"/>
    <x v="3"/>
    <x v="25"/>
    <x v="1"/>
    <x v="1"/>
    <n v="7.72"/>
    <n v="43208.15"/>
    <n v="121505.87"/>
    <x v="2"/>
  </r>
  <r>
    <x v="1"/>
    <x v="1"/>
    <x v="5"/>
    <x v="3"/>
    <x v="26"/>
    <x v="1"/>
    <x v="1"/>
    <n v="11.24"/>
    <n v="62909.27"/>
    <n v="178050.06"/>
    <x v="2"/>
  </r>
  <r>
    <x v="1"/>
    <x v="1"/>
    <x v="5"/>
    <x v="3"/>
    <x v="27"/>
    <x v="1"/>
    <x v="1"/>
    <n v="27.02"/>
    <n v="151228.51"/>
    <n v="420049.05"/>
    <x v="2"/>
  </r>
  <r>
    <x v="1"/>
    <x v="1"/>
    <x v="6"/>
    <x v="0"/>
    <x v="0"/>
    <x v="0"/>
    <x v="0"/>
    <n v="1.94"/>
    <n v="5151.22"/>
    <n v="18145.64"/>
    <x v="2"/>
  </r>
  <r>
    <x v="1"/>
    <x v="1"/>
    <x v="6"/>
    <x v="0"/>
    <x v="1"/>
    <x v="0"/>
    <x v="0"/>
    <n v="2.71"/>
    <n v="7195.78"/>
    <n v="25340.38"/>
    <x v="2"/>
  </r>
  <r>
    <x v="1"/>
    <x v="1"/>
    <x v="6"/>
    <x v="0"/>
    <x v="2"/>
    <x v="0"/>
    <x v="0"/>
    <n v="0"/>
    <n v="0"/>
    <n v="0"/>
    <x v="2"/>
  </r>
  <r>
    <x v="1"/>
    <x v="1"/>
    <x v="6"/>
    <x v="0"/>
    <x v="3"/>
    <x v="0"/>
    <x v="0"/>
    <n v="1.32"/>
    <n v="3504.96"/>
    <n v="12409.27"/>
    <x v="2"/>
  </r>
  <r>
    <x v="1"/>
    <x v="1"/>
    <x v="6"/>
    <x v="0"/>
    <x v="4"/>
    <x v="0"/>
    <x v="0"/>
    <n v="0"/>
    <n v="0"/>
    <n v="0"/>
    <x v="2"/>
  </r>
  <r>
    <x v="1"/>
    <x v="1"/>
    <x v="6"/>
    <x v="0"/>
    <x v="5"/>
    <x v="0"/>
    <x v="0"/>
    <n v="0"/>
    <n v="0"/>
    <n v="0"/>
    <x v="2"/>
  </r>
  <r>
    <x v="1"/>
    <x v="1"/>
    <x v="6"/>
    <x v="0"/>
    <x v="6"/>
    <x v="0"/>
    <x v="0"/>
    <n v="0"/>
    <n v="0"/>
    <n v="0"/>
    <x v="2"/>
  </r>
  <r>
    <x v="1"/>
    <x v="1"/>
    <x v="6"/>
    <x v="0"/>
    <x v="8"/>
    <x v="0"/>
    <x v="0"/>
    <n v="0"/>
    <n v="0"/>
    <n v="0"/>
    <x v="2"/>
  </r>
  <r>
    <x v="1"/>
    <x v="1"/>
    <x v="6"/>
    <x v="1"/>
    <x v="10"/>
    <x v="0"/>
    <x v="0"/>
    <n v="2.38"/>
    <n v="6319.54"/>
    <n v="22288.880000000001"/>
    <x v="2"/>
  </r>
  <r>
    <x v="1"/>
    <x v="1"/>
    <x v="6"/>
    <x v="1"/>
    <x v="11"/>
    <x v="0"/>
    <x v="0"/>
    <n v="0"/>
    <n v="0"/>
    <n v="0"/>
    <x v="2"/>
  </r>
  <r>
    <x v="1"/>
    <x v="1"/>
    <x v="6"/>
    <x v="1"/>
    <x v="13"/>
    <x v="0"/>
    <x v="0"/>
    <n v="0"/>
    <n v="0"/>
    <n v="0"/>
    <x v="2"/>
  </r>
  <r>
    <x v="1"/>
    <x v="1"/>
    <x v="6"/>
    <x v="1"/>
    <x v="14"/>
    <x v="0"/>
    <x v="0"/>
    <n v="0"/>
    <n v="0"/>
    <n v="0"/>
    <x v="2"/>
  </r>
  <r>
    <x v="1"/>
    <x v="1"/>
    <x v="6"/>
    <x v="1"/>
    <x v="16"/>
    <x v="0"/>
    <x v="0"/>
    <n v="0"/>
    <n v="0"/>
    <n v="0"/>
    <x v="2"/>
  </r>
  <r>
    <x v="1"/>
    <x v="1"/>
    <x v="6"/>
    <x v="1"/>
    <x v="17"/>
    <x v="0"/>
    <x v="0"/>
    <n v="0"/>
    <n v="0"/>
    <n v="0"/>
    <x v="2"/>
  </r>
  <r>
    <x v="1"/>
    <x v="1"/>
    <x v="6"/>
    <x v="1"/>
    <x v="18"/>
    <x v="0"/>
    <x v="0"/>
    <n v="0"/>
    <n v="0"/>
    <n v="0"/>
    <x v="2"/>
  </r>
  <r>
    <x v="1"/>
    <x v="1"/>
    <x v="6"/>
    <x v="1"/>
    <x v="19"/>
    <x v="0"/>
    <x v="0"/>
    <n v="0"/>
    <n v="0"/>
    <n v="0"/>
    <x v="2"/>
  </r>
  <r>
    <x v="1"/>
    <x v="1"/>
    <x v="6"/>
    <x v="1"/>
    <x v="20"/>
    <x v="0"/>
    <x v="0"/>
    <n v="1.27"/>
    <n v="3372.19"/>
    <n v="11878.47"/>
    <x v="2"/>
  </r>
  <r>
    <x v="1"/>
    <x v="1"/>
    <x v="6"/>
    <x v="2"/>
    <x v="21"/>
    <x v="0"/>
    <x v="0"/>
    <n v="1.1200000000000001"/>
    <n v="2973.9"/>
    <n v="10499.25"/>
    <x v="2"/>
  </r>
  <r>
    <x v="1"/>
    <x v="1"/>
    <x v="6"/>
    <x v="2"/>
    <x v="22"/>
    <x v="0"/>
    <x v="0"/>
    <n v="0"/>
    <n v="0"/>
    <n v="0"/>
    <x v="2"/>
  </r>
  <r>
    <x v="1"/>
    <x v="1"/>
    <x v="6"/>
    <x v="2"/>
    <x v="29"/>
    <x v="0"/>
    <x v="0"/>
    <n v="0"/>
    <n v="0"/>
    <n v="0"/>
    <x v="2"/>
  </r>
  <r>
    <x v="1"/>
    <x v="1"/>
    <x v="6"/>
    <x v="2"/>
    <x v="24"/>
    <x v="0"/>
    <x v="0"/>
    <n v="0"/>
    <n v="0"/>
    <n v="0"/>
    <x v="2"/>
  </r>
  <r>
    <x v="1"/>
    <x v="1"/>
    <x v="6"/>
    <x v="3"/>
    <x v="25"/>
    <x v="0"/>
    <x v="0"/>
    <n v="0"/>
    <n v="0"/>
    <n v="0"/>
    <x v="2"/>
  </r>
  <r>
    <x v="1"/>
    <x v="1"/>
    <x v="6"/>
    <x v="3"/>
    <x v="26"/>
    <x v="0"/>
    <x v="0"/>
    <n v="1.34"/>
    <n v="3558.06"/>
    <n v="12553.37"/>
    <x v="2"/>
  </r>
  <r>
    <x v="1"/>
    <x v="1"/>
    <x v="6"/>
    <x v="3"/>
    <x v="27"/>
    <x v="0"/>
    <x v="0"/>
    <n v="1.4"/>
    <n v="3717.38"/>
    <n v="13090.28"/>
    <x v="2"/>
  </r>
  <r>
    <x v="1"/>
    <x v="1"/>
    <x v="6"/>
    <x v="0"/>
    <x v="0"/>
    <x v="0"/>
    <x v="1"/>
    <n v="1.52"/>
    <n v="4036.01"/>
    <n v="14200.94"/>
    <x v="2"/>
  </r>
  <r>
    <x v="1"/>
    <x v="1"/>
    <x v="6"/>
    <x v="0"/>
    <x v="1"/>
    <x v="0"/>
    <x v="1"/>
    <n v="5.66"/>
    <n v="15028.83"/>
    <n v="53031.92"/>
    <x v="2"/>
  </r>
  <r>
    <x v="1"/>
    <x v="1"/>
    <x v="6"/>
    <x v="0"/>
    <x v="2"/>
    <x v="0"/>
    <x v="1"/>
    <n v="1.97"/>
    <n v="5230.88"/>
    <n v="18434"/>
    <x v="2"/>
  </r>
  <r>
    <x v="1"/>
    <x v="1"/>
    <x v="6"/>
    <x v="0"/>
    <x v="3"/>
    <x v="0"/>
    <x v="1"/>
    <n v="5.3"/>
    <n v="14072.93"/>
    <n v="49637.09"/>
    <x v="2"/>
  </r>
  <r>
    <x v="1"/>
    <x v="1"/>
    <x v="6"/>
    <x v="0"/>
    <x v="4"/>
    <x v="0"/>
    <x v="1"/>
    <n v="1.7"/>
    <n v="4513.96"/>
    <n v="15926.03"/>
    <x v="2"/>
  </r>
  <r>
    <x v="1"/>
    <x v="1"/>
    <x v="6"/>
    <x v="0"/>
    <x v="5"/>
    <x v="0"/>
    <x v="1"/>
    <n v="3.48"/>
    <n v="9240.34"/>
    <n v="32612.13"/>
    <x v="2"/>
  </r>
  <r>
    <x v="1"/>
    <x v="1"/>
    <x v="6"/>
    <x v="0"/>
    <x v="6"/>
    <x v="0"/>
    <x v="1"/>
    <n v="1.68"/>
    <n v="4460.8500000000004"/>
    <n v="15758.1"/>
    <x v="2"/>
  </r>
  <r>
    <x v="1"/>
    <x v="1"/>
    <x v="6"/>
    <x v="0"/>
    <x v="8"/>
    <x v="0"/>
    <x v="1"/>
    <n v="3.25"/>
    <n v="8629.6299999999992"/>
    <n v="30466.2"/>
    <x v="2"/>
  </r>
  <r>
    <x v="1"/>
    <x v="1"/>
    <x v="6"/>
    <x v="1"/>
    <x v="10"/>
    <x v="0"/>
    <x v="1"/>
    <n v="3.35"/>
    <n v="8895.15"/>
    <n v="31369.53"/>
    <x v="2"/>
  </r>
  <r>
    <x v="1"/>
    <x v="1"/>
    <x v="6"/>
    <x v="1"/>
    <x v="11"/>
    <x v="0"/>
    <x v="1"/>
    <n v="10.67"/>
    <n v="28331.73"/>
    <n v="99986.04"/>
    <x v="2"/>
  </r>
  <r>
    <x v="1"/>
    <x v="1"/>
    <x v="6"/>
    <x v="1"/>
    <x v="13"/>
    <x v="0"/>
    <x v="1"/>
    <n v="3.5"/>
    <n v="9293.4500000000007"/>
    <n v="32755.5"/>
    <x v="2"/>
  </r>
  <r>
    <x v="1"/>
    <x v="1"/>
    <x v="6"/>
    <x v="1"/>
    <x v="14"/>
    <x v="0"/>
    <x v="1"/>
    <n v="1.18"/>
    <n v="3133.22"/>
    <n v="11056.75"/>
    <x v="2"/>
  </r>
  <r>
    <x v="1"/>
    <x v="1"/>
    <x v="6"/>
    <x v="1"/>
    <x v="16"/>
    <x v="0"/>
    <x v="1"/>
    <n v="1.63"/>
    <n v="4328.09"/>
    <n v="15309.85"/>
    <x v="2"/>
  </r>
  <r>
    <x v="1"/>
    <x v="1"/>
    <x v="6"/>
    <x v="1"/>
    <x v="17"/>
    <x v="0"/>
    <x v="1"/>
    <n v="1"/>
    <n v="2655.27"/>
    <n v="9342.9599999999991"/>
    <x v="2"/>
  </r>
  <r>
    <x v="1"/>
    <x v="1"/>
    <x v="6"/>
    <x v="1"/>
    <x v="18"/>
    <x v="0"/>
    <x v="1"/>
    <n v="9.4"/>
    <n v="24959.54"/>
    <n v="88009.71"/>
    <x v="2"/>
  </r>
  <r>
    <x v="1"/>
    <x v="1"/>
    <x v="6"/>
    <x v="1"/>
    <x v="19"/>
    <x v="0"/>
    <x v="1"/>
    <n v="3.03"/>
    <n v="8045.47"/>
    <n v="28337.4"/>
    <x v="2"/>
  </r>
  <r>
    <x v="1"/>
    <x v="1"/>
    <x v="6"/>
    <x v="1"/>
    <x v="20"/>
    <x v="0"/>
    <x v="1"/>
    <n v="7.97"/>
    <n v="21162.5"/>
    <n v="74664.66"/>
    <x v="2"/>
  </r>
  <r>
    <x v="1"/>
    <x v="1"/>
    <x v="6"/>
    <x v="2"/>
    <x v="21"/>
    <x v="0"/>
    <x v="1"/>
    <n v="0"/>
    <n v="0"/>
    <n v="0"/>
    <x v="2"/>
  </r>
  <r>
    <x v="1"/>
    <x v="1"/>
    <x v="6"/>
    <x v="2"/>
    <x v="22"/>
    <x v="0"/>
    <x v="1"/>
    <n v="2.71"/>
    <n v="7195.78"/>
    <n v="25349.46"/>
    <x v="2"/>
  </r>
  <r>
    <x v="1"/>
    <x v="1"/>
    <x v="6"/>
    <x v="2"/>
    <x v="29"/>
    <x v="0"/>
    <x v="1"/>
    <n v="1.07"/>
    <n v="2841.14"/>
    <n v="10020.16"/>
    <x v="2"/>
  </r>
  <r>
    <x v="1"/>
    <x v="1"/>
    <x v="6"/>
    <x v="2"/>
    <x v="24"/>
    <x v="0"/>
    <x v="1"/>
    <n v="1.33"/>
    <n v="3531.51"/>
    <n v="12424.11"/>
    <x v="2"/>
  </r>
  <r>
    <x v="1"/>
    <x v="1"/>
    <x v="6"/>
    <x v="3"/>
    <x v="25"/>
    <x v="0"/>
    <x v="1"/>
    <n v="1.53"/>
    <n v="4062.56"/>
    <n v="14335.41"/>
    <x v="2"/>
  </r>
  <r>
    <x v="1"/>
    <x v="1"/>
    <x v="6"/>
    <x v="3"/>
    <x v="26"/>
    <x v="0"/>
    <x v="1"/>
    <n v="0.92"/>
    <n v="2442.85"/>
    <n v="8630.44"/>
    <x v="2"/>
  </r>
  <r>
    <x v="1"/>
    <x v="1"/>
    <x v="6"/>
    <x v="3"/>
    <x v="27"/>
    <x v="0"/>
    <x v="1"/>
    <n v="6.9"/>
    <n v="18321.36"/>
    <n v="64633.27"/>
    <x v="2"/>
  </r>
  <r>
    <x v="1"/>
    <x v="1"/>
    <x v="6"/>
    <x v="0"/>
    <x v="0"/>
    <x v="1"/>
    <x v="0"/>
    <n v="4.74"/>
    <n v="12585.98"/>
    <n v="29064.34"/>
    <x v="2"/>
  </r>
  <r>
    <x v="1"/>
    <x v="1"/>
    <x v="6"/>
    <x v="0"/>
    <x v="1"/>
    <x v="1"/>
    <x v="0"/>
    <n v="10.6"/>
    <n v="28145.86"/>
    <n v="63863.37"/>
    <x v="2"/>
  </r>
  <r>
    <x v="1"/>
    <x v="1"/>
    <x v="6"/>
    <x v="0"/>
    <x v="2"/>
    <x v="1"/>
    <x v="0"/>
    <n v="2.84"/>
    <n v="7540.97"/>
    <n v="16495.52"/>
    <x v="2"/>
  </r>
  <r>
    <x v="1"/>
    <x v="1"/>
    <x v="6"/>
    <x v="0"/>
    <x v="3"/>
    <x v="1"/>
    <x v="0"/>
    <n v="9.7100000000000009"/>
    <n v="25782.67"/>
    <n v="58746.83"/>
    <x v="2"/>
  </r>
  <r>
    <x v="1"/>
    <x v="1"/>
    <x v="6"/>
    <x v="0"/>
    <x v="28"/>
    <x v="1"/>
    <x v="0"/>
    <n v="0"/>
    <n v="0"/>
    <n v="0"/>
    <x v="2"/>
  </r>
  <r>
    <x v="1"/>
    <x v="1"/>
    <x v="6"/>
    <x v="0"/>
    <x v="4"/>
    <x v="1"/>
    <x v="0"/>
    <n v="3.1"/>
    <n v="8231.34"/>
    <n v="18578.78"/>
    <x v="2"/>
  </r>
  <r>
    <x v="1"/>
    <x v="1"/>
    <x v="6"/>
    <x v="0"/>
    <x v="5"/>
    <x v="1"/>
    <x v="0"/>
    <n v="2.69"/>
    <n v="7142.68"/>
    <n v="16623.18"/>
    <x v="2"/>
  </r>
  <r>
    <x v="1"/>
    <x v="1"/>
    <x v="6"/>
    <x v="0"/>
    <x v="6"/>
    <x v="1"/>
    <x v="0"/>
    <n v="0"/>
    <n v="0"/>
    <n v="0"/>
    <x v="2"/>
  </r>
  <r>
    <x v="1"/>
    <x v="1"/>
    <x v="6"/>
    <x v="0"/>
    <x v="7"/>
    <x v="1"/>
    <x v="0"/>
    <n v="0"/>
    <n v="0"/>
    <n v="0"/>
    <x v="2"/>
  </r>
  <r>
    <x v="1"/>
    <x v="1"/>
    <x v="6"/>
    <x v="0"/>
    <x v="8"/>
    <x v="1"/>
    <x v="0"/>
    <n v="0"/>
    <n v="0"/>
    <n v="0"/>
    <x v="2"/>
  </r>
  <r>
    <x v="1"/>
    <x v="1"/>
    <x v="6"/>
    <x v="1"/>
    <x v="30"/>
    <x v="1"/>
    <x v="0"/>
    <n v="1.08"/>
    <n v="2867.69"/>
    <n v="6952.29"/>
    <x v="2"/>
  </r>
  <r>
    <x v="1"/>
    <x v="1"/>
    <x v="6"/>
    <x v="1"/>
    <x v="9"/>
    <x v="1"/>
    <x v="0"/>
    <n v="0"/>
    <n v="0"/>
    <n v="0"/>
    <x v="2"/>
  </r>
  <r>
    <x v="1"/>
    <x v="1"/>
    <x v="6"/>
    <x v="1"/>
    <x v="31"/>
    <x v="1"/>
    <x v="0"/>
    <n v="0.92"/>
    <n v="2442.85"/>
    <n v="5993.05"/>
    <x v="2"/>
  </r>
  <r>
    <x v="1"/>
    <x v="1"/>
    <x v="6"/>
    <x v="1"/>
    <x v="10"/>
    <x v="1"/>
    <x v="0"/>
    <n v="9.0399999999999991"/>
    <n v="24003.64"/>
    <n v="57777.13"/>
    <x v="2"/>
  </r>
  <r>
    <x v="1"/>
    <x v="1"/>
    <x v="6"/>
    <x v="1"/>
    <x v="11"/>
    <x v="1"/>
    <x v="0"/>
    <n v="6.82"/>
    <n v="18108.939999999999"/>
    <n v="41529.29"/>
    <x v="2"/>
  </r>
  <r>
    <x v="1"/>
    <x v="1"/>
    <x v="6"/>
    <x v="1"/>
    <x v="12"/>
    <x v="1"/>
    <x v="0"/>
    <n v="1.75"/>
    <n v="4646.72"/>
    <n v="11237.24"/>
    <x v="2"/>
  </r>
  <r>
    <x v="1"/>
    <x v="1"/>
    <x v="6"/>
    <x v="1"/>
    <x v="13"/>
    <x v="1"/>
    <x v="0"/>
    <n v="1.41"/>
    <n v="3743.93"/>
    <n v="9006.2999999999993"/>
    <x v="2"/>
  </r>
  <r>
    <x v="1"/>
    <x v="1"/>
    <x v="6"/>
    <x v="1"/>
    <x v="14"/>
    <x v="1"/>
    <x v="0"/>
    <n v="9.7899999999999991"/>
    <n v="25995.09"/>
    <n v="61248.87"/>
    <x v="2"/>
  </r>
  <r>
    <x v="1"/>
    <x v="1"/>
    <x v="6"/>
    <x v="1"/>
    <x v="15"/>
    <x v="1"/>
    <x v="0"/>
    <n v="2.0699999999999998"/>
    <n v="5496.41"/>
    <n v="13370.11"/>
    <x v="2"/>
  </r>
  <r>
    <x v="1"/>
    <x v="1"/>
    <x v="6"/>
    <x v="1"/>
    <x v="16"/>
    <x v="1"/>
    <x v="0"/>
    <n v="3.81"/>
    <n v="10116.58"/>
    <n v="23507.49"/>
    <x v="2"/>
  </r>
  <r>
    <x v="1"/>
    <x v="1"/>
    <x v="6"/>
    <x v="1"/>
    <x v="17"/>
    <x v="1"/>
    <x v="0"/>
    <n v="4.03"/>
    <n v="10700.74"/>
    <n v="25051.24"/>
    <x v="2"/>
  </r>
  <r>
    <x v="1"/>
    <x v="1"/>
    <x v="6"/>
    <x v="1"/>
    <x v="18"/>
    <x v="1"/>
    <x v="0"/>
    <n v="7.95"/>
    <n v="21109.4"/>
    <n v="51774.63"/>
    <x v="2"/>
  </r>
  <r>
    <x v="1"/>
    <x v="1"/>
    <x v="6"/>
    <x v="1"/>
    <x v="19"/>
    <x v="1"/>
    <x v="0"/>
    <n v="8.4600000000000009"/>
    <n v="22463.58"/>
    <n v="53423.54"/>
    <x v="2"/>
  </r>
  <r>
    <x v="1"/>
    <x v="1"/>
    <x v="6"/>
    <x v="1"/>
    <x v="20"/>
    <x v="1"/>
    <x v="0"/>
    <n v="9.8000000000000007"/>
    <n v="26021.65"/>
    <n v="60857.03"/>
    <x v="2"/>
  </r>
  <r>
    <x v="1"/>
    <x v="1"/>
    <x v="6"/>
    <x v="2"/>
    <x v="21"/>
    <x v="1"/>
    <x v="0"/>
    <n v="0"/>
    <n v="0"/>
    <n v="0"/>
    <x v="2"/>
  </r>
  <r>
    <x v="1"/>
    <x v="1"/>
    <x v="6"/>
    <x v="2"/>
    <x v="22"/>
    <x v="1"/>
    <x v="0"/>
    <n v="4.88"/>
    <n v="12957.72"/>
    <n v="27836.799999999999"/>
    <x v="2"/>
  </r>
  <r>
    <x v="1"/>
    <x v="1"/>
    <x v="6"/>
    <x v="2"/>
    <x v="29"/>
    <x v="1"/>
    <x v="0"/>
    <n v="0"/>
    <n v="0"/>
    <n v="0"/>
    <x v="2"/>
  </r>
  <r>
    <x v="1"/>
    <x v="1"/>
    <x v="6"/>
    <x v="2"/>
    <x v="23"/>
    <x v="1"/>
    <x v="0"/>
    <n v="0"/>
    <n v="0"/>
    <n v="0"/>
    <x v="2"/>
  </r>
  <r>
    <x v="1"/>
    <x v="1"/>
    <x v="6"/>
    <x v="2"/>
    <x v="24"/>
    <x v="1"/>
    <x v="0"/>
    <n v="2.02"/>
    <n v="5363.65"/>
    <n v="11747.92"/>
    <x v="2"/>
  </r>
  <r>
    <x v="1"/>
    <x v="1"/>
    <x v="6"/>
    <x v="3"/>
    <x v="25"/>
    <x v="1"/>
    <x v="0"/>
    <n v="4.33"/>
    <n v="11497.32"/>
    <n v="27752.639999999999"/>
    <x v="2"/>
  </r>
  <r>
    <x v="1"/>
    <x v="1"/>
    <x v="6"/>
    <x v="3"/>
    <x v="26"/>
    <x v="1"/>
    <x v="0"/>
    <n v="2.75"/>
    <n v="7301.99"/>
    <n v="17762.689999999999"/>
    <x v="2"/>
  </r>
  <r>
    <x v="1"/>
    <x v="1"/>
    <x v="6"/>
    <x v="3"/>
    <x v="27"/>
    <x v="1"/>
    <x v="0"/>
    <n v="9.24"/>
    <n v="24534.69"/>
    <n v="58597.77"/>
    <x v="2"/>
  </r>
  <r>
    <x v="1"/>
    <x v="1"/>
    <x v="6"/>
    <x v="0"/>
    <x v="0"/>
    <x v="1"/>
    <x v="1"/>
    <n v="6.82"/>
    <n v="18108.939999999999"/>
    <n v="41779.99"/>
    <x v="2"/>
  </r>
  <r>
    <x v="1"/>
    <x v="1"/>
    <x v="6"/>
    <x v="0"/>
    <x v="1"/>
    <x v="1"/>
    <x v="1"/>
    <n v="18.940000000000001"/>
    <n v="50290.81"/>
    <n v="114108.81"/>
    <x v="2"/>
  </r>
  <r>
    <x v="1"/>
    <x v="1"/>
    <x v="6"/>
    <x v="0"/>
    <x v="2"/>
    <x v="1"/>
    <x v="1"/>
    <n v="11.6"/>
    <n v="30801.13"/>
    <n v="67481.679999999993"/>
    <x v="2"/>
  </r>
  <r>
    <x v="1"/>
    <x v="1"/>
    <x v="6"/>
    <x v="0"/>
    <x v="3"/>
    <x v="1"/>
    <x v="1"/>
    <n v="21.42"/>
    <n v="56875.88"/>
    <n v="129648.17"/>
    <x v="2"/>
  </r>
  <r>
    <x v="1"/>
    <x v="1"/>
    <x v="6"/>
    <x v="0"/>
    <x v="28"/>
    <x v="1"/>
    <x v="1"/>
    <n v="0.96"/>
    <n v="2549.06"/>
    <n v="5895.67"/>
    <x v="2"/>
  </r>
  <r>
    <x v="1"/>
    <x v="1"/>
    <x v="6"/>
    <x v="0"/>
    <x v="4"/>
    <x v="1"/>
    <x v="1"/>
    <n v="6.08"/>
    <n v="16144.04"/>
    <n v="36469.46"/>
    <x v="2"/>
  </r>
  <r>
    <x v="1"/>
    <x v="1"/>
    <x v="6"/>
    <x v="0"/>
    <x v="5"/>
    <x v="1"/>
    <x v="1"/>
    <n v="14.68"/>
    <n v="38979.360000000001"/>
    <n v="90623.12"/>
    <x v="2"/>
  </r>
  <r>
    <x v="1"/>
    <x v="1"/>
    <x v="6"/>
    <x v="0"/>
    <x v="6"/>
    <x v="1"/>
    <x v="1"/>
    <n v="2.08"/>
    <n v="5522.96"/>
    <n v="12775.94"/>
    <x v="2"/>
  </r>
  <r>
    <x v="1"/>
    <x v="1"/>
    <x v="6"/>
    <x v="0"/>
    <x v="7"/>
    <x v="1"/>
    <x v="1"/>
    <n v="2.48"/>
    <n v="6585.07"/>
    <n v="15524.86"/>
    <x v="2"/>
  </r>
  <r>
    <x v="1"/>
    <x v="1"/>
    <x v="6"/>
    <x v="0"/>
    <x v="8"/>
    <x v="1"/>
    <x v="1"/>
    <n v="3.61"/>
    <n v="9585.52"/>
    <n v="21550.31"/>
    <x v="2"/>
  </r>
  <r>
    <x v="1"/>
    <x v="1"/>
    <x v="6"/>
    <x v="1"/>
    <x v="30"/>
    <x v="1"/>
    <x v="1"/>
    <n v="0"/>
    <n v="0"/>
    <n v="0"/>
    <x v="2"/>
  </r>
  <r>
    <x v="1"/>
    <x v="1"/>
    <x v="6"/>
    <x v="1"/>
    <x v="9"/>
    <x v="1"/>
    <x v="1"/>
    <n v="3.97"/>
    <n v="10541.42"/>
    <n v="25567.14"/>
    <x v="2"/>
  </r>
  <r>
    <x v="1"/>
    <x v="1"/>
    <x v="6"/>
    <x v="1"/>
    <x v="31"/>
    <x v="1"/>
    <x v="1"/>
    <n v="0"/>
    <n v="0"/>
    <n v="0"/>
    <x v="2"/>
  </r>
  <r>
    <x v="1"/>
    <x v="1"/>
    <x v="6"/>
    <x v="1"/>
    <x v="10"/>
    <x v="1"/>
    <x v="1"/>
    <n v="22.57"/>
    <n v="59929.440000000002"/>
    <n v="144177.79"/>
    <x v="2"/>
  </r>
  <r>
    <x v="1"/>
    <x v="1"/>
    <x v="6"/>
    <x v="1"/>
    <x v="11"/>
    <x v="1"/>
    <x v="1"/>
    <n v="23.24"/>
    <n v="61708.47"/>
    <n v="141507.20000000001"/>
    <x v="2"/>
  </r>
  <r>
    <x v="1"/>
    <x v="1"/>
    <x v="6"/>
    <x v="1"/>
    <x v="12"/>
    <x v="1"/>
    <x v="1"/>
    <n v="1.66"/>
    <n v="4407.75"/>
    <n v="10645.81"/>
    <x v="2"/>
  </r>
  <r>
    <x v="1"/>
    <x v="1"/>
    <x v="6"/>
    <x v="1"/>
    <x v="13"/>
    <x v="1"/>
    <x v="1"/>
    <n v="11.79"/>
    <n v="31305.63"/>
    <n v="75229.09"/>
    <x v="2"/>
  </r>
  <r>
    <x v="1"/>
    <x v="1"/>
    <x v="6"/>
    <x v="1"/>
    <x v="14"/>
    <x v="1"/>
    <x v="1"/>
    <n v="7.59"/>
    <n v="20153.5"/>
    <n v="47520.68"/>
    <x v="2"/>
  </r>
  <r>
    <x v="1"/>
    <x v="1"/>
    <x v="6"/>
    <x v="1"/>
    <x v="15"/>
    <x v="1"/>
    <x v="1"/>
    <n v="1.64"/>
    <n v="4354.6400000000003"/>
    <n v="10584.67"/>
    <x v="2"/>
  </r>
  <r>
    <x v="1"/>
    <x v="1"/>
    <x v="6"/>
    <x v="1"/>
    <x v="16"/>
    <x v="1"/>
    <x v="1"/>
    <n v="8.2100000000000009"/>
    <n v="21799.77"/>
    <n v="50592.2"/>
    <x v="2"/>
  </r>
  <r>
    <x v="1"/>
    <x v="1"/>
    <x v="6"/>
    <x v="1"/>
    <x v="17"/>
    <x v="1"/>
    <x v="1"/>
    <n v="3.43"/>
    <n v="9107.58"/>
    <n v="21320.2"/>
    <x v="2"/>
  </r>
  <r>
    <x v="1"/>
    <x v="1"/>
    <x v="6"/>
    <x v="1"/>
    <x v="18"/>
    <x v="1"/>
    <x v="1"/>
    <n v="29.35"/>
    <n v="77932.17"/>
    <n v="191109.29"/>
    <x v="2"/>
  </r>
  <r>
    <x v="1"/>
    <x v="1"/>
    <x v="6"/>
    <x v="1"/>
    <x v="19"/>
    <x v="1"/>
    <x v="1"/>
    <n v="13.82"/>
    <n v="36695.83"/>
    <n v="87276.08"/>
    <x v="2"/>
  </r>
  <r>
    <x v="1"/>
    <x v="1"/>
    <x v="6"/>
    <x v="1"/>
    <x v="20"/>
    <x v="1"/>
    <x v="1"/>
    <n v="21.27"/>
    <n v="56477.59"/>
    <n v="132116.98000000001"/>
    <x v="2"/>
  </r>
  <r>
    <x v="1"/>
    <x v="1"/>
    <x v="6"/>
    <x v="2"/>
    <x v="21"/>
    <x v="1"/>
    <x v="1"/>
    <n v="1.71"/>
    <n v="4540.51"/>
    <n v="9746.17"/>
    <x v="2"/>
  </r>
  <r>
    <x v="1"/>
    <x v="1"/>
    <x v="6"/>
    <x v="2"/>
    <x v="22"/>
    <x v="1"/>
    <x v="1"/>
    <n v="10.62"/>
    <n v="28198.97"/>
    <n v="60585.98"/>
    <x v="2"/>
  </r>
  <r>
    <x v="1"/>
    <x v="1"/>
    <x v="6"/>
    <x v="2"/>
    <x v="29"/>
    <x v="1"/>
    <x v="1"/>
    <n v="2.4700000000000002"/>
    <n v="6558.52"/>
    <n v="14958.53"/>
    <x v="2"/>
  </r>
  <r>
    <x v="1"/>
    <x v="1"/>
    <x v="6"/>
    <x v="2"/>
    <x v="23"/>
    <x v="1"/>
    <x v="1"/>
    <n v="2.19"/>
    <n v="5815.04"/>
    <n v="13014.74"/>
    <x v="2"/>
  </r>
  <r>
    <x v="1"/>
    <x v="1"/>
    <x v="6"/>
    <x v="2"/>
    <x v="24"/>
    <x v="1"/>
    <x v="1"/>
    <n v="1.26"/>
    <n v="3345.64"/>
    <n v="7342.45"/>
    <x v="2"/>
  </r>
  <r>
    <x v="1"/>
    <x v="1"/>
    <x v="6"/>
    <x v="3"/>
    <x v="25"/>
    <x v="1"/>
    <x v="1"/>
    <n v="8.19"/>
    <n v="21746.66"/>
    <n v="52552.86"/>
    <x v="2"/>
  </r>
  <r>
    <x v="1"/>
    <x v="1"/>
    <x v="6"/>
    <x v="3"/>
    <x v="26"/>
    <x v="1"/>
    <x v="1"/>
    <n v="13.65"/>
    <n v="36244.44"/>
    <n v="88240.48"/>
    <x v="2"/>
  </r>
  <r>
    <x v="1"/>
    <x v="1"/>
    <x v="6"/>
    <x v="3"/>
    <x v="27"/>
    <x v="1"/>
    <x v="1"/>
    <n v="27.28"/>
    <n v="72435.77"/>
    <n v="173029.28"/>
    <x v="2"/>
  </r>
  <r>
    <x v="1"/>
    <x v="1"/>
    <x v="7"/>
    <x v="0"/>
    <x v="0"/>
    <x v="0"/>
    <x v="0"/>
    <n v="1.89"/>
    <n v="8975.1200000000008"/>
    <n v="35108.46"/>
    <x v="2"/>
  </r>
  <r>
    <x v="1"/>
    <x v="1"/>
    <x v="7"/>
    <x v="0"/>
    <x v="1"/>
    <x v="0"/>
    <x v="0"/>
    <n v="3.09"/>
    <n v="14673.61"/>
    <n v="57309.83"/>
    <x v="2"/>
  </r>
  <r>
    <x v="1"/>
    <x v="1"/>
    <x v="7"/>
    <x v="0"/>
    <x v="2"/>
    <x v="0"/>
    <x v="0"/>
    <n v="0"/>
    <n v="0"/>
    <n v="0"/>
    <x v="2"/>
  </r>
  <r>
    <x v="1"/>
    <x v="1"/>
    <x v="7"/>
    <x v="0"/>
    <x v="3"/>
    <x v="0"/>
    <x v="0"/>
    <n v="2.04"/>
    <n v="9687.43"/>
    <n v="37904.449999999997"/>
    <x v="2"/>
  </r>
  <r>
    <x v="1"/>
    <x v="1"/>
    <x v="7"/>
    <x v="0"/>
    <x v="4"/>
    <x v="0"/>
    <x v="0"/>
    <n v="0"/>
    <n v="0"/>
    <n v="0"/>
    <x v="2"/>
  </r>
  <r>
    <x v="1"/>
    <x v="1"/>
    <x v="7"/>
    <x v="0"/>
    <x v="5"/>
    <x v="0"/>
    <x v="0"/>
    <n v="0"/>
    <n v="0"/>
    <n v="0"/>
    <x v="2"/>
  </r>
  <r>
    <x v="1"/>
    <x v="1"/>
    <x v="7"/>
    <x v="0"/>
    <x v="6"/>
    <x v="0"/>
    <x v="0"/>
    <n v="0"/>
    <n v="0"/>
    <n v="0"/>
    <x v="2"/>
  </r>
  <r>
    <x v="1"/>
    <x v="1"/>
    <x v="7"/>
    <x v="0"/>
    <x v="8"/>
    <x v="0"/>
    <x v="0"/>
    <n v="0"/>
    <n v="0"/>
    <n v="0"/>
    <x v="2"/>
  </r>
  <r>
    <x v="1"/>
    <x v="1"/>
    <x v="7"/>
    <x v="1"/>
    <x v="10"/>
    <x v="0"/>
    <x v="0"/>
    <n v="0.89"/>
    <n v="4226.38"/>
    <n v="16543.95"/>
    <x v="2"/>
  </r>
  <r>
    <x v="1"/>
    <x v="1"/>
    <x v="7"/>
    <x v="1"/>
    <x v="11"/>
    <x v="0"/>
    <x v="0"/>
    <n v="0"/>
    <n v="0"/>
    <n v="0"/>
    <x v="2"/>
  </r>
  <r>
    <x v="1"/>
    <x v="1"/>
    <x v="7"/>
    <x v="1"/>
    <x v="13"/>
    <x v="0"/>
    <x v="0"/>
    <n v="0"/>
    <n v="0"/>
    <n v="0"/>
    <x v="2"/>
  </r>
  <r>
    <x v="1"/>
    <x v="1"/>
    <x v="7"/>
    <x v="1"/>
    <x v="14"/>
    <x v="0"/>
    <x v="0"/>
    <n v="0"/>
    <n v="0"/>
    <n v="0"/>
    <x v="2"/>
  </r>
  <r>
    <x v="1"/>
    <x v="1"/>
    <x v="7"/>
    <x v="1"/>
    <x v="16"/>
    <x v="0"/>
    <x v="0"/>
    <n v="0"/>
    <n v="0"/>
    <n v="0"/>
    <x v="2"/>
  </r>
  <r>
    <x v="1"/>
    <x v="1"/>
    <x v="7"/>
    <x v="1"/>
    <x v="17"/>
    <x v="0"/>
    <x v="0"/>
    <n v="0"/>
    <n v="0"/>
    <n v="0"/>
    <x v="2"/>
  </r>
  <r>
    <x v="1"/>
    <x v="1"/>
    <x v="7"/>
    <x v="1"/>
    <x v="18"/>
    <x v="0"/>
    <x v="0"/>
    <n v="0"/>
    <n v="0"/>
    <n v="0"/>
    <x v="2"/>
  </r>
  <r>
    <x v="1"/>
    <x v="1"/>
    <x v="7"/>
    <x v="1"/>
    <x v="19"/>
    <x v="0"/>
    <x v="0"/>
    <n v="0"/>
    <n v="0"/>
    <n v="0"/>
    <x v="2"/>
  </r>
  <r>
    <x v="1"/>
    <x v="1"/>
    <x v="7"/>
    <x v="1"/>
    <x v="20"/>
    <x v="0"/>
    <x v="0"/>
    <n v="1.48"/>
    <n v="7028.14"/>
    <n v="27450.33"/>
    <x v="2"/>
  </r>
  <r>
    <x v="1"/>
    <x v="1"/>
    <x v="7"/>
    <x v="2"/>
    <x v="21"/>
    <x v="0"/>
    <x v="0"/>
    <n v="1.08"/>
    <n v="5128.6400000000003"/>
    <n v="19930.580000000002"/>
    <x v="2"/>
  </r>
  <r>
    <x v="1"/>
    <x v="1"/>
    <x v="7"/>
    <x v="2"/>
    <x v="22"/>
    <x v="0"/>
    <x v="0"/>
    <n v="0"/>
    <n v="0"/>
    <n v="0"/>
    <x v="2"/>
  </r>
  <r>
    <x v="1"/>
    <x v="1"/>
    <x v="7"/>
    <x v="2"/>
    <x v="29"/>
    <x v="0"/>
    <x v="0"/>
    <n v="0"/>
    <n v="0"/>
    <n v="0"/>
    <x v="2"/>
  </r>
  <r>
    <x v="1"/>
    <x v="1"/>
    <x v="7"/>
    <x v="2"/>
    <x v="24"/>
    <x v="0"/>
    <x v="0"/>
    <n v="0"/>
    <n v="0"/>
    <n v="0"/>
    <x v="2"/>
  </r>
  <r>
    <x v="1"/>
    <x v="1"/>
    <x v="7"/>
    <x v="3"/>
    <x v="25"/>
    <x v="0"/>
    <x v="0"/>
    <n v="0"/>
    <n v="0"/>
    <n v="0"/>
    <x v="2"/>
  </r>
  <r>
    <x v="1"/>
    <x v="1"/>
    <x v="7"/>
    <x v="3"/>
    <x v="26"/>
    <x v="0"/>
    <x v="0"/>
    <n v="1.6"/>
    <n v="7597.98"/>
    <n v="29568.87"/>
    <x v="2"/>
  </r>
  <r>
    <x v="1"/>
    <x v="1"/>
    <x v="7"/>
    <x v="3"/>
    <x v="27"/>
    <x v="0"/>
    <x v="0"/>
    <n v="1.18"/>
    <n v="5603.51"/>
    <n v="21906.2"/>
    <x v="2"/>
  </r>
  <r>
    <x v="1"/>
    <x v="1"/>
    <x v="7"/>
    <x v="0"/>
    <x v="0"/>
    <x v="0"/>
    <x v="1"/>
    <n v="1.89"/>
    <n v="8975.1200000000008"/>
    <n v="35108.46"/>
    <x v="2"/>
  </r>
  <r>
    <x v="1"/>
    <x v="1"/>
    <x v="7"/>
    <x v="0"/>
    <x v="1"/>
    <x v="0"/>
    <x v="1"/>
    <n v="4.8099999999999996"/>
    <n v="22841.439999999999"/>
    <n v="89196.51"/>
    <x v="2"/>
  </r>
  <r>
    <x v="1"/>
    <x v="1"/>
    <x v="7"/>
    <x v="0"/>
    <x v="2"/>
    <x v="0"/>
    <x v="1"/>
    <n v="3.96"/>
    <n v="18805.009999999998"/>
    <n v="73314.820000000007"/>
    <x v="2"/>
  </r>
  <r>
    <x v="1"/>
    <x v="1"/>
    <x v="7"/>
    <x v="0"/>
    <x v="3"/>
    <x v="0"/>
    <x v="1"/>
    <n v="5.52"/>
    <n v="26213.040000000001"/>
    <n v="102342.01"/>
    <x v="2"/>
  </r>
  <r>
    <x v="1"/>
    <x v="1"/>
    <x v="7"/>
    <x v="0"/>
    <x v="4"/>
    <x v="0"/>
    <x v="1"/>
    <n v="1.78"/>
    <n v="8452.76"/>
    <n v="32904.800000000003"/>
    <x v="2"/>
  </r>
  <r>
    <x v="1"/>
    <x v="1"/>
    <x v="7"/>
    <x v="0"/>
    <x v="5"/>
    <x v="0"/>
    <x v="1"/>
    <n v="2.2599999999999998"/>
    <n v="10732.15"/>
    <n v="41872.79"/>
    <x v="2"/>
  </r>
  <r>
    <x v="1"/>
    <x v="1"/>
    <x v="7"/>
    <x v="0"/>
    <x v="6"/>
    <x v="0"/>
    <x v="1"/>
    <n v="1.69"/>
    <n v="8025.37"/>
    <n v="31337.02"/>
    <x v="2"/>
  </r>
  <r>
    <x v="1"/>
    <x v="1"/>
    <x v="7"/>
    <x v="0"/>
    <x v="8"/>
    <x v="0"/>
    <x v="1"/>
    <n v="2.37"/>
    <n v="11254.51"/>
    <n v="43840.79"/>
    <x v="2"/>
  </r>
  <r>
    <x v="1"/>
    <x v="1"/>
    <x v="7"/>
    <x v="1"/>
    <x v="10"/>
    <x v="0"/>
    <x v="1"/>
    <n v="3.84"/>
    <n v="18235.16"/>
    <n v="71139"/>
    <x v="2"/>
  </r>
  <r>
    <x v="1"/>
    <x v="1"/>
    <x v="7"/>
    <x v="1"/>
    <x v="11"/>
    <x v="0"/>
    <x v="1"/>
    <n v="7.9"/>
    <n v="37515.050000000003"/>
    <n v="146344.20000000001"/>
    <x v="2"/>
  </r>
  <r>
    <x v="1"/>
    <x v="1"/>
    <x v="7"/>
    <x v="1"/>
    <x v="13"/>
    <x v="0"/>
    <x v="1"/>
    <n v="3.7"/>
    <n v="17570.34"/>
    <n v="68507.75"/>
    <x v="2"/>
  </r>
  <r>
    <x v="1"/>
    <x v="1"/>
    <x v="7"/>
    <x v="1"/>
    <x v="14"/>
    <x v="0"/>
    <x v="1"/>
    <n v="1.31"/>
    <n v="6220.85"/>
    <n v="24210.81"/>
    <x v="2"/>
  </r>
  <r>
    <x v="1"/>
    <x v="1"/>
    <x v="7"/>
    <x v="1"/>
    <x v="16"/>
    <x v="0"/>
    <x v="1"/>
    <n v="1.1200000000000001"/>
    <n v="5318.59"/>
    <n v="20746.48"/>
    <x v="2"/>
  </r>
  <r>
    <x v="1"/>
    <x v="1"/>
    <x v="7"/>
    <x v="1"/>
    <x v="17"/>
    <x v="0"/>
    <x v="1"/>
    <n v="2.08"/>
    <n v="9877.3799999999992"/>
    <n v="38547.86"/>
    <x v="2"/>
  </r>
  <r>
    <x v="1"/>
    <x v="1"/>
    <x v="7"/>
    <x v="1"/>
    <x v="18"/>
    <x v="0"/>
    <x v="1"/>
    <n v="9.32"/>
    <n v="44258.26"/>
    <n v="172672.49"/>
    <x v="2"/>
  </r>
  <r>
    <x v="1"/>
    <x v="1"/>
    <x v="7"/>
    <x v="1"/>
    <x v="19"/>
    <x v="0"/>
    <x v="1"/>
    <n v="3.06"/>
    <n v="14531.14"/>
    <n v="56722.21"/>
    <x v="2"/>
  </r>
  <r>
    <x v="1"/>
    <x v="1"/>
    <x v="7"/>
    <x v="1"/>
    <x v="20"/>
    <x v="0"/>
    <x v="1"/>
    <n v="9.16"/>
    <n v="43498.46"/>
    <n v="169848.89"/>
    <x v="2"/>
  </r>
  <r>
    <x v="1"/>
    <x v="1"/>
    <x v="7"/>
    <x v="2"/>
    <x v="21"/>
    <x v="0"/>
    <x v="1"/>
    <n v="0"/>
    <n v="0"/>
    <n v="0"/>
    <x v="2"/>
  </r>
  <r>
    <x v="1"/>
    <x v="1"/>
    <x v="7"/>
    <x v="2"/>
    <x v="22"/>
    <x v="0"/>
    <x v="1"/>
    <n v="4.37"/>
    <n v="20751.990000000002"/>
    <n v="80948.460000000006"/>
    <x v="2"/>
  </r>
  <r>
    <x v="1"/>
    <x v="1"/>
    <x v="7"/>
    <x v="2"/>
    <x v="29"/>
    <x v="0"/>
    <x v="1"/>
    <n v="1.25"/>
    <n v="5935.93"/>
    <n v="23203.24"/>
    <x v="2"/>
  </r>
  <r>
    <x v="1"/>
    <x v="1"/>
    <x v="7"/>
    <x v="2"/>
    <x v="24"/>
    <x v="0"/>
    <x v="1"/>
    <n v="1.96"/>
    <n v="9307.5300000000007"/>
    <n v="36251.480000000003"/>
    <x v="2"/>
  </r>
  <r>
    <x v="1"/>
    <x v="1"/>
    <x v="7"/>
    <x v="3"/>
    <x v="25"/>
    <x v="0"/>
    <x v="1"/>
    <n v="2.31"/>
    <n v="10969.59"/>
    <n v="42831.360000000001"/>
    <x v="2"/>
  </r>
  <r>
    <x v="1"/>
    <x v="1"/>
    <x v="7"/>
    <x v="3"/>
    <x v="26"/>
    <x v="0"/>
    <x v="1"/>
    <n v="1.68"/>
    <n v="7977.88"/>
    <n v="31125.13"/>
    <x v="2"/>
  </r>
  <r>
    <x v="1"/>
    <x v="1"/>
    <x v="7"/>
    <x v="3"/>
    <x v="27"/>
    <x v="0"/>
    <x v="1"/>
    <n v="2.91"/>
    <n v="13818.83"/>
    <n v="53922.95"/>
    <x v="2"/>
  </r>
  <r>
    <x v="1"/>
    <x v="1"/>
    <x v="7"/>
    <x v="0"/>
    <x v="0"/>
    <x v="1"/>
    <x v="0"/>
    <n v="3.46"/>
    <n v="16430.64"/>
    <n v="41955.54"/>
    <x v="2"/>
  </r>
  <r>
    <x v="1"/>
    <x v="1"/>
    <x v="7"/>
    <x v="0"/>
    <x v="1"/>
    <x v="1"/>
    <x v="0"/>
    <n v="8.8000000000000007"/>
    <n v="41788.910000000003"/>
    <n v="104885.01"/>
    <x v="2"/>
  </r>
  <r>
    <x v="1"/>
    <x v="1"/>
    <x v="7"/>
    <x v="0"/>
    <x v="2"/>
    <x v="1"/>
    <x v="0"/>
    <n v="3.39"/>
    <n v="16098.23"/>
    <n v="38984.89"/>
    <x v="2"/>
  </r>
  <r>
    <x v="1"/>
    <x v="1"/>
    <x v="7"/>
    <x v="0"/>
    <x v="3"/>
    <x v="1"/>
    <x v="0"/>
    <n v="12.14"/>
    <n v="57649.7"/>
    <n v="145422.56"/>
    <x v="2"/>
  </r>
  <r>
    <x v="1"/>
    <x v="1"/>
    <x v="7"/>
    <x v="0"/>
    <x v="28"/>
    <x v="1"/>
    <x v="0"/>
    <n v="0"/>
    <n v="0"/>
    <n v="0"/>
    <x v="2"/>
  </r>
  <r>
    <x v="1"/>
    <x v="1"/>
    <x v="7"/>
    <x v="0"/>
    <x v="4"/>
    <x v="1"/>
    <x v="0"/>
    <n v="5.26"/>
    <n v="24978.37"/>
    <n v="62345.64"/>
    <x v="2"/>
  </r>
  <r>
    <x v="1"/>
    <x v="1"/>
    <x v="7"/>
    <x v="0"/>
    <x v="5"/>
    <x v="1"/>
    <x v="0"/>
    <n v="1.83"/>
    <n v="8690.19"/>
    <n v="22402.92"/>
    <x v="2"/>
  </r>
  <r>
    <x v="1"/>
    <x v="1"/>
    <x v="7"/>
    <x v="0"/>
    <x v="6"/>
    <x v="1"/>
    <x v="0"/>
    <n v="0"/>
    <n v="0"/>
    <n v="0"/>
    <x v="2"/>
  </r>
  <r>
    <x v="1"/>
    <x v="1"/>
    <x v="7"/>
    <x v="0"/>
    <x v="7"/>
    <x v="1"/>
    <x v="0"/>
    <n v="0"/>
    <n v="0"/>
    <n v="0"/>
    <x v="2"/>
  </r>
  <r>
    <x v="1"/>
    <x v="1"/>
    <x v="7"/>
    <x v="0"/>
    <x v="8"/>
    <x v="1"/>
    <x v="0"/>
    <n v="0"/>
    <n v="0"/>
    <n v="0"/>
    <x v="2"/>
  </r>
  <r>
    <x v="1"/>
    <x v="1"/>
    <x v="7"/>
    <x v="1"/>
    <x v="30"/>
    <x v="1"/>
    <x v="0"/>
    <n v="1.45"/>
    <n v="6885.67"/>
    <n v="18539.64"/>
    <x v="2"/>
  </r>
  <r>
    <x v="1"/>
    <x v="1"/>
    <x v="7"/>
    <x v="1"/>
    <x v="9"/>
    <x v="1"/>
    <x v="0"/>
    <n v="0"/>
    <n v="0"/>
    <n v="0"/>
    <x v="2"/>
  </r>
  <r>
    <x v="1"/>
    <x v="1"/>
    <x v="7"/>
    <x v="1"/>
    <x v="31"/>
    <x v="1"/>
    <x v="0"/>
    <n v="1.48"/>
    <n v="7028.14"/>
    <n v="19061.39"/>
    <x v="2"/>
  </r>
  <r>
    <x v="1"/>
    <x v="1"/>
    <x v="7"/>
    <x v="1"/>
    <x v="10"/>
    <x v="1"/>
    <x v="0"/>
    <n v="4.75"/>
    <n v="22556.52"/>
    <n v="60070.06"/>
    <x v="2"/>
  </r>
  <r>
    <x v="1"/>
    <x v="1"/>
    <x v="7"/>
    <x v="1"/>
    <x v="11"/>
    <x v="1"/>
    <x v="0"/>
    <n v="4.71"/>
    <n v="22366.57"/>
    <n v="56751.22"/>
    <x v="2"/>
  </r>
  <r>
    <x v="1"/>
    <x v="1"/>
    <x v="7"/>
    <x v="1"/>
    <x v="12"/>
    <x v="1"/>
    <x v="0"/>
    <n v="2.27"/>
    <n v="10779.64"/>
    <n v="28797.66"/>
    <x v="2"/>
  </r>
  <r>
    <x v="1"/>
    <x v="1"/>
    <x v="7"/>
    <x v="1"/>
    <x v="13"/>
    <x v="1"/>
    <x v="0"/>
    <n v="1.19"/>
    <n v="5651"/>
    <n v="15022.15"/>
    <x v="2"/>
  </r>
  <r>
    <x v="1"/>
    <x v="1"/>
    <x v="7"/>
    <x v="1"/>
    <x v="14"/>
    <x v="1"/>
    <x v="0"/>
    <n v="11.79"/>
    <n v="55987.64"/>
    <n v="145949.98000000001"/>
    <x v="2"/>
  </r>
  <r>
    <x v="1"/>
    <x v="1"/>
    <x v="7"/>
    <x v="1"/>
    <x v="15"/>
    <x v="1"/>
    <x v="0"/>
    <n v="4.0999999999999996"/>
    <n v="19469.830000000002"/>
    <n v="52453.54"/>
    <x v="2"/>
  </r>
  <r>
    <x v="1"/>
    <x v="1"/>
    <x v="7"/>
    <x v="1"/>
    <x v="16"/>
    <x v="1"/>
    <x v="0"/>
    <n v="3.13"/>
    <n v="14863.56"/>
    <n v="38234.94"/>
    <x v="2"/>
  </r>
  <r>
    <x v="1"/>
    <x v="1"/>
    <x v="7"/>
    <x v="1"/>
    <x v="17"/>
    <x v="1"/>
    <x v="0"/>
    <n v="7.03"/>
    <n v="33383.64"/>
    <n v="86578.4"/>
    <x v="2"/>
  </r>
  <r>
    <x v="1"/>
    <x v="1"/>
    <x v="7"/>
    <x v="1"/>
    <x v="18"/>
    <x v="1"/>
    <x v="0"/>
    <n v="6.51"/>
    <n v="30914.3"/>
    <n v="83840.009999999995"/>
    <x v="2"/>
  </r>
  <r>
    <x v="1"/>
    <x v="1"/>
    <x v="7"/>
    <x v="1"/>
    <x v="19"/>
    <x v="1"/>
    <x v="0"/>
    <n v="7.07"/>
    <n v="33573.589999999997"/>
    <n v="88365.71"/>
    <x v="2"/>
  </r>
  <r>
    <x v="1"/>
    <x v="1"/>
    <x v="7"/>
    <x v="1"/>
    <x v="20"/>
    <x v="1"/>
    <x v="0"/>
    <n v="11.04"/>
    <n v="52426.09"/>
    <n v="135699.48000000001"/>
    <x v="2"/>
  </r>
  <r>
    <x v="1"/>
    <x v="1"/>
    <x v="7"/>
    <x v="2"/>
    <x v="21"/>
    <x v="1"/>
    <x v="0"/>
    <n v="0"/>
    <n v="0"/>
    <n v="0"/>
    <x v="2"/>
  </r>
  <r>
    <x v="1"/>
    <x v="1"/>
    <x v="7"/>
    <x v="2"/>
    <x v="22"/>
    <x v="1"/>
    <x v="0"/>
    <n v="5.2"/>
    <n v="24693.45"/>
    <n v="58737.09"/>
    <x v="2"/>
  </r>
  <r>
    <x v="1"/>
    <x v="1"/>
    <x v="7"/>
    <x v="2"/>
    <x v="29"/>
    <x v="1"/>
    <x v="0"/>
    <n v="0"/>
    <n v="0"/>
    <n v="0"/>
    <x v="2"/>
  </r>
  <r>
    <x v="1"/>
    <x v="1"/>
    <x v="7"/>
    <x v="2"/>
    <x v="23"/>
    <x v="1"/>
    <x v="0"/>
    <n v="0"/>
    <n v="0"/>
    <n v="0"/>
    <x v="2"/>
  </r>
  <r>
    <x v="1"/>
    <x v="1"/>
    <x v="7"/>
    <x v="2"/>
    <x v="24"/>
    <x v="1"/>
    <x v="0"/>
    <n v="2"/>
    <n v="9497.48"/>
    <n v="23025.5"/>
    <x v="2"/>
  </r>
  <r>
    <x v="1"/>
    <x v="1"/>
    <x v="7"/>
    <x v="3"/>
    <x v="25"/>
    <x v="1"/>
    <x v="0"/>
    <n v="6.85"/>
    <n v="32528.87"/>
    <n v="87007.82"/>
    <x v="2"/>
  </r>
  <r>
    <x v="1"/>
    <x v="1"/>
    <x v="7"/>
    <x v="3"/>
    <x v="26"/>
    <x v="1"/>
    <x v="0"/>
    <n v="5.31"/>
    <n v="25215.81"/>
    <n v="67869.210000000006"/>
    <x v="2"/>
  </r>
  <r>
    <x v="1"/>
    <x v="1"/>
    <x v="7"/>
    <x v="3"/>
    <x v="27"/>
    <x v="1"/>
    <x v="0"/>
    <n v="9.7200000000000006"/>
    <n v="46157.75"/>
    <n v="121935.34"/>
    <x v="2"/>
  </r>
  <r>
    <x v="1"/>
    <x v="1"/>
    <x v="7"/>
    <x v="0"/>
    <x v="0"/>
    <x v="1"/>
    <x v="1"/>
    <n v="5.88"/>
    <n v="27922.59"/>
    <n v="71324.41"/>
    <x v="2"/>
  </r>
  <r>
    <x v="1"/>
    <x v="1"/>
    <x v="7"/>
    <x v="0"/>
    <x v="1"/>
    <x v="1"/>
    <x v="1"/>
    <n v="15.8"/>
    <n v="75030.09"/>
    <n v="188316.26"/>
    <x v="2"/>
  </r>
  <r>
    <x v="1"/>
    <x v="1"/>
    <x v="7"/>
    <x v="0"/>
    <x v="2"/>
    <x v="1"/>
    <x v="1"/>
    <n v="8.6"/>
    <n v="40839.160000000003"/>
    <n v="98961.65"/>
    <x v="2"/>
  </r>
  <r>
    <x v="1"/>
    <x v="1"/>
    <x v="7"/>
    <x v="0"/>
    <x v="3"/>
    <x v="1"/>
    <x v="1"/>
    <n v="21.47"/>
    <n v="101955.45"/>
    <n v="257049.73"/>
    <x v="2"/>
  </r>
  <r>
    <x v="1"/>
    <x v="1"/>
    <x v="7"/>
    <x v="0"/>
    <x v="28"/>
    <x v="1"/>
    <x v="1"/>
    <n v="2.66"/>
    <n v="12631.65"/>
    <n v="32201.03"/>
    <x v="2"/>
  </r>
  <r>
    <x v="1"/>
    <x v="1"/>
    <x v="7"/>
    <x v="0"/>
    <x v="4"/>
    <x v="1"/>
    <x v="1"/>
    <n v="5.68"/>
    <n v="26972.84"/>
    <n v="67373.52"/>
    <x v="2"/>
  </r>
  <r>
    <x v="1"/>
    <x v="1"/>
    <x v="7"/>
    <x v="0"/>
    <x v="5"/>
    <x v="1"/>
    <x v="1"/>
    <n v="13.89"/>
    <n v="65960"/>
    <n v="169622.1"/>
    <x v="2"/>
  </r>
  <r>
    <x v="1"/>
    <x v="1"/>
    <x v="7"/>
    <x v="0"/>
    <x v="6"/>
    <x v="1"/>
    <x v="1"/>
    <n v="1.69"/>
    <n v="8025.37"/>
    <n v="20619.89"/>
    <x v="2"/>
  </r>
  <r>
    <x v="1"/>
    <x v="1"/>
    <x v="7"/>
    <x v="0"/>
    <x v="7"/>
    <x v="1"/>
    <x v="1"/>
    <n v="4.91"/>
    <n v="23316.31"/>
    <n v="60759.62"/>
    <x v="2"/>
  </r>
  <r>
    <x v="1"/>
    <x v="1"/>
    <x v="7"/>
    <x v="0"/>
    <x v="8"/>
    <x v="1"/>
    <x v="1"/>
    <n v="2.88"/>
    <n v="13676.37"/>
    <n v="34045.919999999998"/>
    <x v="2"/>
  </r>
  <r>
    <x v="1"/>
    <x v="1"/>
    <x v="7"/>
    <x v="1"/>
    <x v="30"/>
    <x v="1"/>
    <x v="1"/>
    <n v="0"/>
    <n v="0"/>
    <n v="0"/>
    <x v="2"/>
  </r>
  <r>
    <x v="1"/>
    <x v="1"/>
    <x v="7"/>
    <x v="1"/>
    <x v="9"/>
    <x v="1"/>
    <x v="1"/>
    <n v="0.23"/>
    <n v="1092.21"/>
    <n v="2939.59"/>
    <x v="2"/>
  </r>
  <r>
    <x v="1"/>
    <x v="1"/>
    <x v="7"/>
    <x v="1"/>
    <x v="31"/>
    <x v="1"/>
    <x v="1"/>
    <n v="0"/>
    <n v="0"/>
    <n v="0"/>
    <x v="2"/>
  </r>
  <r>
    <x v="1"/>
    <x v="1"/>
    <x v="7"/>
    <x v="1"/>
    <x v="10"/>
    <x v="1"/>
    <x v="1"/>
    <n v="27.43"/>
    <n v="130257.94"/>
    <n v="346720.17"/>
    <x v="2"/>
  </r>
  <r>
    <x v="1"/>
    <x v="1"/>
    <x v="7"/>
    <x v="1"/>
    <x v="11"/>
    <x v="1"/>
    <x v="1"/>
    <n v="15.22"/>
    <n v="72275.820000000007"/>
    <n v="183350.11"/>
    <x v="2"/>
  </r>
  <r>
    <x v="1"/>
    <x v="1"/>
    <x v="7"/>
    <x v="1"/>
    <x v="12"/>
    <x v="1"/>
    <x v="1"/>
    <n v="2.52"/>
    <n v="11966.82"/>
    <n v="31997.39"/>
    <x v="2"/>
  </r>
  <r>
    <x v="1"/>
    <x v="1"/>
    <x v="7"/>
    <x v="1"/>
    <x v="13"/>
    <x v="1"/>
    <x v="1"/>
    <n v="9.9499999999999993"/>
    <n v="47249.96"/>
    <n v="125542.27"/>
    <x v="2"/>
  </r>
  <r>
    <x v="1"/>
    <x v="1"/>
    <x v="7"/>
    <x v="1"/>
    <x v="14"/>
    <x v="1"/>
    <x v="1"/>
    <n v="7.98"/>
    <n v="37894.949999999997"/>
    <n v="98763.15"/>
    <x v="2"/>
  </r>
  <r>
    <x v="1"/>
    <x v="1"/>
    <x v="7"/>
    <x v="1"/>
    <x v="15"/>
    <x v="1"/>
    <x v="1"/>
    <n v="2.0499999999999998"/>
    <n v="9734.92"/>
    <n v="26226.77"/>
    <x v="2"/>
  </r>
  <r>
    <x v="1"/>
    <x v="1"/>
    <x v="7"/>
    <x v="1"/>
    <x v="16"/>
    <x v="1"/>
    <x v="1"/>
    <n v="10.64"/>
    <n v="50526.59"/>
    <n v="129725.68"/>
    <x v="2"/>
  </r>
  <r>
    <x v="1"/>
    <x v="1"/>
    <x v="7"/>
    <x v="1"/>
    <x v="17"/>
    <x v="1"/>
    <x v="1"/>
    <n v="5.81"/>
    <n v="27590.18"/>
    <n v="71477.52"/>
    <x v="2"/>
  </r>
  <r>
    <x v="1"/>
    <x v="1"/>
    <x v="7"/>
    <x v="1"/>
    <x v="18"/>
    <x v="1"/>
    <x v="1"/>
    <n v="21.75"/>
    <n v="103285.1"/>
    <n v="280174.2"/>
    <x v="2"/>
  </r>
  <r>
    <x v="1"/>
    <x v="1"/>
    <x v="7"/>
    <x v="1"/>
    <x v="19"/>
    <x v="1"/>
    <x v="1"/>
    <n v="13.05"/>
    <n v="61971.06"/>
    <n v="163055.76999999999"/>
    <x v="2"/>
  </r>
  <r>
    <x v="1"/>
    <x v="1"/>
    <x v="7"/>
    <x v="1"/>
    <x v="20"/>
    <x v="1"/>
    <x v="1"/>
    <n v="16.43"/>
    <n v="78021.8"/>
    <n v="201946.47"/>
    <x v="2"/>
  </r>
  <r>
    <x v="1"/>
    <x v="1"/>
    <x v="7"/>
    <x v="2"/>
    <x v="21"/>
    <x v="1"/>
    <x v="1"/>
    <n v="0.81"/>
    <n v="3846.48"/>
    <n v="9162.7800000000007"/>
    <x v="2"/>
  </r>
  <r>
    <x v="1"/>
    <x v="1"/>
    <x v="7"/>
    <x v="2"/>
    <x v="22"/>
    <x v="1"/>
    <x v="1"/>
    <n v="12.34"/>
    <n v="58599.45"/>
    <n v="139312.34"/>
    <x v="2"/>
  </r>
  <r>
    <x v="1"/>
    <x v="1"/>
    <x v="7"/>
    <x v="2"/>
    <x v="29"/>
    <x v="1"/>
    <x v="1"/>
    <n v="1.69"/>
    <n v="8025.37"/>
    <n v="20281.400000000001"/>
    <x v="2"/>
  </r>
  <r>
    <x v="1"/>
    <x v="1"/>
    <x v="7"/>
    <x v="2"/>
    <x v="23"/>
    <x v="1"/>
    <x v="1"/>
    <n v="2.8"/>
    <n v="13296.47"/>
    <n v="32868.839999999997"/>
    <x v="2"/>
  </r>
  <r>
    <x v="1"/>
    <x v="1"/>
    <x v="7"/>
    <x v="2"/>
    <x v="24"/>
    <x v="1"/>
    <x v="1"/>
    <n v="3.76"/>
    <n v="17855.259999999998"/>
    <n v="43172.81"/>
    <x v="2"/>
  </r>
  <r>
    <x v="1"/>
    <x v="1"/>
    <x v="7"/>
    <x v="3"/>
    <x v="25"/>
    <x v="1"/>
    <x v="1"/>
    <n v="6.18"/>
    <n v="29347.21"/>
    <n v="78414.45"/>
    <x v="2"/>
  </r>
  <r>
    <x v="1"/>
    <x v="1"/>
    <x v="7"/>
    <x v="3"/>
    <x v="26"/>
    <x v="1"/>
    <x v="1"/>
    <n v="16.52"/>
    <n v="78449.179999999993"/>
    <n v="211270.28"/>
    <x v="2"/>
  </r>
  <r>
    <x v="1"/>
    <x v="1"/>
    <x v="7"/>
    <x v="3"/>
    <x v="27"/>
    <x v="1"/>
    <x v="1"/>
    <n v="27.86"/>
    <n v="132299.9"/>
    <n v="349619.92"/>
    <x v="2"/>
  </r>
  <r>
    <x v="1"/>
    <x v="1"/>
    <x v="8"/>
    <x v="0"/>
    <x v="0"/>
    <x v="0"/>
    <x v="0"/>
    <n v="2.23"/>
    <n v="7506.54"/>
    <n v="26898.959999999999"/>
    <x v="2"/>
  </r>
  <r>
    <x v="1"/>
    <x v="1"/>
    <x v="8"/>
    <x v="0"/>
    <x v="1"/>
    <x v="0"/>
    <x v="0"/>
    <n v="7.9"/>
    <n v="26592.66"/>
    <n v="95448.14"/>
    <x v="2"/>
  </r>
  <r>
    <x v="1"/>
    <x v="1"/>
    <x v="8"/>
    <x v="0"/>
    <x v="2"/>
    <x v="0"/>
    <x v="0"/>
    <n v="0"/>
    <n v="0"/>
    <n v="0"/>
    <x v="2"/>
  </r>
  <r>
    <x v="1"/>
    <x v="1"/>
    <x v="8"/>
    <x v="0"/>
    <x v="3"/>
    <x v="0"/>
    <x v="0"/>
    <n v="2.71"/>
    <n v="9122.2900000000009"/>
    <n v="32683.45"/>
    <x v="2"/>
  </r>
  <r>
    <x v="1"/>
    <x v="1"/>
    <x v="8"/>
    <x v="0"/>
    <x v="4"/>
    <x v="0"/>
    <x v="0"/>
    <n v="0"/>
    <n v="0"/>
    <n v="0"/>
    <x v="2"/>
  </r>
  <r>
    <x v="1"/>
    <x v="1"/>
    <x v="8"/>
    <x v="0"/>
    <x v="5"/>
    <x v="0"/>
    <x v="0"/>
    <n v="0"/>
    <n v="0"/>
    <n v="0"/>
    <x v="2"/>
  </r>
  <r>
    <x v="1"/>
    <x v="1"/>
    <x v="8"/>
    <x v="0"/>
    <x v="6"/>
    <x v="0"/>
    <x v="0"/>
    <n v="0"/>
    <n v="0"/>
    <n v="0"/>
    <x v="2"/>
  </r>
  <r>
    <x v="1"/>
    <x v="1"/>
    <x v="8"/>
    <x v="0"/>
    <x v="8"/>
    <x v="0"/>
    <x v="0"/>
    <n v="0"/>
    <n v="0"/>
    <n v="0"/>
    <x v="2"/>
  </r>
  <r>
    <x v="1"/>
    <x v="1"/>
    <x v="8"/>
    <x v="1"/>
    <x v="10"/>
    <x v="0"/>
    <x v="0"/>
    <n v="1.61"/>
    <n v="5419.52"/>
    <n v="19453.73"/>
    <x v="2"/>
  </r>
  <r>
    <x v="1"/>
    <x v="1"/>
    <x v="8"/>
    <x v="1"/>
    <x v="11"/>
    <x v="0"/>
    <x v="0"/>
    <n v="0"/>
    <n v="0"/>
    <n v="0"/>
    <x v="2"/>
  </r>
  <r>
    <x v="1"/>
    <x v="1"/>
    <x v="8"/>
    <x v="1"/>
    <x v="13"/>
    <x v="0"/>
    <x v="0"/>
    <n v="0"/>
    <n v="0"/>
    <n v="0"/>
    <x v="2"/>
  </r>
  <r>
    <x v="1"/>
    <x v="1"/>
    <x v="8"/>
    <x v="1"/>
    <x v="14"/>
    <x v="0"/>
    <x v="0"/>
    <n v="0"/>
    <n v="0"/>
    <n v="0"/>
    <x v="2"/>
  </r>
  <r>
    <x v="1"/>
    <x v="1"/>
    <x v="8"/>
    <x v="1"/>
    <x v="16"/>
    <x v="0"/>
    <x v="0"/>
    <n v="0"/>
    <n v="0"/>
    <n v="0"/>
    <x v="2"/>
  </r>
  <r>
    <x v="1"/>
    <x v="1"/>
    <x v="8"/>
    <x v="1"/>
    <x v="17"/>
    <x v="0"/>
    <x v="0"/>
    <n v="0"/>
    <n v="0"/>
    <n v="0"/>
    <x v="2"/>
  </r>
  <r>
    <x v="1"/>
    <x v="1"/>
    <x v="8"/>
    <x v="1"/>
    <x v="18"/>
    <x v="0"/>
    <x v="0"/>
    <n v="0"/>
    <n v="0"/>
    <n v="0"/>
    <x v="2"/>
  </r>
  <r>
    <x v="1"/>
    <x v="1"/>
    <x v="8"/>
    <x v="1"/>
    <x v="19"/>
    <x v="0"/>
    <x v="0"/>
    <n v="0"/>
    <n v="0"/>
    <n v="0"/>
    <x v="2"/>
  </r>
  <r>
    <x v="1"/>
    <x v="1"/>
    <x v="8"/>
    <x v="1"/>
    <x v="20"/>
    <x v="0"/>
    <x v="0"/>
    <n v="3.28"/>
    <n v="11041"/>
    <n v="39561.410000000003"/>
    <x v="2"/>
  </r>
  <r>
    <x v="1"/>
    <x v="1"/>
    <x v="8"/>
    <x v="2"/>
    <x v="21"/>
    <x v="0"/>
    <x v="0"/>
    <n v="2.66"/>
    <n v="8953.99"/>
    <n v="32098.12"/>
    <x v="2"/>
  </r>
  <r>
    <x v="1"/>
    <x v="1"/>
    <x v="8"/>
    <x v="2"/>
    <x v="22"/>
    <x v="0"/>
    <x v="0"/>
    <n v="0"/>
    <n v="0"/>
    <n v="0"/>
    <x v="2"/>
  </r>
  <r>
    <x v="1"/>
    <x v="1"/>
    <x v="8"/>
    <x v="2"/>
    <x v="29"/>
    <x v="0"/>
    <x v="0"/>
    <n v="0"/>
    <n v="0"/>
    <n v="0"/>
    <x v="2"/>
  </r>
  <r>
    <x v="1"/>
    <x v="1"/>
    <x v="8"/>
    <x v="2"/>
    <x v="24"/>
    <x v="0"/>
    <x v="0"/>
    <n v="0"/>
    <n v="0"/>
    <n v="0"/>
    <x v="2"/>
  </r>
  <r>
    <x v="1"/>
    <x v="1"/>
    <x v="8"/>
    <x v="3"/>
    <x v="25"/>
    <x v="0"/>
    <x v="0"/>
    <n v="0"/>
    <n v="0"/>
    <n v="0"/>
    <x v="2"/>
  </r>
  <r>
    <x v="1"/>
    <x v="1"/>
    <x v="8"/>
    <x v="3"/>
    <x v="26"/>
    <x v="0"/>
    <x v="0"/>
    <n v="3.34"/>
    <n v="11242.97"/>
    <n v="40295.83"/>
    <x v="2"/>
  </r>
  <r>
    <x v="1"/>
    <x v="1"/>
    <x v="8"/>
    <x v="3"/>
    <x v="27"/>
    <x v="0"/>
    <x v="0"/>
    <n v="2.75"/>
    <n v="9256.94"/>
    <n v="33201.79"/>
    <x v="2"/>
  </r>
  <r>
    <x v="1"/>
    <x v="1"/>
    <x v="8"/>
    <x v="0"/>
    <x v="0"/>
    <x v="0"/>
    <x v="1"/>
    <n v="1.97"/>
    <n v="6631.34"/>
    <n v="23795.23"/>
    <x v="2"/>
  </r>
  <r>
    <x v="1"/>
    <x v="1"/>
    <x v="8"/>
    <x v="0"/>
    <x v="1"/>
    <x v="0"/>
    <x v="1"/>
    <n v="9.1300000000000008"/>
    <n v="30733.040000000001"/>
    <n v="110308.33"/>
    <x v="2"/>
  </r>
  <r>
    <x v="1"/>
    <x v="1"/>
    <x v="8"/>
    <x v="0"/>
    <x v="2"/>
    <x v="0"/>
    <x v="1"/>
    <n v="4.71"/>
    <n v="15854.61"/>
    <n v="56904.59"/>
    <x v="2"/>
  </r>
  <r>
    <x v="1"/>
    <x v="1"/>
    <x v="8"/>
    <x v="0"/>
    <x v="3"/>
    <x v="0"/>
    <x v="1"/>
    <n v="8.73"/>
    <n v="29386.58"/>
    <n v="105430.47"/>
    <x v="2"/>
  </r>
  <r>
    <x v="1"/>
    <x v="1"/>
    <x v="8"/>
    <x v="0"/>
    <x v="4"/>
    <x v="0"/>
    <x v="1"/>
    <n v="2.38"/>
    <n v="8011.46"/>
    <n v="28722.78"/>
    <x v="2"/>
  </r>
  <r>
    <x v="1"/>
    <x v="1"/>
    <x v="8"/>
    <x v="0"/>
    <x v="5"/>
    <x v="0"/>
    <x v="1"/>
    <n v="4.8899999999999997"/>
    <n v="16460.52"/>
    <n v="59113.43"/>
    <x v="2"/>
  </r>
  <r>
    <x v="1"/>
    <x v="1"/>
    <x v="8"/>
    <x v="0"/>
    <x v="6"/>
    <x v="0"/>
    <x v="1"/>
    <n v="0"/>
    <n v="0"/>
    <n v="0"/>
    <x v="2"/>
  </r>
  <r>
    <x v="1"/>
    <x v="1"/>
    <x v="8"/>
    <x v="0"/>
    <x v="8"/>
    <x v="0"/>
    <x v="1"/>
    <n v="4.2300000000000004"/>
    <n v="14238.86"/>
    <n v="51105.36"/>
    <x v="2"/>
  </r>
  <r>
    <x v="1"/>
    <x v="1"/>
    <x v="8"/>
    <x v="1"/>
    <x v="10"/>
    <x v="0"/>
    <x v="1"/>
    <n v="5.46"/>
    <n v="18379.23"/>
    <n v="65926.53"/>
    <x v="2"/>
  </r>
  <r>
    <x v="1"/>
    <x v="1"/>
    <x v="8"/>
    <x v="1"/>
    <x v="11"/>
    <x v="0"/>
    <x v="1"/>
    <n v="12.97"/>
    <n v="43659.1"/>
    <n v="156625.04999999999"/>
    <x v="2"/>
  </r>
  <r>
    <x v="1"/>
    <x v="1"/>
    <x v="8"/>
    <x v="1"/>
    <x v="13"/>
    <x v="0"/>
    <x v="1"/>
    <n v="5.85"/>
    <n v="19692.04"/>
    <n v="70601.09"/>
    <x v="2"/>
  </r>
  <r>
    <x v="1"/>
    <x v="1"/>
    <x v="8"/>
    <x v="1"/>
    <x v="14"/>
    <x v="0"/>
    <x v="1"/>
    <n v="2.88"/>
    <n v="9694.5400000000009"/>
    <n v="34837.94"/>
    <x v="2"/>
  </r>
  <r>
    <x v="1"/>
    <x v="1"/>
    <x v="8"/>
    <x v="1"/>
    <x v="16"/>
    <x v="0"/>
    <x v="1"/>
    <n v="2.67"/>
    <n v="8987.65"/>
    <n v="32242.98"/>
    <x v="2"/>
  </r>
  <r>
    <x v="1"/>
    <x v="1"/>
    <x v="8"/>
    <x v="1"/>
    <x v="17"/>
    <x v="0"/>
    <x v="1"/>
    <n v="2.37"/>
    <n v="7977.8"/>
    <n v="28618.51"/>
    <x v="2"/>
  </r>
  <r>
    <x v="1"/>
    <x v="1"/>
    <x v="8"/>
    <x v="1"/>
    <x v="18"/>
    <x v="0"/>
    <x v="1"/>
    <n v="16.28"/>
    <n v="54801.08"/>
    <n v="196552.28"/>
    <x v="2"/>
  </r>
  <r>
    <x v="1"/>
    <x v="1"/>
    <x v="8"/>
    <x v="1"/>
    <x v="19"/>
    <x v="0"/>
    <x v="1"/>
    <n v="4.42"/>
    <n v="14878.43"/>
    <n v="53378.3"/>
    <x v="2"/>
  </r>
  <r>
    <x v="1"/>
    <x v="1"/>
    <x v="8"/>
    <x v="1"/>
    <x v="20"/>
    <x v="0"/>
    <x v="1"/>
    <n v="14.34"/>
    <n v="48270.73"/>
    <n v="173214.82"/>
    <x v="2"/>
  </r>
  <r>
    <x v="1"/>
    <x v="1"/>
    <x v="8"/>
    <x v="2"/>
    <x v="21"/>
    <x v="0"/>
    <x v="1"/>
    <n v="0"/>
    <n v="0"/>
    <n v="0"/>
    <x v="2"/>
  </r>
  <r>
    <x v="1"/>
    <x v="1"/>
    <x v="8"/>
    <x v="2"/>
    <x v="22"/>
    <x v="0"/>
    <x v="1"/>
    <n v="5.76"/>
    <n v="19389.080000000002"/>
    <n v="69506.83"/>
    <x v="2"/>
  </r>
  <r>
    <x v="1"/>
    <x v="1"/>
    <x v="8"/>
    <x v="2"/>
    <x v="29"/>
    <x v="0"/>
    <x v="1"/>
    <n v="2.06"/>
    <n v="6934.29"/>
    <n v="24855.33"/>
    <x v="2"/>
  </r>
  <r>
    <x v="1"/>
    <x v="1"/>
    <x v="8"/>
    <x v="2"/>
    <x v="24"/>
    <x v="0"/>
    <x v="1"/>
    <n v="3.93"/>
    <n v="13229.01"/>
    <n v="47492.78"/>
    <x v="2"/>
  </r>
  <r>
    <x v="1"/>
    <x v="1"/>
    <x v="8"/>
    <x v="3"/>
    <x v="25"/>
    <x v="0"/>
    <x v="1"/>
    <n v="3.5"/>
    <n v="11781.56"/>
    <n v="42254.79"/>
    <x v="2"/>
  </r>
  <r>
    <x v="1"/>
    <x v="1"/>
    <x v="8"/>
    <x v="3"/>
    <x v="26"/>
    <x v="0"/>
    <x v="1"/>
    <n v="3.24"/>
    <n v="10906.36"/>
    <n v="39110.660000000003"/>
    <x v="2"/>
  </r>
  <r>
    <x v="1"/>
    <x v="1"/>
    <x v="8"/>
    <x v="3"/>
    <x v="27"/>
    <x v="0"/>
    <x v="1"/>
    <n v="9.84"/>
    <n v="33123.01"/>
    <n v="118883.84"/>
    <x v="2"/>
  </r>
  <r>
    <x v="1"/>
    <x v="1"/>
    <x v="8"/>
    <x v="0"/>
    <x v="0"/>
    <x v="1"/>
    <x v="0"/>
    <n v="5.62"/>
    <n v="18917.82"/>
    <n v="44388.5"/>
    <x v="2"/>
  </r>
  <r>
    <x v="1"/>
    <x v="1"/>
    <x v="8"/>
    <x v="0"/>
    <x v="1"/>
    <x v="1"/>
    <x v="0"/>
    <n v="14.71"/>
    <n v="49516.21"/>
    <n v="114215.65"/>
    <x v="2"/>
  </r>
  <r>
    <x v="1"/>
    <x v="1"/>
    <x v="8"/>
    <x v="0"/>
    <x v="2"/>
    <x v="1"/>
    <x v="0"/>
    <n v="7.83"/>
    <n v="26357.03"/>
    <n v="58746.25"/>
    <x v="2"/>
  </r>
  <r>
    <x v="1"/>
    <x v="1"/>
    <x v="8"/>
    <x v="0"/>
    <x v="3"/>
    <x v="1"/>
    <x v="0"/>
    <n v="14.58"/>
    <n v="49078.61"/>
    <n v="113733.77"/>
    <x v="2"/>
  </r>
  <r>
    <x v="1"/>
    <x v="1"/>
    <x v="8"/>
    <x v="0"/>
    <x v="28"/>
    <x v="1"/>
    <x v="0"/>
    <n v="0"/>
    <n v="0"/>
    <n v="0"/>
    <x v="2"/>
  </r>
  <r>
    <x v="1"/>
    <x v="1"/>
    <x v="8"/>
    <x v="0"/>
    <x v="4"/>
    <x v="1"/>
    <x v="0"/>
    <n v="9.91"/>
    <n v="33358.65"/>
    <n v="76625.259999999995"/>
    <x v="2"/>
  </r>
  <r>
    <x v="1"/>
    <x v="1"/>
    <x v="8"/>
    <x v="0"/>
    <x v="5"/>
    <x v="1"/>
    <x v="0"/>
    <n v="2.37"/>
    <n v="7977.8"/>
    <n v="18831.21"/>
    <x v="2"/>
  </r>
  <r>
    <x v="1"/>
    <x v="1"/>
    <x v="8"/>
    <x v="0"/>
    <x v="6"/>
    <x v="1"/>
    <x v="0"/>
    <n v="0"/>
    <n v="0"/>
    <n v="0"/>
    <x v="2"/>
  </r>
  <r>
    <x v="1"/>
    <x v="1"/>
    <x v="8"/>
    <x v="0"/>
    <x v="7"/>
    <x v="1"/>
    <x v="0"/>
    <n v="0"/>
    <n v="0"/>
    <n v="0"/>
    <x v="2"/>
  </r>
  <r>
    <x v="1"/>
    <x v="1"/>
    <x v="8"/>
    <x v="0"/>
    <x v="8"/>
    <x v="1"/>
    <x v="0"/>
    <n v="0"/>
    <n v="0"/>
    <n v="0"/>
    <x v="2"/>
  </r>
  <r>
    <x v="1"/>
    <x v="1"/>
    <x v="8"/>
    <x v="1"/>
    <x v="30"/>
    <x v="1"/>
    <x v="0"/>
    <n v="3.8"/>
    <n v="12791.41"/>
    <n v="31583.14"/>
    <x v="2"/>
  </r>
  <r>
    <x v="1"/>
    <x v="1"/>
    <x v="8"/>
    <x v="1"/>
    <x v="9"/>
    <x v="1"/>
    <x v="0"/>
    <n v="0"/>
    <n v="0"/>
    <n v="0"/>
    <x v="2"/>
  </r>
  <r>
    <x v="1"/>
    <x v="1"/>
    <x v="8"/>
    <x v="1"/>
    <x v="31"/>
    <x v="1"/>
    <x v="0"/>
    <n v="4.08"/>
    <n v="13733.93"/>
    <n v="34247.86"/>
    <x v="2"/>
  </r>
  <r>
    <x v="1"/>
    <x v="1"/>
    <x v="8"/>
    <x v="1"/>
    <x v="10"/>
    <x v="1"/>
    <x v="0"/>
    <n v="14.61"/>
    <n v="49179.6"/>
    <n v="120328.17"/>
    <x v="2"/>
  </r>
  <r>
    <x v="1"/>
    <x v="1"/>
    <x v="8"/>
    <x v="1"/>
    <x v="11"/>
    <x v="1"/>
    <x v="0"/>
    <n v="7.68"/>
    <n v="25852.11"/>
    <n v="60280.94"/>
    <x v="2"/>
  </r>
  <r>
    <x v="1"/>
    <x v="1"/>
    <x v="8"/>
    <x v="1"/>
    <x v="12"/>
    <x v="1"/>
    <x v="0"/>
    <n v="2.16"/>
    <n v="7270.91"/>
    <n v="17854.93"/>
    <x v="2"/>
  </r>
  <r>
    <x v="1"/>
    <x v="1"/>
    <x v="8"/>
    <x v="1"/>
    <x v="13"/>
    <x v="1"/>
    <x v="0"/>
    <n v="3.78"/>
    <n v="12724.08"/>
    <n v="31071.79"/>
    <x v="2"/>
  </r>
  <r>
    <x v="1"/>
    <x v="1"/>
    <x v="8"/>
    <x v="1"/>
    <x v="14"/>
    <x v="1"/>
    <x v="0"/>
    <n v="13.07"/>
    <n v="43995.71"/>
    <n v="105474.99"/>
    <x v="2"/>
  </r>
  <r>
    <x v="1"/>
    <x v="1"/>
    <x v="8"/>
    <x v="1"/>
    <x v="15"/>
    <x v="1"/>
    <x v="0"/>
    <n v="2.73"/>
    <n v="9189.6200000000008"/>
    <n v="22793.23"/>
    <x v="2"/>
  </r>
  <r>
    <x v="1"/>
    <x v="1"/>
    <x v="8"/>
    <x v="1"/>
    <x v="16"/>
    <x v="1"/>
    <x v="0"/>
    <n v="8.66"/>
    <n v="29150.95"/>
    <n v="68802.149999999994"/>
    <x v="2"/>
  </r>
  <r>
    <x v="1"/>
    <x v="1"/>
    <x v="8"/>
    <x v="1"/>
    <x v="17"/>
    <x v="1"/>
    <x v="0"/>
    <n v="8.08"/>
    <n v="27198.57"/>
    <n v="64755.93"/>
    <x v="2"/>
  </r>
  <r>
    <x v="1"/>
    <x v="1"/>
    <x v="8"/>
    <x v="1"/>
    <x v="18"/>
    <x v="1"/>
    <x v="0"/>
    <n v="8.82"/>
    <n v="29689.53"/>
    <n v="74049.61"/>
    <x v="2"/>
  </r>
  <r>
    <x v="1"/>
    <x v="1"/>
    <x v="8"/>
    <x v="1"/>
    <x v="19"/>
    <x v="1"/>
    <x v="0"/>
    <n v="9.75"/>
    <n v="32820.06"/>
    <n v="79401.240000000005"/>
    <x v="2"/>
  </r>
  <r>
    <x v="1"/>
    <x v="1"/>
    <x v="8"/>
    <x v="1"/>
    <x v="20"/>
    <x v="1"/>
    <x v="0"/>
    <n v="13.98"/>
    <n v="47058.92"/>
    <n v="111894.03"/>
    <x v="2"/>
  </r>
  <r>
    <x v="1"/>
    <x v="1"/>
    <x v="8"/>
    <x v="2"/>
    <x v="21"/>
    <x v="1"/>
    <x v="0"/>
    <n v="0"/>
    <n v="0"/>
    <n v="0"/>
    <x v="2"/>
  </r>
  <r>
    <x v="1"/>
    <x v="1"/>
    <x v="8"/>
    <x v="2"/>
    <x v="22"/>
    <x v="1"/>
    <x v="0"/>
    <n v="4.22"/>
    <n v="14205.2"/>
    <n v="31064.01"/>
    <x v="2"/>
  </r>
  <r>
    <x v="1"/>
    <x v="1"/>
    <x v="8"/>
    <x v="2"/>
    <x v="29"/>
    <x v="1"/>
    <x v="0"/>
    <n v="0"/>
    <n v="0"/>
    <n v="0"/>
    <x v="2"/>
  </r>
  <r>
    <x v="1"/>
    <x v="1"/>
    <x v="8"/>
    <x v="2"/>
    <x v="23"/>
    <x v="1"/>
    <x v="0"/>
    <n v="0"/>
    <n v="0"/>
    <n v="0"/>
    <x v="2"/>
  </r>
  <r>
    <x v="1"/>
    <x v="1"/>
    <x v="8"/>
    <x v="2"/>
    <x v="24"/>
    <x v="1"/>
    <x v="0"/>
    <n v="2.1800000000000002"/>
    <n v="7338.23"/>
    <n v="16332.18"/>
    <x v="2"/>
  </r>
  <r>
    <x v="1"/>
    <x v="1"/>
    <x v="8"/>
    <x v="3"/>
    <x v="25"/>
    <x v="1"/>
    <x v="0"/>
    <n v="9.43"/>
    <n v="31742.89"/>
    <n v="78040.34"/>
    <x v="2"/>
  </r>
  <r>
    <x v="1"/>
    <x v="1"/>
    <x v="8"/>
    <x v="3"/>
    <x v="26"/>
    <x v="1"/>
    <x v="0"/>
    <n v="8.2899999999999991"/>
    <n v="27905.47"/>
    <n v="69083.91"/>
    <x v="2"/>
  </r>
  <r>
    <x v="1"/>
    <x v="1"/>
    <x v="8"/>
    <x v="3"/>
    <x v="27"/>
    <x v="1"/>
    <x v="0"/>
    <n v="13.64"/>
    <n v="45914.42"/>
    <n v="111511.52"/>
    <x v="2"/>
  </r>
  <r>
    <x v="1"/>
    <x v="1"/>
    <x v="8"/>
    <x v="0"/>
    <x v="0"/>
    <x v="1"/>
    <x v="1"/>
    <n v="9.34"/>
    <n v="31439.93"/>
    <n v="73753.210000000006"/>
    <x v="2"/>
  </r>
  <r>
    <x v="1"/>
    <x v="1"/>
    <x v="8"/>
    <x v="0"/>
    <x v="1"/>
    <x v="1"/>
    <x v="1"/>
    <n v="19.559999999999999"/>
    <n v="65842.09"/>
    <n v="151917.91"/>
    <x v="2"/>
  </r>
  <r>
    <x v="1"/>
    <x v="1"/>
    <x v="8"/>
    <x v="0"/>
    <x v="2"/>
    <x v="1"/>
    <x v="1"/>
    <n v="15.49"/>
    <n v="52141.82"/>
    <n v="116187.03"/>
    <x v="2"/>
  </r>
  <r>
    <x v="1"/>
    <x v="1"/>
    <x v="8"/>
    <x v="0"/>
    <x v="3"/>
    <x v="1"/>
    <x v="1"/>
    <n v="34.79"/>
    <n v="117108.71"/>
    <n v="271410.13"/>
    <x v="2"/>
  </r>
  <r>
    <x v="1"/>
    <x v="1"/>
    <x v="8"/>
    <x v="0"/>
    <x v="28"/>
    <x v="1"/>
    <x v="1"/>
    <n v="1.78"/>
    <n v="5991.76"/>
    <n v="14071.05"/>
    <x v="2"/>
  </r>
  <r>
    <x v="1"/>
    <x v="1"/>
    <x v="8"/>
    <x v="0"/>
    <x v="4"/>
    <x v="1"/>
    <x v="1"/>
    <n v="9.91"/>
    <n v="33358.65"/>
    <n v="76625.259999999995"/>
    <x v="2"/>
  </r>
  <r>
    <x v="1"/>
    <x v="1"/>
    <x v="8"/>
    <x v="0"/>
    <x v="5"/>
    <x v="1"/>
    <x v="1"/>
    <n v="25.7"/>
    <n v="86510.31"/>
    <n v="204545.88"/>
    <x v="2"/>
  </r>
  <r>
    <x v="1"/>
    <x v="1"/>
    <x v="8"/>
    <x v="0"/>
    <x v="6"/>
    <x v="1"/>
    <x v="1"/>
    <n v="2.71"/>
    <n v="9122.2900000000009"/>
    <n v="21496.85"/>
    <x v="2"/>
  </r>
  <r>
    <x v="1"/>
    <x v="1"/>
    <x v="8"/>
    <x v="0"/>
    <x v="7"/>
    <x v="1"/>
    <x v="1"/>
    <n v="3.96"/>
    <n v="13329.99"/>
    <n v="31930.02"/>
    <x v="2"/>
  </r>
  <r>
    <x v="1"/>
    <x v="1"/>
    <x v="8"/>
    <x v="0"/>
    <x v="8"/>
    <x v="1"/>
    <x v="1"/>
    <n v="5.4"/>
    <n v="18177.259999999998"/>
    <n v="41553.919999999998"/>
    <x v="2"/>
  </r>
  <r>
    <x v="1"/>
    <x v="1"/>
    <x v="8"/>
    <x v="1"/>
    <x v="30"/>
    <x v="1"/>
    <x v="1"/>
    <n v="0"/>
    <n v="0"/>
    <n v="0"/>
    <x v="2"/>
  </r>
  <r>
    <x v="1"/>
    <x v="1"/>
    <x v="8"/>
    <x v="1"/>
    <x v="9"/>
    <x v="1"/>
    <x v="1"/>
    <n v="3.12"/>
    <n v="10502.42"/>
    <n v="25899.81"/>
    <x v="2"/>
  </r>
  <r>
    <x v="1"/>
    <x v="1"/>
    <x v="8"/>
    <x v="1"/>
    <x v="31"/>
    <x v="1"/>
    <x v="1"/>
    <n v="0"/>
    <n v="0"/>
    <n v="0"/>
    <x v="2"/>
  </r>
  <r>
    <x v="1"/>
    <x v="1"/>
    <x v="8"/>
    <x v="1"/>
    <x v="10"/>
    <x v="1"/>
    <x v="1"/>
    <n v="32.51"/>
    <n v="109433.86"/>
    <n v="267763.23"/>
    <x v="2"/>
  </r>
  <r>
    <x v="1"/>
    <x v="1"/>
    <x v="8"/>
    <x v="1"/>
    <x v="11"/>
    <x v="1"/>
    <x v="1"/>
    <n v="32.51"/>
    <n v="109433.86"/>
    <n v="255189.3"/>
    <x v="2"/>
  </r>
  <r>
    <x v="1"/>
    <x v="1"/>
    <x v="8"/>
    <x v="1"/>
    <x v="12"/>
    <x v="1"/>
    <x v="1"/>
    <n v="3.89"/>
    <n v="13094.36"/>
    <n v="32138.87"/>
    <x v="2"/>
  </r>
  <r>
    <x v="1"/>
    <x v="1"/>
    <x v="8"/>
    <x v="1"/>
    <x v="13"/>
    <x v="1"/>
    <x v="1"/>
    <n v="17"/>
    <n v="57224.72"/>
    <n v="139823.06"/>
    <x v="2"/>
  </r>
  <r>
    <x v="1"/>
    <x v="1"/>
    <x v="8"/>
    <x v="1"/>
    <x v="14"/>
    <x v="1"/>
    <x v="1"/>
    <n v="7.32"/>
    <n v="24640.29"/>
    <n v="59043.07"/>
    <x v="2"/>
  </r>
  <r>
    <x v="1"/>
    <x v="1"/>
    <x v="8"/>
    <x v="1"/>
    <x v="15"/>
    <x v="1"/>
    <x v="1"/>
    <n v="2.63"/>
    <n v="8853"/>
    <n v="21979.19"/>
    <x v="2"/>
  </r>
  <r>
    <x v="1"/>
    <x v="1"/>
    <x v="8"/>
    <x v="1"/>
    <x v="16"/>
    <x v="1"/>
    <x v="1"/>
    <n v="10.36"/>
    <n v="34873.42"/>
    <n v="82292.77"/>
    <x v="2"/>
  </r>
  <r>
    <x v="1"/>
    <x v="1"/>
    <x v="8"/>
    <x v="1"/>
    <x v="17"/>
    <x v="1"/>
    <x v="1"/>
    <n v="7.16"/>
    <n v="24101.71"/>
    <n v="57412.47"/>
    <x v="2"/>
  </r>
  <r>
    <x v="1"/>
    <x v="1"/>
    <x v="8"/>
    <x v="1"/>
    <x v="18"/>
    <x v="1"/>
    <x v="1"/>
    <n v="34.08"/>
    <n v="114718.73"/>
    <n v="286065.34999999998"/>
    <x v="2"/>
  </r>
  <r>
    <x v="1"/>
    <x v="1"/>
    <x v="8"/>
    <x v="1"/>
    <x v="19"/>
    <x v="1"/>
    <x v="1"/>
    <n v="15.52"/>
    <n v="52242.8"/>
    <n v="126351.54"/>
    <x v="2"/>
  </r>
  <r>
    <x v="1"/>
    <x v="1"/>
    <x v="8"/>
    <x v="1"/>
    <x v="20"/>
    <x v="1"/>
    <x v="1"/>
    <n v="26.01"/>
    <n v="87553.82"/>
    <n v="208284.66"/>
    <x v="2"/>
  </r>
  <r>
    <x v="1"/>
    <x v="1"/>
    <x v="8"/>
    <x v="2"/>
    <x v="21"/>
    <x v="1"/>
    <x v="1"/>
    <n v="3.32"/>
    <n v="11175.65"/>
    <n v="24394.05"/>
    <x v="2"/>
  </r>
  <r>
    <x v="1"/>
    <x v="1"/>
    <x v="8"/>
    <x v="2"/>
    <x v="22"/>
    <x v="1"/>
    <x v="1"/>
    <n v="8.49"/>
    <n v="28578.7"/>
    <n v="62407.87"/>
    <x v="2"/>
  </r>
  <r>
    <x v="1"/>
    <x v="1"/>
    <x v="8"/>
    <x v="2"/>
    <x v="29"/>
    <x v="1"/>
    <x v="1"/>
    <n v="5.43"/>
    <n v="18278.25"/>
    <n v="42411.34"/>
    <x v="2"/>
  </r>
  <r>
    <x v="1"/>
    <x v="1"/>
    <x v="8"/>
    <x v="2"/>
    <x v="23"/>
    <x v="1"/>
    <x v="1"/>
    <n v="2.0099999999999998"/>
    <n v="6765.98"/>
    <n v="15394.64"/>
    <x v="2"/>
  </r>
  <r>
    <x v="1"/>
    <x v="1"/>
    <x v="8"/>
    <x v="2"/>
    <x v="24"/>
    <x v="1"/>
    <x v="1"/>
    <n v="3.52"/>
    <n v="11848.88"/>
    <n v="26382.75"/>
    <x v="2"/>
  </r>
  <r>
    <x v="1"/>
    <x v="1"/>
    <x v="8"/>
    <x v="3"/>
    <x v="25"/>
    <x v="1"/>
    <x v="1"/>
    <n v="9.6"/>
    <n v="32315.14"/>
    <n v="79421.59"/>
    <x v="2"/>
  </r>
  <r>
    <x v="1"/>
    <x v="1"/>
    <x v="8"/>
    <x v="3"/>
    <x v="26"/>
    <x v="1"/>
    <x v="1"/>
    <n v="21.4"/>
    <n v="72035.820000000007"/>
    <n v="178302.28"/>
    <x v="2"/>
  </r>
  <r>
    <x v="1"/>
    <x v="1"/>
    <x v="8"/>
    <x v="3"/>
    <x v="27"/>
    <x v="1"/>
    <x v="1"/>
    <n v="43.37"/>
    <n v="145990.35999999999"/>
    <n v="354620.47"/>
    <x v="2"/>
  </r>
  <r>
    <x v="1"/>
    <x v="1"/>
    <x v="9"/>
    <x v="0"/>
    <x v="0"/>
    <x v="0"/>
    <x v="0"/>
    <n v="1.26"/>
    <n v="3401.76"/>
    <n v="11837.08"/>
    <x v="2"/>
  </r>
  <r>
    <x v="1"/>
    <x v="1"/>
    <x v="9"/>
    <x v="0"/>
    <x v="1"/>
    <x v="0"/>
    <x v="0"/>
    <n v="3.78"/>
    <n v="10205.280000000001"/>
    <n v="35488.720000000001"/>
    <x v="2"/>
  </r>
  <r>
    <x v="1"/>
    <x v="1"/>
    <x v="9"/>
    <x v="0"/>
    <x v="2"/>
    <x v="0"/>
    <x v="0"/>
    <n v="0"/>
    <n v="0"/>
    <n v="0"/>
    <x v="2"/>
  </r>
  <r>
    <x v="1"/>
    <x v="1"/>
    <x v="9"/>
    <x v="0"/>
    <x v="3"/>
    <x v="0"/>
    <x v="0"/>
    <n v="1.08"/>
    <n v="2915.79"/>
    <n v="10097.950000000001"/>
    <x v="2"/>
  </r>
  <r>
    <x v="1"/>
    <x v="1"/>
    <x v="9"/>
    <x v="0"/>
    <x v="4"/>
    <x v="0"/>
    <x v="0"/>
    <n v="0"/>
    <n v="0"/>
    <n v="0"/>
    <x v="2"/>
  </r>
  <r>
    <x v="1"/>
    <x v="1"/>
    <x v="9"/>
    <x v="0"/>
    <x v="5"/>
    <x v="0"/>
    <x v="0"/>
    <n v="0"/>
    <n v="0"/>
    <n v="0"/>
    <x v="2"/>
  </r>
  <r>
    <x v="1"/>
    <x v="1"/>
    <x v="9"/>
    <x v="0"/>
    <x v="6"/>
    <x v="0"/>
    <x v="0"/>
    <n v="0"/>
    <n v="0"/>
    <n v="0"/>
    <x v="2"/>
  </r>
  <r>
    <x v="1"/>
    <x v="1"/>
    <x v="9"/>
    <x v="0"/>
    <x v="8"/>
    <x v="0"/>
    <x v="0"/>
    <n v="0"/>
    <n v="0"/>
    <n v="0"/>
    <x v="2"/>
  </r>
  <r>
    <x v="1"/>
    <x v="1"/>
    <x v="9"/>
    <x v="1"/>
    <x v="10"/>
    <x v="0"/>
    <x v="0"/>
    <n v="1.55"/>
    <n v="4184.71"/>
    <n v="14544"/>
    <x v="2"/>
  </r>
  <r>
    <x v="1"/>
    <x v="1"/>
    <x v="9"/>
    <x v="1"/>
    <x v="11"/>
    <x v="0"/>
    <x v="0"/>
    <n v="0"/>
    <n v="0"/>
    <n v="0"/>
    <x v="2"/>
  </r>
  <r>
    <x v="1"/>
    <x v="1"/>
    <x v="9"/>
    <x v="1"/>
    <x v="13"/>
    <x v="0"/>
    <x v="0"/>
    <n v="0"/>
    <n v="0"/>
    <n v="0"/>
    <x v="2"/>
  </r>
  <r>
    <x v="1"/>
    <x v="1"/>
    <x v="9"/>
    <x v="1"/>
    <x v="14"/>
    <x v="0"/>
    <x v="0"/>
    <n v="0"/>
    <n v="0"/>
    <n v="0"/>
    <x v="2"/>
  </r>
  <r>
    <x v="1"/>
    <x v="1"/>
    <x v="9"/>
    <x v="1"/>
    <x v="16"/>
    <x v="0"/>
    <x v="0"/>
    <n v="0"/>
    <n v="0"/>
    <n v="0"/>
    <x v="2"/>
  </r>
  <r>
    <x v="1"/>
    <x v="1"/>
    <x v="9"/>
    <x v="1"/>
    <x v="17"/>
    <x v="0"/>
    <x v="0"/>
    <n v="0"/>
    <n v="0"/>
    <n v="0"/>
    <x v="2"/>
  </r>
  <r>
    <x v="1"/>
    <x v="1"/>
    <x v="9"/>
    <x v="1"/>
    <x v="18"/>
    <x v="0"/>
    <x v="0"/>
    <n v="0"/>
    <n v="0"/>
    <n v="0"/>
    <x v="2"/>
  </r>
  <r>
    <x v="1"/>
    <x v="1"/>
    <x v="9"/>
    <x v="1"/>
    <x v="19"/>
    <x v="0"/>
    <x v="0"/>
    <n v="0"/>
    <n v="0"/>
    <n v="0"/>
    <x v="2"/>
  </r>
  <r>
    <x v="1"/>
    <x v="1"/>
    <x v="9"/>
    <x v="1"/>
    <x v="20"/>
    <x v="0"/>
    <x v="0"/>
    <n v="1.75"/>
    <n v="4724.67"/>
    <n v="16445.78"/>
    <x v="2"/>
  </r>
  <r>
    <x v="1"/>
    <x v="1"/>
    <x v="9"/>
    <x v="2"/>
    <x v="21"/>
    <x v="0"/>
    <x v="0"/>
    <n v="2.17"/>
    <n v="5858.59"/>
    <n v="20316.36"/>
    <x v="2"/>
  </r>
  <r>
    <x v="1"/>
    <x v="1"/>
    <x v="9"/>
    <x v="2"/>
    <x v="22"/>
    <x v="0"/>
    <x v="0"/>
    <n v="0"/>
    <n v="0"/>
    <n v="0"/>
    <x v="2"/>
  </r>
  <r>
    <x v="1"/>
    <x v="1"/>
    <x v="9"/>
    <x v="2"/>
    <x v="29"/>
    <x v="0"/>
    <x v="0"/>
    <n v="0"/>
    <n v="0"/>
    <n v="0"/>
    <x v="2"/>
  </r>
  <r>
    <x v="1"/>
    <x v="1"/>
    <x v="9"/>
    <x v="2"/>
    <x v="24"/>
    <x v="0"/>
    <x v="0"/>
    <n v="0"/>
    <n v="0"/>
    <n v="0"/>
    <x v="2"/>
  </r>
  <r>
    <x v="1"/>
    <x v="1"/>
    <x v="9"/>
    <x v="3"/>
    <x v="25"/>
    <x v="0"/>
    <x v="0"/>
    <n v="0"/>
    <n v="0"/>
    <n v="0"/>
    <x v="2"/>
  </r>
  <r>
    <x v="1"/>
    <x v="1"/>
    <x v="9"/>
    <x v="3"/>
    <x v="26"/>
    <x v="0"/>
    <x v="0"/>
    <n v="1.29"/>
    <n v="3482.75"/>
    <n v="12132.19"/>
    <x v="2"/>
  </r>
  <r>
    <x v="1"/>
    <x v="1"/>
    <x v="9"/>
    <x v="3"/>
    <x v="27"/>
    <x v="0"/>
    <x v="0"/>
    <n v="2.84"/>
    <n v="7667.46"/>
    <n v="26628.77"/>
    <x v="2"/>
  </r>
  <r>
    <x v="1"/>
    <x v="1"/>
    <x v="9"/>
    <x v="0"/>
    <x v="0"/>
    <x v="0"/>
    <x v="1"/>
    <n v="1.71"/>
    <n v="4616.68"/>
    <n v="16064.61"/>
    <x v="2"/>
  </r>
  <r>
    <x v="1"/>
    <x v="1"/>
    <x v="9"/>
    <x v="0"/>
    <x v="1"/>
    <x v="0"/>
    <x v="1"/>
    <n v="7.86"/>
    <n v="21220.51"/>
    <n v="73707.350000000006"/>
    <x v="2"/>
  </r>
  <r>
    <x v="1"/>
    <x v="1"/>
    <x v="9"/>
    <x v="0"/>
    <x v="2"/>
    <x v="0"/>
    <x v="1"/>
    <n v="3.52"/>
    <n v="9503.33"/>
    <n v="32975.46"/>
    <x v="2"/>
  </r>
  <r>
    <x v="1"/>
    <x v="1"/>
    <x v="9"/>
    <x v="0"/>
    <x v="3"/>
    <x v="0"/>
    <x v="1"/>
    <n v="3.47"/>
    <n v="9368.34"/>
    <n v="32588.84"/>
    <x v="2"/>
  </r>
  <r>
    <x v="1"/>
    <x v="1"/>
    <x v="9"/>
    <x v="0"/>
    <x v="4"/>
    <x v="0"/>
    <x v="1"/>
    <n v="1.48"/>
    <n v="3995.72"/>
    <n v="13839.45"/>
    <x v="2"/>
  </r>
  <r>
    <x v="1"/>
    <x v="1"/>
    <x v="9"/>
    <x v="0"/>
    <x v="5"/>
    <x v="0"/>
    <x v="1"/>
    <n v="6.75"/>
    <n v="18223.72"/>
    <n v="63336.55"/>
    <x v="2"/>
  </r>
  <r>
    <x v="1"/>
    <x v="1"/>
    <x v="9"/>
    <x v="0"/>
    <x v="6"/>
    <x v="0"/>
    <x v="1"/>
    <n v="1.95"/>
    <n v="5264.63"/>
    <n v="18312.95"/>
    <x v="2"/>
  </r>
  <r>
    <x v="1"/>
    <x v="1"/>
    <x v="9"/>
    <x v="0"/>
    <x v="8"/>
    <x v="0"/>
    <x v="1"/>
    <n v="3.35"/>
    <n v="9044.36"/>
    <n v="31407.66"/>
    <x v="2"/>
  </r>
  <r>
    <x v="1"/>
    <x v="1"/>
    <x v="9"/>
    <x v="1"/>
    <x v="10"/>
    <x v="0"/>
    <x v="1"/>
    <n v="4.6500000000000004"/>
    <n v="12554.12"/>
    <n v="43632.01"/>
    <x v="2"/>
  </r>
  <r>
    <x v="1"/>
    <x v="1"/>
    <x v="9"/>
    <x v="1"/>
    <x v="11"/>
    <x v="0"/>
    <x v="1"/>
    <n v="10.15"/>
    <n v="27403.07"/>
    <n v="95234.09"/>
    <x v="2"/>
  </r>
  <r>
    <x v="1"/>
    <x v="1"/>
    <x v="9"/>
    <x v="1"/>
    <x v="13"/>
    <x v="0"/>
    <x v="1"/>
    <n v="4.66"/>
    <n v="12581.11"/>
    <n v="43677.27"/>
    <x v="2"/>
  </r>
  <r>
    <x v="1"/>
    <x v="1"/>
    <x v="9"/>
    <x v="1"/>
    <x v="14"/>
    <x v="0"/>
    <x v="1"/>
    <n v="1.82"/>
    <n v="4913.6499999999996"/>
    <n v="17089.09"/>
    <x v="2"/>
  </r>
  <r>
    <x v="1"/>
    <x v="1"/>
    <x v="9"/>
    <x v="1"/>
    <x v="16"/>
    <x v="0"/>
    <x v="1"/>
    <n v="1.72"/>
    <n v="4643.67"/>
    <n v="16114.06"/>
    <x v="2"/>
  </r>
  <r>
    <x v="1"/>
    <x v="1"/>
    <x v="9"/>
    <x v="1"/>
    <x v="17"/>
    <x v="0"/>
    <x v="1"/>
    <n v="2.29"/>
    <n v="6182.56"/>
    <n v="21502.83"/>
    <x v="2"/>
  </r>
  <r>
    <x v="1"/>
    <x v="1"/>
    <x v="9"/>
    <x v="1"/>
    <x v="18"/>
    <x v="0"/>
    <x v="1"/>
    <n v="11.05"/>
    <n v="29832.9"/>
    <n v="103683.99"/>
    <x v="2"/>
  </r>
  <r>
    <x v="1"/>
    <x v="1"/>
    <x v="9"/>
    <x v="1"/>
    <x v="19"/>
    <x v="0"/>
    <x v="1"/>
    <n v="3.99"/>
    <n v="10772.24"/>
    <n v="37453.97"/>
    <x v="2"/>
  </r>
  <r>
    <x v="1"/>
    <x v="1"/>
    <x v="9"/>
    <x v="1"/>
    <x v="20"/>
    <x v="0"/>
    <x v="1"/>
    <n v="9.91"/>
    <n v="26755.119999999999"/>
    <n v="92918.64"/>
    <x v="2"/>
  </r>
  <r>
    <x v="1"/>
    <x v="1"/>
    <x v="9"/>
    <x v="2"/>
    <x v="21"/>
    <x v="0"/>
    <x v="1"/>
    <n v="0"/>
    <n v="0"/>
    <n v="0"/>
    <x v="2"/>
  </r>
  <r>
    <x v="1"/>
    <x v="1"/>
    <x v="9"/>
    <x v="2"/>
    <x v="22"/>
    <x v="0"/>
    <x v="1"/>
    <n v="3.37"/>
    <n v="9098.36"/>
    <n v="31594.09"/>
    <x v="2"/>
  </r>
  <r>
    <x v="1"/>
    <x v="1"/>
    <x v="9"/>
    <x v="2"/>
    <x v="29"/>
    <x v="0"/>
    <x v="1"/>
    <n v="2.15"/>
    <n v="5804.59"/>
    <n v="20187.900000000001"/>
    <x v="2"/>
  </r>
  <r>
    <x v="1"/>
    <x v="1"/>
    <x v="9"/>
    <x v="2"/>
    <x v="24"/>
    <x v="0"/>
    <x v="1"/>
    <n v="1.98"/>
    <n v="5345.62"/>
    <n v="18614.23"/>
    <x v="2"/>
  </r>
  <r>
    <x v="1"/>
    <x v="1"/>
    <x v="9"/>
    <x v="3"/>
    <x v="25"/>
    <x v="0"/>
    <x v="1"/>
    <n v="2.09"/>
    <n v="5642.6"/>
    <n v="19601.22"/>
    <x v="2"/>
  </r>
  <r>
    <x v="1"/>
    <x v="1"/>
    <x v="9"/>
    <x v="3"/>
    <x v="26"/>
    <x v="0"/>
    <x v="1"/>
    <n v="1.03"/>
    <n v="2780.8"/>
    <n v="9705.75"/>
    <x v="2"/>
  </r>
  <r>
    <x v="1"/>
    <x v="1"/>
    <x v="9"/>
    <x v="3"/>
    <x v="27"/>
    <x v="0"/>
    <x v="1"/>
    <n v="7.81"/>
    <n v="21085.52"/>
    <n v="73229.11"/>
    <x v="2"/>
  </r>
  <r>
    <x v="1"/>
    <x v="1"/>
    <x v="9"/>
    <x v="0"/>
    <x v="0"/>
    <x v="1"/>
    <x v="0"/>
    <n v="4.21"/>
    <n v="11366.2"/>
    <n v="25846.39"/>
    <x v="2"/>
  </r>
  <r>
    <x v="1"/>
    <x v="1"/>
    <x v="9"/>
    <x v="0"/>
    <x v="1"/>
    <x v="1"/>
    <x v="0"/>
    <n v="12.09"/>
    <n v="32640.7"/>
    <n v="72943.490000000005"/>
    <x v="2"/>
  </r>
  <r>
    <x v="1"/>
    <x v="1"/>
    <x v="9"/>
    <x v="0"/>
    <x v="2"/>
    <x v="1"/>
    <x v="0"/>
    <n v="6.6"/>
    <n v="17818.75"/>
    <n v="38446.43"/>
    <x v="2"/>
  </r>
  <r>
    <x v="1"/>
    <x v="1"/>
    <x v="9"/>
    <x v="0"/>
    <x v="3"/>
    <x v="1"/>
    <x v="0"/>
    <n v="12.34"/>
    <n v="33315.660000000003"/>
    <n v="74786.429999999993"/>
    <x v="2"/>
  </r>
  <r>
    <x v="1"/>
    <x v="1"/>
    <x v="9"/>
    <x v="0"/>
    <x v="28"/>
    <x v="1"/>
    <x v="0"/>
    <n v="0"/>
    <n v="0"/>
    <n v="0"/>
    <x v="2"/>
  </r>
  <r>
    <x v="1"/>
    <x v="1"/>
    <x v="9"/>
    <x v="0"/>
    <x v="4"/>
    <x v="1"/>
    <x v="0"/>
    <n v="8.11"/>
    <n v="21895.46"/>
    <n v="48686.79"/>
    <x v="2"/>
  </r>
  <r>
    <x v="1"/>
    <x v="1"/>
    <x v="9"/>
    <x v="0"/>
    <x v="5"/>
    <x v="1"/>
    <x v="0"/>
    <n v="2.63"/>
    <n v="7100.5"/>
    <n v="16237.09"/>
    <x v="2"/>
  </r>
  <r>
    <x v="1"/>
    <x v="1"/>
    <x v="9"/>
    <x v="0"/>
    <x v="6"/>
    <x v="1"/>
    <x v="0"/>
    <n v="0"/>
    <n v="0"/>
    <n v="0"/>
    <x v="2"/>
  </r>
  <r>
    <x v="1"/>
    <x v="1"/>
    <x v="9"/>
    <x v="0"/>
    <x v="7"/>
    <x v="1"/>
    <x v="0"/>
    <n v="0"/>
    <n v="0"/>
    <n v="0"/>
    <x v="2"/>
  </r>
  <r>
    <x v="1"/>
    <x v="1"/>
    <x v="9"/>
    <x v="0"/>
    <x v="8"/>
    <x v="1"/>
    <x v="0"/>
    <n v="0"/>
    <n v="0"/>
    <n v="0"/>
    <x v="2"/>
  </r>
  <r>
    <x v="1"/>
    <x v="1"/>
    <x v="9"/>
    <x v="1"/>
    <x v="30"/>
    <x v="1"/>
    <x v="0"/>
    <n v="1.86"/>
    <n v="5021.6499999999996"/>
    <n v="11990.74"/>
    <x v="2"/>
  </r>
  <r>
    <x v="1"/>
    <x v="1"/>
    <x v="9"/>
    <x v="1"/>
    <x v="9"/>
    <x v="1"/>
    <x v="0"/>
    <n v="0"/>
    <n v="0"/>
    <n v="0"/>
    <x v="2"/>
  </r>
  <r>
    <x v="1"/>
    <x v="1"/>
    <x v="9"/>
    <x v="1"/>
    <x v="31"/>
    <x v="1"/>
    <x v="0"/>
    <n v="1.85"/>
    <n v="4994.6499999999996"/>
    <n v="12069.74"/>
    <x v="2"/>
  </r>
  <r>
    <x v="1"/>
    <x v="1"/>
    <x v="9"/>
    <x v="1"/>
    <x v="10"/>
    <x v="1"/>
    <x v="0"/>
    <n v="5.41"/>
    <n v="14605.97"/>
    <n v="34635.33"/>
    <x v="2"/>
  </r>
  <r>
    <x v="1"/>
    <x v="1"/>
    <x v="9"/>
    <x v="1"/>
    <x v="11"/>
    <x v="1"/>
    <x v="0"/>
    <n v="7.42"/>
    <n v="20032.59"/>
    <n v="45241.65"/>
    <x v="2"/>
  </r>
  <r>
    <x v="1"/>
    <x v="1"/>
    <x v="9"/>
    <x v="1"/>
    <x v="12"/>
    <x v="1"/>
    <x v="0"/>
    <n v="1.91"/>
    <n v="5156.6400000000003"/>
    <n v="12264.28"/>
    <x v="2"/>
  </r>
  <r>
    <x v="1"/>
    <x v="1"/>
    <x v="9"/>
    <x v="1"/>
    <x v="13"/>
    <x v="1"/>
    <x v="0"/>
    <n v="2.75"/>
    <n v="7424.48"/>
    <n v="17561.990000000002"/>
    <x v="2"/>
  </r>
  <r>
    <x v="1"/>
    <x v="1"/>
    <x v="9"/>
    <x v="1"/>
    <x v="14"/>
    <x v="1"/>
    <x v="0"/>
    <n v="12.46"/>
    <n v="33639.629999999997"/>
    <n v="78082.179999999993"/>
    <x v="2"/>
  </r>
  <r>
    <x v="1"/>
    <x v="1"/>
    <x v="9"/>
    <x v="1"/>
    <x v="15"/>
    <x v="1"/>
    <x v="0"/>
    <n v="1.97"/>
    <n v="5318.63"/>
    <n v="12763.74"/>
    <x v="2"/>
  </r>
  <r>
    <x v="1"/>
    <x v="1"/>
    <x v="9"/>
    <x v="1"/>
    <x v="16"/>
    <x v="1"/>
    <x v="0"/>
    <n v="6.02"/>
    <n v="16252.86"/>
    <n v="37176.410000000003"/>
    <x v="2"/>
  </r>
  <r>
    <x v="1"/>
    <x v="1"/>
    <x v="9"/>
    <x v="1"/>
    <x v="17"/>
    <x v="1"/>
    <x v="0"/>
    <n v="6.5"/>
    <n v="17548.77"/>
    <n v="40454.910000000003"/>
    <x v="2"/>
  </r>
  <r>
    <x v="1"/>
    <x v="1"/>
    <x v="9"/>
    <x v="1"/>
    <x v="18"/>
    <x v="1"/>
    <x v="0"/>
    <n v="7.61"/>
    <n v="20545.55"/>
    <n v="49578.19"/>
    <x v="2"/>
  </r>
  <r>
    <x v="1"/>
    <x v="1"/>
    <x v="9"/>
    <x v="1"/>
    <x v="19"/>
    <x v="1"/>
    <x v="0"/>
    <n v="6.67"/>
    <n v="18007.73"/>
    <n v="42147.38"/>
    <x v="2"/>
  </r>
  <r>
    <x v="1"/>
    <x v="1"/>
    <x v="9"/>
    <x v="1"/>
    <x v="20"/>
    <x v="1"/>
    <x v="0"/>
    <n v="10.199999999999999"/>
    <n v="27538.06"/>
    <n v="63405.1"/>
    <x v="2"/>
  </r>
  <r>
    <x v="1"/>
    <x v="1"/>
    <x v="9"/>
    <x v="2"/>
    <x v="21"/>
    <x v="1"/>
    <x v="0"/>
    <n v="0"/>
    <n v="0"/>
    <n v="0"/>
    <x v="2"/>
  </r>
  <r>
    <x v="1"/>
    <x v="1"/>
    <x v="9"/>
    <x v="2"/>
    <x v="22"/>
    <x v="1"/>
    <x v="0"/>
    <n v="8.14"/>
    <n v="21976.45"/>
    <n v="46479.72"/>
    <x v="2"/>
  </r>
  <r>
    <x v="1"/>
    <x v="1"/>
    <x v="9"/>
    <x v="2"/>
    <x v="29"/>
    <x v="1"/>
    <x v="0"/>
    <n v="0"/>
    <n v="0"/>
    <n v="0"/>
    <x v="2"/>
  </r>
  <r>
    <x v="1"/>
    <x v="1"/>
    <x v="9"/>
    <x v="2"/>
    <x v="23"/>
    <x v="1"/>
    <x v="0"/>
    <n v="0"/>
    <n v="0"/>
    <n v="0"/>
    <x v="2"/>
  </r>
  <r>
    <x v="1"/>
    <x v="1"/>
    <x v="9"/>
    <x v="2"/>
    <x v="24"/>
    <x v="1"/>
    <x v="0"/>
    <n v="1.27"/>
    <n v="3428.76"/>
    <n v="7360.41"/>
    <x v="2"/>
  </r>
  <r>
    <x v="1"/>
    <x v="1"/>
    <x v="9"/>
    <x v="3"/>
    <x v="25"/>
    <x v="1"/>
    <x v="0"/>
    <n v="4.95"/>
    <n v="13364.06"/>
    <n v="31788.57"/>
    <x v="2"/>
  </r>
  <r>
    <x v="1"/>
    <x v="1"/>
    <x v="9"/>
    <x v="3"/>
    <x v="26"/>
    <x v="1"/>
    <x v="0"/>
    <n v="5.08"/>
    <n v="13715.03"/>
    <n v="32847.49"/>
    <x v="2"/>
  </r>
  <r>
    <x v="1"/>
    <x v="1"/>
    <x v="9"/>
    <x v="3"/>
    <x v="27"/>
    <x v="1"/>
    <x v="0"/>
    <n v="7.6"/>
    <n v="20518.560000000001"/>
    <n v="48291.22"/>
    <x v="2"/>
  </r>
  <r>
    <x v="1"/>
    <x v="1"/>
    <x v="9"/>
    <x v="0"/>
    <x v="0"/>
    <x v="1"/>
    <x v="1"/>
    <n v="11.01"/>
    <n v="29724.91"/>
    <n v="67517.11"/>
    <x v="2"/>
  </r>
  <r>
    <x v="1"/>
    <x v="1"/>
    <x v="9"/>
    <x v="0"/>
    <x v="1"/>
    <x v="1"/>
    <x v="1"/>
    <n v="21.33"/>
    <n v="57586.95"/>
    <n v="128636.84"/>
    <x v="2"/>
  </r>
  <r>
    <x v="1"/>
    <x v="1"/>
    <x v="9"/>
    <x v="0"/>
    <x v="2"/>
    <x v="1"/>
    <x v="1"/>
    <n v="12.38"/>
    <n v="33423.65"/>
    <n v="72087.070000000007"/>
    <x v="2"/>
  </r>
  <r>
    <x v="1"/>
    <x v="1"/>
    <x v="9"/>
    <x v="0"/>
    <x v="3"/>
    <x v="1"/>
    <x v="1"/>
    <n v="25.11"/>
    <n v="67792.23"/>
    <n v="152151.70000000001"/>
    <x v="2"/>
  </r>
  <r>
    <x v="1"/>
    <x v="1"/>
    <x v="9"/>
    <x v="0"/>
    <x v="28"/>
    <x v="1"/>
    <x v="1"/>
    <n v="1.06"/>
    <n v="2861.8"/>
    <n v="6503.52"/>
    <x v="2"/>
  </r>
  <r>
    <x v="1"/>
    <x v="1"/>
    <x v="9"/>
    <x v="0"/>
    <x v="4"/>
    <x v="1"/>
    <x v="1"/>
    <n v="7.7"/>
    <n v="20788.54"/>
    <n v="46227.86"/>
    <x v="2"/>
  </r>
  <r>
    <x v="1"/>
    <x v="1"/>
    <x v="9"/>
    <x v="0"/>
    <x v="5"/>
    <x v="1"/>
    <x v="1"/>
    <n v="20.420000000000002"/>
    <n v="55130.12"/>
    <n v="126230.3"/>
    <x v="2"/>
  </r>
  <r>
    <x v="1"/>
    <x v="1"/>
    <x v="9"/>
    <x v="0"/>
    <x v="6"/>
    <x v="1"/>
    <x v="1"/>
    <n v="2.42"/>
    <n v="6533.54"/>
    <n v="14899.31"/>
    <x v="2"/>
  </r>
  <r>
    <x v="1"/>
    <x v="1"/>
    <x v="9"/>
    <x v="0"/>
    <x v="7"/>
    <x v="1"/>
    <x v="1"/>
    <n v="4.17"/>
    <n v="11258.21"/>
    <n v="26109.99"/>
    <x v="2"/>
  </r>
  <r>
    <x v="1"/>
    <x v="1"/>
    <x v="9"/>
    <x v="0"/>
    <x v="8"/>
    <x v="1"/>
    <x v="1"/>
    <n v="2.64"/>
    <n v="7127.5"/>
    <n v="15778.4"/>
    <x v="2"/>
  </r>
  <r>
    <x v="1"/>
    <x v="1"/>
    <x v="9"/>
    <x v="1"/>
    <x v="30"/>
    <x v="1"/>
    <x v="1"/>
    <n v="0"/>
    <n v="0"/>
    <n v="0"/>
    <x v="2"/>
  </r>
  <r>
    <x v="1"/>
    <x v="1"/>
    <x v="9"/>
    <x v="1"/>
    <x v="9"/>
    <x v="1"/>
    <x v="1"/>
    <n v="3.94"/>
    <n v="10637.25"/>
    <n v="25430.91"/>
    <x v="2"/>
  </r>
  <r>
    <x v="1"/>
    <x v="1"/>
    <x v="9"/>
    <x v="1"/>
    <x v="31"/>
    <x v="1"/>
    <x v="1"/>
    <n v="0"/>
    <n v="0"/>
    <n v="0"/>
    <x v="2"/>
  </r>
  <r>
    <x v="1"/>
    <x v="1"/>
    <x v="9"/>
    <x v="1"/>
    <x v="10"/>
    <x v="1"/>
    <x v="1"/>
    <n v="31.38"/>
    <n v="84720.04"/>
    <n v="200767.52"/>
    <x v="2"/>
  </r>
  <r>
    <x v="1"/>
    <x v="1"/>
    <x v="9"/>
    <x v="1"/>
    <x v="11"/>
    <x v="1"/>
    <x v="1"/>
    <n v="29.6"/>
    <n v="79914.38"/>
    <n v="180458.28"/>
    <x v="2"/>
  </r>
  <r>
    <x v="1"/>
    <x v="1"/>
    <x v="9"/>
    <x v="1"/>
    <x v="12"/>
    <x v="1"/>
    <x v="1"/>
    <n v="2.91"/>
    <n v="7856.45"/>
    <n v="18663.03"/>
    <x v="2"/>
  </r>
  <r>
    <x v="1"/>
    <x v="1"/>
    <x v="9"/>
    <x v="1"/>
    <x v="13"/>
    <x v="1"/>
    <x v="1"/>
    <n v="10.75"/>
    <n v="29022.959999999999"/>
    <n v="68651.429999999993"/>
    <x v="2"/>
  </r>
  <r>
    <x v="1"/>
    <x v="1"/>
    <x v="9"/>
    <x v="1"/>
    <x v="14"/>
    <x v="1"/>
    <x v="1"/>
    <n v="5.38"/>
    <n v="14524.98"/>
    <n v="33693"/>
    <x v="2"/>
  </r>
  <r>
    <x v="1"/>
    <x v="1"/>
    <x v="9"/>
    <x v="1"/>
    <x v="15"/>
    <x v="1"/>
    <x v="1"/>
    <n v="2.42"/>
    <n v="6533.54"/>
    <n v="15664.58"/>
    <x v="2"/>
  </r>
  <r>
    <x v="1"/>
    <x v="1"/>
    <x v="9"/>
    <x v="1"/>
    <x v="16"/>
    <x v="1"/>
    <x v="1"/>
    <n v="8.99"/>
    <n v="24271.29"/>
    <n v="55509.98"/>
    <x v="2"/>
  </r>
  <r>
    <x v="1"/>
    <x v="1"/>
    <x v="9"/>
    <x v="1"/>
    <x v="17"/>
    <x v="1"/>
    <x v="1"/>
    <n v="4.2699999999999996"/>
    <n v="11528.19"/>
    <n v="26600.49"/>
    <x v="2"/>
  </r>
  <r>
    <x v="1"/>
    <x v="1"/>
    <x v="9"/>
    <x v="1"/>
    <x v="18"/>
    <x v="1"/>
    <x v="1"/>
    <n v="25.99"/>
    <n v="70168.06"/>
    <n v="169437.55"/>
    <x v="2"/>
  </r>
  <r>
    <x v="1"/>
    <x v="1"/>
    <x v="9"/>
    <x v="1"/>
    <x v="19"/>
    <x v="1"/>
    <x v="1"/>
    <n v="9.33"/>
    <n v="25189.23"/>
    <n v="59006.33"/>
    <x v="2"/>
  </r>
  <r>
    <x v="1"/>
    <x v="1"/>
    <x v="9"/>
    <x v="1"/>
    <x v="20"/>
    <x v="1"/>
    <x v="1"/>
    <n v="16.86"/>
    <n v="45518.8"/>
    <n v="104862.28"/>
    <x v="2"/>
  </r>
  <r>
    <x v="1"/>
    <x v="1"/>
    <x v="9"/>
    <x v="2"/>
    <x v="21"/>
    <x v="1"/>
    <x v="1"/>
    <n v="1.77"/>
    <n v="4778.66"/>
    <n v="10138.129999999999"/>
    <x v="2"/>
  </r>
  <r>
    <x v="1"/>
    <x v="1"/>
    <x v="9"/>
    <x v="2"/>
    <x v="22"/>
    <x v="1"/>
    <x v="1"/>
    <n v="10.96"/>
    <n v="29589.919999999998"/>
    <n v="62625.31"/>
    <x v="2"/>
  </r>
  <r>
    <x v="1"/>
    <x v="1"/>
    <x v="9"/>
    <x v="2"/>
    <x v="29"/>
    <x v="1"/>
    <x v="1"/>
    <n v="3.15"/>
    <n v="8504.4"/>
    <n v="19124.29"/>
    <x v="2"/>
  </r>
  <r>
    <x v="1"/>
    <x v="1"/>
    <x v="9"/>
    <x v="2"/>
    <x v="23"/>
    <x v="1"/>
    <x v="1"/>
    <n v="4.8600000000000003"/>
    <n v="13121.08"/>
    <n v="28879.47"/>
    <x v="2"/>
  </r>
  <r>
    <x v="1"/>
    <x v="1"/>
    <x v="9"/>
    <x v="2"/>
    <x v="24"/>
    <x v="1"/>
    <x v="1"/>
    <n v="2.35"/>
    <n v="6344.55"/>
    <n v="13669.33"/>
    <x v="2"/>
  </r>
  <r>
    <x v="1"/>
    <x v="1"/>
    <x v="9"/>
    <x v="3"/>
    <x v="25"/>
    <x v="1"/>
    <x v="1"/>
    <n v="8.36"/>
    <n v="22570.41"/>
    <n v="53711.72"/>
    <x v="2"/>
  </r>
  <r>
    <x v="1"/>
    <x v="1"/>
    <x v="9"/>
    <x v="3"/>
    <x v="26"/>
    <x v="1"/>
    <x v="1"/>
    <n v="16.239999999999998"/>
    <n v="43844.91"/>
    <n v="105111.96"/>
    <x v="2"/>
  </r>
  <r>
    <x v="1"/>
    <x v="1"/>
    <x v="9"/>
    <x v="3"/>
    <x v="27"/>
    <x v="1"/>
    <x v="1"/>
    <n v="26.25"/>
    <n v="70870.009999999995"/>
    <n v="166697.57"/>
    <x v="2"/>
  </r>
  <r>
    <x v="2"/>
    <x v="1"/>
    <x v="0"/>
    <x v="0"/>
    <x v="0"/>
    <x v="0"/>
    <x v="0"/>
    <n v="3.41"/>
    <n v="22628.959999999999"/>
    <n v="99267.95"/>
    <x v="2"/>
  </r>
  <r>
    <x v="2"/>
    <x v="1"/>
    <x v="0"/>
    <x v="0"/>
    <x v="1"/>
    <x v="0"/>
    <x v="0"/>
    <n v="6.88"/>
    <n v="45656.09"/>
    <n v="200190.21"/>
    <x v="2"/>
  </r>
  <r>
    <x v="2"/>
    <x v="1"/>
    <x v="0"/>
    <x v="0"/>
    <x v="2"/>
    <x v="0"/>
    <x v="0"/>
    <n v="0"/>
    <n v="0"/>
    <n v="0"/>
    <x v="2"/>
  </r>
  <r>
    <x v="2"/>
    <x v="1"/>
    <x v="0"/>
    <x v="0"/>
    <x v="3"/>
    <x v="0"/>
    <x v="0"/>
    <n v="2.12"/>
    <n v="14068.45"/>
    <n v="61813.9"/>
    <x v="2"/>
  </r>
  <r>
    <x v="2"/>
    <x v="1"/>
    <x v="0"/>
    <x v="0"/>
    <x v="4"/>
    <x v="0"/>
    <x v="0"/>
    <n v="0"/>
    <n v="0"/>
    <n v="0"/>
    <x v="2"/>
  </r>
  <r>
    <x v="2"/>
    <x v="1"/>
    <x v="0"/>
    <x v="0"/>
    <x v="5"/>
    <x v="0"/>
    <x v="0"/>
    <n v="0"/>
    <n v="0"/>
    <n v="0"/>
    <x v="2"/>
  </r>
  <r>
    <x v="2"/>
    <x v="1"/>
    <x v="0"/>
    <x v="0"/>
    <x v="6"/>
    <x v="0"/>
    <x v="0"/>
    <n v="0"/>
    <n v="0"/>
    <n v="0"/>
    <x v="2"/>
  </r>
  <r>
    <x v="2"/>
    <x v="1"/>
    <x v="0"/>
    <x v="0"/>
    <x v="8"/>
    <x v="0"/>
    <x v="0"/>
    <n v="0"/>
    <n v="0"/>
    <n v="0"/>
    <x v="2"/>
  </r>
  <r>
    <x v="2"/>
    <x v="1"/>
    <x v="0"/>
    <x v="1"/>
    <x v="10"/>
    <x v="0"/>
    <x v="0"/>
    <n v="2.2000000000000002"/>
    <n v="14599.33"/>
    <n v="64012.77"/>
    <x v="2"/>
  </r>
  <r>
    <x v="2"/>
    <x v="1"/>
    <x v="0"/>
    <x v="1"/>
    <x v="11"/>
    <x v="0"/>
    <x v="0"/>
    <n v="0"/>
    <n v="0"/>
    <n v="0"/>
    <x v="2"/>
  </r>
  <r>
    <x v="2"/>
    <x v="1"/>
    <x v="0"/>
    <x v="1"/>
    <x v="13"/>
    <x v="0"/>
    <x v="0"/>
    <n v="0"/>
    <n v="0"/>
    <n v="0"/>
    <x v="2"/>
  </r>
  <r>
    <x v="2"/>
    <x v="1"/>
    <x v="0"/>
    <x v="1"/>
    <x v="14"/>
    <x v="0"/>
    <x v="0"/>
    <n v="0"/>
    <n v="0"/>
    <n v="0"/>
    <x v="2"/>
  </r>
  <r>
    <x v="2"/>
    <x v="1"/>
    <x v="0"/>
    <x v="1"/>
    <x v="16"/>
    <x v="0"/>
    <x v="0"/>
    <n v="0"/>
    <n v="0"/>
    <n v="0"/>
    <x v="2"/>
  </r>
  <r>
    <x v="2"/>
    <x v="1"/>
    <x v="0"/>
    <x v="1"/>
    <x v="17"/>
    <x v="0"/>
    <x v="0"/>
    <n v="0"/>
    <n v="0"/>
    <n v="0"/>
    <x v="2"/>
  </r>
  <r>
    <x v="2"/>
    <x v="1"/>
    <x v="0"/>
    <x v="1"/>
    <x v="18"/>
    <x v="0"/>
    <x v="0"/>
    <n v="0"/>
    <n v="0"/>
    <n v="0"/>
    <x v="2"/>
  </r>
  <r>
    <x v="2"/>
    <x v="1"/>
    <x v="0"/>
    <x v="1"/>
    <x v="19"/>
    <x v="0"/>
    <x v="0"/>
    <n v="0"/>
    <n v="0"/>
    <n v="0"/>
    <x v="2"/>
  </r>
  <r>
    <x v="2"/>
    <x v="1"/>
    <x v="0"/>
    <x v="1"/>
    <x v="20"/>
    <x v="0"/>
    <x v="0"/>
    <n v="2.89"/>
    <n v="19178.21"/>
    <n v="84117.11"/>
    <x v="2"/>
  </r>
  <r>
    <x v="2"/>
    <x v="1"/>
    <x v="0"/>
    <x v="2"/>
    <x v="21"/>
    <x v="0"/>
    <x v="0"/>
    <n v="2.08"/>
    <n v="13803"/>
    <n v="60664.7"/>
    <x v="2"/>
  </r>
  <r>
    <x v="2"/>
    <x v="1"/>
    <x v="0"/>
    <x v="2"/>
    <x v="22"/>
    <x v="0"/>
    <x v="0"/>
    <n v="0"/>
    <n v="0"/>
    <n v="0"/>
    <x v="2"/>
  </r>
  <r>
    <x v="2"/>
    <x v="1"/>
    <x v="0"/>
    <x v="2"/>
    <x v="29"/>
    <x v="0"/>
    <x v="0"/>
    <n v="0"/>
    <n v="0"/>
    <n v="0"/>
    <x v="2"/>
  </r>
  <r>
    <x v="2"/>
    <x v="1"/>
    <x v="0"/>
    <x v="2"/>
    <x v="24"/>
    <x v="0"/>
    <x v="0"/>
    <n v="0"/>
    <n v="0"/>
    <n v="0"/>
    <x v="2"/>
  </r>
  <r>
    <x v="2"/>
    <x v="1"/>
    <x v="0"/>
    <x v="3"/>
    <x v="25"/>
    <x v="0"/>
    <x v="0"/>
    <n v="0"/>
    <n v="0"/>
    <n v="0"/>
    <x v="2"/>
  </r>
  <r>
    <x v="2"/>
    <x v="1"/>
    <x v="0"/>
    <x v="3"/>
    <x v="26"/>
    <x v="0"/>
    <x v="0"/>
    <n v="2.57"/>
    <n v="17054.669999999998"/>
    <n v="74804.850000000006"/>
    <x v="2"/>
  </r>
  <r>
    <x v="2"/>
    <x v="1"/>
    <x v="0"/>
    <x v="3"/>
    <x v="27"/>
    <x v="0"/>
    <x v="0"/>
    <n v="3.13"/>
    <n v="20770.87"/>
    <n v="91091.81"/>
    <x v="2"/>
  </r>
  <r>
    <x v="2"/>
    <x v="1"/>
    <x v="0"/>
    <x v="0"/>
    <x v="0"/>
    <x v="0"/>
    <x v="1"/>
    <n v="2.64"/>
    <n v="17519.2"/>
    <n v="76932.66"/>
    <x v="2"/>
  </r>
  <r>
    <x v="2"/>
    <x v="1"/>
    <x v="0"/>
    <x v="0"/>
    <x v="1"/>
    <x v="0"/>
    <x v="1"/>
    <n v="6.63"/>
    <n v="43997.08"/>
    <n v="193068.21"/>
    <x v="2"/>
  </r>
  <r>
    <x v="2"/>
    <x v="1"/>
    <x v="0"/>
    <x v="0"/>
    <x v="2"/>
    <x v="0"/>
    <x v="1"/>
    <n v="6.21"/>
    <n v="41209.93"/>
    <n v="180725.23"/>
    <x v="2"/>
  </r>
  <r>
    <x v="2"/>
    <x v="1"/>
    <x v="0"/>
    <x v="0"/>
    <x v="3"/>
    <x v="0"/>
    <x v="1"/>
    <n v="7.17"/>
    <n v="47580.55"/>
    <n v="208621.9"/>
    <x v="2"/>
  </r>
  <r>
    <x v="2"/>
    <x v="1"/>
    <x v="0"/>
    <x v="0"/>
    <x v="4"/>
    <x v="0"/>
    <x v="1"/>
    <n v="2.0099999999999998"/>
    <n v="13338.48"/>
    <n v="58612.31"/>
    <x v="2"/>
  </r>
  <r>
    <x v="2"/>
    <x v="1"/>
    <x v="0"/>
    <x v="0"/>
    <x v="5"/>
    <x v="0"/>
    <x v="1"/>
    <n v="4.76"/>
    <n v="31587.65"/>
    <n v="138531.57"/>
    <x v="2"/>
  </r>
  <r>
    <x v="2"/>
    <x v="1"/>
    <x v="0"/>
    <x v="0"/>
    <x v="6"/>
    <x v="0"/>
    <x v="1"/>
    <n v="2.98"/>
    <n v="19775.46"/>
    <n v="86699.26"/>
    <x v="2"/>
  </r>
  <r>
    <x v="2"/>
    <x v="1"/>
    <x v="0"/>
    <x v="0"/>
    <x v="8"/>
    <x v="0"/>
    <x v="1"/>
    <n v="4.54"/>
    <n v="30127.71"/>
    <n v="132289.85"/>
    <x v="2"/>
  </r>
  <r>
    <x v="2"/>
    <x v="1"/>
    <x v="0"/>
    <x v="1"/>
    <x v="10"/>
    <x v="0"/>
    <x v="1"/>
    <n v="4.57"/>
    <n v="30326.79"/>
    <n v="133146.56"/>
    <x v="2"/>
  </r>
  <r>
    <x v="2"/>
    <x v="1"/>
    <x v="0"/>
    <x v="1"/>
    <x v="11"/>
    <x v="0"/>
    <x v="1"/>
    <n v="12.28"/>
    <n v="81490.820000000007"/>
    <n v="357556.49"/>
    <x v="2"/>
  </r>
  <r>
    <x v="2"/>
    <x v="1"/>
    <x v="0"/>
    <x v="1"/>
    <x v="13"/>
    <x v="0"/>
    <x v="1"/>
    <n v="5.66"/>
    <n v="37560.1"/>
    <n v="164875.88"/>
    <x v="2"/>
  </r>
  <r>
    <x v="2"/>
    <x v="1"/>
    <x v="0"/>
    <x v="1"/>
    <x v="14"/>
    <x v="0"/>
    <x v="1"/>
    <n v="1.1000000000000001"/>
    <n v="7299.67"/>
    <n v="32002.94"/>
    <x v="2"/>
  </r>
  <r>
    <x v="2"/>
    <x v="1"/>
    <x v="0"/>
    <x v="1"/>
    <x v="16"/>
    <x v="0"/>
    <x v="1"/>
    <n v="2.61"/>
    <n v="17320.12"/>
    <n v="76090.02"/>
    <x v="2"/>
  </r>
  <r>
    <x v="2"/>
    <x v="1"/>
    <x v="0"/>
    <x v="1"/>
    <x v="17"/>
    <x v="0"/>
    <x v="1"/>
    <n v="2.56"/>
    <n v="16988.310000000001"/>
    <n v="74530.570000000007"/>
    <x v="2"/>
  </r>
  <r>
    <x v="2"/>
    <x v="1"/>
    <x v="0"/>
    <x v="1"/>
    <x v="18"/>
    <x v="0"/>
    <x v="1"/>
    <n v="15.05"/>
    <n v="99872.7"/>
    <n v="438160.25"/>
    <x v="2"/>
  </r>
  <r>
    <x v="2"/>
    <x v="1"/>
    <x v="0"/>
    <x v="1"/>
    <x v="19"/>
    <x v="0"/>
    <x v="1"/>
    <n v="4.3"/>
    <n v="28535.06"/>
    <n v="125050.06"/>
    <x v="2"/>
  </r>
  <r>
    <x v="2"/>
    <x v="1"/>
    <x v="0"/>
    <x v="1"/>
    <x v="20"/>
    <x v="0"/>
    <x v="1"/>
    <n v="12.46"/>
    <n v="82685.31"/>
    <n v="362755.05"/>
    <x v="2"/>
  </r>
  <r>
    <x v="2"/>
    <x v="1"/>
    <x v="0"/>
    <x v="2"/>
    <x v="21"/>
    <x v="0"/>
    <x v="1"/>
    <n v="0"/>
    <n v="0"/>
    <n v="0"/>
    <x v="2"/>
  </r>
  <r>
    <x v="2"/>
    <x v="1"/>
    <x v="0"/>
    <x v="2"/>
    <x v="22"/>
    <x v="0"/>
    <x v="1"/>
    <n v="5.0199999999999996"/>
    <n v="33313.019999999997"/>
    <n v="146091.31"/>
    <x v="2"/>
  </r>
  <r>
    <x v="2"/>
    <x v="1"/>
    <x v="0"/>
    <x v="2"/>
    <x v="29"/>
    <x v="0"/>
    <x v="1"/>
    <n v="3.24"/>
    <n v="21500.83"/>
    <n v="94471"/>
    <x v="2"/>
  </r>
  <r>
    <x v="2"/>
    <x v="1"/>
    <x v="0"/>
    <x v="2"/>
    <x v="24"/>
    <x v="0"/>
    <x v="1"/>
    <n v="2.61"/>
    <n v="17320.12"/>
    <n v="76041.990000000005"/>
    <x v="2"/>
  </r>
  <r>
    <x v="2"/>
    <x v="1"/>
    <x v="0"/>
    <x v="3"/>
    <x v="25"/>
    <x v="0"/>
    <x v="1"/>
    <n v="2.62"/>
    <n v="17386.48"/>
    <n v="76216.09"/>
    <x v="2"/>
  </r>
  <r>
    <x v="2"/>
    <x v="1"/>
    <x v="0"/>
    <x v="3"/>
    <x v="26"/>
    <x v="0"/>
    <x v="1"/>
    <n v="1.68"/>
    <n v="11148.58"/>
    <n v="49010.080000000002"/>
    <x v="2"/>
  </r>
  <r>
    <x v="2"/>
    <x v="1"/>
    <x v="0"/>
    <x v="3"/>
    <x v="27"/>
    <x v="0"/>
    <x v="1"/>
    <n v="11.47"/>
    <n v="76115.61"/>
    <n v="334003.31"/>
    <x v="2"/>
  </r>
  <r>
    <x v="2"/>
    <x v="1"/>
    <x v="0"/>
    <x v="0"/>
    <x v="0"/>
    <x v="1"/>
    <x v="0"/>
    <n v="6.55"/>
    <n v="43466.19"/>
    <n v="124709.41"/>
    <x v="2"/>
  </r>
  <r>
    <x v="2"/>
    <x v="1"/>
    <x v="0"/>
    <x v="0"/>
    <x v="1"/>
    <x v="1"/>
    <x v="0"/>
    <n v="11.53"/>
    <n v="76513.77"/>
    <n v="215889.16"/>
    <x v="2"/>
  </r>
  <r>
    <x v="2"/>
    <x v="1"/>
    <x v="0"/>
    <x v="0"/>
    <x v="2"/>
    <x v="1"/>
    <x v="0"/>
    <n v="4.79"/>
    <n v="31786.73"/>
    <n v="86589.77"/>
    <x v="2"/>
  </r>
  <r>
    <x v="2"/>
    <x v="1"/>
    <x v="0"/>
    <x v="0"/>
    <x v="3"/>
    <x v="1"/>
    <x v="0"/>
    <n v="8.61"/>
    <n v="57136.480000000003"/>
    <n v="161919.56"/>
    <x v="2"/>
  </r>
  <r>
    <x v="2"/>
    <x v="1"/>
    <x v="0"/>
    <x v="0"/>
    <x v="28"/>
    <x v="1"/>
    <x v="0"/>
    <n v="0"/>
    <n v="0"/>
    <n v="0"/>
    <x v="2"/>
  </r>
  <r>
    <x v="2"/>
    <x v="1"/>
    <x v="0"/>
    <x v="0"/>
    <x v="4"/>
    <x v="1"/>
    <x v="0"/>
    <n v="6.55"/>
    <n v="43466.19"/>
    <n v="122078.97"/>
    <x v="2"/>
  </r>
  <r>
    <x v="2"/>
    <x v="1"/>
    <x v="0"/>
    <x v="0"/>
    <x v="5"/>
    <x v="1"/>
    <x v="0"/>
    <n v="1.42"/>
    <n v="9423.2099999999991"/>
    <n v="27337.02"/>
    <x v="2"/>
  </r>
  <r>
    <x v="2"/>
    <x v="1"/>
    <x v="0"/>
    <x v="0"/>
    <x v="6"/>
    <x v="1"/>
    <x v="0"/>
    <n v="0"/>
    <n v="0"/>
    <n v="0"/>
    <x v="2"/>
  </r>
  <r>
    <x v="2"/>
    <x v="1"/>
    <x v="0"/>
    <x v="0"/>
    <x v="7"/>
    <x v="1"/>
    <x v="0"/>
    <n v="0"/>
    <n v="0"/>
    <n v="0"/>
    <x v="2"/>
  </r>
  <r>
    <x v="2"/>
    <x v="1"/>
    <x v="0"/>
    <x v="0"/>
    <x v="8"/>
    <x v="1"/>
    <x v="0"/>
    <n v="0"/>
    <n v="0"/>
    <n v="0"/>
    <x v="2"/>
  </r>
  <r>
    <x v="2"/>
    <x v="1"/>
    <x v="0"/>
    <x v="1"/>
    <x v="30"/>
    <x v="1"/>
    <x v="0"/>
    <n v="2.94"/>
    <n v="19510.02"/>
    <n v="58918.43"/>
    <x v="2"/>
  </r>
  <r>
    <x v="2"/>
    <x v="1"/>
    <x v="0"/>
    <x v="1"/>
    <x v="9"/>
    <x v="1"/>
    <x v="0"/>
    <n v="0"/>
    <n v="0"/>
    <n v="0"/>
    <x v="2"/>
  </r>
  <r>
    <x v="2"/>
    <x v="1"/>
    <x v="0"/>
    <x v="1"/>
    <x v="31"/>
    <x v="1"/>
    <x v="0"/>
    <n v="3.43"/>
    <n v="22761.69"/>
    <n v="69345.240000000005"/>
    <x v="2"/>
  </r>
  <r>
    <x v="2"/>
    <x v="1"/>
    <x v="0"/>
    <x v="1"/>
    <x v="10"/>
    <x v="1"/>
    <x v="0"/>
    <n v="9.35"/>
    <n v="62047.16"/>
    <n v="185606.74"/>
    <x v="2"/>
  </r>
  <r>
    <x v="2"/>
    <x v="1"/>
    <x v="0"/>
    <x v="1"/>
    <x v="11"/>
    <x v="1"/>
    <x v="0"/>
    <n v="9.5500000000000007"/>
    <n v="63374.37"/>
    <n v="180665.41"/>
    <x v="2"/>
  </r>
  <r>
    <x v="2"/>
    <x v="1"/>
    <x v="0"/>
    <x v="1"/>
    <x v="12"/>
    <x v="1"/>
    <x v="0"/>
    <n v="2.35"/>
    <n v="15594.74"/>
    <n v="46780.5"/>
    <x v="2"/>
  </r>
  <r>
    <x v="2"/>
    <x v="1"/>
    <x v="0"/>
    <x v="1"/>
    <x v="13"/>
    <x v="1"/>
    <x v="0"/>
    <n v="2.64"/>
    <n v="17519.2"/>
    <n v="52439.28"/>
    <x v="2"/>
  </r>
  <r>
    <x v="2"/>
    <x v="1"/>
    <x v="0"/>
    <x v="1"/>
    <x v="14"/>
    <x v="1"/>
    <x v="0"/>
    <n v="13.41"/>
    <n v="88989.56"/>
    <n v="260827.91"/>
    <x v="2"/>
  </r>
  <r>
    <x v="2"/>
    <x v="1"/>
    <x v="0"/>
    <x v="1"/>
    <x v="15"/>
    <x v="1"/>
    <x v="0"/>
    <n v="3.09"/>
    <n v="20505.43"/>
    <n v="62250.67"/>
    <x v="2"/>
  </r>
  <r>
    <x v="2"/>
    <x v="1"/>
    <x v="0"/>
    <x v="1"/>
    <x v="16"/>
    <x v="1"/>
    <x v="0"/>
    <n v="6.24"/>
    <n v="41409.01"/>
    <n v="119586.49"/>
    <x v="2"/>
  </r>
  <r>
    <x v="2"/>
    <x v="1"/>
    <x v="0"/>
    <x v="1"/>
    <x v="17"/>
    <x v="1"/>
    <x v="0"/>
    <n v="8.7200000000000006"/>
    <n v="57866.44"/>
    <n v="168577.36"/>
    <x v="2"/>
  </r>
  <r>
    <x v="2"/>
    <x v="1"/>
    <x v="0"/>
    <x v="1"/>
    <x v="18"/>
    <x v="1"/>
    <x v="0"/>
    <n v="9.3000000000000007"/>
    <n v="61715.360000000001"/>
    <n v="188078.56"/>
    <x v="2"/>
  </r>
  <r>
    <x v="2"/>
    <x v="1"/>
    <x v="0"/>
    <x v="1"/>
    <x v="19"/>
    <x v="1"/>
    <x v="0"/>
    <n v="12.85"/>
    <n v="85273.37"/>
    <n v="252201.59"/>
    <x v="2"/>
  </r>
  <r>
    <x v="2"/>
    <x v="1"/>
    <x v="0"/>
    <x v="1"/>
    <x v="20"/>
    <x v="1"/>
    <x v="0"/>
    <n v="7.11"/>
    <n v="47182.39"/>
    <n v="137164.63"/>
    <x v="2"/>
  </r>
  <r>
    <x v="2"/>
    <x v="1"/>
    <x v="0"/>
    <x v="2"/>
    <x v="21"/>
    <x v="1"/>
    <x v="0"/>
    <n v="0"/>
    <n v="0"/>
    <n v="0"/>
    <x v="2"/>
  </r>
  <r>
    <x v="2"/>
    <x v="1"/>
    <x v="0"/>
    <x v="2"/>
    <x v="22"/>
    <x v="1"/>
    <x v="0"/>
    <n v="7.29"/>
    <n v="48376.88"/>
    <n v="129328.8"/>
    <x v="2"/>
  </r>
  <r>
    <x v="2"/>
    <x v="1"/>
    <x v="0"/>
    <x v="2"/>
    <x v="29"/>
    <x v="1"/>
    <x v="0"/>
    <n v="0"/>
    <n v="0"/>
    <n v="0"/>
    <x v="2"/>
  </r>
  <r>
    <x v="2"/>
    <x v="1"/>
    <x v="0"/>
    <x v="2"/>
    <x v="23"/>
    <x v="1"/>
    <x v="0"/>
    <n v="0"/>
    <n v="0"/>
    <n v="0"/>
    <x v="2"/>
  </r>
  <r>
    <x v="2"/>
    <x v="1"/>
    <x v="0"/>
    <x v="2"/>
    <x v="24"/>
    <x v="1"/>
    <x v="0"/>
    <n v="2.16"/>
    <n v="14333.89"/>
    <n v="39005.599999999999"/>
    <x v="2"/>
  </r>
  <r>
    <x v="2"/>
    <x v="1"/>
    <x v="0"/>
    <x v="3"/>
    <x v="25"/>
    <x v="1"/>
    <x v="0"/>
    <n v="8.1999999999999993"/>
    <n v="54415.69"/>
    <n v="163542.76"/>
    <x v="2"/>
  </r>
  <r>
    <x v="2"/>
    <x v="1"/>
    <x v="0"/>
    <x v="3"/>
    <x v="26"/>
    <x v="1"/>
    <x v="0"/>
    <n v="5.68"/>
    <n v="37692.82"/>
    <n v="114106.18"/>
    <x v="2"/>
  </r>
  <r>
    <x v="2"/>
    <x v="1"/>
    <x v="0"/>
    <x v="3"/>
    <x v="27"/>
    <x v="1"/>
    <x v="0"/>
    <n v="14.91"/>
    <n v="98943.65"/>
    <n v="293972.78999999998"/>
    <x v="2"/>
  </r>
  <r>
    <x v="2"/>
    <x v="1"/>
    <x v="0"/>
    <x v="0"/>
    <x v="0"/>
    <x v="1"/>
    <x v="1"/>
    <n v="11.06"/>
    <n v="73394.820000000007"/>
    <n v="210548.36"/>
    <x v="2"/>
  </r>
  <r>
    <x v="2"/>
    <x v="1"/>
    <x v="0"/>
    <x v="0"/>
    <x v="1"/>
    <x v="1"/>
    <x v="1"/>
    <n v="21.6"/>
    <n v="143338.9"/>
    <n v="404432.35"/>
    <x v="2"/>
  </r>
  <r>
    <x v="2"/>
    <x v="1"/>
    <x v="0"/>
    <x v="0"/>
    <x v="2"/>
    <x v="1"/>
    <x v="1"/>
    <n v="14.45"/>
    <n v="95891.07"/>
    <n v="261315.57"/>
    <x v="2"/>
  </r>
  <r>
    <x v="2"/>
    <x v="1"/>
    <x v="0"/>
    <x v="0"/>
    <x v="3"/>
    <x v="1"/>
    <x v="1"/>
    <n v="24.75"/>
    <n v="164242.49"/>
    <n v="465518.73"/>
    <x v="2"/>
  </r>
  <r>
    <x v="2"/>
    <x v="1"/>
    <x v="0"/>
    <x v="0"/>
    <x v="28"/>
    <x v="1"/>
    <x v="1"/>
    <n v="2.46"/>
    <n v="16324.71"/>
    <n v="46833.71"/>
    <x v="2"/>
  </r>
  <r>
    <x v="2"/>
    <x v="1"/>
    <x v="0"/>
    <x v="0"/>
    <x v="4"/>
    <x v="1"/>
    <x v="1"/>
    <n v="9.16"/>
    <n v="60786.31"/>
    <n v="170597.53"/>
    <x v="2"/>
  </r>
  <r>
    <x v="2"/>
    <x v="1"/>
    <x v="0"/>
    <x v="0"/>
    <x v="5"/>
    <x v="1"/>
    <x v="1"/>
    <n v="25.31"/>
    <n v="167958.68"/>
    <n v="485634.09"/>
    <x v="2"/>
  </r>
  <r>
    <x v="2"/>
    <x v="1"/>
    <x v="0"/>
    <x v="0"/>
    <x v="6"/>
    <x v="1"/>
    <x v="1"/>
    <n v="2.7"/>
    <n v="17917.36"/>
    <n v="51589.81"/>
    <x v="2"/>
  </r>
  <r>
    <x v="2"/>
    <x v="1"/>
    <x v="0"/>
    <x v="0"/>
    <x v="7"/>
    <x v="1"/>
    <x v="1"/>
    <n v="0"/>
    <n v="0"/>
    <n v="0"/>
    <x v="2"/>
  </r>
  <r>
    <x v="2"/>
    <x v="1"/>
    <x v="0"/>
    <x v="0"/>
    <x v="8"/>
    <x v="1"/>
    <x v="1"/>
    <n v="4.18"/>
    <n v="27738.73"/>
    <n v="77431"/>
    <x v="2"/>
  </r>
  <r>
    <x v="2"/>
    <x v="1"/>
    <x v="0"/>
    <x v="1"/>
    <x v="30"/>
    <x v="1"/>
    <x v="1"/>
    <n v="0"/>
    <n v="0"/>
    <n v="0"/>
    <x v="2"/>
  </r>
  <r>
    <x v="2"/>
    <x v="1"/>
    <x v="0"/>
    <x v="1"/>
    <x v="9"/>
    <x v="1"/>
    <x v="1"/>
    <n v="4.7300000000000004"/>
    <n v="31388.560000000001"/>
    <n v="94703.81"/>
    <x v="2"/>
  </r>
  <r>
    <x v="2"/>
    <x v="1"/>
    <x v="0"/>
    <x v="1"/>
    <x v="31"/>
    <x v="1"/>
    <x v="1"/>
    <n v="0"/>
    <n v="0"/>
    <n v="0"/>
    <x v="2"/>
  </r>
  <r>
    <x v="2"/>
    <x v="1"/>
    <x v="0"/>
    <x v="1"/>
    <x v="10"/>
    <x v="1"/>
    <x v="1"/>
    <n v="30.4"/>
    <n v="201736.22"/>
    <n v="603639.93999999994"/>
    <x v="2"/>
  </r>
  <r>
    <x v="2"/>
    <x v="1"/>
    <x v="0"/>
    <x v="1"/>
    <x v="11"/>
    <x v="1"/>
    <x v="1"/>
    <n v="30.65"/>
    <n v="203395.24"/>
    <n v="580031.05000000005"/>
    <x v="2"/>
  </r>
  <r>
    <x v="2"/>
    <x v="1"/>
    <x v="0"/>
    <x v="1"/>
    <x v="12"/>
    <x v="1"/>
    <x v="1"/>
    <n v="2.4300000000000002"/>
    <n v="16125.63"/>
    <n v="48451.24"/>
    <x v="2"/>
  </r>
  <r>
    <x v="2"/>
    <x v="1"/>
    <x v="0"/>
    <x v="1"/>
    <x v="13"/>
    <x v="1"/>
    <x v="1"/>
    <n v="11.94"/>
    <n v="79234.559999999998"/>
    <n v="236822.57"/>
    <x v="2"/>
  </r>
  <r>
    <x v="2"/>
    <x v="1"/>
    <x v="0"/>
    <x v="1"/>
    <x v="14"/>
    <x v="1"/>
    <x v="1"/>
    <n v="7.86"/>
    <n v="52159.43"/>
    <n v="152841.82999999999"/>
    <x v="2"/>
  </r>
  <r>
    <x v="2"/>
    <x v="1"/>
    <x v="0"/>
    <x v="1"/>
    <x v="15"/>
    <x v="1"/>
    <x v="1"/>
    <n v="1.72"/>
    <n v="11414.02"/>
    <n v="34583.71"/>
    <x v="2"/>
  </r>
  <r>
    <x v="2"/>
    <x v="1"/>
    <x v="0"/>
    <x v="1"/>
    <x v="16"/>
    <x v="1"/>
    <x v="1"/>
    <n v="12.92"/>
    <n v="85737.9"/>
    <n v="247565.01"/>
    <x v="2"/>
  </r>
  <r>
    <x v="2"/>
    <x v="1"/>
    <x v="0"/>
    <x v="1"/>
    <x v="17"/>
    <x v="1"/>
    <x v="1"/>
    <n v="5.76"/>
    <n v="38223.71"/>
    <n v="111293.79"/>
    <x v="2"/>
  </r>
  <r>
    <x v="2"/>
    <x v="1"/>
    <x v="0"/>
    <x v="1"/>
    <x v="18"/>
    <x v="1"/>
    <x v="1"/>
    <n v="25.76"/>
    <n v="170944.91"/>
    <n v="521246.3"/>
    <x v="2"/>
  </r>
  <r>
    <x v="2"/>
    <x v="1"/>
    <x v="0"/>
    <x v="1"/>
    <x v="19"/>
    <x v="1"/>
    <x v="1"/>
    <n v="13.29"/>
    <n v="88193.24"/>
    <n v="260779.88"/>
    <x v="2"/>
  </r>
  <r>
    <x v="2"/>
    <x v="1"/>
    <x v="0"/>
    <x v="1"/>
    <x v="20"/>
    <x v="1"/>
    <x v="1"/>
    <n v="26.39"/>
    <n v="175125.62"/>
    <n v="509468.62"/>
    <x v="2"/>
  </r>
  <r>
    <x v="2"/>
    <x v="1"/>
    <x v="0"/>
    <x v="2"/>
    <x v="21"/>
    <x v="1"/>
    <x v="1"/>
    <n v="1.07"/>
    <n v="7100.58"/>
    <n v="18942.88"/>
    <x v="2"/>
  </r>
  <r>
    <x v="2"/>
    <x v="1"/>
    <x v="0"/>
    <x v="2"/>
    <x v="22"/>
    <x v="1"/>
    <x v="1"/>
    <n v="17.32"/>
    <n v="114936.56"/>
    <n v="307155.90000000002"/>
    <x v="2"/>
  </r>
  <r>
    <x v="2"/>
    <x v="1"/>
    <x v="0"/>
    <x v="2"/>
    <x v="29"/>
    <x v="1"/>
    <x v="1"/>
    <n v="2.5"/>
    <n v="16590.150000000001"/>
    <n v="47143.19"/>
    <x v="2"/>
  </r>
  <r>
    <x v="2"/>
    <x v="1"/>
    <x v="0"/>
    <x v="2"/>
    <x v="23"/>
    <x v="1"/>
    <x v="1"/>
    <n v="3.09"/>
    <n v="20505.43"/>
    <n v="56982.78"/>
    <x v="2"/>
  </r>
  <r>
    <x v="2"/>
    <x v="1"/>
    <x v="0"/>
    <x v="2"/>
    <x v="24"/>
    <x v="1"/>
    <x v="1"/>
    <n v="1.99"/>
    <n v="13205.76"/>
    <n v="35885.160000000003"/>
    <x v="2"/>
  </r>
  <r>
    <x v="2"/>
    <x v="1"/>
    <x v="0"/>
    <x v="3"/>
    <x v="25"/>
    <x v="1"/>
    <x v="1"/>
    <n v="11.3"/>
    <n v="74987.48"/>
    <n v="225288.5"/>
    <x v="2"/>
  </r>
  <r>
    <x v="2"/>
    <x v="1"/>
    <x v="0"/>
    <x v="3"/>
    <x v="26"/>
    <x v="1"/>
    <x v="1"/>
    <n v="24.31"/>
    <n v="161322.62"/>
    <n v="488307.32"/>
    <x v="2"/>
  </r>
  <r>
    <x v="2"/>
    <x v="1"/>
    <x v="0"/>
    <x v="3"/>
    <x v="27"/>
    <x v="1"/>
    <x v="1"/>
    <n v="35.71"/>
    <n v="236973.7"/>
    <n v="703854.84"/>
    <x v="2"/>
  </r>
  <r>
    <x v="2"/>
    <x v="1"/>
    <x v="1"/>
    <x v="0"/>
    <x v="0"/>
    <x v="0"/>
    <x v="0"/>
    <n v="1.7"/>
    <n v="4628.7299999999996"/>
    <n v="16333.49"/>
    <x v="2"/>
  </r>
  <r>
    <x v="2"/>
    <x v="1"/>
    <x v="1"/>
    <x v="0"/>
    <x v="1"/>
    <x v="0"/>
    <x v="0"/>
    <n v="2.35"/>
    <n v="6398.53"/>
    <n v="22643.3"/>
    <x v="2"/>
  </r>
  <r>
    <x v="2"/>
    <x v="1"/>
    <x v="1"/>
    <x v="0"/>
    <x v="2"/>
    <x v="0"/>
    <x v="0"/>
    <n v="0"/>
    <n v="0"/>
    <n v="0"/>
    <x v="2"/>
  </r>
  <r>
    <x v="2"/>
    <x v="1"/>
    <x v="1"/>
    <x v="0"/>
    <x v="3"/>
    <x v="0"/>
    <x v="0"/>
    <n v="0.54"/>
    <n v="1470.3"/>
    <n v="5166.09"/>
    <x v="2"/>
  </r>
  <r>
    <x v="2"/>
    <x v="1"/>
    <x v="1"/>
    <x v="0"/>
    <x v="4"/>
    <x v="0"/>
    <x v="0"/>
    <n v="0"/>
    <n v="0"/>
    <n v="0"/>
    <x v="2"/>
  </r>
  <r>
    <x v="2"/>
    <x v="1"/>
    <x v="1"/>
    <x v="0"/>
    <x v="5"/>
    <x v="0"/>
    <x v="0"/>
    <n v="0"/>
    <n v="0"/>
    <n v="0"/>
    <x v="2"/>
  </r>
  <r>
    <x v="2"/>
    <x v="1"/>
    <x v="1"/>
    <x v="0"/>
    <x v="6"/>
    <x v="0"/>
    <x v="0"/>
    <n v="0"/>
    <n v="0"/>
    <n v="0"/>
    <x v="2"/>
  </r>
  <r>
    <x v="2"/>
    <x v="1"/>
    <x v="1"/>
    <x v="0"/>
    <x v="8"/>
    <x v="0"/>
    <x v="0"/>
    <n v="0"/>
    <n v="0"/>
    <n v="0"/>
    <x v="2"/>
  </r>
  <r>
    <x v="2"/>
    <x v="1"/>
    <x v="1"/>
    <x v="1"/>
    <x v="10"/>
    <x v="0"/>
    <x v="0"/>
    <n v="0.86"/>
    <n v="2341.59"/>
    <n v="8310.8700000000008"/>
    <x v="2"/>
  </r>
  <r>
    <x v="2"/>
    <x v="1"/>
    <x v="1"/>
    <x v="1"/>
    <x v="11"/>
    <x v="0"/>
    <x v="0"/>
    <n v="0"/>
    <n v="0"/>
    <n v="0"/>
    <x v="2"/>
  </r>
  <r>
    <x v="2"/>
    <x v="1"/>
    <x v="1"/>
    <x v="1"/>
    <x v="13"/>
    <x v="0"/>
    <x v="0"/>
    <n v="0"/>
    <n v="0"/>
    <n v="0"/>
    <x v="2"/>
  </r>
  <r>
    <x v="2"/>
    <x v="1"/>
    <x v="1"/>
    <x v="1"/>
    <x v="14"/>
    <x v="0"/>
    <x v="0"/>
    <n v="0"/>
    <n v="0"/>
    <n v="0"/>
    <x v="2"/>
  </r>
  <r>
    <x v="2"/>
    <x v="1"/>
    <x v="1"/>
    <x v="1"/>
    <x v="16"/>
    <x v="0"/>
    <x v="0"/>
    <n v="0"/>
    <n v="0"/>
    <n v="0"/>
    <x v="2"/>
  </r>
  <r>
    <x v="2"/>
    <x v="1"/>
    <x v="1"/>
    <x v="1"/>
    <x v="17"/>
    <x v="0"/>
    <x v="0"/>
    <n v="0"/>
    <n v="0"/>
    <n v="0"/>
    <x v="2"/>
  </r>
  <r>
    <x v="2"/>
    <x v="1"/>
    <x v="1"/>
    <x v="1"/>
    <x v="18"/>
    <x v="0"/>
    <x v="0"/>
    <n v="0"/>
    <n v="0"/>
    <n v="0"/>
    <x v="2"/>
  </r>
  <r>
    <x v="2"/>
    <x v="1"/>
    <x v="1"/>
    <x v="1"/>
    <x v="19"/>
    <x v="0"/>
    <x v="0"/>
    <n v="0"/>
    <n v="0"/>
    <n v="0"/>
    <x v="2"/>
  </r>
  <r>
    <x v="2"/>
    <x v="1"/>
    <x v="1"/>
    <x v="1"/>
    <x v="20"/>
    <x v="0"/>
    <x v="0"/>
    <n v="1.07"/>
    <n v="2913.37"/>
    <n v="10343.36"/>
    <x v="2"/>
  </r>
  <r>
    <x v="2"/>
    <x v="1"/>
    <x v="1"/>
    <x v="2"/>
    <x v="21"/>
    <x v="0"/>
    <x v="0"/>
    <n v="0.99"/>
    <n v="2695.55"/>
    <n v="9532.82"/>
    <x v="2"/>
  </r>
  <r>
    <x v="2"/>
    <x v="1"/>
    <x v="1"/>
    <x v="2"/>
    <x v="22"/>
    <x v="0"/>
    <x v="0"/>
    <n v="0"/>
    <n v="0"/>
    <n v="0"/>
    <x v="2"/>
  </r>
  <r>
    <x v="2"/>
    <x v="1"/>
    <x v="1"/>
    <x v="2"/>
    <x v="29"/>
    <x v="0"/>
    <x v="0"/>
    <n v="0"/>
    <n v="0"/>
    <n v="0"/>
    <x v="2"/>
  </r>
  <r>
    <x v="2"/>
    <x v="1"/>
    <x v="1"/>
    <x v="2"/>
    <x v="24"/>
    <x v="0"/>
    <x v="0"/>
    <n v="0"/>
    <n v="0"/>
    <n v="0"/>
    <x v="2"/>
  </r>
  <r>
    <x v="2"/>
    <x v="1"/>
    <x v="1"/>
    <x v="3"/>
    <x v="25"/>
    <x v="0"/>
    <x v="0"/>
    <n v="0"/>
    <n v="0"/>
    <n v="0"/>
    <x v="2"/>
  </r>
  <r>
    <x v="2"/>
    <x v="1"/>
    <x v="1"/>
    <x v="3"/>
    <x v="26"/>
    <x v="0"/>
    <x v="0"/>
    <n v="2.06"/>
    <n v="5608.93"/>
    <n v="19816.28"/>
    <x v="2"/>
  </r>
  <r>
    <x v="2"/>
    <x v="1"/>
    <x v="1"/>
    <x v="3"/>
    <x v="27"/>
    <x v="0"/>
    <x v="0"/>
    <n v="1.55"/>
    <n v="4220.3100000000004"/>
    <n v="14908.16"/>
    <x v="2"/>
  </r>
  <r>
    <x v="2"/>
    <x v="1"/>
    <x v="1"/>
    <x v="0"/>
    <x v="0"/>
    <x v="0"/>
    <x v="1"/>
    <n v="1.32"/>
    <n v="3594.07"/>
    <n v="12703.83"/>
    <x v="2"/>
  </r>
  <r>
    <x v="2"/>
    <x v="1"/>
    <x v="1"/>
    <x v="0"/>
    <x v="1"/>
    <x v="0"/>
    <x v="1"/>
    <n v="4.04"/>
    <n v="11000.03"/>
    <n v="38857.019999999997"/>
    <x v="2"/>
  </r>
  <r>
    <x v="2"/>
    <x v="1"/>
    <x v="1"/>
    <x v="0"/>
    <x v="2"/>
    <x v="0"/>
    <x v="1"/>
    <n v="2.04"/>
    <n v="5554.47"/>
    <n v="19657.189999999999"/>
    <x v="2"/>
  </r>
  <r>
    <x v="2"/>
    <x v="1"/>
    <x v="1"/>
    <x v="0"/>
    <x v="3"/>
    <x v="0"/>
    <x v="1"/>
    <n v="1.53"/>
    <n v="4165.8500000000004"/>
    <n v="14760.27"/>
    <x v="2"/>
  </r>
  <r>
    <x v="2"/>
    <x v="1"/>
    <x v="1"/>
    <x v="0"/>
    <x v="4"/>
    <x v="0"/>
    <x v="1"/>
    <n v="1.25"/>
    <n v="3403.48"/>
    <n v="12035.41"/>
    <x v="2"/>
  </r>
  <r>
    <x v="2"/>
    <x v="1"/>
    <x v="1"/>
    <x v="0"/>
    <x v="5"/>
    <x v="0"/>
    <x v="1"/>
    <n v="3.01"/>
    <n v="8195.57"/>
    <n v="28955.4"/>
    <x v="2"/>
  </r>
  <r>
    <x v="2"/>
    <x v="1"/>
    <x v="1"/>
    <x v="0"/>
    <x v="6"/>
    <x v="0"/>
    <x v="1"/>
    <n v="1.04"/>
    <n v="2831.69"/>
    <n v="10023.25"/>
    <x v="2"/>
  </r>
  <r>
    <x v="2"/>
    <x v="1"/>
    <x v="1"/>
    <x v="0"/>
    <x v="8"/>
    <x v="0"/>
    <x v="1"/>
    <n v="2.13"/>
    <n v="5799.52"/>
    <n v="20489.27"/>
    <x v="2"/>
  </r>
  <r>
    <x v="2"/>
    <x v="1"/>
    <x v="1"/>
    <x v="1"/>
    <x v="10"/>
    <x v="0"/>
    <x v="1"/>
    <n v="2.5"/>
    <n v="6806.95"/>
    <n v="24101.51"/>
    <x v="2"/>
  </r>
  <r>
    <x v="2"/>
    <x v="1"/>
    <x v="1"/>
    <x v="1"/>
    <x v="11"/>
    <x v="0"/>
    <x v="1"/>
    <n v="5.4"/>
    <n v="14703.01"/>
    <n v="51991.97"/>
    <x v="2"/>
  </r>
  <r>
    <x v="2"/>
    <x v="1"/>
    <x v="1"/>
    <x v="1"/>
    <x v="13"/>
    <x v="0"/>
    <x v="1"/>
    <n v="2.31"/>
    <n v="6289.62"/>
    <n v="22215.47"/>
    <x v="2"/>
  </r>
  <r>
    <x v="2"/>
    <x v="1"/>
    <x v="1"/>
    <x v="1"/>
    <x v="14"/>
    <x v="0"/>
    <x v="1"/>
    <n v="1.42"/>
    <n v="3866.35"/>
    <n v="13649.3"/>
    <x v="2"/>
  </r>
  <r>
    <x v="2"/>
    <x v="1"/>
    <x v="1"/>
    <x v="1"/>
    <x v="16"/>
    <x v="0"/>
    <x v="1"/>
    <n v="1.28"/>
    <n v="3485.16"/>
    <n v="12284.64"/>
    <x v="2"/>
  </r>
  <r>
    <x v="2"/>
    <x v="1"/>
    <x v="1"/>
    <x v="1"/>
    <x v="17"/>
    <x v="0"/>
    <x v="1"/>
    <n v="1.0900000000000001"/>
    <n v="2967.83"/>
    <n v="10488.07"/>
    <x v="2"/>
  </r>
  <r>
    <x v="2"/>
    <x v="1"/>
    <x v="1"/>
    <x v="1"/>
    <x v="18"/>
    <x v="0"/>
    <x v="1"/>
    <n v="7.87"/>
    <n v="21428.28"/>
    <n v="75755.009999999995"/>
    <x v="2"/>
  </r>
  <r>
    <x v="2"/>
    <x v="1"/>
    <x v="1"/>
    <x v="1"/>
    <x v="19"/>
    <x v="0"/>
    <x v="1"/>
    <n v="1.8"/>
    <n v="4901"/>
    <n v="17372.830000000002"/>
    <x v="2"/>
  </r>
  <r>
    <x v="2"/>
    <x v="1"/>
    <x v="1"/>
    <x v="1"/>
    <x v="20"/>
    <x v="0"/>
    <x v="1"/>
    <n v="8.15"/>
    <n v="22190.66"/>
    <n v="78437.119999999995"/>
    <x v="2"/>
  </r>
  <r>
    <x v="2"/>
    <x v="1"/>
    <x v="1"/>
    <x v="2"/>
    <x v="21"/>
    <x v="0"/>
    <x v="1"/>
    <n v="0"/>
    <n v="0"/>
    <n v="0"/>
    <x v="2"/>
  </r>
  <r>
    <x v="2"/>
    <x v="1"/>
    <x v="1"/>
    <x v="2"/>
    <x v="22"/>
    <x v="0"/>
    <x v="1"/>
    <n v="2.77"/>
    <n v="7542.1"/>
    <n v="26672.66"/>
    <x v="2"/>
  </r>
  <r>
    <x v="2"/>
    <x v="1"/>
    <x v="1"/>
    <x v="2"/>
    <x v="29"/>
    <x v="0"/>
    <x v="1"/>
    <n v="1.53"/>
    <n v="4165.8500000000004"/>
    <n v="14714.08"/>
    <x v="2"/>
  </r>
  <r>
    <x v="2"/>
    <x v="1"/>
    <x v="1"/>
    <x v="2"/>
    <x v="24"/>
    <x v="0"/>
    <x v="1"/>
    <n v="2"/>
    <n v="5445.56"/>
    <n v="19300.41"/>
    <x v="2"/>
  </r>
  <r>
    <x v="2"/>
    <x v="1"/>
    <x v="1"/>
    <x v="3"/>
    <x v="25"/>
    <x v="0"/>
    <x v="1"/>
    <n v="1.31"/>
    <n v="3566.84"/>
    <n v="12572.62"/>
    <x v="2"/>
  </r>
  <r>
    <x v="2"/>
    <x v="1"/>
    <x v="1"/>
    <x v="3"/>
    <x v="26"/>
    <x v="0"/>
    <x v="1"/>
    <n v="0.98"/>
    <n v="2668.32"/>
    <n v="9436.32"/>
    <x v="2"/>
  </r>
  <r>
    <x v="2"/>
    <x v="1"/>
    <x v="1"/>
    <x v="3"/>
    <x v="27"/>
    <x v="0"/>
    <x v="1"/>
    <n v="6.1"/>
    <n v="16608.96"/>
    <n v="58700.88"/>
    <x v="2"/>
  </r>
  <r>
    <x v="2"/>
    <x v="1"/>
    <x v="1"/>
    <x v="0"/>
    <x v="0"/>
    <x v="1"/>
    <x v="0"/>
    <n v="3.81"/>
    <n v="10373.790000000001"/>
    <n v="23972.82"/>
    <x v="2"/>
  </r>
  <r>
    <x v="2"/>
    <x v="1"/>
    <x v="1"/>
    <x v="0"/>
    <x v="1"/>
    <x v="1"/>
    <x v="0"/>
    <n v="4.63"/>
    <n v="12606.47"/>
    <n v="28674.02"/>
    <x v="2"/>
  </r>
  <r>
    <x v="2"/>
    <x v="1"/>
    <x v="1"/>
    <x v="0"/>
    <x v="2"/>
    <x v="1"/>
    <x v="0"/>
    <n v="3.14"/>
    <n v="8549.5300000000007"/>
    <n v="18756.14"/>
    <x v="2"/>
  </r>
  <r>
    <x v="2"/>
    <x v="1"/>
    <x v="1"/>
    <x v="0"/>
    <x v="3"/>
    <x v="1"/>
    <x v="0"/>
    <n v="5.08"/>
    <n v="13831.72"/>
    <n v="31585.67"/>
    <x v="2"/>
  </r>
  <r>
    <x v="2"/>
    <x v="1"/>
    <x v="1"/>
    <x v="0"/>
    <x v="28"/>
    <x v="1"/>
    <x v="0"/>
    <n v="0"/>
    <n v="0"/>
    <n v="0"/>
    <x v="2"/>
  </r>
  <r>
    <x v="2"/>
    <x v="1"/>
    <x v="1"/>
    <x v="0"/>
    <x v="4"/>
    <x v="1"/>
    <x v="0"/>
    <n v="2.63"/>
    <n v="7160.91"/>
    <n v="16197.84"/>
    <x v="2"/>
  </r>
  <r>
    <x v="2"/>
    <x v="1"/>
    <x v="1"/>
    <x v="0"/>
    <x v="5"/>
    <x v="1"/>
    <x v="0"/>
    <n v="0.85"/>
    <n v="2314.36"/>
    <n v="5398.62"/>
    <x v="2"/>
  </r>
  <r>
    <x v="2"/>
    <x v="1"/>
    <x v="1"/>
    <x v="0"/>
    <x v="6"/>
    <x v="1"/>
    <x v="0"/>
    <n v="0"/>
    <n v="0"/>
    <n v="0"/>
    <x v="2"/>
  </r>
  <r>
    <x v="2"/>
    <x v="1"/>
    <x v="1"/>
    <x v="0"/>
    <x v="7"/>
    <x v="1"/>
    <x v="0"/>
    <n v="0"/>
    <n v="0"/>
    <n v="0"/>
    <x v="2"/>
  </r>
  <r>
    <x v="2"/>
    <x v="1"/>
    <x v="1"/>
    <x v="0"/>
    <x v="8"/>
    <x v="1"/>
    <x v="0"/>
    <n v="0"/>
    <n v="0"/>
    <n v="0"/>
    <x v="2"/>
  </r>
  <r>
    <x v="2"/>
    <x v="1"/>
    <x v="1"/>
    <x v="1"/>
    <x v="30"/>
    <x v="1"/>
    <x v="0"/>
    <n v="0.57999999999999996"/>
    <n v="1579.21"/>
    <n v="3845.48"/>
    <x v="2"/>
  </r>
  <r>
    <x v="2"/>
    <x v="1"/>
    <x v="1"/>
    <x v="1"/>
    <x v="9"/>
    <x v="1"/>
    <x v="0"/>
    <n v="0"/>
    <n v="0"/>
    <n v="0"/>
    <x v="2"/>
  </r>
  <r>
    <x v="2"/>
    <x v="1"/>
    <x v="1"/>
    <x v="1"/>
    <x v="31"/>
    <x v="1"/>
    <x v="0"/>
    <n v="2.17"/>
    <n v="5908.43"/>
    <n v="14549.48"/>
    <x v="2"/>
  </r>
  <r>
    <x v="2"/>
    <x v="1"/>
    <x v="1"/>
    <x v="1"/>
    <x v="10"/>
    <x v="1"/>
    <x v="0"/>
    <n v="6.05"/>
    <n v="16472.82"/>
    <n v="39751.93"/>
    <x v="2"/>
  </r>
  <r>
    <x v="2"/>
    <x v="1"/>
    <x v="1"/>
    <x v="1"/>
    <x v="11"/>
    <x v="1"/>
    <x v="0"/>
    <n v="4.28"/>
    <n v="11653.5"/>
    <n v="26799.15"/>
    <x v="2"/>
  </r>
  <r>
    <x v="2"/>
    <x v="1"/>
    <x v="1"/>
    <x v="1"/>
    <x v="12"/>
    <x v="1"/>
    <x v="0"/>
    <n v="1.65"/>
    <n v="4492.59"/>
    <n v="10879.08"/>
    <x v="2"/>
  </r>
  <r>
    <x v="2"/>
    <x v="1"/>
    <x v="1"/>
    <x v="1"/>
    <x v="13"/>
    <x v="1"/>
    <x v="0"/>
    <n v="1.2"/>
    <n v="3267.34"/>
    <n v="7890.98"/>
    <x v="2"/>
  </r>
  <r>
    <x v="2"/>
    <x v="1"/>
    <x v="1"/>
    <x v="1"/>
    <x v="14"/>
    <x v="1"/>
    <x v="0"/>
    <n v="9.3699999999999992"/>
    <n v="25512.45"/>
    <n v="60248.43"/>
    <x v="2"/>
  </r>
  <r>
    <x v="2"/>
    <x v="1"/>
    <x v="1"/>
    <x v="1"/>
    <x v="15"/>
    <x v="1"/>
    <x v="0"/>
    <n v="1.03"/>
    <n v="2804.46"/>
    <n v="6850.86"/>
    <x v="2"/>
  </r>
  <r>
    <x v="2"/>
    <x v="1"/>
    <x v="1"/>
    <x v="1"/>
    <x v="16"/>
    <x v="1"/>
    <x v="0"/>
    <n v="3.59"/>
    <n v="9774.7800000000007"/>
    <n v="22749.21"/>
    <x v="2"/>
  </r>
  <r>
    <x v="2"/>
    <x v="1"/>
    <x v="1"/>
    <x v="1"/>
    <x v="17"/>
    <x v="1"/>
    <x v="0"/>
    <n v="5.56"/>
    <n v="15138.66"/>
    <n v="35552.99"/>
    <x v="2"/>
  </r>
  <r>
    <x v="2"/>
    <x v="1"/>
    <x v="1"/>
    <x v="1"/>
    <x v="18"/>
    <x v="1"/>
    <x v="0"/>
    <n v="6.24"/>
    <n v="16990.150000000001"/>
    <n v="41758.6"/>
    <x v="2"/>
  </r>
  <r>
    <x v="2"/>
    <x v="1"/>
    <x v="1"/>
    <x v="1"/>
    <x v="19"/>
    <x v="1"/>
    <x v="0"/>
    <n v="5.57"/>
    <n v="15165.88"/>
    <n v="36168.720000000001"/>
    <x v="2"/>
  </r>
  <r>
    <x v="2"/>
    <x v="1"/>
    <x v="1"/>
    <x v="1"/>
    <x v="20"/>
    <x v="1"/>
    <x v="0"/>
    <n v="3.52"/>
    <n v="9584.19"/>
    <n v="22469.65"/>
    <x v="2"/>
  </r>
  <r>
    <x v="2"/>
    <x v="1"/>
    <x v="1"/>
    <x v="2"/>
    <x v="21"/>
    <x v="1"/>
    <x v="0"/>
    <n v="0"/>
    <n v="0"/>
    <n v="0"/>
    <x v="2"/>
  </r>
  <r>
    <x v="2"/>
    <x v="1"/>
    <x v="1"/>
    <x v="2"/>
    <x v="22"/>
    <x v="1"/>
    <x v="0"/>
    <n v="2.64"/>
    <n v="7188.14"/>
    <n v="15450.33"/>
    <x v="2"/>
  </r>
  <r>
    <x v="2"/>
    <x v="1"/>
    <x v="1"/>
    <x v="2"/>
    <x v="29"/>
    <x v="1"/>
    <x v="0"/>
    <n v="0"/>
    <n v="0"/>
    <n v="0"/>
    <x v="2"/>
  </r>
  <r>
    <x v="2"/>
    <x v="1"/>
    <x v="1"/>
    <x v="2"/>
    <x v="23"/>
    <x v="1"/>
    <x v="0"/>
    <n v="0"/>
    <n v="0"/>
    <n v="0"/>
    <x v="2"/>
  </r>
  <r>
    <x v="2"/>
    <x v="1"/>
    <x v="1"/>
    <x v="2"/>
    <x v="24"/>
    <x v="1"/>
    <x v="0"/>
    <n v="2.08"/>
    <n v="5663.38"/>
    <n v="12413.48"/>
    <x v="2"/>
  </r>
  <r>
    <x v="2"/>
    <x v="1"/>
    <x v="1"/>
    <x v="3"/>
    <x v="25"/>
    <x v="1"/>
    <x v="0"/>
    <n v="4.01"/>
    <n v="10918.35"/>
    <n v="26461.919999999998"/>
    <x v="2"/>
  </r>
  <r>
    <x v="2"/>
    <x v="1"/>
    <x v="1"/>
    <x v="3"/>
    <x v="26"/>
    <x v="1"/>
    <x v="0"/>
    <n v="1.56"/>
    <n v="4247.54"/>
    <n v="10355.35"/>
    <x v="2"/>
  </r>
  <r>
    <x v="2"/>
    <x v="1"/>
    <x v="1"/>
    <x v="3"/>
    <x v="27"/>
    <x v="1"/>
    <x v="0"/>
    <n v="6.1"/>
    <n v="16608.96"/>
    <n v="39776.65"/>
    <x v="2"/>
  </r>
  <r>
    <x v="2"/>
    <x v="1"/>
    <x v="1"/>
    <x v="0"/>
    <x v="0"/>
    <x v="1"/>
    <x v="1"/>
    <n v="7.37"/>
    <n v="20066.89"/>
    <n v="46382.2"/>
    <x v="2"/>
  </r>
  <r>
    <x v="2"/>
    <x v="1"/>
    <x v="1"/>
    <x v="0"/>
    <x v="1"/>
    <x v="1"/>
    <x v="1"/>
    <n v="6.62"/>
    <n v="18024.8"/>
    <n v="41001.160000000003"/>
    <x v="2"/>
  </r>
  <r>
    <x v="2"/>
    <x v="1"/>
    <x v="1"/>
    <x v="0"/>
    <x v="2"/>
    <x v="1"/>
    <x v="1"/>
    <n v="15.43"/>
    <n v="42012.5"/>
    <n v="92217.71"/>
    <x v="2"/>
  </r>
  <r>
    <x v="2"/>
    <x v="1"/>
    <x v="1"/>
    <x v="0"/>
    <x v="3"/>
    <x v="1"/>
    <x v="1"/>
    <n v="17.48"/>
    <n v="47594.19"/>
    <n v="108676.13"/>
    <x v="2"/>
  </r>
  <r>
    <x v="2"/>
    <x v="1"/>
    <x v="1"/>
    <x v="0"/>
    <x v="28"/>
    <x v="1"/>
    <x v="1"/>
    <n v="2.0699999999999998"/>
    <n v="5636.15"/>
    <n v="13005.22"/>
    <x v="2"/>
  </r>
  <r>
    <x v="2"/>
    <x v="1"/>
    <x v="1"/>
    <x v="0"/>
    <x v="4"/>
    <x v="1"/>
    <x v="1"/>
    <n v="3.01"/>
    <n v="8195.57"/>
    <n v="18553.88"/>
    <x v="2"/>
  </r>
  <r>
    <x v="2"/>
    <x v="1"/>
    <x v="1"/>
    <x v="0"/>
    <x v="5"/>
    <x v="1"/>
    <x v="1"/>
    <n v="16.059999999999999"/>
    <n v="43727.85"/>
    <n v="101899.02"/>
    <x v="2"/>
  </r>
  <r>
    <x v="2"/>
    <x v="1"/>
    <x v="1"/>
    <x v="0"/>
    <x v="6"/>
    <x v="1"/>
    <x v="1"/>
    <n v="2.56"/>
    <n v="6970.32"/>
    <n v="16183.8"/>
    <x v="2"/>
  </r>
  <r>
    <x v="2"/>
    <x v="1"/>
    <x v="1"/>
    <x v="0"/>
    <x v="7"/>
    <x v="1"/>
    <x v="1"/>
    <n v="2.7"/>
    <n v="7351.51"/>
    <n v="17335.560000000001"/>
    <x v="2"/>
  </r>
  <r>
    <x v="2"/>
    <x v="1"/>
    <x v="1"/>
    <x v="0"/>
    <x v="8"/>
    <x v="1"/>
    <x v="1"/>
    <n v="2.21"/>
    <n v="6017.34"/>
    <n v="13573.86"/>
    <x v="2"/>
  </r>
  <r>
    <x v="2"/>
    <x v="1"/>
    <x v="1"/>
    <x v="1"/>
    <x v="30"/>
    <x v="1"/>
    <x v="1"/>
    <n v="0"/>
    <n v="0"/>
    <n v="0"/>
    <x v="2"/>
  </r>
  <r>
    <x v="2"/>
    <x v="1"/>
    <x v="1"/>
    <x v="1"/>
    <x v="9"/>
    <x v="1"/>
    <x v="1"/>
    <n v="0.72"/>
    <n v="1960.4"/>
    <n v="4747.8900000000003"/>
    <x v="2"/>
  </r>
  <r>
    <x v="2"/>
    <x v="1"/>
    <x v="1"/>
    <x v="1"/>
    <x v="31"/>
    <x v="1"/>
    <x v="1"/>
    <n v="0"/>
    <n v="0"/>
    <n v="0"/>
    <x v="2"/>
  </r>
  <r>
    <x v="2"/>
    <x v="1"/>
    <x v="1"/>
    <x v="1"/>
    <x v="10"/>
    <x v="1"/>
    <x v="1"/>
    <n v="16.46"/>
    <n v="44816.959999999999"/>
    <n v="108058.07"/>
    <x v="2"/>
  </r>
  <r>
    <x v="2"/>
    <x v="1"/>
    <x v="1"/>
    <x v="1"/>
    <x v="11"/>
    <x v="1"/>
    <x v="1"/>
    <n v="14.22"/>
    <n v="38717.93"/>
    <n v="88973.18"/>
    <x v="2"/>
  </r>
  <r>
    <x v="2"/>
    <x v="1"/>
    <x v="1"/>
    <x v="1"/>
    <x v="12"/>
    <x v="1"/>
    <x v="1"/>
    <n v="0.78"/>
    <n v="2123.77"/>
    <n v="5153.25"/>
    <x v="2"/>
  </r>
  <r>
    <x v="2"/>
    <x v="1"/>
    <x v="1"/>
    <x v="1"/>
    <x v="13"/>
    <x v="1"/>
    <x v="1"/>
    <n v="5.67"/>
    <n v="15438.16"/>
    <n v="37200.35"/>
    <x v="2"/>
  </r>
  <r>
    <x v="2"/>
    <x v="1"/>
    <x v="1"/>
    <x v="1"/>
    <x v="14"/>
    <x v="1"/>
    <x v="1"/>
    <n v="4.38"/>
    <n v="11925.78"/>
    <n v="28153.47"/>
    <x v="2"/>
  </r>
  <r>
    <x v="2"/>
    <x v="1"/>
    <x v="1"/>
    <x v="1"/>
    <x v="15"/>
    <x v="1"/>
    <x v="1"/>
    <n v="2.5299999999999998"/>
    <n v="6888.63"/>
    <n v="16815.740000000002"/>
    <x v="2"/>
  </r>
  <r>
    <x v="2"/>
    <x v="1"/>
    <x v="1"/>
    <x v="1"/>
    <x v="16"/>
    <x v="1"/>
    <x v="1"/>
    <n v="10.54"/>
    <n v="28698.1"/>
    <n v="66779.95"/>
    <x v="2"/>
  </r>
  <r>
    <x v="2"/>
    <x v="1"/>
    <x v="1"/>
    <x v="1"/>
    <x v="17"/>
    <x v="1"/>
    <x v="1"/>
    <n v="1.97"/>
    <n v="5363.88"/>
    <n v="12580.29"/>
    <x v="2"/>
  </r>
  <r>
    <x v="2"/>
    <x v="1"/>
    <x v="1"/>
    <x v="1"/>
    <x v="18"/>
    <x v="1"/>
    <x v="1"/>
    <n v="25.93"/>
    <n v="70601.69"/>
    <n v="173458.82"/>
    <x v="2"/>
  </r>
  <r>
    <x v="2"/>
    <x v="1"/>
    <x v="1"/>
    <x v="1"/>
    <x v="19"/>
    <x v="1"/>
    <x v="1"/>
    <n v="9.61"/>
    <n v="26165.919999999998"/>
    <n v="62321.48"/>
    <x v="2"/>
  </r>
  <r>
    <x v="2"/>
    <x v="1"/>
    <x v="1"/>
    <x v="1"/>
    <x v="20"/>
    <x v="1"/>
    <x v="1"/>
    <n v="8"/>
    <n v="21782.240000000002"/>
    <n v="51038.21"/>
    <x v="2"/>
  </r>
  <r>
    <x v="2"/>
    <x v="1"/>
    <x v="1"/>
    <x v="2"/>
    <x v="21"/>
    <x v="1"/>
    <x v="1"/>
    <n v="2.09"/>
    <n v="5690.61"/>
    <n v="12245.49"/>
    <x v="2"/>
  </r>
  <r>
    <x v="2"/>
    <x v="1"/>
    <x v="1"/>
    <x v="2"/>
    <x v="22"/>
    <x v="1"/>
    <x v="1"/>
    <n v="9.06"/>
    <n v="24668.39"/>
    <n v="53110.51"/>
    <x v="2"/>
  </r>
  <r>
    <x v="2"/>
    <x v="1"/>
    <x v="1"/>
    <x v="2"/>
    <x v="29"/>
    <x v="1"/>
    <x v="1"/>
    <n v="2.54"/>
    <n v="6915.86"/>
    <n v="15836.24"/>
    <x v="2"/>
  </r>
  <r>
    <x v="2"/>
    <x v="1"/>
    <x v="1"/>
    <x v="2"/>
    <x v="23"/>
    <x v="1"/>
    <x v="1"/>
    <n v="1.47"/>
    <n v="4002.49"/>
    <n v="8974"/>
    <x v="2"/>
  </r>
  <r>
    <x v="2"/>
    <x v="1"/>
    <x v="1"/>
    <x v="2"/>
    <x v="24"/>
    <x v="1"/>
    <x v="1"/>
    <n v="1.83"/>
    <n v="4982.6899999999996"/>
    <n v="10923.87"/>
    <x v="2"/>
  </r>
  <r>
    <x v="2"/>
    <x v="1"/>
    <x v="1"/>
    <x v="3"/>
    <x v="25"/>
    <x v="1"/>
    <x v="1"/>
    <n v="5.41"/>
    <n v="14730.24"/>
    <n v="35666.07"/>
    <x v="2"/>
  </r>
  <r>
    <x v="2"/>
    <x v="1"/>
    <x v="1"/>
    <x v="3"/>
    <x v="26"/>
    <x v="1"/>
    <x v="1"/>
    <n v="12.55"/>
    <n v="34170.89"/>
    <n v="83387.839999999997"/>
    <x v="2"/>
  </r>
  <r>
    <x v="2"/>
    <x v="1"/>
    <x v="1"/>
    <x v="3"/>
    <x v="27"/>
    <x v="1"/>
    <x v="1"/>
    <n v="18.48"/>
    <n v="50316.97"/>
    <n v="120419.72"/>
    <x v="2"/>
  </r>
  <r>
    <x v="2"/>
    <x v="1"/>
    <x v="2"/>
    <x v="0"/>
    <x v="0"/>
    <x v="0"/>
    <x v="0"/>
    <n v="2.1800000000000002"/>
    <n v="11814.99"/>
    <n v="51069.08"/>
    <x v="2"/>
  </r>
  <r>
    <x v="2"/>
    <x v="1"/>
    <x v="2"/>
    <x v="0"/>
    <x v="1"/>
    <x v="0"/>
    <x v="0"/>
    <n v="3.69"/>
    <n v="19998.77"/>
    <n v="86496.09"/>
    <x v="2"/>
  </r>
  <r>
    <x v="2"/>
    <x v="1"/>
    <x v="2"/>
    <x v="0"/>
    <x v="2"/>
    <x v="0"/>
    <x v="0"/>
    <n v="0"/>
    <n v="0"/>
    <n v="0"/>
    <x v="2"/>
  </r>
  <r>
    <x v="2"/>
    <x v="1"/>
    <x v="2"/>
    <x v="0"/>
    <x v="3"/>
    <x v="0"/>
    <x v="0"/>
    <n v="0.86"/>
    <n v="4660.96"/>
    <n v="20182.62"/>
    <x v="2"/>
  </r>
  <r>
    <x v="2"/>
    <x v="1"/>
    <x v="2"/>
    <x v="0"/>
    <x v="4"/>
    <x v="0"/>
    <x v="0"/>
    <n v="0"/>
    <n v="0"/>
    <n v="0"/>
    <x v="2"/>
  </r>
  <r>
    <x v="2"/>
    <x v="1"/>
    <x v="2"/>
    <x v="0"/>
    <x v="5"/>
    <x v="0"/>
    <x v="0"/>
    <n v="0"/>
    <n v="0"/>
    <n v="0"/>
    <x v="2"/>
  </r>
  <r>
    <x v="2"/>
    <x v="1"/>
    <x v="2"/>
    <x v="0"/>
    <x v="6"/>
    <x v="0"/>
    <x v="0"/>
    <n v="0"/>
    <n v="0"/>
    <n v="0"/>
    <x v="2"/>
  </r>
  <r>
    <x v="2"/>
    <x v="1"/>
    <x v="2"/>
    <x v="0"/>
    <x v="8"/>
    <x v="0"/>
    <x v="0"/>
    <n v="0"/>
    <n v="0"/>
    <n v="0"/>
    <x v="2"/>
  </r>
  <r>
    <x v="2"/>
    <x v="1"/>
    <x v="2"/>
    <x v="1"/>
    <x v="10"/>
    <x v="0"/>
    <x v="0"/>
    <n v="1.48"/>
    <n v="8021.19"/>
    <n v="34689.93"/>
    <x v="2"/>
  </r>
  <r>
    <x v="2"/>
    <x v="1"/>
    <x v="2"/>
    <x v="1"/>
    <x v="11"/>
    <x v="0"/>
    <x v="0"/>
    <n v="0"/>
    <n v="0"/>
    <n v="0"/>
    <x v="2"/>
  </r>
  <r>
    <x v="2"/>
    <x v="1"/>
    <x v="2"/>
    <x v="1"/>
    <x v="13"/>
    <x v="0"/>
    <x v="0"/>
    <n v="0"/>
    <n v="0"/>
    <n v="0"/>
    <x v="2"/>
  </r>
  <r>
    <x v="2"/>
    <x v="1"/>
    <x v="2"/>
    <x v="1"/>
    <x v="14"/>
    <x v="0"/>
    <x v="0"/>
    <n v="0"/>
    <n v="0"/>
    <n v="0"/>
    <x v="2"/>
  </r>
  <r>
    <x v="2"/>
    <x v="1"/>
    <x v="2"/>
    <x v="1"/>
    <x v="16"/>
    <x v="0"/>
    <x v="0"/>
    <n v="0"/>
    <n v="0"/>
    <n v="0"/>
    <x v="2"/>
  </r>
  <r>
    <x v="2"/>
    <x v="1"/>
    <x v="2"/>
    <x v="1"/>
    <x v="17"/>
    <x v="0"/>
    <x v="0"/>
    <n v="0"/>
    <n v="0"/>
    <n v="0"/>
    <x v="2"/>
  </r>
  <r>
    <x v="2"/>
    <x v="1"/>
    <x v="2"/>
    <x v="1"/>
    <x v="18"/>
    <x v="0"/>
    <x v="0"/>
    <n v="0"/>
    <n v="0"/>
    <n v="0"/>
    <x v="2"/>
  </r>
  <r>
    <x v="2"/>
    <x v="1"/>
    <x v="2"/>
    <x v="1"/>
    <x v="19"/>
    <x v="0"/>
    <x v="0"/>
    <n v="0"/>
    <n v="0"/>
    <n v="0"/>
    <x v="2"/>
  </r>
  <r>
    <x v="2"/>
    <x v="1"/>
    <x v="2"/>
    <x v="1"/>
    <x v="20"/>
    <x v="0"/>
    <x v="0"/>
    <n v="1.84"/>
    <n v="9972.2800000000007"/>
    <n v="43055.15"/>
    <x v="2"/>
  </r>
  <r>
    <x v="2"/>
    <x v="1"/>
    <x v="2"/>
    <x v="2"/>
    <x v="21"/>
    <x v="0"/>
    <x v="0"/>
    <n v="2.21"/>
    <n v="11977.58"/>
    <n v="51770.51"/>
    <x v="2"/>
  </r>
  <r>
    <x v="2"/>
    <x v="1"/>
    <x v="2"/>
    <x v="2"/>
    <x v="22"/>
    <x v="0"/>
    <x v="0"/>
    <n v="0"/>
    <n v="0"/>
    <n v="0"/>
    <x v="2"/>
  </r>
  <r>
    <x v="2"/>
    <x v="1"/>
    <x v="2"/>
    <x v="2"/>
    <x v="29"/>
    <x v="0"/>
    <x v="0"/>
    <n v="0"/>
    <n v="0"/>
    <n v="0"/>
    <x v="2"/>
  </r>
  <r>
    <x v="2"/>
    <x v="1"/>
    <x v="2"/>
    <x v="2"/>
    <x v="24"/>
    <x v="0"/>
    <x v="0"/>
    <n v="0"/>
    <n v="0"/>
    <n v="0"/>
    <x v="2"/>
  </r>
  <r>
    <x v="2"/>
    <x v="1"/>
    <x v="2"/>
    <x v="3"/>
    <x v="25"/>
    <x v="0"/>
    <x v="0"/>
    <n v="0"/>
    <n v="0"/>
    <n v="0"/>
    <x v="2"/>
  </r>
  <r>
    <x v="2"/>
    <x v="1"/>
    <x v="2"/>
    <x v="3"/>
    <x v="26"/>
    <x v="0"/>
    <x v="0"/>
    <n v="1.8"/>
    <n v="9755.5"/>
    <n v="42094.54"/>
    <x v="2"/>
  </r>
  <r>
    <x v="2"/>
    <x v="1"/>
    <x v="2"/>
    <x v="3"/>
    <x v="27"/>
    <x v="0"/>
    <x v="0"/>
    <n v="1.6"/>
    <n v="8671.5499999999993"/>
    <n v="37389.129999999997"/>
    <x v="2"/>
  </r>
  <r>
    <x v="2"/>
    <x v="1"/>
    <x v="2"/>
    <x v="0"/>
    <x v="0"/>
    <x v="0"/>
    <x v="1"/>
    <n v="2.27"/>
    <n v="12302.76"/>
    <n v="53111.85"/>
    <x v="2"/>
  </r>
  <r>
    <x v="2"/>
    <x v="1"/>
    <x v="2"/>
    <x v="0"/>
    <x v="1"/>
    <x v="0"/>
    <x v="1"/>
    <n v="6.27"/>
    <n v="33981.64"/>
    <n v="146990.29"/>
    <x v="2"/>
  </r>
  <r>
    <x v="2"/>
    <x v="1"/>
    <x v="2"/>
    <x v="0"/>
    <x v="2"/>
    <x v="0"/>
    <x v="1"/>
    <n v="5.27"/>
    <n v="28561.919999999998"/>
    <n v="123618.7"/>
    <x v="2"/>
  </r>
  <r>
    <x v="2"/>
    <x v="1"/>
    <x v="2"/>
    <x v="0"/>
    <x v="3"/>
    <x v="0"/>
    <x v="1"/>
    <n v="2.35"/>
    <n v="12736.34"/>
    <n v="55043.51"/>
    <x v="2"/>
  </r>
  <r>
    <x v="2"/>
    <x v="1"/>
    <x v="2"/>
    <x v="0"/>
    <x v="4"/>
    <x v="0"/>
    <x v="1"/>
    <n v="2.72"/>
    <n v="14741.64"/>
    <n v="63758.16"/>
    <x v="2"/>
  </r>
  <r>
    <x v="2"/>
    <x v="1"/>
    <x v="2"/>
    <x v="0"/>
    <x v="5"/>
    <x v="0"/>
    <x v="1"/>
    <n v="4.88"/>
    <n v="26448.23"/>
    <n v="114300.96"/>
    <x v="2"/>
  </r>
  <r>
    <x v="2"/>
    <x v="1"/>
    <x v="2"/>
    <x v="0"/>
    <x v="6"/>
    <x v="0"/>
    <x v="1"/>
    <n v="2.36"/>
    <n v="12790.54"/>
    <n v="55404.4"/>
    <x v="2"/>
  </r>
  <r>
    <x v="2"/>
    <x v="1"/>
    <x v="2"/>
    <x v="0"/>
    <x v="8"/>
    <x v="0"/>
    <x v="1"/>
    <n v="4.16"/>
    <n v="22546.04"/>
    <n v="97499.93"/>
    <x v="2"/>
  </r>
  <r>
    <x v="2"/>
    <x v="1"/>
    <x v="2"/>
    <x v="1"/>
    <x v="10"/>
    <x v="0"/>
    <x v="1"/>
    <n v="4.96"/>
    <n v="26881.81"/>
    <n v="116313.29"/>
    <x v="2"/>
  </r>
  <r>
    <x v="2"/>
    <x v="1"/>
    <x v="2"/>
    <x v="1"/>
    <x v="11"/>
    <x v="0"/>
    <x v="1"/>
    <n v="11.23"/>
    <n v="60863.46"/>
    <n v="263163.71000000002"/>
    <x v="2"/>
  </r>
  <r>
    <x v="2"/>
    <x v="1"/>
    <x v="2"/>
    <x v="1"/>
    <x v="13"/>
    <x v="0"/>
    <x v="1"/>
    <n v="3.26"/>
    <n v="17668.29"/>
    <n v="76458.740000000005"/>
    <x v="2"/>
  </r>
  <r>
    <x v="2"/>
    <x v="1"/>
    <x v="2"/>
    <x v="1"/>
    <x v="14"/>
    <x v="0"/>
    <x v="1"/>
    <n v="1.62"/>
    <n v="8779.9500000000007"/>
    <n v="38052.21"/>
    <x v="2"/>
  </r>
  <r>
    <x v="2"/>
    <x v="1"/>
    <x v="2"/>
    <x v="1"/>
    <x v="16"/>
    <x v="0"/>
    <x v="1"/>
    <n v="2.06"/>
    <n v="11164.62"/>
    <n v="48336.23"/>
    <x v="2"/>
  </r>
  <r>
    <x v="2"/>
    <x v="1"/>
    <x v="2"/>
    <x v="1"/>
    <x v="17"/>
    <x v="0"/>
    <x v="1"/>
    <n v="1.25"/>
    <n v="6774.65"/>
    <n v="29279.23"/>
    <x v="2"/>
  </r>
  <r>
    <x v="2"/>
    <x v="1"/>
    <x v="2"/>
    <x v="1"/>
    <x v="18"/>
    <x v="0"/>
    <x v="1"/>
    <n v="12.4"/>
    <n v="67204.53"/>
    <n v="290699.93"/>
    <x v="2"/>
  </r>
  <r>
    <x v="2"/>
    <x v="1"/>
    <x v="2"/>
    <x v="1"/>
    <x v="19"/>
    <x v="0"/>
    <x v="1"/>
    <n v="4.05"/>
    <n v="21949.87"/>
    <n v="94853.66"/>
    <x v="2"/>
  </r>
  <r>
    <x v="2"/>
    <x v="1"/>
    <x v="2"/>
    <x v="1"/>
    <x v="20"/>
    <x v="0"/>
    <x v="1"/>
    <n v="11.55"/>
    <n v="62597.77"/>
    <n v="270632.39"/>
    <x v="2"/>
  </r>
  <r>
    <x v="2"/>
    <x v="1"/>
    <x v="2"/>
    <x v="2"/>
    <x v="21"/>
    <x v="0"/>
    <x v="1"/>
    <n v="0"/>
    <n v="0"/>
    <n v="0"/>
    <x v="2"/>
  </r>
  <r>
    <x v="2"/>
    <x v="1"/>
    <x v="2"/>
    <x v="2"/>
    <x v="22"/>
    <x v="0"/>
    <x v="1"/>
    <n v="5.21"/>
    <n v="28236.74"/>
    <n v="122086.69"/>
    <x v="2"/>
  </r>
  <r>
    <x v="2"/>
    <x v="1"/>
    <x v="2"/>
    <x v="2"/>
    <x v="29"/>
    <x v="0"/>
    <x v="1"/>
    <n v="2.27"/>
    <n v="12302.76"/>
    <n v="53195.95"/>
    <x v="2"/>
  </r>
  <r>
    <x v="2"/>
    <x v="1"/>
    <x v="2"/>
    <x v="2"/>
    <x v="24"/>
    <x v="0"/>
    <x v="1"/>
    <n v="2.17"/>
    <n v="11760.79"/>
    <n v="50947.88"/>
    <x v="2"/>
  </r>
  <r>
    <x v="2"/>
    <x v="1"/>
    <x v="2"/>
    <x v="3"/>
    <x v="25"/>
    <x v="0"/>
    <x v="1"/>
    <n v="0.06"/>
    <n v="325.18"/>
    <n v="1348.43"/>
    <x v="2"/>
  </r>
  <r>
    <x v="2"/>
    <x v="1"/>
    <x v="2"/>
    <x v="3"/>
    <x v="26"/>
    <x v="0"/>
    <x v="1"/>
    <n v="1.45"/>
    <n v="7858.59"/>
    <n v="34076.54"/>
    <x v="2"/>
  </r>
  <r>
    <x v="2"/>
    <x v="1"/>
    <x v="2"/>
    <x v="3"/>
    <x v="27"/>
    <x v="0"/>
    <x v="1"/>
    <n v="8.15"/>
    <n v="44170.720000000001"/>
    <n v="191100.02"/>
    <x v="2"/>
  </r>
  <r>
    <x v="2"/>
    <x v="1"/>
    <x v="2"/>
    <x v="0"/>
    <x v="0"/>
    <x v="1"/>
    <x v="0"/>
    <n v="3.81"/>
    <n v="20649.13"/>
    <n v="58468.65"/>
    <x v="2"/>
  </r>
  <r>
    <x v="2"/>
    <x v="1"/>
    <x v="2"/>
    <x v="0"/>
    <x v="1"/>
    <x v="1"/>
    <x v="0"/>
    <n v="14.9"/>
    <n v="80753.83"/>
    <n v="224600.93"/>
    <x v="2"/>
  </r>
  <r>
    <x v="2"/>
    <x v="1"/>
    <x v="2"/>
    <x v="0"/>
    <x v="2"/>
    <x v="1"/>
    <x v="0"/>
    <n v="6.11"/>
    <n v="33114.49"/>
    <n v="88996.479999999996"/>
    <x v="2"/>
  </r>
  <r>
    <x v="2"/>
    <x v="1"/>
    <x v="2"/>
    <x v="0"/>
    <x v="3"/>
    <x v="1"/>
    <x v="0"/>
    <n v="16.670000000000002"/>
    <n v="90346.73"/>
    <n v="252419.31"/>
    <x v="2"/>
  </r>
  <r>
    <x v="2"/>
    <x v="1"/>
    <x v="2"/>
    <x v="0"/>
    <x v="28"/>
    <x v="1"/>
    <x v="0"/>
    <n v="0"/>
    <n v="0"/>
    <n v="0"/>
    <x v="2"/>
  </r>
  <r>
    <x v="2"/>
    <x v="1"/>
    <x v="2"/>
    <x v="0"/>
    <x v="4"/>
    <x v="1"/>
    <x v="0"/>
    <n v="7.2"/>
    <n v="39021.980000000003"/>
    <n v="107941.38"/>
    <x v="2"/>
  </r>
  <r>
    <x v="2"/>
    <x v="1"/>
    <x v="2"/>
    <x v="0"/>
    <x v="5"/>
    <x v="1"/>
    <x v="0"/>
    <n v="2.42"/>
    <n v="13115.72"/>
    <n v="37396.81"/>
    <x v="2"/>
  </r>
  <r>
    <x v="2"/>
    <x v="1"/>
    <x v="2"/>
    <x v="0"/>
    <x v="6"/>
    <x v="1"/>
    <x v="0"/>
    <n v="0"/>
    <n v="0"/>
    <n v="0"/>
    <x v="2"/>
  </r>
  <r>
    <x v="2"/>
    <x v="1"/>
    <x v="2"/>
    <x v="0"/>
    <x v="7"/>
    <x v="1"/>
    <x v="0"/>
    <n v="0"/>
    <n v="0"/>
    <n v="0"/>
    <x v="2"/>
  </r>
  <r>
    <x v="2"/>
    <x v="1"/>
    <x v="2"/>
    <x v="0"/>
    <x v="8"/>
    <x v="1"/>
    <x v="0"/>
    <n v="0"/>
    <n v="0"/>
    <n v="0"/>
    <x v="2"/>
  </r>
  <r>
    <x v="2"/>
    <x v="1"/>
    <x v="2"/>
    <x v="1"/>
    <x v="30"/>
    <x v="1"/>
    <x v="0"/>
    <n v="3.53"/>
    <n v="19131.61"/>
    <n v="57052.62"/>
    <x v="2"/>
  </r>
  <r>
    <x v="2"/>
    <x v="1"/>
    <x v="2"/>
    <x v="1"/>
    <x v="9"/>
    <x v="1"/>
    <x v="0"/>
    <n v="0"/>
    <n v="0"/>
    <n v="0"/>
    <x v="2"/>
  </r>
  <r>
    <x v="2"/>
    <x v="1"/>
    <x v="2"/>
    <x v="1"/>
    <x v="31"/>
    <x v="1"/>
    <x v="0"/>
    <n v="1.19"/>
    <n v="6449.47"/>
    <n v="19368.11"/>
    <x v="2"/>
  </r>
  <r>
    <x v="2"/>
    <x v="1"/>
    <x v="2"/>
    <x v="1"/>
    <x v="10"/>
    <x v="1"/>
    <x v="0"/>
    <n v="7.66"/>
    <n v="41515.06"/>
    <n v="122388.58"/>
    <x v="2"/>
  </r>
  <r>
    <x v="2"/>
    <x v="1"/>
    <x v="2"/>
    <x v="1"/>
    <x v="11"/>
    <x v="1"/>
    <x v="0"/>
    <n v="10.49"/>
    <n v="56852.86"/>
    <n v="159755.85"/>
    <x v="2"/>
  </r>
  <r>
    <x v="2"/>
    <x v="1"/>
    <x v="2"/>
    <x v="1"/>
    <x v="12"/>
    <x v="1"/>
    <x v="0"/>
    <n v="0.65"/>
    <n v="3522.82"/>
    <n v="10455.1"/>
    <x v="2"/>
  </r>
  <r>
    <x v="2"/>
    <x v="1"/>
    <x v="2"/>
    <x v="1"/>
    <x v="13"/>
    <x v="1"/>
    <x v="0"/>
    <n v="2.19"/>
    <n v="11869.19"/>
    <n v="34907.08"/>
    <x v="2"/>
  </r>
  <r>
    <x v="2"/>
    <x v="1"/>
    <x v="2"/>
    <x v="1"/>
    <x v="14"/>
    <x v="1"/>
    <x v="0"/>
    <n v="20.11"/>
    <n v="108990.57"/>
    <n v="314753.59999999998"/>
    <x v="2"/>
  </r>
  <r>
    <x v="2"/>
    <x v="1"/>
    <x v="2"/>
    <x v="1"/>
    <x v="15"/>
    <x v="1"/>
    <x v="0"/>
    <n v="1.56"/>
    <n v="8454.76"/>
    <n v="25191.88"/>
    <x v="2"/>
  </r>
  <r>
    <x v="2"/>
    <x v="1"/>
    <x v="2"/>
    <x v="1"/>
    <x v="16"/>
    <x v="1"/>
    <x v="0"/>
    <n v="6.36"/>
    <n v="34469.42"/>
    <n v="98034.26"/>
    <x v="2"/>
  </r>
  <r>
    <x v="2"/>
    <x v="1"/>
    <x v="2"/>
    <x v="1"/>
    <x v="17"/>
    <x v="1"/>
    <x v="0"/>
    <n v="0.51"/>
    <n v="2764.06"/>
    <n v="7878.24"/>
    <x v="2"/>
  </r>
  <r>
    <x v="2"/>
    <x v="1"/>
    <x v="2"/>
    <x v="1"/>
    <x v="18"/>
    <x v="1"/>
    <x v="0"/>
    <n v="7.24"/>
    <n v="39238.769999999997"/>
    <n v="117998.1"/>
    <x v="2"/>
  </r>
  <r>
    <x v="2"/>
    <x v="1"/>
    <x v="2"/>
    <x v="1"/>
    <x v="19"/>
    <x v="1"/>
    <x v="0"/>
    <n v="10.71"/>
    <n v="58045.2"/>
    <n v="169240.49"/>
    <x v="2"/>
  </r>
  <r>
    <x v="2"/>
    <x v="1"/>
    <x v="2"/>
    <x v="1"/>
    <x v="20"/>
    <x v="1"/>
    <x v="0"/>
    <n v="15.33"/>
    <n v="83084.31"/>
    <n v="238260.27"/>
    <x v="2"/>
  </r>
  <r>
    <x v="2"/>
    <x v="1"/>
    <x v="2"/>
    <x v="2"/>
    <x v="21"/>
    <x v="1"/>
    <x v="0"/>
    <n v="0"/>
    <n v="0"/>
    <n v="0"/>
    <x v="2"/>
  </r>
  <r>
    <x v="2"/>
    <x v="1"/>
    <x v="2"/>
    <x v="2"/>
    <x v="22"/>
    <x v="1"/>
    <x v="0"/>
    <n v="9.1999999999999993"/>
    <n v="49861.42"/>
    <n v="131379.62"/>
    <x v="2"/>
  </r>
  <r>
    <x v="2"/>
    <x v="1"/>
    <x v="2"/>
    <x v="2"/>
    <x v="29"/>
    <x v="1"/>
    <x v="0"/>
    <n v="0"/>
    <n v="0"/>
    <n v="0"/>
    <x v="2"/>
  </r>
  <r>
    <x v="2"/>
    <x v="1"/>
    <x v="2"/>
    <x v="2"/>
    <x v="23"/>
    <x v="1"/>
    <x v="0"/>
    <n v="0"/>
    <n v="0"/>
    <n v="0"/>
    <x v="2"/>
  </r>
  <r>
    <x v="2"/>
    <x v="1"/>
    <x v="2"/>
    <x v="2"/>
    <x v="24"/>
    <x v="1"/>
    <x v="0"/>
    <n v="4.22"/>
    <n v="22871.22"/>
    <n v="61346.85"/>
    <x v="2"/>
  </r>
  <r>
    <x v="2"/>
    <x v="1"/>
    <x v="2"/>
    <x v="3"/>
    <x v="25"/>
    <x v="1"/>
    <x v="0"/>
    <n v="7.58"/>
    <n v="41081.480000000003"/>
    <n v="121721.38"/>
    <x v="2"/>
  </r>
  <r>
    <x v="2"/>
    <x v="1"/>
    <x v="2"/>
    <x v="3"/>
    <x v="26"/>
    <x v="1"/>
    <x v="0"/>
    <n v="2.2599999999999998"/>
    <n v="12248.57"/>
    <n v="36540.39"/>
    <x v="2"/>
  </r>
  <r>
    <x v="2"/>
    <x v="1"/>
    <x v="2"/>
    <x v="3"/>
    <x v="27"/>
    <x v="1"/>
    <x v="0"/>
    <n v="10.78"/>
    <n v="58424.58"/>
    <n v="171034.34"/>
    <x v="2"/>
  </r>
  <r>
    <x v="2"/>
    <x v="1"/>
    <x v="2"/>
    <x v="0"/>
    <x v="0"/>
    <x v="1"/>
    <x v="1"/>
    <n v="13.02"/>
    <n v="70564.75"/>
    <n v="199556.04"/>
    <x v="2"/>
  </r>
  <r>
    <x v="2"/>
    <x v="1"/>
    <x v="2"/>
    <x v="0"/>
    <x v="1"/>
    <x v="1"/>
    <x v="1"/>
    <n v="20.39"/>
    <n v="110508.09"/>
    <n v="307283.69"/>
    <x v="2"/>
  </r>
  <r>
    <x v="2"/>
    <x v="1"/>
    <x v="2"/>
    <x v="0"/>
    <x v="2"/>
    <x v="1"/>
    <x v="1"/>
    <n v="17.170000000000002"/>
    <n v="93056.59"/>
    <n v="249921.63"/>
    <x v="2"/>
  </r>
  <r>
    <x v="2"/>
    <x v="1"/>
    <x v="2"/>
    <x v="0"/>
    <x v="3"/>
    <x v="1"/>
    <x v="1"/>
    <n v="34.770000000000003"/>
    <n v="188443.66"/>
    <n v="526386.62"/>
    <x v="2"/>
  </r>
  <r>
    <x v="2"/>
    <x v="1"/>
    <x v="2"/>
    <x v="0"/>
    <x v="28"/>
    <x v="1"/>
    <x v="1"/>
    <n v="4.7"/>
    <n v="25472.68"/>
    <n v="72011.45"/>
    <x v="2"/>
  </r>
  <r>
    <x v="2"/>
    <x v="1"/>
    <x v="2"/>
    <x v="0"/>
    <x v="4"/>
    <x v="1"/>
    <x v="1"/>
    <n v="6.43"/>
    <n v="34848.800000000003"/>
    <n v="96512.29"/>
    <x v="2"/>
  </r>
  <r>
    <x v="2"/>
    <x v="1"/>
    <x v="2"/>
    <x v="0"/>
    <x v="5"/>
    <x v="1"/>
    <x v="1"/>
    <n v="18.850000000000001"/>
    <n v="102161.72"/>
    <n v="291160.90999999997"/>
    <x v="2"/>
  </r>
  <r>
    <x v="2"/>
    <x v="1"/>
    <x v="2"/>
    <x v="0"/>
    <x v="6"/>
    <x v="1"/>
    <x v="1"/>
    <n v="2.92"/>
    <n v="15825.58"/>
    <n v="44990.39"/>
    <x v="2"/>
  </r>
  <r>
    <x v="2"/>
    <x v="1"/>
    <x v="2"/>
    <x v="0"/>
    <x v="7"/>
    <x v="1"/>
    <x v="1"/>
    <n v="4.46"/>
    <n v="24171.95"/>
    <n v="69769.19"/>
    <x v="2"/>
  </r>
  <r>
    <x v="2"/>
    <x v="1"/>
    <x v="2"/>
    <x v="0"/>
    <x v="8"/>
    <x v="1"/>
    <x v="1"/>
    <n v="4.3499999999999996"/>
    <n v="23575.78"/>
    <n v="64960.49"/>
    <x v="2"/>
  </r>
  <r>
    <x v="2"/>
    <x v="1"/>
    <x v="2"/>
    <x v="1"/>
    <x v="30"/>
    <x v="1"/>
    <x v="1"/>
    <n v="0"/>
    <n v="0"/>
    <n v="0"/>
    <x v="2"/>
  </r>
  <r>
    <x v="2"/>
    <x v="1"/>
    <x v="2"/>
    <x v="1"/>
    <x v="9"/>
    <x v="1"/>
    <x v="1"/>
    <n v="3.81"/>
    <n v="20649.13"/>
    <n v="61380.83"/>
    <x v="2"/>
  </r>
  <r>
    <x v="2"/>
    <x v="1"/>
    <x v="2"/>
    <x v="1"/>
    <x v="31"/>
    <x v="1"/>
    <x v="1"/>
    <n v="0"/>
    <n v="0"/>
    <n v="0"/>
    <x v="2"/>
  </r>
  <r>
    <x v="2"/>
    <x v="1"/>
    <x v="2"/>
    <x v="1"/>
    <x v="10"/>
    <x v="1"/>
    <x v="1"/>
    <n v="34.42"/>
    <n v="186546.76"/>
    <n v="550076.13"/>
    <x v="2"/>
  </r>
  <r>
    <x v="2"/>
    <x v="1"/>
    <x v="2"/>
    <x v="1"/>
    <x v="11"/>
    <x v="1"/>
    <x v="1"/>
    <n v="30.8"/>
    <n v="166927.38"/>
    <n v="469204.2"/>
    <x v="2"/>
  </r>
  <r>
    <x v="2"/>
    <x v="1"/>
    <x v="2"/>
    <x v="1"/>
    <x v="12"/>
    <x v="1"/>
    <x v="1"/>
    <n v="3.1"/>
    <n v="16801.13"/>
    <n v="49661.75"/>
    <x v="2"/>
  </r>
  <r>
    <x v="2"/>
    <x v="1"/>
    <x v="2"/>
    <x v="1"/>
    <x v="13"/>
    <x v="1"/>
    <x v="1"/>
    <n v="14.22"/>
    <n v="77068.42"/>
    <n v="226896.03"/>
    <x v="2"/>
  </r>
  <r>
    <x v="2"/>
    <x v="1"/>
    <x v="2"/>
    <x v="1"/>
    <x v="14"/>
    <x v="1"/>
    <x v="1"/>
    <n v="12.9"/>
    <n v="69914.39"/>
    <n v="201980.92"/>
    <x v="2"/>
  </r>
  <r>
    <x v="2"/>
    <x v="1"/>
    <x v="2"/>
    <x v="1"/>
    <x v="15"/>
    <x v="1"/>
    <x v="1"/>
    <n v="1.65"/>
    <n v="8942.5400000000009"/>
    <n v="26673.759999999998"/>
    <x v="2"/>
  </r>
  <r>
    <x v="2"/>
    <x v="1"/>
    <x v="2"/>
    <x v="1"/>
    <x v="16"/>
    <x v="1"/>
    <x v="1"/>
    <n v="10.82"/>
    <n v="58641.37"/>
    <n v="166785.56"/>
    <x v="2"/>
  </r>
  <r>
    <x v="2"/>
    <x v="1"/>
    <x v="2"/>
    <x v="1"/>
    <x v="17"/>
    <x v="1"/>
    <x v="1"/>
    <n v="0.27"/>
    <n v="1463.32"/>
    <n v="4223.3900000000003"/>
    <x v="2"/>
  </r>
  <r>
    <x v="2"/>
    <x v="1"/>
    <x v="2"/>
    <x v="1"/>
    <x v="18"/>
    <x v="1"/>
    <x v="1"/>
    <n v="30.81"/>
    <n v="166981.57"/>
    <n v="501816.11"/>
    <x v="2"/>
  </r>
  <r>
    <x v="2"/>
    <x v="1"/>
    <x v="2"/>
    <x v="1"/>
    <x v="19"/>
    <x v="1"/>
    <x v="1"/>
    <n v="16.36"/>
    <n v="88666.62"/>
    <n v="258452.54"/>
    <x v="2"/>
  </r>
  <r>
    <x v="2"/>
    <x v="1"/>
    <x v="2"/>
    <x v="1"/>
    <x v="20"/>
    <x v="1"/>
    <x v="1"/>
    <n v="29.59"/>
    <n v="160369.51"/>
    <n v="459777.93"/>
    <x v="2"/>
  </r>
  <r>
    <x v="2"/>
    <x v="1"/>
    <x v="2"/>
    <x v="2"/>
    <x v="21"/>
    <x v="1"/>
    <x v="1"/>
    <n v="3.08"/>
    <n v="16692.740000000002"/>
    <n v="43947.68"/>
    <x v="2"/>
  </r>
  <r>
    <x v="2"/>
    <x v="1"/>
    <x v="2"/>
    <x v="2"/>
    <x v="22"/>
    <x v="1"/>
    <x v="1"/>
    <n v="19.77"/>
    <n v="107147.86"/>
    <n v="282180.57"/>
    <x v="2"/>
  </r>
  <r>
    <x v="2"/>
    <x v="1"/>
    <x v="2"/>
    <x v="2"/>
    <x v="29"/>
    <x v="1"/>
    <x v="1"/>
    <n v="3.41"/>
    <n v="18481.25"/>
    <n v="51684.97"/>
    <x v="2"/>
  </r>
  <r>
    <x v="2"/>
    <x v="1"/>
    <x v="2"/>
    <x v="2"/>
    <x v="23"/>
    <x v="1"/>
    <x v="1"/>
    <n v="2.21"/>
    <n v="11977.58"/>
    <n v="32794.25"/>
    <x v="2"/>
  </r>
  <r>
    <x v="2"/>
    <x v="1"/>
    <x v="2"/>
    <x v="2"/>
    <x v="24"/>
    <x v="1"/>
    <x v="1"/>
    <n v="2.96"/>
    <n v="16042.37"/>
    <n v="42942.8"/>
    <x v="2"/>
  </r>
  <r>
    <x v="2"/>
    <x v="1"/>
    <x v="2"/>
    <x v="3"/>
    <x v="25"/>
    <x v="1"/>
    <x v="1"/>
    <n v="10.25"/>
    <n v="55552.13"/>
    <n v="164524.5"/>
    <x v="2"/>
  </r>
  <r>
    <x v="2"/>
    <x v="1"/>
    <x v="2"/>
    <x v="3"/>
    <x v="26"/>
    <x v="1"/>
    <x v="1"/>
    <n v="21.63"/>
    <n v="117228.54"/>
    <n v="349743.7"/>
    <x v="2"/>
  </r>
  <r>
    <x v="2"/>
    <x v="1"/>
    <x v="2"/>
    <x v="3"/>
    <x v="27"/>
    <x v="1"/>
    <x v="1"/>
    <n v="30.01"/>
    <n v="162645.79999999999"/>
    <n v="476151.16"/>
    <x v="2"/>
  </r>
  <r>
    <x v="2"/>
    <x v="1"/>
    <x v="3"/>
    <x v="0"/>
    <x v="0"/>
    <x v="0"/>
    <x v="0"/>
    <n v="1.92"/>
    <n v="11565.7"/>
    <n v="52820.85"/>
    <x v="2"/>
  </r>
  <r>
    <x v="2"/>
    <x v="1"/>
    <x v="3"/>
    <x v="0"/>
    <x v="1"/>
    <x v="0"/>
    <x v="0"/>
    <n v="4.58"/>
    <n v="27589"/>
    <n v="126004.21"/>
    <x v="2"/>
  </r>
  <r>
    <x v="2"/>
    <x v="1"/>
    <x v="3"/>
    <x v="0"/>
    <x v="2"/>
    <x v="0"/>
    <x v="0"/>
    <n v="0"/>
    <n v="0"/>
    <n v="0"/>
    <x v="2"/>
  </r>
  <r>
    <x v="2"/>
    <x v="1"/>
    <x v="3"/>
    <x v="0"/>
    <x v="3"/>
    <x v="0"/>
    <x v="0"/>
    <n v="1.92"/>
    <n v="11565.7"/>
    <n v="52850.37"/>
    <x v="2"/>
  </r>
  <r>
    <x v="2"/>
    <x v="1"/>
    <x v="3"/>
    <x v="0"/>
    <x v="4"/>
    <x v="0"/>
    <x v="0"/>
    <n v="0"/>
    <n v="0"/>
    <n v="0"/>
    <x v="2"/>
  </r>
  <r>
    <x v="2"/>
    <x v="1"/>
    <x v="3"/>
    <x v="0"/>
    <x v="5"/>
    <x v="0"/>
    <x v="0"/>
    <n v="0"/>
    <n v="0"/>
    <n v="0"/>
    <x v="2"/>
  </r>
  <r>
    <x v="2"/>
    <x v="1"/>
    <x v="3"/>
    <x v="0"/>
    <x v="6"/>
    <x v="0"/>
    <x v="0"/>
    <n v="0"/>
    <n v="0"/>
    <n v="0"/>
    <x v="2"/>
  </r>
  <r>
    <x v="2"/>
    <x v="1"/>
    <x v="3"/>
    <x v="0"/>
    <x v="8"/>
    <x v="0"/>
    <x v="0"/>
    <n v="0"/>
    <n v="0"/>
    <n v="0"/>
    <x v="2"/>
  </r>
  <r>
    <x v="2"/>
    <x v="1"/>
    <x v="3"/>
    <x v="1"/>
    <x v="10"/>
    <x v="0"/>
    <x v="0"/>
    <n v="1.97"/>
    <n v="11866.89"/>
    <n v="54241.81"/>
    <x v="2"/>
  </r>
  <r>
    <x v="2"/>
    <x v="1"/>
    <x v="3"/>
    <x v="1"/>
    <x v="11"/>
    <x v="0"/>
    <x v="0"/>
    <n v="0"/>
    <n v="0"/>
    <n v="0"/>
    <x v="2"/>
  </r>
  <r>
    <x v="2"/>
    <x v="1"/>
    <x v="3"/>
    <x v="1"/>
    <x v="13"/>
    <x v="0"/>
    <x v="0"/>
    <n v="0"/>
    <n v="0"/>
    <n v="0"/>
    <x v="2"/>
  </r>
  <r>
    <x v="2"/>
    <x v="1"/>
    <x v="3"/>
    <x v="1"/>
    <x v="14"/>
    <x v="0"/>
    <x v="0"/>
    <n v="0"/>
    <n v="0"/>
    <n v="0"/>
    <x v="2"/>
  </r>
  <r>
    <x v="2"/>
    <x v="1"/>
    <x v="3"/>
    <x v="1"/>
    <x v="16"/>
    <x v="0"/>
    <x v="0"/>
    <n v="0"/>
    <n v="0"/>
    <n v="0"/>
    <x v="2"/>
  </r>
  <r>
    <x v="2"/>
    <x v="1"/>
    <x v="3"/>
    <x v="1"/>
    <x v="17"/>
    <x v="0"/>
    <x v="0"/>
    <n v="0"/>
    <n v="0"/>
    <n v="0"/>
    <x v="2"/>
  </r>
  <r>
    <x v="2"/>
    <x v="1"/>
    <x v="3"/>
    <x v="1"/>
    <x v="18"/>
    <x v="0"/>
    <x v="0"/>
    <n v="0"/>
    <n v="0"/>
    <n v="0"/>
    <x v="2"/>
  </r>
  <r>
    <x v="2"/>
    <x v="1"/>
    <x v="3"/>
    <x v="1"/>
    <x v="19"/>
    <x v="0"/>
    <x v="0"/>
    <n v="0"/>
    <n v="0"/>
    <n v="0"/>
    <x v="2"/>
  </r>
  <r>
    <x v="2"/>
    <x v="1"/>
    <x v="3"/>
    <x v="1"/>
    <x v="20"/>
    <x v="0"/>
    <x v="0"/>
    <n v="2.31"/>
    <n v="13914.98"/>
    <n v="63358.61"/>
    <x v="2"/>
  </r>
  <r>
    <x v="2"/>
    <x v="1"/>
    <x v="3"/>
    <x v="2"/>
    <x v="21"/>
    <x v="0"/>
    <x v="0"/>
    <n v="2.97"/>
    <n v="17890.689999999999"/>
    <n v="81575.45"/>
    <x v="2"/>
  </r>
  <r>
    <x v="2"/>
    <x v="1"/>
    <x v="3"/>
    <x v="2"/>
    <x v="22"/>
    <x v="0"/>
    <x v="0"/>
    <n v="0"/>
    <n v="0"/>
    <n v="0"/>
    <x v="2"/>
  </r>
  <r>
    <x v="2"/>
    <x v="1"/>
    <x v="3"/>
    <x v="2"/>
    <x v="29"/>
    <x v="0"/>
    <x v="0"/>
    <n v="0"/>
    <n v="0"/>
    <n v="0"/>
    <x v="2"/>
  </r>
  <r>
    <x v="2"/>
    <x v="1"/>
    <x v="3"/>
    <x v="2"/>
    <x v="24"/>
    <x v="0"/>
    <x v="0"/>
    <n v="0"/>
    <n v="0"/>
    <n v="0"/>
    <x v="2"/>
  </r>
  <r>
    <x v="2"/>
    <x v="1"/>
    <x v="3"/>
    <x v="3"/>
    <x v="25"/>
    <x v="0"/>
    <x v="0"/>
    <n v="0"/>
    <n v="0"/>
    <n v="0"/>
    <x v="2"/>
  </r>
  <r>
    <x v="2"/>
    <x v="1"/>
    <x v="3"/>
    <x v="3"/>
    <x v="26"/>
    <x v="0"/>
    <x v="0"/>
    <n v="2.82"/>
    <n v="16987.12"/>
    <n v="77391.460000000006"/>
    <x v="2"/>
  </r>
  <r>
    <x v="2"/>
    <x v="1"/>
    <x v="3"/>
    <x v="3"/>
    <x v="27"/>
    <x v="0"/>
    <x v="0"/>
    <n v="2.5499999999999998"/>
    <n v="15360.69"/>
    <n v="69998.58"/>
    <x v="2"/>
  </r>
  <r>
    <x v="2"/>
    <x v="1"/>
    <x v="3"/>
    <x v="0"/>
    <x v="0"/>
    <x v="0"/>
    <x v="1"/>
    <n v="2.09"/>
    <n v="12589.74"/>
    <n v="57413.97"/>
    <x v="2"/>
  </r>
  <r>
    <x v="2"/>
    <x v="1"/>
    <x v="3"/>
    <x v="0"/>
    <x v="1"/>
    <x v="0"/>
    <x v="1"/>
    <n v="6.8"/>
    <n v="40961.839999999997"/>
    <n v="186793.13"/>
    <x v="2"/>
  </r>
  <r>
    <x v="2"/>
    <x v="1"/>
    <x v="3"/>
    <x v="0"/>
    <x v="2"/>
    <x v="0"/>
    <x v="1"/>
    <n v="5.89"/>
    <n v="35480.18"/>
    <n v="161883.57"/>
    <x v="2"/>
  </r>
  <r>
    <x v="2"/>
    <x v="1"/>
    <x v="3"/>
    <x v="0"/>
    <x v="3"/>
    <x v="0"/>
    <x v="1"/>
    <n v="8.57"/>
    <n v="51623.97"/>
    <n v="235424.39"/>
    <x v="2"/>
  </r>
  <r>
    <x v="2"/>
    <x v="1"/>
    <x v="3"/>
    <x v="0"/>
    <x v="4"/>
    <x v="0"/>
    <x v="1"/>
    <n v="1.85"/>
    <n v="11144.03"/>
    <n v="50795.83"/>
    <x v="2"/>
  </r>
  <r>
    <x v="2"/>
    <x v="1"/>
    <x v="3"/>
    <x v="0"/>
    <x v="5"/>
    <x v="0"/>
    <x v="1"/>
    <n v="4.68"/>
    <n v="28191.38"/>
    <n v="128740.52"/>
    <x v="2"/>
  </r>
  <r>
    <x v="2"/>
    <x v="1"/>
    <x v="3"/>
    <x v="0"/>
    <x v="6"/>
    <x v="0"/>
    <x v="1"/>
    <n v="2.3199999999999998"/>
    <n v="13975.22"/>
    <n v="63888.46"/>
    <x v="2"/>
  </r>
  <r>
    <x v="2"/>
    <x v="1"/>
    <x v="3"/>
    <x v="0"/>
    <x v="8"/>
    <x v="0"/>
    <x v="1"/>
    <n v="2.99"/>
    <n v="18011.16"/>
    <n v="82208.33"/>
    <x v="2"/>
  </r>
  <r>
    <x v="2"/>
    <x v="1"/>
    <x v="3"/>
    <x v="1"/>
    <x v="10"/>
    <x v="0"/>
    <x v="1"/>
    <n v="4.8899999999999997"/>
    <n v="29456.38"/>
    <n v="134313.04"/>
    <x v="2"/>
  </r>
  <r>
    <x v="2"/>
    <x v="1"/>
    <x v="3"/>
    <x v="1"/>
    <x v="11"/>
    <x v="0"/>
    <x v="1"/>
    <n v="13.3"/>
    <n v="80116.539999999994"/>
    <n v="365597.54"/>
    <x v="2"/>
  </r>
  <r>
    <x v="2"/>
    <x v="1"/>
    <x v="3"/>
    <x v="1"/>
    <x v="13"/>
    <x v="0"/>
    <x v="1"/>
    <n v="5.39"/>
    <n v="32468.28"/>
    <n v="148266.32"/>
    <x v="2"/>
  </r>
  <r>
    <x v="2"/>
    <x v="1"/>
    <x v="3"/>
    <x v="1"/>
    <x v="14"/>
    <x v="0"/>
    <x v="1"/>
    <n v="1.89"/>
    <n v="11384.98"/>
    <n v="52072.33"/>
    <x v="2"/>
  </r>
  <r>
    <x v="2"/>
    <x v="1"/>
    <x v="3"/>
    <x v="1"/>
    <x v="16"/>
    <x v="0"/>
    <x v="1"/>
    <n v="2.2799999999999998"/>
    <n v="13734.26"/>
    <n v="62668.95"/>
    <x v="2"/>
  </r>
  <r>
    <x v="2"/>
    <x v="1"/>
    <x v="3"/>
    <x v="1"/>
    <x v="17"/>
    <x v="0"/>
    <x v="1"/>
    <n v="1.76"/>
    <n v="10601.89"/>
    <n v="48369.42"/>
    <x v="2"/>
  </r>
  <r>
    <x v="2"/>
    <x v="1"/>
    <x v="3"/>
    <x v="1"/>
    <x v="18"/>
    <x v="0"/>
    <x v="1"/>
    <n v="15.61"/>
    <n v="94031.52"/>
    <n v="429085.49"/>
    <x v="2"/>
  </r>
  <r>
    <x v="2"/>
    <x v="1"/>
    <x v="3"/>
    <x v="1"/>
    <x v="19"/>
    <x v="0"/>
    <x v="1"/>
    <n v="4.71"/>
    <n v="28372.1"/>
    <n v="129344.74"/>
    <x v="2"/>
  </r>
  <r>
    <x v="2"/>
    <x v="1"/>
    <x v="3"/>
    <x v="1"/>
    <x v="20"/>
    <x v="0"/>
    <x v="1"/>
    <n v="12.06"/>
    <n v="72647.03"/>
    <n v="331414.27"/>
    <x v="2"/>
  </r>
  <r>
    <x v="2"/>
    <x v="1"/>
    <x v="3"/>
    <x v="2"/>
    <x v="21"/>
    <x v="0"/>
    <x v="1"/>
    <n v="0"/>
    <n v="0"/>
    <n v="0"/>
    <x v="2"/>
  </r>
  <r>
    <x v="2"/>
    <x v="1"/>
    <x v="3"/>
    <x v="2"/>
    <x v="22"/>
    <x v="0"/>
    <x v="1"/>
    <n v="5.46"/>
    <n v="32889.949999999997"/>
    <n v="149929.51"/>
    <x v="2"/>
  </r>
  <r>
    <x v="2"/>
    <x v="1"/>
    <x v="3"/>
    <x v="2"/>
    <x v="29"/>
    <x v="0"/>
    <x v="1"/>
    <n v="3.06"/>
    <n v="18432.830000000002"/>
    <n v="84161.67"/>
    <x v="2"/>
  </r>
  <r>
    <x v="2"/>
    <x v="1"/>
    <x v="3"/>
    <x v="2"/>
    <x v="24"/>
    <x v="0"/>
    <x v="1"/>
    <n v="2.2799999999999998"/>
    <n v="13734.26"/>
    <n v="62793.58"/>
    <x v="2"/>
  </r>
  <r>
    <x v="2"/>
    <x v="1"/>
    <x v="3"/>
    <x v="3"/>
    <x v="25"/>
    <x v="0"/>
    <x v="1"/>
    <n v="2.6"/>
    <n v="15661.88"/>
    <n v="71548.460000000006"/>
    <x v="2"/>
  </r>
  <r>
    <x v="2"/>
    <x v="1"/>
    <x v="3"/>
    <x v="3"/>
    <x v="26"/>
    <x v="0"/>
    <x v="1"/>
    <n v="2.73"/>
    <n v="16444.97"/>
    <n v="75046.259999999995"/>
    <x v="2"/>
  </r>
  <r>
    <x v="2"/>
    <x v="1"/>
    <x v="3"/>
    <x v="3"/>
    <x v="27"/>
    <x v="0"/>
    <x v="1"/>
    <n v="10.93"/>
    <n v="65840.13"/>
    <n v="300410.58"/>
    <x v="2"/>
  </r>
  <r>
    <x v="2"/>
    <x v="1"/>
    <x v="3"/>
    <x v="0"/>
    <x v="0"/>
    <x v="1"/>
    <x v="0"/>
    <n v="4.38"/>
    <n v="26384.240000000002"/>
    <n v="78659.83"/>
    <x v="2"/>
  </r>
  <r>
    <x v="2"/>
    <x v="1"/>
    <x v="3"/>
    <x v="0"/>
    <x v="1"/>
    <x v="1"/>
    <x v="0"/>
    <n v="12.77"/>
    <n v="76923.929999999993"/>
    <n v="225684.12"/>
    <x v="2"/>
  </r>
  <r>
    <x v="2"/>
    <x v="1"/>
    <x v="3"/>
    <x v="0"/>
    <x v="2"/>
    <x v="1"/>
    <x v="0"/>
    <n v="4.54"/>
    <n v="27348.05"/>
    <n v="77496.53"/>
    <x v="2"/>
  </r>
  <r>
    <x v="2"/>
    <x v="1"/>
    <x v="3"/>
    <x v="0"/>
    <x v="3"/>
    <x v="1"/>
    <x v="0"/>
    <n v="10.79"/>
    <n v="64996.800000000003"/>
    <n v="191612.62"/>
    <x v="2"/>
  </r>
  <r>
    <x v="2"/>
    <x v="1"/>
    <x v="3"/>
    <x v="0"/>
    <x v="28"/>
    <x v="1"/>
    <x v="0"/>
    <n v="0"/>
    <n v="0"/>
    <n v="0"/>
    <x v="2"/>
  </r>
  <r>
    <x v="2"/>
    <x v="1"/>
    <x v="3"/>
    <x v="0"/>
    <x v="4"/>
    <x v="1"/>
    <x v="0"/>
    <n v="6.48"/>
    <n v="39034.22"/>
    <n v="113947.52"/>
    <x v="2"/>
  </r>
  <r>
    <x v="2"/>
    <x v="1"/>
    <x v="3"/>
    <x v="0"/>
    <x v="5"/>
    <x v="1"/>
    <x v="0"/>
    <n v="2.99"/>
    <n v="18011.16"/>
    <n v="54157.62"/>
    <x v="2"/>
  </r>
  <r>
    <x v="2"/>
    <x v="1"/>
    <x v="3"/>
    <x v="0"/>
    <x v="6"/>
    <x v="1"/>
    <x v="0"/>
    <n v="0"/>
    <n v="0"/>
    <n v="0"/>
    <x v="2"/>
  </r>
  <r>
    <x v="2"/>
    <x v="1"/>
    <x v="3"/>
    <x v="0"/>
    <x v="7"/>
    <x v="1"/>
    <x v="0"/>
    <n v="0"/>
    <n v="0"/>
    <n v="0"/>
    <x v="2"/>
  </r>
  <r>
    <x v="2"/>
    <x v="1"/>
    <x v="3"/>
    <x v="0"/>
    <x v="8"/>
    <x v="1"/>
    <x v="0"/>
    <n v="0"/>
    <n v="0"/>
    <n v="0"/>
    <x v="2"/>
  </r>
  <r>
    <x v="2"/>
    <x v="1"/>
    <x v="3"/>
    <x v="1"/>
    <x v="30"/>
    <x v="1"/>
    <x v="0"/>
    <n v="1.54"/>
    <n v="9276.65"/>
    <n v="29171.919999999998"/>
    <x v="2"/>
  </r>
  <r>
    <x v="2"/>
    <x v="1"/>
    <x v="3"/>
    <x v="1"/>
    <x v="9"/>
    <x v="1"/>
    <x v="0"/>
    <n v="0"/>
    <n v="0"/>
    <n v="0"/>
    <x v="2"/>
  </r>
  <r>
    <x v="2"/>
    <x v="1"/>
    <x v="3"/>
    <x v="1"/>
    <x v="31"/>
    <x v="1"/>
    <x v="0"/>
    <n v="2.12"/>
    <n v="12770.46"/>
    <n v="40554.230000000003"/>
    <x v="2"/>
  </r>
  <r>
    <x v="2"/>
    <x v="1"/>
    <x v="3"/>
    <x v="1"/>
    <x v="10"/>
    <x v="1"/>
    <x v="0"/>
    <n v="10.83"/>
    <n v="65237.75"/>
    <n v="202935.13"/>
    <x v="2"/>
  </r>
  <r>
    <x v="2"/>
    <x v="1"/>
    <x v="3"/>
    <x v="1"/>
    <x v="11"/>
    <x v="1"/>
    <x v="0"/>
    <n v="8.11"/>
    <n v="48853.02"/>
    <n v="144915.32"/>
    <x v="2"/>
  </r>
  <r>
    <x v="2"/>
    <x v="1"/>
    <x v="3"/>
    <x v="1"/>
    <x v="12"/>
    <x v="1"/>
    <x v="0"/>
    <n v="1.53"/>
    <n v="9216.41"/>
    <n v="28669.56"/>
    <x v="2"/>
  </r>
  <r>
    <x v="2"/>
    <x v="1"/>
    <x v="3"/>
    <x v="1"/>
    <x v="13"/>
    <x v="1"/>
    <x v="0"/>
    <n v="2.17"/>
    <n v="13071.65"/>
    <n v="40594.629999999997"/>
    <x v="2"/>
  </r>
  <r>
    <x v="2"/>
    <x v="1"/>
    <x v="3"/>
    <x v="1"/>
    <x v="14"/>
    <x v="1"/>
    <x v="0"/>
    <n v="9.5299999999999994"/>
    <n v="57406.81"/>
    <n v="174961.73"/>
    <x v="2"/>
  </r>
  <r>
    <x v="2"/>
    <x v="1"/>
    <x v="3"/>
    <x v="1"/>
    <x v="15"/>
    <x v="1"/>
    <x v="0"/>
    <n v="1.93"/>
    <n v="11625.93"/>
    <n v="36699.69"/>
    <x v="2"/>
  </r>
  <r>
    <x v="2"/>
    <x v="1"/>
    <x v="3"/>
    <x v="1"/>
    <x v="16"/>
    <x v="1"/>
    <x v="0"/>
    <n v="7.68"/>
    <n v="46262.78"/>
    <n v="138912.66"/>
    <x v="2"/>
  </r>
  <r>
    <x v="2"/>
    <x v="1"/>
    <x v="3"/>
    <x v="1"/>
    <x v="17"/>
    <x v="1"/>
    <x v="0"/>
    <n v="6.61"/>
    <n v="39817.32"/>
    <n v="120552.95"/>
    <x v="2"/>
  </r>
  <r>
    <x v="2"/>
    <x v="1"/>
    <x v="3"/>
    <x v="1"/>
    <x v="18"/>
    <x v="1"/>
    <x v="0"/>
    <n v="5.2"/>
    <n v="31323.759999999998"/>
    <n v="99311.03"/>
    <x v="2"/>
  </r>
  <r>
    <x v="2"/>
    <x v="1"/>
    <x v="3"/>
    <x v="1"/>
    <x v="19"/>
    <x v="1"/>
    <x v="0"/>
    <n v="10.67"/>
    <n v="64273.95"/>
    <n v="197574.32"/>
    <x v="2"/>
  </r>
  <r>
    <x v="2"/>
    <x v="1"/>
    <x v="3"/>
    <x v="1"/>
    <x v="20"/>
    <x v="1"/>
    <x v="0"/>
    <n v="13.46"/>
    <n v="81080.350000000006"/>
    <n v="245319.06"/>
    <x v="2"/>
  </r>
  <r>
    <x v="2"/>
    <x v="1"/>
    <x v="3"/>
    <x v="2"/>
    <x v="21"/>
    <x v="1"/>
    <x v="0"/>
    <n v="0"/>
    <n v="0"/>
    <n v="0"/>
    <x v="2"/>
  </r>
  <r>
    <x v="2"/>
    <x v="1"/>
    <x v="3"/>
    <x v="2"/>
    <x v="22"/>
    <x v="1"/>
    <x v="0"/>
    <n v="6.47"/>
    <n v="38973.99"/>
    <n v="108363.9"/>
    <x v="2"/>
  </r>
  <r>
    <x v="2"/>
    <x v="1"/>
    <x v="3"/>
    <x v="2"/>
    <x v="29"/>
    <x v="1"/>
    <x v="0"/>
    <n v="0"/>
    <n v="0"/>
    <n v="0"/>
    <x v="2"/>
  </r>
  <r>
    <x v="2"/>
    <x v="1"/>
    <x v="3"/>
    <x v="2"/>
    <x v="23"/>
    <x v="1"/>
    <x v="0"/>
    <n v="0"/>
    <n v="0"/>
    <n v="0"/>
    <x v="2"/>
  </r>
  <r>
    <x v="2"/>
    <x v="1"/>
    <x v="3"/>
    <x v="2"/>
    <x v="24"/>
    <x v="1"/>
    <x v="0"/>
    <n v="2.5499999999999998"/>
    <n v="15360.69"/>
    <n v="43427.53"/>
    <x v="2"/>
  </r>
  <r>
    <x v="2"/>
    <x v="1"/>
    <x v="3"/>
    <x v="3"/>
    <x v="25"/>
    <x v="1"/>
    <x v="0"/>
    <n v="7.68"/>
    <n v="46262.78"/>
    <n v="144641.5"/>
    <x v="2"/>
  </r>
  <r>
    <x v="2"/>
    <x v="1"/>
    <x v="3"/>
    <x v="3"/>
    <x v="26"/>
    <x v="1"/>
    <x v="0"/>
    <n v="5.49"/>
    <n v="33070.660000000003"/>
    <n v="104033.46"/>
    <x v="2"/>
  </r>
  <r>
    <x v="2"/>
    <x v="1"/>
    <x v="3"/>
    <x v="3"/>
    <x v="27"/>
    <x v="1"/>
    <x v="0"/>
    <n v="15.28"/>
    <n v="92043.66"/>
    <n v="284256.34000000003"/>
    <x v="2"/>
  </r>
  <r>
    <x v="2"/>
    <x v="1"/>
    <x v="3"/>
    <x v="0"/>
    <x v="0"/>
    <x v="1"/>
    <x v="1"/>
    <n v="10.98"/>
    <n v="66141.320000000007"/>
    <n v="197391.64"/>
    <x v="2"/>
  </r>
  <r>
    <x v="2"/>
    <x v="1"/>
    <x v="3"/>
    <x v="0"/>
    <x v="1"/>
    <x v="1"/>
    <x v="1"/>
    <n v="16.68"/>
    <n v="100476.98"/>
    <n v="294683.09000000003"/>
    <x v="2"/>
  </r>
  <r>
    <x v="2"/>
    <x v="1"/>
    <x v="3"/>
    <x v="0"/>
    <x v="2"/>
    <x v="1"/>
    <x v="1"/>
    <n v="16.920000000000002"/>
    <n v="101922.7"/>
    <n v="288850.7"/>
    <x v="2"/>
  </r>
  <r>
    <x v="2"/>
    <x v="1"/>
    <x v="3"/>
    <x v="0"/>
    <x v="3"/>
    <x v="1"/>
    <x v="1"/>
    <n v="26"/>
    <n v="156618.79999999999"/>
    <n v="461548.64"/>
    <x v="2"/>
  </r>
  <r>
    <x v="2"/>
    <x v="1"/>
    <x v="3"/>
    <x v="0"/>
    <x v="28"/>
    <x v="1"/>
    <x v="1"/>
    <n v="2.75"/>
    <n v="16565.45"/>
    <n v="49352.800000000003"/>
    <x v="2"/>
  </r>
  <r>
    <x v="2"/>
    <x v="1"/>
    <x v="3"/>
    <x v="0"/>
    <x v="4"/>
    <x v="1"/>
    <x v="1"/>
    <n v="9.76"/>
    <n v="58792.29"/>
    <n v="171642.47"/>
    <x v="2"/>
  </r>
  <r>
    <x v="2"/>
    <x v="1"/>
    <x v="3"/>
    <x v="0"/>
    <x v="5"/>
    <x v="1"/>
    <x v="1"/>
    <n v="24.61"/>
    <n v="148245.72"/>
    <n v="445639.83"/>
    <x v="2"/>
  </r>
  <r>
    <x v="2"/>
    <x v="1"/>
    <x v="3"/>
    <x v="0"/>
    <x v="6"/>
    <x v="1"/>
    <x v="1"/>
    <n v="1.3"/>
    <n v="7830.94"/>
    <n v="23532.71"/>
    <x v="2"/>
  </r>
  <r>
    <x v="2"/>
    <x v="1"/>
    <x v="3"/>
    <x v="0"/>
    <x v="7"/>
    <x v="1"/>
    <x v="1"/>
    <n v="4.3600000000000003"/>
    <n v="26263.77"/>
    <n v="79962.64"/>
    <x v="2"/>
  </r>
  <r>
    <x v="2"/>
    <x v="1"/>
    <x v="3"/>
    <x v="0"/>
    <x v="8"/>
    <x v="1"/>
    <x v="1"/>
    <n v="3.41"/>
    <n v="20541.16"/>
    <n v="59716.1"/>
    <x v="2"/>
  </r>
  <r>
    <x v="2"/>
    <x v="1"/>
    <x v="3"/>
    <x v="1"/>
    <x v="30"/>
    <x v="1"/>
    <x v="1"/>
    <n v="0"/>
    <n v="0"/>
    <n v="0"/>
    <x v="2"/>
  </r>
  <r>
    <x v="2"/>
    <x v="1"/>
    <x v="3"/>
    <x v="1"/>
    <x v="9"/>
    <x v="1"/>
    <x v="1"/>
    <n v="4.51"/>
    <n v="27167.34"/>
    <n v="85230.64"/>
    <x v="2"/>
  </r>
  <r>
    <x v="2"/>
    <x v="1"/>
    <x v="3"/>
    <x v="1"/>
    <x v="31"/>
    <x v="1"/>
    <x v="1"/>
    <n v="0"/>
    <n v="0"/>
    <n v="0"/>
    <x v="2"/>
  </r>
  <r>
    <x v="2"/>
    <x v="1"/>
    <x v="3"/>
    <x v="1"/>
    <x v="10"/>
    <x v="1"/>
    <x v="1"/>
    <n v="29.42"/>
    <n v="177220.2"/>
    <n v="551487.82999999996"/>
    <x v="2"/>
  </r>
  <r>
    <x v="2"/>
    <x v="1"/>
    <x v="3"/>
    <x v="1"/>
    <x v="11"/>
    <x v="1"/>
    <x v="1"/>
    <n v="29.14"/>
    <n v="175533.53"/>
    <n v="520512.16"/>
    <x v="2"/>
  </r>
  <r>
    <x v="2"/>
    <x v="1"/>
    <x v="3"/>
    <x v="1"/>
    <x v="12"/>
    <x v="1"/>
    <x v="1"/>
    <n v="3.73"/>
    <n v="22468.77"/>
    <n v="70081.16"/>
    <x v="2"/>
  </r>
  <r>
    <x v="2"/>
    <x v="1"/>
    <x v="3"/>
    <x v="1"/>
    <x v="13"/>
    <x v="1"/>
    <x v="1"/>
    <n v="11.18"/>
    <n v="67346.080000000002"/>
    <n v="209218.48"/>
    <x v="2"/>
  </r>
  <r>
    <x v="2"/>
    <x v="1"/>
    <x v="3"/>
    <x v="1"/>
    <x v="14"/>
    <x v="1"/>
    <x v="1"/>
    <n v="4.97"/>
    <n v="29938.29"/>
    <n v="91332.22"/>
    <x v="2"/>
  </r>
  <r>
    <x v="2"/>
    <x v="1"/>
    <x v="3"/>
    <x v="1"/>
    <x v="15"/>
    <x v="1"/>
    <x v="1"/>
    <n v="2.39"/>
    <n v="14396.88"/>
    <n v="45437.72"/>
    <x v="2"/>
  </r>
  <r>
    <x v="2"/>
    <x v="1"/>
    <x v="3"/>
    <x v="1"/>
    <x v="16"/>
    <x v="1"/>
    <x v="1"/>
    <n v="15.36"/>
    <n v="92525.57"/>
    <n v="277825.31"/>
    <x v="2"/>
  </r>
  <r>
    <x v="2"/>
    <x v="1"/>
    <x v="3"/>
    <x v="1"/>
    <x v="17"/>
    <x v="1"/>
    <x v="1"/>
    <n v="3.93"/>
    <n v="23673.53"/>
    <n v="71680.13"/>
    <x v="2"/>
  </r>
  <r>
    <x v="2"/>
    <x v="1"/>
    <x v="3"/>
    <x v="1"/>
    <x v="18"/>
    <x v="1"/>
    <x v="1"/>
    <n v="22.92"/>
    <n v="138065.5"/>
    <n v="437871.37"/>
    <x v="2"/>
  </r>
  <r>
    <x v="2"/>
    <x v="1"/>
    <x v="3"/>
    <x v="1"/>
    <x v="19"/>
    <x v="1"/>
    <x v="1"/>
    <n v="13.94"/>
    <n v="83971.77"/>
    <n v="258246.75"/>
    <x v="2"/>
  </r>
  <r>
    <x v="2"/>
    <x v="1"/>
    <x v="3"/>
    <x v="1"/>
    <x v="20"/>
    <x v="1"/>
    <x v="1"/>
    <n v="25"/>
    <n v="150595"/>
    <n v="455592.53"/>
    <x v="2"/>
  </r>
  <r>
    <x v="2"/>
    <x v="1"/>
    <x v="3"/>
    <x v="2"/>
    <x v="21"/>
    <x v="1"/>
    <x v="1"/>
    <n v="2.3199999999999998"/>
    <n v="13975.22"/>
    <n v="38832.699999999997"/>
    <x v="2"/>
  </r>
  <r>
    <x v="2"/>
    <x v="1"/>
    <x v="3"/>
    <x v="2"/>
    <x v="22"/>
    <x v="1"/>
    <x v="1"/>
    <n v="13.03"/>
    <n v="78490.11"/>
    <n v="218117.08"/>
    <x v="2"/>
  </r>
  <r>
    <x v="2"/>
    <x v="1"/>
    <x v="3"/>
    <x v="2"/>
    <x v="29"/>
    <x v="1"/>
    <x v="1"/>
    <n v="2.0299999999999998"/>
    <n v="12228.31"/>
    <n v="36124.639999999999"/>
    <x v="2"/>
  </r>
  <r>
    <x v="2"/>
    <x v="1"/>
    <x v="3"/>
    <x v="2"/>
    <x v="23"/>
    <x v="1"/>
    <x v="1"/>
    <n v="0"/>
    <n v="0"/>
    <n v="0"/>
    <x v="2"/>
  </r>
  <r>
    <x v="2"/>
    <x v="1"/>
    <x v="3"/>
    <x v="2"/>
    <x v="24"/>
    <x v="1"/>
    <x v="1"/>
    <n v="2.63"/>
    <n v="15842.59"/>
    <n v="44828.42"/>
    <x v="2"/>
  </r>
  <r>
    <x v="2"/>
    <x v="1"/>
    <x v="3"/>
    <x v="3"/>
    <x v="25"/>
    <x v="1"/>
    <x v="1"/>
    <n v="9.25"/>
    <n v="55720.15"/>
    <n v="174191.92"/>
    <x v="2"/>
  </r>
  <r>
    <x v="2"/>
    <x v="1"/>
    <x v="3"/>
    <x v="3"/>
    <x v="26"/>
    <x v="1"/>
    <x v="1"/>
    <n v="22.84"/>
    <n v="137583.59"/>
    <n v="433213.96"/>
    <x v="2"/>
  </r>
  <r>
    <x v="2"/>
    <x v="1"/>
    <x v="3"/>
    <x v="3"/>
    <x v="27"/>
    <x v="1"/>
    <x v="1"/>
    <n v="30.39"/>
    <n v="183063.28"/>
    <n v="565388.97"/>
    <x v="2"/>
  </r>
  <r>
    <x v="2"/>
    <x v="1"/>
    <x v="4"/>
    <x v="0"/>
    <x v="0"/>
    <x v="0"/>
    <x v="0"/>
    <n v="1.51"/>
    <n v="7960.92"/>
    <n v="36982.25"/>
    <x v="2"/>
  </r>
  <r>
    <x v="2"/>
    <x v="1"/>
    <x v="4"/>
    <x v="0"/>
    <x v="1"/>
    <x v="0"/>
    <x v="0"/>
    <n v="2.78"/>
    <n v="14656.52"/>
    <n v="68019.199999999997"/>
    <x v="2"/>
  </r>
  <r>
    <x v="2"/>
    <x v="1"/>
    <x v="4"/>
    <x v="0"/>
    <x v="2"/>
    <x v="0"/>
    <x v="0"/>
    <n v="0"/>
    <n v="0"/>
    <n v="0"/>
    <x v="2"/>
  </r>
  <r>
    <x v="2"/>
    <x v="1"/>
    <x v="4"/>
    <x v="0"/>
    <x v="3"/>
    <x v="0"/>
    <x v="0"/>
    <n v="1.85"/>
    <n v="9753.44"/>
    <n v="45445.61"/>
    <x v="2"/>
  </r>
  <r>
    <x v="2"/>
    <x v="1"/>
    <x v="4"/>
    <x v="0"/>
    <x v="4"/>
    <x v="0"/>
    <x v="0"/>
    <n v="0"/>
    <n v="0"/>
    <n v="0"/>
    <x v="2"/>
  </r>
  <r>
    <x v="2"/>
    <x v="1"/>
    <x v="4"/>
    <x v="0"/>
    <x v="5"/>
    <x v="0"/>
    <x v="0"/>
    <n v="0"/>
    <n v="0"/>
    <n v="0"/>
    <x v="2"/>
  </r>
  <r>
    <x v="2"/>
    <x v="1"/>
    <x v="4"/>
    <x v="0"/>
    <x v="6"/>
    <x v="0"/>
    <x v="0"/>
    <n v="0"/>
    <n v="0"/>
    <n v="0"/>
    <x v="2"/>
  </r>
  <r>
    <x v="2"/>
    <x v="1"/>
    <x v="4"/>
    <x v="0"/>
    <x v="8"/>
    <x v="0"/>
    <x v="0"/>
    <n v="0"/>
    <n v="0"/>
    <n v="0"/>
    <x v="2"/>
  </r>
  <r>
    <x v="2"/>
    <x v="1"/>
    <x v="4"/>
    <x v="1"/>
    <x v="10"/>
    <x v="0"/>
    <x v="0"/>
    <n v="0.94"/>
    <n v="4955.8"/>
    <n v="23056.79"/>
    <x v="2"/>
  </r>
  <r>
    <x v="2"/>
    <x v="1"/>
    <x v="4"/>
    <x v="1"/>
    <x v="11"/>
    <x v="0"/>
    <x v="0"/>
    <n v="0"/>
    <n v="0"/>
    <n v="0"/>
    <x v="2"/>
  </r>
  <r>
    <x v="2"/>
    <x v="1"/>
    <x v="4"/>
    <x v="1"/>
    <x v="13"/>
    <x v="0"/>
    <x v="0"/>
    <n v="0"/>
    <n v="0"/>
    <n v="0"/>
    <x v="2"/>
  </r>
  <r>
    <x v="2"/>
    <x v="1"/>
    <x v="4"/>
    <x v="1"/>
    <x v="14"/>
    <x v="0"/>
    <x v="0"/>
    <n v="0"/>
    <n v="0"/>
    <n v="0"/>
    <x v="2"/>
  </r>
  <r>
    <x v="2"/>
    <x v="1"/>
    <x v="4"/>
    <x v="1"/>
    <x v="16"/>
    <x v="0"/>
    <x v="0"/>
    <n v="0"/>
    <n v="0"/>
    <n v="0"/>
    <x v="2"/>
  </r>
  <r>
    <x v="2"/>
    <x v="1"/>
    <x v="4"/>
    <x v="1"/>
    <x v="17"/>
    <x v="0"/>
    <x v="0"/>
    <n v="0"/>
    <n v="0"/>
    <n v="0"/>
    <x v="2"/>
  </r>
  <r>
    <x v="2"/>
    <x v="1"/>
    <x v="4"/>
    <x v="1"/>
    <x v="18"/>
    <x v="0"/>
    <x v="0"/>
    <n v="0"/>
    <n v="0"/>
    <n v="0"/>
    <x v="2"/>
  </r>
  <r>
    <x v="2"/>
    <x v="1"/>
    <x v="4"/>
    <x v="1"/>
    <x v="19"/>
    <x v="0"/>
    <x v="0"/>
    <n v="0"/>
    <n v="0"/>
    <n v="0"/>
    <x v="2"/>
  </r>
  <r>
    <x v="2"/>
    <x v="1"/>
    <x v="4"/>
    <x v="1"/>
    <x v="20"/>
    <x v="0"/>
    <x v="0"/>
    <n v="1.6"/>
    <n v="8435.41"/>
    <n v="39093.800000000003"/>
    <x v="2"/>
  </r>
  <r>
    <x v="2"/>
    <x v="1"/>
    <x v="4"/>
    <x v="2"/>
    <x v="21"/>
    <x v="0"/>
    <x v="0"/>
    <n v="1.36"/>
    <n v="7170.1"/>
    <n v="33241.599999999999"/>
    <x v="2"/>
  </r>
  <r>
    <x v="2"/>
    <x v="1"/>
    <x v="4"/>
    <x v="2"/>
    <x v="22"/>
    <x v="0"/>
    <x v="0"/>
    <n v="0"/>
    <n v="0"/>
    <n v="0"/>
    <x v="2"/>
  </r>
  <r>
    <x v="2"/>
    <x v="1"/>
    <x v="4"/>
    <x v="2"/>
    <x v="29"/>
    <x v="0"/>
    <x v="0"/>
    <n v="0"/>
    <n v="0"/>
    <n v="0"/>
    <x v="2"/>
  </r>
  <r>
    <x v="2"/>
    <x v="1"/>
    <x v="4"/>
    <x v="2"/>
    <x v="24"/>
    <x v="0"/>
    <x v="0"/>
    <n v="0"/>
    <n v="0"/>
    <n v="0"/>
    <x v="2"/>
  </r>
  <r>
    <x v="2"/>
    <x v="1"/>
    <x v="4"/>
    <x v="3"/>
    <x v="25"/>
    <x v="0"/>
    <x v="0"/>
    <n v="0"/>
    <n v="0"/>
    <n v="0"/>
    <x v="2"/>
  </r>
  <r>
    <x v="2"/>
    <x v="1"/>
    <x v="4"/>
    <x v="3"/>
    <x v="26"/>
    <x v="0"/>
    <x v="0"/>
    <n v="0.79"/>
    <n v="4164.9799999999996"/>
    <n v="19375.32"/>
    <x v="2"/>
  </r>
  <r>
    <x v="2"/>
    <x v="1"/>
    <x v="4"/>
    <x v="3"/>
    <x v="27"/>
    <x v="0"/>
    <x v="0"/>
    <n v="1.03"/>
    <n v="5430.29"/>
    <n v="25146.95"/>
    <x v="2"/>
  </r>
  <r>
    <x v="2"/>
    <x v="1"/>
    <x v="4"/>
    <x v="0"/>
    <x v="0"/>
    <x v="0"/>
    <x v="1"/>
    <n v="0.89"/>
    <n v="4692.2"/>
    <n v="21754.27"/>
    <x v="2"/>
  </r>
  <r>
    <x v="2"/>
    <x v="1"/>
    <x v="4"/>
    <x v="0"/>
    <x v="1"/>
    <x v="0"/>
    <x v="1"/>
    <n v="4.26"/>
    <n v="22459.27"/>
    <n v="104423.84"/>
    <x v="2"/>
  </r>
  <r>
    <x v="2"/>
    <x v="1"/>
    <x v="4"/>
    <x v="0"/>
    <x v="2"/>
    <x v="0"/>
    <x v="1"/>
    <n v="4.57"/>
    <n v="24093.63"/>
    <n v="111969.08"/>
    <x v="2"/>
  </r>
  <r>
    <x v="2"/>
    <x v="1"/>
    <x v="4"/>
    <x v="0"/>
    <x v="3"/>
    <x v="0"/>
    <x v="1"/>
    <n v="3.15"/>
    <n v="16607.21"/>
    <n v="77257.539999999994"/>
    <x v="2"/>
  </r>
  <r>
    <x v="2"/>
    <x v="1"/>
    <x v="4"/>
    <x v="0"/>
    <x v="4"/>
    <x v="0"/>
    <x v="1"/>
    <n v="1.67"/>
    <n v="8804.4599999999991"/>
    <n v="40898.21"/>
    <x v="2"/>
  </r>
  <r>
    <x v="2"/>
    <x v="1"/>
    <x v="4"/>
    <x v="0"/>
    <x v="5"/>
    <x v="0"/>
    <x v="1"/>
    <n v="1.95"/>
    <n v="10280.65"/>
    <n v="47807.39"/>
    <x v="2"/>
  </r>
  <r>
    <x v="2"/>
    <x v="1"/>
    <x v="4"/>
    <x v="0"/>
    <x v="6"/>
    <x v="0"/>
    <x v="1"/>
    <n v="1.92"/>
    <n v="10122.49"/>
    <n v="47165.96"/>
    <x v="2"/>
  </r>
  <r>
    <x v="2"/>
    <x v="1"/>
    <x v="4"/>
    <x v="0"/>
    <x v="8"/>
    <x v="0"/>
    <x v="1"/>
    <n v="2.64"/>
    <n v="13918.42"/>
    <n v="64591.3"/>
    <x v="2"/>
  </r>
  <r>
    <x v="2"/>
    <x v="1"/>
    <x v="4"/>
    <x v="1"/>
    <x v="10"/>
    <x v="0"/>
    <x v="1"/>
    <n v="1.32"/>
    <n v="6959.21"/>
    <n v="32279.51"/>
    <x v="2"/>
  </r>
  <r>
    <x v="2"/>
    <x v="1"/>
    <x v="4"/>
    <x v="1"/>
    <x v="11"/>
    <x v="0"/>
    <x v="1"/>
    <n v="7.61"/>
    <n v="40120.910000000003"/>
    <n v="186458.72"/>
    <x v="2"/>
  </r>
  <r>
    <x v="2"/>
    <x v="1"/>
    <x v="4"/>
    <x v="1"/>
    <x v="13"/>
    <x v="0"/>
    <x v="1"/>
    <n v="4.26"/>
    <n v="22459.27"/>
    <n v="104354.56"/>
    <x v="2"/>
  </r>
  <r>
    <x v="2"/>
    <x v="1"/>
    <x v="4"/>
    <x v="1"/>
    <x v="14"/>
    <x v="0"/>
    <x v="1"/>
    <n v="1.48"/>
    <n v="7802.75"/>
    <n v="36338.26"/>
    <x v="2"/>
  </r>
  <r>
    <x v="2"/>
    <x v="1"/>
    <x v="4"/>
    <x v="1"/>
    <x v="16"/>
    <x v="0"/>
    <x v="1"/>
    <n v="0.84"/>
    <n v="4428.59"/>
    <n v="20592.78"/>
    <x v="2"/>
  </r>
  <r>
    <x v="2"/>
    <x v="1"/>
    <x v="4"/>
    <x v="1"/>
    <x v="17"/>
    <x v="0"/>
    <x v="1"/>
    <n v="2.79"/>
    <n v="14709.24"/>
    <n v="68476.820000000007"/>
    <x v="2"/>
  </r>
  <r>
    <x v="2"/>
    <x v="1"/>
    <x v="4"/>
    <x v="1"/>
    <x v="18"/>
    <x v="0"/>
    <x v="1"/>
    <n v="7.96"/>
    <n v="41966.15"/>
    <n v="194942.82"/>
    <x v="2"/>
  </r>
  <r>
    <x v="2"/>
    <x v="1"/>
    <x v="4"/>
    <x v="1"/>
    <x v="19"/>
    <x v="0"/>
    <x v="1"/>
    <n v="3.04"/>
    <n v="16027.28"/>
    <n v="74427.28"/>
    <x v="2"/>
  </r>
  <r>
    <x v="2"/>
    <x v="1"/>
    <x v="4"/>
    <x v="1"/>
    <x v="20"/>
    <x v="0"/>
    <x v="1"/>
    <n v="5.72"/>
    <n v="30156.58"/>
    <n v="140277.75"/>
    <x v="2"/>
  </r>
  <r>
    <x v="2"/>
    <x v="1"/>
    <x v="4"/>
    <x v="2"/>
    <x v="21"/>
    <x v="0"/>
    <x v="1"/>
    <n v="0"/>
    <n v="0"/>
    <n v="0"/>
    <x v="2"/>
  </r>
  <r>
    <x v="2"/>
    <x v="1"/>
    <x v="4"/>
    <x v="2"/>
    <x v="22"/>
    <x v="0"/>
    <x v="1"/>
    <n v="3.24"/>
    <n v="17081.7"/>
    <n v="79303.92"/>
    <x v="2"/>
  </r>
  <r>
    <x v="2"/>
    <x v="1"/>
    <x v="4"/>
    <x v="2"/>
    <x v="29"/>
    <x v="0"/>
    <x v="1"/>
    <n v="1.39"/>
    <n v="7328.26"/>
    <n v="34063.21"/>
    <x v="2"/>
  </r>
  <r>
    <x v="2"/>
    <x v="1"/>
    <x v="4"/>
    <x v="2"/>
    <x v="24"/>
    <x v="0"/>
    <x v="1"/>
    <n v="0.67"/>
    <n v="3532.33"/>
    <n v="16492.8"/>
    <x v="2"/>
  </r>
  <r>
    <x v="2"/>
    <x v="1"/>
    <x v="4"/>
    <x v="3"/>
    <x v="25"/>
    <x v="0"/>
    <x v="1"/>
    <n v="1.39"/>
    <n v="7328.26"/>
    <n v="34060.22"/>
    <x v="2"/>
  </r>
  <r>
    <x v="2"/>
    <x v="1"/>
    <x v="4"/>
    <x v="3"/>
    <x v="26"/>
    <x v="0"/>
    <x v="1"/>
    <n v="0.93"/>
    <n v="4903.08"/>
    <n v="22898.1"/>
    <x v="2"/>
  </r>
  <r>
    <x v="2"/>
    <x v="1"/>
    <x v="4"/>
    <x v="3"/>
    <x v="27"/>
    <x v="0"/>
    <x v="1"/>
    <n v="4.18"/>
    <n v="22037.5"/>
    <n v="102384.01"/>
    <x v="2"/>
  </r>
  <r>
    <x v="2"/>
    <x v="1"/>
    <x v="4"/>
    <x v="0"/>
    <x v="0"/>
    <x v="1"/>
    <x v="0"/>
    <n v="2.0699999999999998"/>
    <n v="10913.31"/>
    <n v="33120.85"/>
    <x v="2"/>
  </r>
  <r>
    <x v="2"/>
    <x v="1"/>
    <x v="4"/>
    <x v="0"/>
    <x v="1"/>
    <x v="1"/>
    <x v="0"/>
    <n v="12.66"/>
    <n v="66745.17"/>
    <n v="199427.48"/>
    <x v="2"/>
  </r>
  <r>
    <x v="2"/>
    <x v="1"/>
    <x v="4"/>
    <x v="0"/>
    <x v="2"/>
    <x v="1"/>
    <x v="0"/>
    <n v="6.32"/>
    <n v="33319.86"/>
    <n v="96245.28"/>
    <x v="2"/>
  </r>
  <r>
    <x v="2"/>
    <x v="1"/>
    <x v="4"/>
    <x v="0"/>
    <x v="3"/>
    <x v="1"/>
    <x v="0"/>
    <n v="4.92"/>
    <n v="25938.880000000001"/>
    <n v="77821.02"/>
    <x v="2"/>
  </r>
  <r>
    <x v="2"/>
    <x v="1"/>
    <x v="4"/>
    <x v="0"/>
    <x v="28"/>
    <x v="1"/>
    <x v="0"/>
    <n v="0"/>
    <n v="0"/>
    <n v="0"/>
    <x v="2"/>
  </r>
  <r>
    <x v="2"/>
    <x v="1"/>
    <x v="4"/>
    <x v="0"/>
    <x v="4"/>
    <x v="1"/>
    <x v="0"/>
    <n v="7.53"/>
    <n v="39699.14"/>
    <n v="118023.67999999999"/>
    <x v="2"/>
  </r>
  <r>
    <x v="2"/>
    <x v="1"/>
    <x v="4"/>
    <x v="0"/>
    <x v="5"/>
    <x v="1"/>
    <x v="0"/>
    <n v="2.98"/>
    <n v="15710.95"/>
    <n v="48193.72"/>
    <x v="2"/>
  </r>
  <r>
    <x v="2"/>
    <x v="1"/>
    <x v="4"/>
    <x v="0"/>
    <x v="6"/>
    <x v="1"/>
    <x v="0"/>
    <n v="0"/>
    <n v="0"/>
    <n v="0"/>
    <x v="2"/>
  </r>
  <r>
    <x v="2"/>
    <x v="1"/>
    <x v="4"/>
    <x v="0"/>
    <x v="7"/>
    <x v="1"/>
    <x v="0"/>
    <n v="0"/>
    <n v="0"/>
    <n v="0"/>
    <x v="2"/>
  </r>
  <r>
    <x v="2"/>
    <x v="1"/>
    <x v="4"/>
    <x v="0"/>
    <x v="8"/>
    <x v="1"/>
    <x v="0"/>
    <n v="0"/>
    <n v="0"/>
    <n v="0"/>
    <x v="2"/>
  </r>
  <r>
    <x v="2"/>
    <x v="1"/>
    <x v="4"/>
    <x v="1"/>
    <x v="30"/>
    <x v="1"/>
    <x v="0"/>
    <n v="3.03"/>
    <n v="15974.55"/>
    <n v="51108.5"/>
    <x v="2"/>
  </r>
  <r>
    <x v="2"/>
    <x v="1"/>
    <x v="4"/>
    <x v="1"/>
    <x v="9"/>
    <x v="1"/>
    <x v="0"/>
    <n v="0"/>
    <n v="0"/>
    <n v="0"/>
    <x v="2"/>
  </r>
  <r>
    <x v="2"/>
    <x v="1"/>
    <x v="4"/>
    <x v="1"/>
    <x v="31"/>
    <x v="1"/>
    <x v="0"/>
    <n v="3.61"/>
    <n v="19032.39"/>
    <n v="61450.239999999998"/>
    <x v="2"/>
  </r>
  <r>
    <x v="2"/>
    <x v="1"/>
    <x v="4"/>
    <x v="1"/>
    <x v="10"/>
    <x v="1"/>
    <x v="0"/>
    <n v="10.6"/>
    <n v="55884.58"/>
    <n v="177101.81"/>
    <x v="2"/>
  </r>
  <r>
    <x v="2"/>
    <x v="1"/>
    <x v="4"/>
    <x v="1"/>
    <x v="11"/>
    <x v="1"/>
    <x v="0"/>
    <n v="7.2"/>
    <n v="37959.339999999997"/>
    <n v="114626.18"/>
    <x v="2"/>
  </r>
  <r>
    <x v="2"/>
    <x v="1"/>
    <x v="4"/>
    <x v="1"/>
    <x v="12"/>
    <x v="1"/>
    <x v="0"/>
    <n v="2.5299999999999998"/>
    <n v="13338.49"/>
    <n v="42447.29"/>
    <x v="2"/>
  </r>
  <r>
    <x v="2"/>
    <x v="1"/>
    <x v="4"/>
    <x v="1"/>
    <x v="13"/>
    <x v="1"/>
    <x v="0"/>
    <n v="4.51"/>
    <n v="23777.31"/>
    <n v="75264.73"/>
    <x v="2"/>
  </r>
  <r>
    <x v="2"/>
    <x v="1"/>
    <x v="4"/>
    <x v="1"/>
    <x v="14"/>
    <x v="1"/>
    <x v="0"/>
    <n v="15.24"/>
    <n v="80347.259999999995"/>
    <n v="249473.08"/>
    <x v="2"/>
  </r>
  <r>
    <x v="2"/>
    <x v="1"/>
    <x v="4"/>
    <x v="1"/>
    <x v="15"/>
    <x v="1"/>
    <x v="0"/>
    <n v="5.0999999999999996"/>
    <n v="26887.86"/>
    <n v="86304.4"/>
    <x v="2"/>
  </r>
  <r>
    <x v="2"/>
    <x v="1"/>
    <x v="4"/>
    <x v="1"/>
    <x v="16"/>
    <x v="1"/>
    <x v="0"/>
    <n v="6.37"/>
    <n v="33583.47"/>
    <n v="102704.23"/>
    <x v="2"/>
  </r>
  <r>
    <x v="2"/>
    <x v="1"/>
    <x v="4"/>
    <x v="1"/>
    <x v="17"/>
    <x v="1"/>
    <x v="0"/>
    <n v="6.31"/>
    <n v="33267.14"/>
    <n v="102692.93"/>
    <x v="2"/>
  </r>
  <r>
    <x v="2"/>
    <x v="1"/>
    <x v="4"/>
    <x v="1"/>
    <x v="18"/>
    <x v="1"/>
    <x v="0"/>
    <n v="7.24"/>
    <n v="38170.22"/>
    <n v="123219.09"/>
    <x v="2"/>
  </r>
  <r>
    <x v="2"/>
    <x v="1"/>
    <x v="4"/>
    <x v="1"/>
    <x v="19"/>
    <x v="1"/>
    <x v="0"/>
    <n v="12.72"/>
    <n v="67061.490000000005"/>
    <n v="210057.56"/>
    <x v="2"/>
  </r>
  <r>
    <x v="2"/>
    <x v="1"/>
    <x v="4"/>
    <x v="1"/>
    <x v="20"/>
    <x v="1"/>
    <x v="0"/>
    <n v="13.75"/>
    <n v="72491.789999999994"/>
    <n v="223348.32"/>
    <x v="2"/>
  </r>
  <r>
    <x v="2"/>
    <x v="1"/>
    <x v="4"/>
    <x v="2"/>
    <x v="21"/>
    <x v="1"/>
    <x v="0"/>
    <n v="0"/>
    <n v="0"/>
    <n v="0"/>
    <x v="2"/>
  </r>
  <r>
    <x v="2"/>
    <x v="1"/>
    <x v="4"/>
    <x v="2"/>
    <x v="22"/>
    <x v="1"/>
    <x v="0"/>
    <n v="8.6199999999999992"/>
    <n v="45445.760000000002"/>
    <n v="128684.42"/>
    <x v="2"/>
  </r>
  <r>
    <x v="2"/>
    <x v="1"/>
    <x v="4"/>
    <x v="2"/>
    <x v="29"/>
    <x v="1"/>
    <x v="0"/>
    <n v="0"/>
    <n v="0"/>
    <n v="0"/>
    <x v="2"/>
  </r>
  <r>
    <x v="2"/>
    <x v="1"/>
    <x v="4"/>
    <x v="2"/>
    <x v="23"/>
    <x v="1"/>
    <x v="0"/>
    <n v="0"/>
    <n v="0"/>
    <n v="0"/>
    <x v="2"/>
  </r>
  <r>
    <x v="2"/>
    <x v="1"/>
    <x v="4"/>
    <x v="2"/>
    <x v="24"/>
    <x v="1"/>
    <x v="0"/>
    <n v="2.33"/>
    <n v="12284.06"/>
    <n v="35415.93"/>
    <x v="2"/>
  </r>
  <r>
    <x v="2"/>
    <x v="1"/>
    <x v="4"/>
    <x v="3"/>
    <x v="25"/>
    <x v="1"/>
    <x v="0"/>
    <n v="8.5399999999999991"/>
    <n v="45023.99"/>
    <n v="143412"/>
    <x v="2"/>
  </r>
  <r>
    <x v="2"/>
    <x v="1"/>
    <x v="4"/>
    <x v="3"/>
    <x v="26"/>
    <x v="1"/>
    <x v="0"/>
    <n v="2.14"/>
    <n v="11282.36"/>
    <n v="36101.19"/>
    <x v="2"/>
  </r>
  <r>
    <x v="2"/>
    <x v="1"/>
    <x v="4"/>
    <x v="3"/>
    <x v="27"/>
    <x v="1"/>
    <x v="0"/>
    <n v="10.45"/>
    <n v="55093.760000000002"/>
    <n v="173398.37"/>
    <x v="2"/>
  </r>
  <r>
    <x v="2"/>
    <x v="1"/>
    <x v="4"/>
    <x v="0"/>
    <x v="0"/>
    <x v="1"/>
    <x v="1"/>
    <n v="5.09"/>
    <n v="26835.14"/>
    <n v="81528.25"/>
    <x v="2"/>
  </r>
  <r>
    <x v="2"/>
    <x v="1"/>
    <x v="4"/>
    <x v="0"/>
    <x v="1"/>
    <x v="1"/>
    <x v="1"/>
    <n v="19.96"/>
    <n v="105231.71"/>
    <n v="314434.74"/>
    <x v="2"/>
  </r>
  <r>
    <x v="2"/>
    <x v="1"/>
    <x v="4"/>
    <x v="0"/>
    <x v="2"/>
    <x v="1"/>
    <x v="1"/>
    <n v="20.22"/>
    <n v="106602.47"/>
    <n v="307693.24"/>
    <x v="2"/>
  </r>
  <r>
    <x v="2"/>
    <x v="1"/>
    <x v="4"/>
    <x v="0"/>
    <x v="3"/>
    <x v="1"/>
    <x v="1"/>
    <n v="16.68"/>
    <n v="87939.13"/>
    <n v="263981.09999999998"/>
    <x v="2"/>
  </r>
  <r>
    <x v="2"/>
    <x v="1"/>
    <x v="4"/>
    <x v="0"/>
    <x v="28"/>
    <x v="1"/>
    <x v="1"/>
    <n v="2.5299999999999998"/>
    <n v="13338.49"/>
    <n v="40588.75"/>
    <x v="2"/>
  </r>
  <r>
    <x v="2"/>
    <x v="1"/>
    <x v="4"/>
    <x v="0"/>
    <x v="4"/>
    <x v="1"/>
    <x v="1"/>
    <n v="7.44"/>
    <n v="39224.65"/>
    <n v="116667.09"/>
    <x v="2"/>
  </r>
  <r>
    <x v="2"/>
    <x v="1"/>
    <x v="4"/>
    <x v="0"/>
    <x v="5"/>
    <x v="1"/>
    <x v="1"/>
    <n v="23.53"/>
    <n v="124053.22"/>
    <n v="380041.87"/>
    <x v="2"/>
  </r>
  <r>
    <x v="2"/>
    <x v="1"/>
    <x v="4"/>
    <x v="0"/>
    <x v="6"/>
    <x v="1"/>
    <x v="1"/>
    <n v="4.2"/>
    <n v="22142.95"/>
    <n v="67557.53"/>
    <x v="2"/>
  </r>
  <r>
    <x v="2"/>
    <x v="1"/>
    <x v="4"/>
    <x v="0"/>
    <x v="7"/>
    <x v="1"/>
    <x v="1"/>
    <n v="4.07"/>
    <n v="21457.57"/>
    <n v="66610.789999999994"/>
    <x v="2"/>
  </r>
  <r>
    <x v="2"/>
    <x v="1"/>
    <x v="4"/>
    <x v="0"/>
    <x v="8"/>
    <x v="1"/>
    <x v="1"/>
    <n v="3.79"/>
    <n v="19981.37"/>
    <n v="59141.53"/>
    <x v="2"/>
  </r>
  <r>
    <x v="2"/>
    <x v="1"/>
    <x v="4"/>
    <x v="1"/>
    <x v="30"/>
    <x v="1"/>
    <x v="1"/>
    <n v="0"/>
    <n v="0"/>
    <n v="0"/>
    <x v="2"/>
  </r>
  <r>
    <x v="2"/>
    <x v="1"/>
    <x v="4"/>
    <x v="1"/>
    <x v="9"/>
    <x v="1"/>
    <x v="1"/>
    <n v="5.51"/>
    <n v="29049.439999999999"/>
    <n v="92855.95"/>
    <x v="2"/>
  </r>
  <r>
    <x v="2"/>
    <x v="1"/>
    <x v="4"/>
    <x v="1"/>
    <x v="31"/>
    <x v="1"/>
    <x v="1"/>
    <n v="0"/>
    <n v="0"/>
    <n v="0"/>
    <x v="2"/>
  </r>
  <r>
    <x v="2"/>
    <x v="1"/>
    <x v="4"/>
    <x v="1"/>
    <x v="10"/>
    <x v="1"/>
    <x v="1"/>
    <n v="29.21"/>
    <n v="153998.92000000001"/>
    <n v="488109.87"/>
    <x v="2"/>
  </r>
  <r>
    <x v="2"/>
    <x v="1"/>
    <x v="4"/>
    <x v="1"/>
    <x v="11"/>
    <x v="1"/>
    <x v="1"/>
    <n v="27.12"/>
    <n v="142980.17000000001"/>
    <n v="431959.72"/>
    <x v="2"/>
  </r>
  <r>
    <x v="2"/>
    <x v="1"/>
    <x v="4"/>
    <x v="1"/>
    <x v="12"/>
    <x v="1"/>
    <x v="1"/>
    <n v="2.94"/>
    <n v="15500.06"/>
    <n v="49293.63"/>
    <x v="2"/>
  </r>
  <r>
    <x v="2"/>
    <x v="1"/>
    <x v="4"/>
    <x v="1"/>
    <x v="13"/>
    <x v="1"/>
    <x v="1"/>
    <n v="12.82"/>
    <n v="67588.710000000006"/>
    <n v="213987.96"/>
    <x v="2"/>
  </r>
  <r>
    <x v="2"/>
    <x v="1"/>
    <x v="4"/>
    <x v="1"/>
    <x v="14"/>
    <x v="1"/>
    <x v="1"/>
    <n v="7.1"/>
    <n v="37432.120000000003"/>
    <n v="116231.78"/>
    <x v="2"/>
  </r>
  <r>
    <x v="2"/>
    <x v="1"/>
    <x v="4"/>
    <x v="1"/>
    <x v="15"/>
    <x v="1"/>
    <x v="1"/>
    <n v="1.48"/>
    <n v="7802.75"/>
    <n v="24982.85"/>
    <x v="2"/>
  </r>
  <r>
    <x v="2"/>
    <x v="1"/>
    <x v="4"/>
    <x v="1"/>
    <x v="16"/>
    <x v="1"/>
    <x v="1"/>
    <n v="8.61"/>
    <n v="45393.04"/>
    <n v="138789.5"/>
    <x v="2"/>
  </r>
  <r>
    <x v="2"/>
    <x v="1"/>
    <x v="4"/>
    <x v="1"/>
    <x v="17"/>
    <x v="1"/>
    <x v="1"/>
    <n v="5.21"/>
    <n v="27467.8"/>
    <n v="84833.29"/>
    <x v="2"/>
  </r>
  <r>
    <x v="2"/>
    <x v="1"/>
    <x v="4"/>
    <x v="1"/>
    <x v="18"/>
    <x v="1"/>
    <x v="1"/>
    <n v="33.049999999999997"/>
    <n v="174243.9"/>
    <n v="562852.65"/>
    <x v="2"/>
  </r>
  <r>
    <x v="2"/>
    <x v="1"/>
    <x v="4"/>
    <x v="1"/>
    <x v="19"/>
    <x v="1"/>
    <x v="1"/>
    <n v="14.26"/>
    <n v="75180.570000000007"/>
    <n v="235433.64"/>
    <x v="2"/>
  </r>
  <r>
    <x v="2"/>
    <x v="1"/>
    <x v="4"/>
    <x v="1"/>
    <x v="20"/>
    <x v="1"/>
    <x v="1"/>
    <n v="22.6"/>
    <n v="119150.14"/>
    <n v="367223.01"/>
    <x v="2"/>
  </r>
  <r>
    <x v="2"/>
    <x v="1"/>
    <x v="4"/>
    <x v="2"/>
    <x v="21"/>
    <x v="1"/>
    <x v="1"/>
    <n v="1.43"/>
    <n v="7539.15"/>
    <n v="21367.45"/>
    <x v="2"/>
  </r>
  <r>
    <x v="2"/>
    <x v="1"/>
    <x v="4"/>
    <x v="2"/>
    <x v="22"/>
    <x v="1"/>
    <x v="1"/>
    <n v="13.18"/>
    <n v="69486.67"/>
    <n v="196668.64"/>
    <x v="2"/>
  </r>
  <r>
    <x v="2"/>
    <x v="1"/>
    <x v="4"/>
    <x v="2"/>
    <x v="29"/>
    <x v="1"/>
    <x v="1"/>
    <n v="2.06"/>
    <n v="10860.59"/>
    <n v="32600.7"/>
    <x v="2"/>
  </r>
  <r>
    <x v="2"/>
    <x v="1"/>
    <x v="4"/>
    <x v="2"/>
    <x v="23"/>
    <x v="1"/>
    <x v="1"/>
    <n v="2.2999999999999998"/>
    <n v="12125.9"/>
    <n v="35792.769999999997"/>
    <x v="2"/>
  </r>
  <r>
    <x v="2"/>
    <x v="1"/>
    <x v="4"/>
    <x v="2"/>
    <x v="24"/>
    <x v="1"/>
    <x v="1"/>
    <n v="3.5"/>
    <n v="18452.46"/>
    <n v="53123.9"/>
    <x v="2"/>
  </r>
  <r>
    <x v="2"/>
    <x v="1"/>
    <x v="4"/>
    <x v="3"/>
    <x v="25"/>
    <x v="1"/>
    <x v="1"/>
    <n v="8.0500000000000007"/>
    <n v="42440.65"/>
    <n v="135057.91"/>
    <x v="2"/>
  </r>
  <r>
    <x v="2"/>
    <x v="1"/>
    <x v="4"/>
    <x v="3"/>
    <x v="26"/>
    <x v="1"/>
    <x v="1"/>
    <n v="5.75"/>
    <n v="30314.75"/>
    <n v="97195.520000000004"/>
    <x v="2"/>
  </r>
  <r>
    <x v="2"/>
    <x v="1"/>
    <x v="4"/>
    <x v="3"/>
    <x v="27"/>
    <x v="1"/>
    <x v="1"/>
    <n v="23.86"/>
    <n v="125793.02"/>
    <n v="395756.28"/>
    <x v="2"/>
  </r>
  <r>
    <x v="2"/>
    <x v="1"/>
    <x v="5"/>
    <x v="0"/>
    <x v="0"/>
    <x v="0"/>
    <x v="0"/>
    <n v="2.02"/>
    <n v="11305.76"/>
    <n v="46359.519999999997"/>
    <x v="2"/>
  </r>
  <r>
    <x v="2"/>
    <x v="1"/>
    <x v="5"/>
    <x v="0"/>
    <x v="1"/>
    <x v="0"/>
    <x v="0"/>
    <n v="3.65"/>
    <n v="20428.72"/>
    <n v="83705.509999999995"/>
    <x v="2"/>
  </r>
  <r>
    <x v="2"/>
    <x v="1"/>
    <x v="5"/>
    <x v="0"/>
    <x v="2"/>
    <x v="0"/>
    <x v="0"/>
    <n v="0"/>
    <n v="0"/>
    <n v="0"/>
    <x v="2"/>
  </r>
  <r>
    <x v="2"/>
    <x v="1"/>
    <x v="5"/>
    <x v="0"/>
    <x v="3"/>
    <x v="0"/>
    <x v="0"/>
    <n v="1.54"/>
    <n v="8619.24"/>
    <n v="35432.6"/>
    <x v="2"/>
  </r>
  <r>
    <x v="2"/>
    <x v="1"/>
    <x v="5"/>
    <x v="0"/>
    <x v="4"/>
    <x v="0"/>
    <x v="0"/>
    <n v="0"/>
    <n v="0"/>
    <n v="0"/>
    <x v="2"/>
  </r>
  <r>
    <x v="2"/>
    <x v="1"/>
    <x v="5"/>
    <x v="0"/>
    <x v="5"/>
    <x v="0"/>
    <x v="0"/>
    <n v="0"/>
    <n v="0"/>
    <n v="0"/>
    <x v="2"/>
  </r>
  <r>
    <x v="2"/>
    <x v="1"/>
    <x v="5"/>
    <x v="0"/>
    <x v="6"/>
    <x v="0"/>
    <x v="0"/>
    <n v="0"/>
    <n v="0"/>
    <n v="0"/>
    <x v="2"/>
  </r>
  <r>
    <x v="2"/>
    <x v="1"/>
    <x v="5"/>
    <x v="0"/>
    <x v="8"/>
    <x v="0"/>
    <x v="0"/>
    <n v="0"/>
    <n v="0"/>
    <n v="0"/>
    <x v="2"/>
  </r>
  <r>
    <x v="2"/>
    <x v="1"/>
    <x v="5"/>
    <x v="1"/>
    <x v="10"/>
    <x v="0"/>
    <x v="0"/>
    <n v="1.42"/>
    <n v="7947.61"/>
    <n v="32608.39"/>
    <x v="2"/>
  </r>
  <r>
    <x v="2"/>
    <x v="1"/>
    <x v="5"/>
    <x v="1"/>
    <x v="11"/>
    <x v="0"/>
    <x v="0"/>
    <n v="0"/>
    <n v="0"/>
    <n v="0"/>
    <x v="2"/>
  </r>
  <r>
    <x v="2"/>
    <x v="1"/>
    <x v="5"/>
    <x v="1"/>
    <x v="13"/>
    <x v="0"/>
    <x v="0"/>
    <n v="0"/>
    <n v="0"/>
    <n v="0"/>
    <x v="2"/>
  </r>
  <r>
    <x v="2"/>
    <x v="1"/>
    <x v="5"/>
    <x v="1"/>
    <x v="14"/>
    <x v="0"/>
    <x v="0"/>
    <n v="0"/>
    <n v="0"/>
    <n v="0"/>
    <x v="2"/>
  </r>
  <r>
    <x v="2"/>
    <x v="1"/>
    <x v="5"/>
    <x v="1"/>
    <x v="16"/>
    <x v="0"/>
    <x v="0"/>
    <n v="0"/>
    <n v="0"/>
    <n v="0"/>
    <x v="2"/>
  </r>
  <r>
    <x v="2"/>
    <x v="1"/>
    <x v="5"/>
    <x v="1"/>
    <x v="17"/>
    <x v="0"/>
    <x v="0"/>
    <n v="0"/>
    <n v="0"/>
    <n v="0"/>
    <x v="2"/>
  </r>
  <r>
    <x v="2"/>
    <x v="1"/>
    <x v="5"/>
    <x v="1"/>
    <x v="18"/>
    <x v="0"/>
    <x v="0"/>
    <n v="0"/>
    <n v="0"/>
    <n v="0"/>
    <x v="2"/>
  </r>
  <r>
    <x v="2"/>
    <x v="1"/>
    <x v="5"/>
    <x v="1"/>
    <x v="19"/>
    <x v="0"/>
    <x v="0"/>
    <n v="0"/>
    <n v="0"/>
    <n v="0"/>
    <x v="2"/>
  </r>
  <r>
    <x v="2"/>
    <x v="1"/>
    <x v="5"/>
    <x v="1"/>
    <x v="20"/>
    <x v="0"/>
    <x v="0"/>
    <n v="1.72"/>
    <n v="9626.69"/>
    <n v="39534.199999999997"/>
    <x v="2"/>
  </r>
  <r>
    <x v="2"/>
    <x v="1"/>
    <x v="5"/>
    <x v="2"/>
    <x v="21"/>
    <x v="0"/>
    <x v="0"/>
    <n v="1.43"/>
    <n v="8003.58"/>
    <n v="32875.58"/>
    <x v="2"/>
  </r>
  <r>
    <x v="2"/>
    <x v="1"/>
    <x v="5"/>
    <x v="2"/>
    <x v="22"/>
    <x v="0"/>
    <x v="0"/>
    <n v="0"/>
    <n v="0"/>
    <n v="0"/>
    <x v="2"/>
  </r>
  <r>
    <x v="2"/>
    <x v="1"/>
    <x v="5"/>
    <x v="2"/>
    <x v="29"/>
    <x v="0"/>
    <x v="0"/>
    <n v="0"/>
    <n v="0"/>
    <n v="0"/>
    <x v="2"/>
  </r>
  <r>
    <x v="2"/>
    <x v="1"/>
    <x v="5"/>
    <x v="2"/>
    <x v="24"/>
    <x v="0"/>
    <x v="0"/>
    <n v="0"/>
    <n v="0"/>
    <n v="0"/>
    <x v="2"/>
  </r>
  <r>
    <x v="2"/>
    <x v="1"/>
    <x v="5"/>
    <x v="3"/>
    <x v="25"/>
    <x v="0"/>
    <x v="0"/>
    <n v="0"/>
    <n v="0"/>
    <n v="0"/>
    <x v="2"/>
  </r>
  <r>
    <x v="2"/>
    <x v="1"/>
    <x v="5"/>
    <x v="3"/>
    <x v="26"/>
    <x v="0"/>
    <x v="0"/>
    <n v="1.66"/>
    <n v="9290.8700000000008"/>
    <n v="38183.31"/>
    <x v="2"/>
  </r>
  <r>
    <x v="2"/>
    <x v="1"/>
    <x v="5"/>
    <x v="3"/>
    <x v="27"/>
    <x v="0"/>
    <x v="0"/>
    <n v="1.7"/>
    <n v="9514.75"/>
    <n v="38935.19"/>
    <x v="2"/>
  </r>
  <r>
    <x v="2"/>
    <x v="1"/>
    <x v="5"/>
    <x v="0"/>
    <x v="0"/>
    <x v="0"/>
    <x v="1"/>
    <n v="1.67"/>
    <n v="9346.84"/>
    <n v="38296.99"/>
    <x v="2"/>
  </r>
  <r>
    <x v="2"/>
    <x v="1"/>
    <x v="5"/>
    <x v="0"/>
    <x v="1"/>
    <x v="0"/>
    <x v="1"/>
    <n v="4.21"/>
    <n v="23562.99"/>
    <n v="96583.28"/>
    <x v="2"/>
  </r>
  <r>
    <x v="2"/>
    <x v="1"/>
    <x v="5"/>
    <x v="0"/>
    <x v="2"/>
    <x v="0"/>
    <x v="1"/>
    <n v="4.43"/>
    <n v="24794.31"/>
    <n v="101737.38"/>
    <x v="2"/>
  </r>
  <r>
    <x v="2"/>
    <x v="1"/>
    <x v="5"/>
    <x v="0"/>
    <x v="3"/>
    <x v="0"/>
    <x v="1"/>
    <n v="5.63"/>
    <n v="31510.6"/>
    <n v="129224.79"/>
    <x v="2"/>
  </r>
  <r>
    <x v="2"/>
    <x v="1"/>
    <x v="5"/>
    <x v="0"/>
    <x v="4"/>
    <x v="0"/>
    <x v="1"/>
    <n v="0.42"/>
    <n v="2350.6999999999998"/>
    <n v="9566.9500000000007"/>
    <x v="2"/>
  </r>
  <r>
    <x v="2"/>
    <x v="1"/>
    <x v="5"/>
    <x v="0"/>
    <x v="5"/>
    <x v="0"/>
    <x v="1"/>
    <n v="3.26"/>
    <n v="18245.93"/>
    <n v="74938.179999999993"/>
    <x v="2"/>
  </r>
  <r>
    <x v="2"/>
    <x v="1"/>
    <x v="5"/>
    <x v="0"/>
    <x v="6"/>
    <x v="0"/>
    <x v="1"/>
    <n v="1.42"/>
    <n v="7947.61"/>
    <n v="32510.73"/>
    <x v="2"/>
  </r>
  <r>
    <x v="2"/>
    <x v="1"/>
    <x v="5"/>
    <x v="0"/>
    <x v="8"/>
    <x v="0"/>
    <x v="1"/>
    <n v="2.0699999999999998"/>
    <n v="11585.6"/>
    <n v="47607.76"/>
    <x v="2"/>
  </r>
  <r>
    <x v="2"/>
    <x v="1"/>
    <x v="5"/>
    <x v="1"/>
    <x v="10"/>
    <x v="0"/>
    <x v="1"/>
    <n v="3.11"/>
    <n v="17406.39"/>
    <n v="71330.84"/>
    <x v="2"/>
  </r>
  <r>
    <x v="2"/>
    <x v="1"/>
    <x v="5"/>
    <x v="1"/>
    <x v="11"/>
    <x v="0"/>
    <x v="1"/>
    <n v="8.7100000000000009"/>
    <n v="48749.09"/>
    <n v="200003.41"/>
    <x v="2"/>
  </r>
  <r>
    <x v="2"/>
    <x v="1"/>
    <x v="5"/>
    <x v="1"/>
    <x v="13"/>
    <x v="0"/>
    <x v="1"/>
    <n v="2.2000000000000002"/>
    <n v="12313.2"/>
    <n v="50602.080000000002"/>
    <x v="2"/>
  </r>
  <r>
    <x v="2"/>
    <x v="1"/>
    <x v="5"/>
    <x v="1"/>
    <x v="14"/>
    <x v="0"/>
    <x v="1"/>
    <n v="1.26"/>
    <n v="7052.11"/>
    <n v="28830.77"/>
    <x v="2"/>
  </r>
  <r>
    <x v="2"/>
    <x v="1"/>
    <x v="5"/>
    <x v="1"/>
    <x v="16"/>
    <x v="0"/>
    <x v="1"/>
    <n v="0.71"/>
    <n v="3973.81"/>
    <n v="16208.49"/>
    <x v="2"/>
  </r>
  <r>
    <x v="2"/>
    <x v="1"/>
    <x v="5"/>
    <x v="1"/>
    <x v="17"/>
    <x v="0"/>
    <x v="1"/>
    <n v="1.79"/>
    <n v="10018.469999999999"/>
    <n v="41051.910000000003"/>
    <x v="2"/>
  </r>
  <r>
    <x v="2"/>
    <x v="1"/>
    <x v="5"/>
    <x v="1"/>
    <x v="18"/>
    <x v="0"/>
    <x v="1"/>
    <n v="10.3"/>
    <n v="57648.17"/>
    <n v="236429.74"/>
    <x v="2"/>
  </r>
  <r>
    <x v="2"/>
    <x v="1"/>
    <x v="5"/>
    <x v="1"/>
    <x v="19"/>
    <x v="0"/>
    <x v="1"/>
    <n v="4.17"/>
    <n v="23339.11"/>
    <n v="95716.29"/>
    <x v="2"/>
  </r>
  <r>
    <x v="2"/>
    <x v="1"/>
    <x v="5"/>
    <x v="1"/>
    <x v="20"/>
    <x v="0"/>
    <x v="1"/>
    <n v="10.23"/>
    <n v="57256.39"/>
    <n v="235008.86"/>
    <x v="2"/>
  </r>
  <r>
    <x v="2"/>
    <x v="1"/>
    <x v="5"/>
    <x v="2"/>
    <x v="21"/>
    <x v="0"/>
    <x v="1"/>
    <n v="0"/>
    <n v="0"/>
    <n v="0"/>
    <x v="2"/>
  </r>
  <r>
    <x v="2"/>
    <x v="1"/>
    <x v="5"/>
    <x v="2"/>
    <x v="22"/>
    <x v="0"/>
    <x v="1"/>
    <n v="2.76"/>
    <n v="15447.47"/>
    <n v="63462.43"/>
    <x v="2"/>
  </r>
  <r>
    <x v="2"/>
    <x v="1"/>
    <x v="5"/>
    <x v="2"/>
    <x v="29"/>
    <x v="0"/>
    <x v="1"/>
    <n v="1.49"/>
    <n v="8339.4"/>
    <n v="34297.040000000001"/>
    <x v="2"/>
  </r>
  <r>
    <x v="2"/>
    <x v="1"/>
    <x v="5"/>
    <x v="2"/>
    <x v="24"/>
    <x v="0"/>
    <x v="1"/>
    <n v="1.97"/>
    <n v="11025.91"/>
    <n v="45171.79"/>
    <x v="2"/>
  </r>
  <r>
    <x v="2"/>
    <x v="1"/>
    <x v="5"/>
    <x v="3"/>
    <x v="25"/>
    <x v="0"/>
    <x v="1"/>
    <n v="1.39"/>
    <n v="7779.7"/>
    <n v="31837.67"/>
    <x v="2"/>
  </r>
  <r>
    <x v="2"/>
    <x v="1"/>
    <x v="5"/>
    <x v="3"/>
    <x v="26"/>
    <x v="0"/>
    <x v="1"/>
    <n v="1.4"/>
    <n v="7835.67"/>
    <n v="32154.36"/>
    <x v="2"/>
  </r>
  <r>
    <x v="2"/>
    <x v="1"/>
    <x v="5"/>
    <x v="3"/>
    <x v="27"/>
    <x v="0"/>
    <x v="1"/>
    <n v="6.46"/>
    <n v="36156.04"/>
    <n v="148324.53"/>
    <x v="2"/>
  </r>
  <r>
    <x v="2"/>
    <x v="1"/>
    <x v="5"/>
    <x v="0"/>
    <x v="0"/>
    <x v="1"/>
    <x v="0"/>
    <n v="3.79"/>
    <n v="21212.29"/>
    <n v="56954.35"/>
    <x v="2"/>
  </r>
  <r>
    <x v="2"/>
    <x v="1"/>
    <x v="5"/>
    <x v="0"/>
    <x v="1"/>
    <x v="1"/>
    <x v="0"/>
    <n v="10.75"/>
    <n v="60166.78"/>
    <n v="158745.66"/>
    <x v="2"/>
  </r>
  <r>
    <x v="2"/>
    <x v="1"/>
    <x v="5"/>
    <x v="0"/>
    <x v="2"/>
    <x v="1"/>
    <x v="0"/>
    <n v="4.37"/>
    <n v="24458.5"/>
    <n v="62306.35"/>
    <x v="2"/>
  </r>
  <r>
    <x v="2"/>
    <x v="1"/>
    <x v="5"/>
    <x v="0"/>
    <x v="3"/>
    <x v="1"/>
    <x v="0"/>
    <n v="9.18"/>
    <n v="51379.63"/>
    <n v="136158.18"/>
    <x v="2"/>
  </r>
  <r>
    <x v="2"/>
    <x v="1"/>
    <x v="5"/>
    <x v="0"/>
    <x v="28"/>
    <x v="1"/>
    <x v="0"/>
    <n v="0"/>
    <n v="0"/>
    <n v="0"/>
    <x v="2"/>
  </r>
  <r>
    <x v="2"/>
    <x v="1"/>
    <x v="5"/>
    <x v="0"/>
    <x v="4"/>
    <x v="1"/>
    <x v="0"/>
    <n v="3.86"/>
    <n v="21604.07"/>
    <n v="56785.120000000003"/>
    <x v="2"/>
  </r>
  <r>
    <x v="2"/>
    <x v="1"/>
    <x v="5"/>
    <x v="0"/>
    <x v="5"/>
    <x v="1"/>
    <x v="0"/>
    <n v="2"/>
    <n v="11193.82"/>
    <n v="30223.34"/>
    <x v="2"/>
  </r>
  <r>
    <x v="2"/>
    <x v="1"/>
    <x v="5"/>
    <x v="0"/>
    <x v="6"/>
    <x v="1"/>
    <x v="0"/>
    <n v="0"/>
    <n v="0"/>
    <n v="0"/>
    <x v="2"/>
  </r>
  <r>
    <x v="2"/>
    <x v="1"/>
    <x v="5"/>
    <x v="0"/>
    <x v="7"/>
    <x v="1"/>
    <x v="0"/>
    <n v="0"/>
    <n v="0"/>
    <n v="0"/>
    <x v="2"/>
  </r>
  <r>
    <x v="2"/>
    <x v="1"/>
    <x v="5"/>
    <x v="0"/>
    <x v="8"/>
    <x v="1"/>
    <x v="0"/>
    <n v="0"/>
    <n v="0"/>
    <n v="0"/>
    <x v="2"/>
  </r>
  <r>
    <x v="2"/>
    <x v="1"/>
    <x v="5"/>
    <x v="1"/>
    <x v="30"/>
    <x v="1"/>
    <x v="0"/>
    <n v="1.58"/>
    <n v="8843.1200000000008"/>
    <n v="24954.799999999999"/>
    <x v="2"/>
  </r>
  <r>
    <x v="2"/>
    <x v="1"/>
    <x v="5"/>
    <x v="1"/>
    <x v="9"/>
    <x v="1"/>
    <x v="0"/>
    <n v="0"/>
    <n v="0"/>
    <n v="0"/>
    <x v="2"/>
  </r>
  <r>
    <x v="2"/>
    <x v="1"/>
    <x v="5"/>
    <x v="1"/>
    <x v="31"/>
    <x v="1"/>
    <x v="0"/>
    <n v="3.1"/>
    <n v="17350.419999999998"/>
    <n v="49435.6"/>
    <x v="2"/>
  </r>
  <r>
    <x v="2"/>
    <x v="1"/>
    <x v="5"/>
    <x v="1"/>
    <x v="10"/>
    <x v="1"/>
    <x v="0"/>
    <n v="6.13"/>
    <n v="34309.06"/>
    <n v="95937.43"/>
    <x v="2"/>
  </r>
  <r>
    <x v="2"/>
    <x v="1"/>
    <x v="5"/>
    <x v="1"/>
    <x v="11"/>
    <x v="1"/>
    <x v="0"/>
    <n v="5.47"/>
    <n v="30615.1"/>
    <n v="81711.02"/>
    <x v="2"/>
  </r>
  <r>
    <x v="2"/>
    <x v="1"/>
    <x v="5"/>
    <x v="1"/>
    <x v="12"/>
    <x v="1"/>
    <x v="0"/>
    <n v="0.93"/>
    <n v="5205.13"/>
    <n v="14599.92"/>
    <x v="2"/>
  </r>
  <r>
    <x v="2"/>
    <x v="1"/>
    <x v="5"/>
    <x v="1"/>
    <x v="13"/>
    <x v="1"/>
    <x v="0"/>
    <n v="6.43"/>
    <n v="35988.129999999997"/>
    <n v="100580.92"/>
    <x v="2"/>
  </r>
  <r>
    <x v="2"/>
    <x v="1"/>
    <x v="5"/>
    <x v="1"/>
    <x v="14"/>
    <x v="1"/>
    <x v="0"/>
    <n v="10.86"/>
    <n v="60782.44"/>
    <n v="166579.37"/>
    <x v="2"/>
  </r>
  <r>
    <x v="2"/>
    <x v="1"/>
    <x v="5"/>
    <x v="1"/>
    <x v="15"/>
    <x v="1"/>
    <x v="0"/>
    <n v="1.48"/>
    <n v="8283.43"/>
    <n v="23427.43"/>
    <x v="2"/>
  </r>
  <r>
    <x v="2"/>
    <x v="1"/>
    <x v="5"/>
    <x v="1"/>
    <x v="16"/>
    <x v="1"/>
    <x v="0"/>
    <n v="2.4"/>
    <n v="13432.58"/>
    <n v="36322.03"/>
    <x v="2"/>
  </r>
  <r>
    <x v="2"/>
    <x v="1"/>
    <x v="5"/>
    <x v="1"/>
    <x v="17"/>
    <x v="1"/>
    <x v="0"/>
    <n v="4.25"/>
    <n v="23786.87"/>
    <n v="64816.97"/>
    <x v="2"/>
  </r>
  <r>
    <x v="2"/>
    <x v="1"/>
    <x v="5"/>
    <x v="1"/>
    <x v="18"/>
    <x v="1"/>
    <x v="0"/>
    <n v="6.1"/>
    <n v="34141.15"/>
    <n v="97402.39"/>
    <x v="2"/>
  </r>
  <r>
    <x v="2"/>
    <x v="1"/>
    <x v="5"/>
    <x v="1"/>
    <x v="19"/>
    <x v="1"/>
    <x v="0"/>
    <n v="5.3"/>
    <n v="29663.62"/>
    <n v="82028.39"/>
    <x v="2"/>
  </r>
  <r>
    <x v="2"/>
    <x v="1"/>
    <x v="5"/>
    <x v="1"/>
    <x v="20"/>
    <x v="1"/>
    <x v="0"/>
    <n v="8.9600000000000009"/>
    <n v="50148.31"/>
    <n v="136361.64000000001"/>
    <x v="2"/>
  </r>
  <r>
    <x v="2"/>
    <x v="1"/>
    <x v="5"/>
    <x v="2"/>
    <x v="21"/>
    <x v="1"/>
    <x v="0"/>
    <n v="0"/>
    <n v="0"/>
    <n v="0"/>
    <x v="2"/>
  </r>
  <r>
    <x v="2"/>
    <x v="1"/>
    <x v="5"/>
    <x v="2"/>
    <x v="22"/>
    <x v="1"/>
    <x v="0"/>
    <n v="5.01"/>
    <n v="28040.52"/>
    <n v="70057.75"/>
    <x v="2"/>
  </r>
  <r>
    <x v="2"/>
    <x v="1"/>
    <x v="5"/>
    <x v="2"/>
    <x v="29"/>
    <x v="1"/>
    <x v="0"/>
    <n v="0"/>
    <n v="0"/>
    <n v="0"/>
    <x v="2"/>
  </r>
  <r>
    <x v="2"/>
    <x v="1"/>
    <x v="5"/>
    <x v="2"/>
    <x v="23"/>
    <x v="1"/>
    <x v="0"/>
    <n v="0"/>
    <n v="0"/>
    <n v="0"/>
    <x v="2"/>
  </r>
  <r>
    <x v="2"/>
    <x v="1"/>
    <x v="5"/>
    <x v="2"/>
    <x v="24"/>
    <x v="1"/>
    <x v="0"/>
    <n v="1.04"/>
    <n v="5820.79"/>
    <n v="14779.95"/>
    <x v="2"/>
  </r>
  <r>
    <x v="2"/>
    <x v="1"/>
    <x v="5"/>
    <x v="3"/>
    <x v="25"/>
    <x v="1"/>
    <x v="0"/>
    <n v="4.33"/>
    <n v="24234.62"/>
    <n v="68150.039999999994"/>
    <x v="2"/>
  </r>
  <r>
    <x v="2"/>
    <x v="1"/>
    <x v="5"/>
    <x v="3"/>
    <x v="26"/>
    <x v="1"/>
    <x v="0"/>
    <n v="4.6399999999999997"/>
    <n v="25969.66"/>
    <n v="73529.179999999993"/>
    <x v="2"/>
  </r>
  <r>
    <x v="2"/>
    <x v="1"/>
    <x v="5"/>
    <x v="3"/>
    <x v="27"/>
    <x v="1"/>
    <x v="0"/>
    <n v="10.31"/>
    <n v="57704.14"/>
    <n v="160248"/>
    <x v="2"/>
  </r>
  <r>
    <x v="2"/>
    <x v="1"/>
    <x v="5"/>
    <x v="0"/>
    <x v="0"/>
    <x v="1"/>
    <x v="1"/>
    <n v="6.03"/>
    <n v="33749.370000000003"/>
    <n v="90609.2"/>
    <x v="2"/>
  </r>
  <r>
    <x v="2"/>
    <x v="1"/>
    <x v="5"/>
    <x v="0"/>
    <x v="1"/>
    <x v="1"/>
    <x v="1"/>
    <n v="11.89"/>
    <n v="66547.259999999995"/>
    <n v="175582.33"/>
    <x v="2"/>
  </r>
  <r>
    <x v="2"/>
    <x v="1"/>
    <x v="5"/>
    <x v="0"/>
    <x v="2"/>
    <x v="1"/>
    <x v="1"/>
    <n v="9.42"/>
    <n v="52722.89"/>
    <n v="134386.25"/>
    <x v="2"/>
  </r>
  <r>
    <x v="2"/>
    <x v="1"/>
    <x v="5"/>
    <x v="0"/>
    <x v="3"/>
    <x v="1"/>
    <x v="1"/>
    <n v="20.84"/>
    <n v="116639.6"/>
    <n v="309219.03000000003"/>
    <x v="2"/>
  </r>
  <r>
    <x v="2"/>
    <x v="1"/>
    <x v="5"/>
    <x v="0"/>
    <x v="28"/>
    <x v="1"/>
    <x v="1"/>
    <n v="2.66"/>
    <n v="14887.78"/>
    <n v="40020.68"/>
    <x v="2"/>
  </r>
  <r>
    <x v="2"/>
    <x v="1"/>
    <x v="5"/>
    <x v="0"/>
    <x v="4"/>
    <x v="1"/>
    <x v="1"/>
    <n v="5.41"/>
    <n v="30279.279999999999"/>
    <n v="79499.16"/>
    <x v="2"/>
  </r>
  <r>
    <x v="2"/>
    <x v="1"/>
    <x v="5"/>
    <x v="0"/>
    <x v="5"/>
    <x v="1"/>
    <x v="1"/>
    <n v="16.420000000000002"/>
    <n v="91901.26"/>
    <n v="248503.02"/>
    <x v="2"/>
  </r>
  <r>
    <x v="2"/>
    <x v="1"/>
    <x v="5"/>
    <x v="0"/>
    <x v="6"/>
    <x v="1"/>
    <x v="1"/>
    <n v="0.98"/>
    <n v="5484.97"/>
    <n v="14842.1"/>
    <x v="2"/>
  </r>
  <r>
    <x v="2"/>
    <x v="1"/>
    <x v="5"/>
    <x v="0"/>
    <x v="7"/>
    <x v="1"/>
    <x v="1"/>
    <n v="3.02"/>
    <n v="16902.669999999998"/>
    <n v="46294.2"/>
    <x v="2"/>
  </r>
  <r>
    <x v="2"/>
    <x v="1"/>
    <x v="5"/>
    <x v="0"/>
    <x v="8"/>
    <x v="1"/>
    <x v="1"/>
    <n v="1.58"/>
    <n v="8843.1200000000008"/>
    <n v="23171.95"/>
    <x v="2"/>
  </r>
  <r>
    <x v="2"/>
    <x v="1"/>
    <x v="5"/>
    <x v="1"/>
    <x v="30"/>
    <x v="1"/>
    <x v="1"/>
    <n v="0"/>
    <n v="0"/>
    <n v="0"/>
    <x v="2"/>
  </r>
  <r>
    <x v="2"/>
    <x v="1"/>
    <x v="5"/>
    <x v="1"/>
    <x v="9"/>
    <x v="1"/>
    <x v="1"/>
    <n v="3.55"/>
    <n v="19869.03"/>
    <n v="56057.38"/>
    <x v="2"/>
  </r>
  <r>
    <x v="2"/>
    <x v="1"/>
    <x v="5"/>
    <x v="1"/>
    <x v="31"/>
    <x v="1"/>
    <x v="1"/>
    <n v="0"/>
    <n v="0"/>
    <n v="0"/>
    <x v="2"/>
  </r>
  <r>
    <x v="2"/>
    <x v="1"/>
    <x v="5"/>
    <x v="1"/>
    <x v="10"/>
    <x v="1"/>
    <x v="1"/>
    <n v="24.25"/>
    <n v="135725.07"/>
    <n v="379752.32"/>
    <x v="2"/>
  </r>
  <r>
    <x v="2"/>
    <x v="1"/>
    <x v="5"/>
    <x v="1"/>
    <x v="11"/>
    <x v="1"/>
    <x v="1"/>
    <n v="17.37"/>
    <n v="97218.33"/>
    <n v="259343.67"/>
    <x v="2"/>
  </r>
  <r>
    <x v="2"/>
    <x v="1"/>
    <x v="5"/>
    <x v="1"/>
    <x v="12"/>
    <x v="1"/>
    <x v="1"/>
    <n v="2.7"/>
    <n v="15111.66"/>
    <n v="42339.76"/>
    <x v="2"/>
  </r>
  <r>
    <x v="2"/>
    <x v="1"/>
    <x v="5"/>
    <x v="1"/>
    <x v="13"/>
    <x v="1"/>
    <x v="1"/>
    <n v="11.08"/>
    <n v="62013.760000000002"/>
    <n v="173308.66"/>
    <x v="2"/>
  </r>
  <r>
    <x v="2"/>
    <x v="1"/>
    <x v="5"/>
    <x v="1"/>
    <x v="14"/>
    <x v="1"/>
    <x v="1"/>
    <n v="5.25"/>
    <n v="29383.78"/>
    <n v="80602.92"/>
    <x v="2"/>
  </r>
  <r>
    <x v="2"/>
    <x v="1"/>
    <x v="5"/>
    <x v="1"/>
    <x v="15"/>
    <x v="1"/>
    <x v="1"/>
    <n v="1.48"/>
    <n v="8283.43"/>
    <n v="23427.43"/>
    <x v="2"/>
  </r>
  <r>
    <x v="2"/>
    <x v="1"/>
    <x v="5"/>
    <x v="1"/>
    <x v="16"/>
    <x v="1"/>
    <x v="1"/>
    <n v="4.6399999999999997"/>
    <n v="25969.66"/>
    <n v="70095.149999999994"/>
    <x v="2"/>
  </r>
  <r>
    <x v="2"/>
    <x v="1"/>
    <x v="5"/>
    <x v="1"/>
    <x v="17"/>
    <x v="1"/>
    <x v="1"/>
    <n v="3.7"/>
    <n v="20708.57"/>
    <n v="56362.58"/>
    <x v="2"/>
  </r>
  <r>
    <x v="2"/>
    <x v="1"/>
    <x v="5"/>
    <x v="1"/>
    <x v="18"/>
    <x v="1"/>
    <x v="1"/>
    <n v="24.33"/>
    <n v="136172.82"/>
    <n v="388275.27"/>
    <x v="2"/>
  </r>
  <r>
    <x v="2"/>
    <x v="1"/>
    <x v="5"/>
    <x v="1"/>
    <x v="19"/>
    <x v="1"/>
    <x v="1"/>
    <n v="7.89"/>
    <n v="44159.62"/>
    <n v="122110.45"/>
    <x v="2"/>
  </r>
  <r>
    <x v="2"/>
    <x v="1"/>
    <x v="5"/>
    <x v="1"/>
    <x v="20"/>
    <x v="1"/>
    <x v="1"/>
    <n v="17.420000000000002"/>
    <n v="97498.17"/>
    <n v="265147.64"/>
    <x v="2"/>
  </r>
  <r>
    <x v="2"/>
    <x v="1"/>
    <x v="5"/>
    <x v="2"/>
    <x v="21"/>
    <x v="1"/>
    <x v="1"/>
    <n v="1.92"/>
    <n v="10746.07"/>
    <n v="26915.74"/>
    <x v="2"/>
  </r>
  <r>
    <x v="2"/>
    <x v="1"/>
    <x v="5"/>
    <x v="2"/>
    <x v="22"/>
    <x v="1"/>
    <x v="1"/>
    <n v="10.52"/>
    <n v="58879.49"/>
    <n v="147121.28"/>
    <x v="2"/>
  </r>
  <r>
    <x v="2"/>
    <x v="1"/>
    <x v="5"/>
    <x v="2"/>
    <x v="29"/>
    <x v="1"/>
    <x v="1"/>
    <n v="0.72"/>
    <n v="4029.78"/>
    <n v="10738.91"/>
    <x v="2"/>
  </r>
  <r>
    <x v="2"/>
    <x v="1"/>
    <x v="5"/>
    <x v="2"/>
    <x v="23"/>
    <x v="1"/>
    <x v="1"/>
    <n v="1.91"/>
    <n v="10690.1"/>
    <n v="27817.35"/>
    <x v="2"/>
  </r>
  <r>
    <x v="2"/>
    <x v="1"/>
    <x v="5"/>
    <x v="2"/>
    <x v="24"/>
    <x v="1"/>
    <x v="1"/>
    <n v="1.6"/>
    <n v="8955.06"/>
    <n v="22841.73"/>
    <x v="2"/>
  </r>
  <r>
    <x v="2"/>
    <x v="1"/>
    <x v="5"/>
    <x v="3"/>
    <x v="25"/>
    <x v="1"/>
    <x v="1"/>
    <n v="7.69"/>
    <n v="43040.24"/>
    <n v="121001.09"/>
    <x v="2"/>
  </r>
  <r>
    <x v="2"/>
    <x v="1"/>
    <x v="5"/>
    <x v="3"/>
    <x v="26"/>
    <x v="1"/>
    <x v="1"/>
    <n v="11.21"/>
    <n v="62741.36"/>
    <n v="177579.92"/>
    <x v="2"/>
  </r>
  <r>
    <x v="2"/>
    <x v="1"/>
    <x v="5"/>
    <x v="3"/>
    <x v="27"/>
    <x v="1"/>
    <x v="1"/>
    <n v="27.21"/>
    <n v="152291.92000000001"/>
    <n v="422949.65"/>
    <x v="2"/>
  </r>
  <r>
    <x v="2"/>
    <x v="1"/>
    <x v="6"/>
    <x v="0"/>
    <x v="0"/>
    <x v="0"/>
    <x v="0"/>
    <n v="1.98"/>
    <n v="5257.43"/>
    <n v="18516.599999999999"/>
    <x v="2"/>
  </r>
  <r>
    <x v="2"/>
    <x v="1"/>
    <x v="6"/>
    <x v="0"/>
    <x v="1"/>
    <x v="0"/>
    <x v="0"/>
    <n v="2.75"/>
    <n v="7301.99"/>
    <n v="25749.68"/>
    <x v="2"/>
  </r>
  <r>
    <x v="2"/>
    <x v="1"/>
    <x v="6"/>
    <x v="0"/>
    <x v="2"/>
    <x v="0"/>
    <x v="0"/>
    <n v="0"/>
    <n v="0"/>
    <n v="0"/>
    <x v="2"/>
  </r>
  <r>
    <x v="2"/>
    <x v="1"/>
    <x v="6"/>
    <x v="0"/>
    <x v="3"/>
    <x v="0"/>
    <x v="0"/>
    <n v="1.34"/>
    <n v="3558.06"/>
    <n v="12520.71"/>
    <x v="2"/>
  </r>
  <r>
    <x v="2"/>
    <x v="1"/>
    <x v="6"/>
    <x v="0"/>
    <x v="4"/>
    <x v="0"/>
    <x v="0"/>
    <n v="0"/>
    <n v="0"/>
    <n v="0"/>
    <x v="2"/>
  </r>
  <r>
    <x v="2"/>
    <x v="1"/>
    <x v="6"/>
    <x v="0"/>
    <x v="5"/>
    <x v="0"/>
    <x v="0"/>
    <n v="0"/>
    <n v="0"/>
    <n v="0"/>
    <x v="2"/>
  </r>
  <r>
    <x v="2"/>
    <x v="1"/>
    <x v="6"/>
    <x v="0"/>
    <x v="6"/>
    <x v="0"/>
    <x v="0"/>
    <n v="0"/>
    <n v="0"/>
    <n v="0"/>
    <x v="2"/>
  </r>
  <r>
    <x v="2"/>
    <x v="1"/>
    <x v="6"/>
    <x v="0"/>
    <x v="8"/>
    <x v="0"/>
    <x v="0"/>
    <n v="0"/>
    <n v="0"/>
    <n v="0"/>
    <x v="2"/>
  </r>
  <r>
    <x v="2"/>
    <x v="1"/>
    <x v="6"/>
    <x v="1"/>
    <x v="10"/>
    <x v="0"/>
    <x v="0"/>
    <n v="2.4"/>
    <n v="6372.65"/>
    <n v="22500.33"/>
    <x v="2"/>
  </r>
  <r>
    <x v="2"/>
    <x v="1"/>
    <x v="6"/>
    <x v="1"/>
    <x v="11"/>
    <x v="0"/>
    <x v="0"/>
    <n v="0"/>
    <n v="0"/>
    <n v="0"/>
    <x v="2"/>
  </r>
  <r>
    <x v="2"/>
    <x v="1"/>
    <x v="6"/>
    <x v="1"/>
    <x v="13"/>
    <x v="0"/>
    <x v="0"/>
    <n v="0"/>
    <n v="0"/>
    <n v="0"/>
    <x v="2"/>
  </r>
  <r>
    <x v="2"/>
    <x v="1"/>
    <x v="6"/>
    <x v="1"/>
    <x v="14"/>
    <x v="0"/>
    <x v="0"/>
    <n v="0"/>
    <n v="0"/>
    <n v="0"/>
    <x v="2"/>
  </r>
  <r>
    <x v="2"/>
    <x v="1"/>
    <x v="6"/>
    <x v="1"/>
    <x v="16"/>
    <x v="0"/>
    <x v="0"/>
    <n v="0"/>
    <n v="0"/>
    <n v="0"/>
    <x v="2"/>
  </r>
  <r>
    <x v="2"/>
    <x v="1"/>
    <x v="6"/>
    <x v="1"/>
    <x v="17"/>
    <x v="0"/>
    <x v="0"/>
    <n v="0"/>
    <n v="0"/>
    <n v="0"/>
    <x v="2"/>
  </r>
  <r>
    <x v="2"/>
    <x v="1"/>
    <x v="6"/>
    <x v="1"/>
    <x v="18"/>
    <x v="0"/>
    <x v="0"/>
    <n v="0"/>
    <n v="0"/>
    <n v="0"/>
    <x v="2"/>
  </r>
  <r>
    <x v="2"/>
    <x v="1"/>
    <x v="6"/>
    <x v="1"/>
    <x v="19"/>
    <x v="0"/>
    <x v="0"/>
    <n v="0"/>
    <n v="0"/>
    <n v="0"/>
    <x v="2"/>
  </r>
  <r>
    <x v="2"/>
    <x v="1"/>
    <x v="6"/>
    <x v="1"/>
    <x v="20"/>
    <x v="0"/>
    <x v="0"/>
    <n v="1.27"/>
    <n v="3372.19"/>
    <n v="11914.27"/>
    <x v="2"/>
  </r>
  <r>
    <x v="2"/>
    <x v="1"/>
    <x v="6"/>
    <x v="2"/>
    <x v="21"/>
    <x v="0"/>
    <x v="0"/>
    <n v="1.1599999999999999"/>
    <n v="3080.11"/>
    <n v="10835.94"/>
    <x v="2"/>
  </r>
  <r>
    <x v="2"/>
    <x v="1"/>
    <x v="6"/>
    <x v="2"/>
    <x v="22"/>
    <x v="0"/>
    <x v="0"/>
    <n v="0"/>
    <n v="0"/>
    <n v="0"/>
    <x v="2"/>
  </r>
  <r>
    <x v="2"/>
    <x v="1"/>
    <x v="6"/>
    <x v="2"/>
    <x v="29"/>
    <x v="0"/>
    <x v="0"/>
    <n v="0"/>
    <n v="0"/>
    <n v="0"/>
    <x v="2"/>
  </r>
  <r>
    <x v="2"/>
    <x v="1"/>
    <x v="6"/>
    <x v="2"/>
    <x v="24"/>
    <x v="0"/>
    <x v="0"/>
    <n v="0"/>
    <n v="0"/>
    <n v="0"/>
    <x v="2"/>
  </r>
  <r>
    <x v="2"/>
    <x v="1"/>
    <x v="6"/>
    <x v="3"/>
    <x v="25"/>
    <x v="0"/>
    <x v="0"/>
    <n v="0"/>
    <n v="0"/>
    <n v="0"/>
    <x v="2"/>
  </r>
  <r>
    <x v="2"/>
    <x v="1"/>
    <x v="6"/>
    <x v="3"/>
    <x v="26"/>
    <x v="0"/>
    <x v="0"/>
    <n v="1.37"/>
    <n v="3637.72"/>
    <n v="12826.95"/>
    <x v="2"/>
  </r>
  <r>
    <x v="2"/>
    <x v="1"/>
    <x v="6"/>
    <x v="3"/>
    <x v="27"/>
    <x v="0"/>
    <x v="0"/>
    <n v="1.41"/>
    <n v="3743.93"/>
    <n v="13241.75"/>
    <x v="2"/>
  </r>
  <r>
    <x v="2"/>
    <x v="1"/>
    <x v="6"/>
    <x v="0"/>
    <x v="0"/>
    <x v="0"/>
    <x v="1"/>
    <n v="1.55"/>
    <n v="4115.67"/>
    <n v="14491.25"/>
    <x v="2"/>
  </r>
  <r>
    <x v="2"/>
    <x v="1"/>
    <x v="6"/>
    <x v="0"/>
    <x v="1"/>
    <x v="0"/>
    <x v="1"/>
    <n v="5.75"/>
    <n v="15267.8"/>
    <n v="53888.51"/>
    <x v="2"/>
  </r>
  <r>
    <x v="2"/>
    <x v="1"/>
    <x v="6"/>
    <x v="0"/>
    <x v="2"/>
    <x v="0"/>
    <x v="1"/>
    <n v="3"/>
    <n v="7965.81"/>
    <n v="28058.29"/>
    <x v="2"/>
  </r>
  <r>
    <x v="2"/>
    <x v="1"/>
    <x v="6"/>
    <x v="0"/>
    <x v="3"/>
    <x v="0"/>
    <x v="1"/>
    <n v="5.35"/>
    <n v="14205.69"/>
    <n v="50082.84"/>
    <x v="2"/>
  </r>
  <r>
    <x v="2"/>
    <x v="1"/>
    <x v="6"/>
    <x v="0"/>
    <x v="4"/>
    <x v="0"/>
    <x v="1"/>
    <n v="1.75"/>
    <n v="4646.72"/>
    <n v="16403.560000000001"/>
    <x v="2"/>
  </r>
  <r>
    <x v="2"/>
    <x v="1"/>
    <x v="6"/>
    <x v="0"/>
    <x v="5"/>
    <x v="0"/>
    <x v="1"/>
    <n v="3.48"/>
    <n v="9240.34"/>
    <n v="32628.9"/>
    <x v="2"/>
  </r>
  <r>
    <x v="2"/>
    <x v="1"/>
    <x v="6"/>
    <x v="0"/>
    <x v="6"/>
    <x v="0"/>
    <x v="1"/>
    <n v="1.69"/>
    <n v="4487.41"/>
    <n v="15873.99"/>
    <x v="2"/>
  </r>
  <r>
    <x v="2"/>
    <x v="1"/>
    <x v="6"/>
    <x v="0"/>
    <x v="8"/>
    <x v="0"/>
    <x v="1"/>
    <n v="2.5"/>
    <n v="6638.18"/>
    <n v="23422.91"/>
    <x v="2"/>
  </r>
  <r>
    <x v="2"/>
    <x v="1"/>
    <x v="6"/>
    <x v="1"/>
    <x v="10"/>
    <x v="0"/>
    <x v="1"/>
    <n v="3.38"/>
    <n v="8974.81"/>
    <n v="31667.13"/>
    <x v="2"/>
  </r>
  <r>
    <x v="2"/>
    <x v="1"/>
    <x v="6"/>
    <x v="1"/>
    <x v="11"/>
    <x v="0"/>
    <x v="1"/>
    <n v="12.88"/>
    <n v="34199.879999999997"/>
    <n v="120630.11"/>
    <x v="2"/>
  </r>
  <r>
    <x v="2"/>
    <x v="1"/>
    <x v="6"/>
    <x v="1"/>
    <x v="13"/>
    <x v="0"/>
    <x v="1"/>
    <n v="3.52"/>
    <n v="9346.5499999999993"/>
    <n v="32938.07"/>
    <x v="2"/>
  </r>
  <r>
    <x v="2"/>
    <x v="1"/>
    <x v="6"/>
    <x v="1"/>
    <x v="14"/>
    <x v="0"/>
    <x v="1"/>
    <n v="1.32"/>
    <n v="3504.96"/>
    <n v="12350.52"/>
    <x v="2"/>
  </r>
  <r>
    <x v="2"/>
    <x v="1"/>
    <x v="6"/>
    <x v="1"/>
    <x v="16"/>
    <x v="0"/>
    <x v="1"/>
    <n v="1.64"/>
    <n v="4354.6400000000003"/>
    <n v="15352.46"/>
    <x v="2"/>
  </r>
  <r>
    <x v="2"/>
    <x v="1"/>
    <x v="6"/>
    <x v="1"/>
    <x v="17"/>
    <x v="0"/>
    <x v="1"/>
    <n v="3.85"/>
    <n v="10222.790000000001"/>
    <n v="36075.69"/>
    <x v="2"/>
  </r>
  <r>
    <x v="2"/>
    <x v="1"/>
    <x v="6"/>
    <x v="1"/>
    <x v="18"/>
    <x v="0"/>
    <x v="1"/>
    <n v="9.43"/>
    <n v="25039.200000000001"/>
    <n v="88342.49"/>
    <x v="2"/>
  </r>
  <r>
    <x v="2"/>
    <x v="1"/>
    <x v="6"/>
    <x v="1"/>
    <x v="19"/>
    <x v="0"/>
    <x v="1"/>
    <n v="3.09"/>
    <n v="8204.7800000000007"/>
    <n v="28930.16"/>
    <x v="2"/>
  </r>
  <r>
    <x v="2"/>
    <x v="1"/>
    <x v="6"/>
    <x v="1"/>
    <x v="20"/>
    <x v="0"/>
    <x v="1"/>
    <n v="7.99"/>
    <n v="21215.61"/>
    <n v="74889.72"/>
    <x v="2"/>
  </r>
  <r>
    <x v="2"/>
    <x v="1"/>
    <x v="6"/>
    <x v="2"/>
    <x v="21"/>
    <x v="0"/>
    <x v="1"/>
    <n v="0"/>
    <n v="0"/>
    <n v="0"/>
    <x v="2"/>
  </r>
  <r>
    <x v="2"/>
    <x v="1"/>
    <x v="6"/>
    <x v="2"/>
    <x v="22"/>
    <x v="0"/>
    <x v="1"/>
    <n v="2.68"/>
    <n v="7116.12"/>
    <n v="25075.91"/>
    <x v="2"/>
  </r>
  <r>
    <x v="2"/>
    <x v="1"/>
    <x v="6"/>
    <x v="2"/>
    <x v="29"/>
    <x v="0"/>
    <x v="1"/>
    <n v="1.1000000000000001"/>
    <n v="2920.8"/>
    <n v="10292.85"/>
    <x v="2"/>
  </r>
  <r>
    <x v="2"/>
    <x v="1"/>
    <x v="6"/>
    <x v="2"/>
    <x v="24"/>
    <x v="0"/>
    <x v="1"/>
    <n v="1.32"/>
    <n v="3504.96"/>
    <n v="12340.69"/>
    <x v="2"/>
  </r>
  <r>
    <x v="2"/>
    <x v="1"/>
    <x v="6"/>
    <x v="3"/>
    <x v="25"/>
    <x v="0"/>
    <x v="1"/>
    <n v="2.4900000000000002"/>
    <n v="6611.62"/>
    <n v="23367.62"/>
    <x v="2"/>
  </r>
  <r>
    <x v="2"/>
    <x v="1"/>
    <x v="6"/>
    <x v="3"/>
    <x v="26"/>
    <x v="0"/>
    <x v="1"/>
    <n v="0.94"/>
    <n v="2495.9499999999998"/>
    <n v="8818.5300000000007"/>
    <x v="2"/>
  </r>
  <r>
    <x v="2"/>
    <x v="1"/>
    <x v="6"/>
    <x v="3"/>
    <x v="27"/>
    <x v="0"/>
    <x v="1"/>
    <n v="6.98"/>
    <n v="18533.78"/>
    <n v="65381.13"/>
    <x v="2"/>
  </r>
  <r>
    <x v="2"/>
    <x v="1"/>
    <x v="6"/>
    <x v="0"/>
    <x v="0"/>
    <x v="1"/>
    <x v="0"/>
    <n v="7.11"/>
    <n v="18878.97"/>
    <n v="43580.95"/>
    <x v="2"/>
  </r>
  <r>
    <x v="2"/>
    <x v="1"/>
    <x v="6"/>
    <x v="0"/>
    <x v="1"/>
    <x v="1"/>
    <x v="0"/>
    <n v="10.73"/>
    <n v="28491.05"/>
    <n v="64651.17"/>
    <x v="2"/>
  </r>
  <r>
    <x v="2"/>
    <x v="1"/>
    <x v="6"/>
    <x v="0"/>
    <x v="2"/>
    <x v="1"/>
    <x v="0"/>
    <n v="2.84"/>
    <n v="7540.97"/>
    <n v="16526.46"/>
    <x v="2"/>
  </r>
  <r>
    <x v="2"/>
    <x v="1"/>
    <x v="6"/>
    <x v="0"/>
    <x v="3"/>
    <x v="1"/>
    <x v="0"/>
    <n v="9.7799999999999994"/>
    <n v="25968.54"/>
    <n v="59204.87"/>
    <x v="2"/>
  </r>
  <r>
    <x v="2"/>
    <x v="1"/>
    <x v="6"/>
    <x v="0"/>
    <x v="28"/>
    <x v="1"/>
    <x v="0"/>
    <n v="0"/>
    <n v="0"/>
    <n v="0"/>
    <x v="2"/>
  </r>
  <r>
    <x v="2"/>
    <x v="1"/>
    <x v="6"/>
    <x v="0"/>
    <x v="4"/>
    <x v="1"/>
    <x v="0"/>
    <n v="5.43"/>
    <n v="14418.12"/>
    <n v="32547.32"/>
    <x v="2"/>
  </r>
  <r>
    <x v="2"/>
    <x v="1"/>
    <x v="6"/>
    <x v="0"/>
    <x v="5"/>
    <x v="1"/>
    <x v="0"/>
    <n v="2.69"/>
    <n v="7142.68"/>
    <n v="16612.96"/>
    <x v="2"/>
  </r>
  <r>
    <x v="2"/>
    <x v="1"/>
    <x v="6"/>
    <x v="0"/>
    <x v="6"/>
    <x v="1"/>
    <x v="0"/>
    <n v="0"/>
    <n v="0"/>
    <n v="0"/>
    <x v="2"/>
  </r>
  <r>
    <x v="2"/>
    <x v="1"/>
    <x v="6"/>
    <x v="0"/>
    <x v="7"/>
    <x v="1"/>
    <x v="0"/>
    <n v="0"/>
    <n v="0"/>
    <n v="0"/>
    <x v="2"/>
  </r>
  <r>
    <x v="2"/>
    <x v="1"/>
    <x v="6"/>
    <x v="0"/>
    <x v="8"/>
    <x v="1"/>
    <x v="0"/>
    <n v="0"/>
    <n v="0"/>
    <n v="0"/>
    <x v="2"/>
  </r>
  <r>
    <x v="2"/>
    <x v="1"/>
    <x v="6"/>
    <x v="1"/>
    <x v="30"/>
    <x v="1"/>
    <x v="0"/>
    <n v="1.0900000000000001"/>
    <n v="2894.24"/>
    <n v="7055.26"/>
    <x v="2"/>
  </r>
  <r>
    <x v="2"/>
    <x v="1"/>
    <x v="6"/>
    <x v="1"/>
    <x v="9"/>
    <x v="1"/>
    <x v="0"/>
    <n v="0"/>
    <n v="0"/>
    <n v="0"/>
    <x v="2"/>
  </r>
  <r>
    <x v="2"/>
    <x v="1"/>
    <x v="6"/>
    <x v="1"/>
    <x v="31"/>
    <x v="1"/>
    <x v="0"/>
    <n v="0.89"/>
    <n v="2363.19"/>
    <n v="5798.81"/>
    <x v="2"/>
  </r>
  <r>
    <x v="2"/>
    <x v="1"/>
    <x v="6"/>
    <x v="1"/>
    <x v="10"/>
    <x v="1"/>
    <x v="0"/>
    <n v="9.14"/>
    <n v="24269.17"/>
    <n v="58364.44"/>
    <x v="2"/>
  </r>
  <r>
    <x v="2"/>
    <x v="1"/>
    <x v="6"/>
    <x v="1"/>
    <x v="11"/>
    <x v="1"/>
    <x v="0"/>
    <n v="6.85"/>
    <n v="18188.599999999999"/>
    <n v="41723.449999999997"/>
    <x v="2"/>
  </r>
  <r>
    <x v="2"/>
    <x v="1"/>
    <x v="6"/>
    <x v="1"/>
    <x v="12"/>
    <x v="1"/>
    <x v="0"/>
    <n v="1.89"/>
    <n v="5018.46"/>
    <n v="12112.98"/>
    <x v="2"/>
  </r>
  <r>
    <x v="2"/>
    <x v="1"/>
    <x v="6"/>
    <x v="1"/>
    <x v="13"/>
    <x v="1"/>
    <x v="0"/>
    <n v="1.42"/>
    <n v="3770.48"/>
    <n v="9088.49"/>
    <x v="2"/>
  </r>
  <r>
    <x v="2"/>
    <x v="1"/>
    <x v="6"/>
    <x v="1"/>
    <x v="14"/>
    <x v="1"/>
    <x v="0"/>
    <n v="9.86"/>
    <n v="26180.959999999999"/>
    <n v="61678.45"/>
    <x v="2"/>
  </r>
  <r>
    <x v="2"/>
    <x v="1"/>
    <x v="6"/>
    <x v="1"/>
    <x v="15"/>
    <x v="1"/>
    <x v="0"/>
    <n v="2.08"/>
    <n v="5522.96"/>
    <n v="13449.23"/>
    <x v="2"/>
  </r>
  <r>
    <x v="2"/>
    <x v="1"/>
    <x v="6"/>
    <x v="1"/>
    <x v="16"/>
    <x v="1"/>
    <x v="0"/>
    <n v="3.86"/>
    <n v="10249.34"/>
    <n v="23766.14"/>
    <x v="2"/>
  </r>
  <r>
    <x v="2"/>
    <x v="1"/>
    <x v="6"/>
    <x v="1"/>
    <x v="17"/>
    <x v="1"/>
    <x v="0"/>
    <n v="4.04"/>
    <n v="10727.29"/>
    <n v="25101.83"/>
    <x v="2"/>
  </r>
  <r>
    <x v="2"/>
    <x v="1"/>
    <x v="6"/>
    <x v="1"/>
    <x v="18"/>
    <x v="1"/>
    <x v="0"/>
    <n v="5.57"/>
    <n v="14789.85"/>
    <n v="36293.440000000002"/>
    <x v="2"/>
  </r>
  <r>
    <x v="2"/>
    <x v="1"/>
    <x v="6"/>
    <x v="1"/>
    <x v="19"/>
    <x v="1"/>
    <x v="0"/>
    <n v="8.5299999999999994"/>
    <n v="22649.45"/>
    <n v="53875.8"/>
    <x v="2"/>
  </r>
  <r>
    <x v="2"/>
    <x v="1"/>
    <x v="6"/>
    <x v="1"/>
    <x v="20"/>
    <x v="1"/>
    <x v="0"/>
    <n v="9.86"/>
    <n v="26180.959999999999"/>
    <n v="61257.43"/>
    <x v="2"/>
  </r>
  <r>
    <x v="2"/>
    <x v="1"/>
    <x v="6"/>
    <x v="2"/>
    <x v="21"/>
    <x v="1"/>
    <x v="0"/>
    <n v="0"/>
    <n v="0"/>
    <n v="0"/>
    <x v="2"/>
  </r>
  <r>
    <x v="2"/>
    <x v="1"/>
    <x v="6"/>
    <x v="2"/>
    <x v="22"/>
    <x v="1"/>
    <x v="0"/>
    <n v="4.75"/>
    <n v="12612.53"/>
    <n v="27105.42"/>
    <x v="2"/>
  </r>
  <r>
    <x v="2"/>
    <x v="1"/>
    <x v="6"/>
    <x v="2"/>
    <x v="29"/>
    <x v="1"/>
    <x v="0"/>
    <n v="0"/>
    <n v="0"/>
    <n v="0"/>
    <x v="2"/>
  </r>
  <r>
    <x v="2"/>
    <x v="1"/>
    <x v="6"/>
    <x v="2"/>
    <x v="23"/>
    <x v="1"/>
    <x v="0"/>
    <n v="0"/>
    <n v="0"/>
    <n v="0"/>
    <x v="2"/>
  </r>
  <r>
    <x v="2"/>
    <x v="1"/>
    <x v="6"/>
    <x v="2"/>
    <x v="24"/>
    <x v="1"/>
    <x v="0"/>
    <n v="2.0299999999999998"/>
    <n v="5390.2"/>
    <n v="11798.9"/>
    <x v="2"/>
  </r>
  <r>
    <x v="2"/>
    <x v="1"/>
    <x v="6"/>
    <x v="3"/>
    <x v="25"/>
    <x v="1"/>
    <x v="0"/>
    <n v="4.2699999999999996"/>
    <n v="11338"/>
    <n v="27411.43"/>
    <x v="2"/>
  </r>
  <r>
    <x v="2"/>
    <x v="1"/>
    <x v="6"/>
    <x v="3"/>
    <x v="26"/>
    <x v="1"/>
    <x v="0"/>
    <n v="2.74"/>
    <n v="7275.44"/>
    <n v="17687.11"/>
    <x v="2"/>
  </r>
  <r>
    <x v="2"/>
    <x v="1"/>
    <x v="6"/>
    <x v="3"/>
    <x v="27"/>
    <x v="1"/>
    <x v="0"/>
    <n v="9.2200000000000006"/>
    <n v="24481.59"/>
    <n v="58500.56"/>
    <x v="2"/>
  </r>
  <r>
    <x v="2"/>
    <x v="1"/>
    <x v="6"/>
    <x v="0"/>
    <x v="0"/>
    <x v="1"/>
    <x v="1"/>
    <n v="10.23"/>
    <n v="27163.41"/>
    <n v="62647.61"/>
    <x v="2"/>
  </r>
  <r>
    <x v="2"/>
    <x v="1"/>
    <x v="6"/>
    <x v="0"/>
    <x v="1"/>
    <x v="1"/>
    <x v="1"/>
    <n v="19.18"/>
    <n v="50928.08"/>
    <n v="115516.42"/>
    <x v="2"/>
  </r>
  <r>
    <x v="2"/>
    <x v="1"/>
    <x v="6"/>
    <x v="0"/>
    <x v="2"/>
    <x v="1"/>
    <x v="1"/>
    <n v="11.62"/>
    <n v="30854.240000000002"/>
    <n v="67608.25"/>
    <x v="2"/>
  </r>
  <r>
    <x v="2"/>
    <x v="1"/>
    <x v="6"/>
    <x v="0"/>
    <x v="3"/>
    <x v="1"/>
    <x v="1"/>
    <n v="21.59"/>
    <n v="57327.28"/>
    <n v="130659.03"/>
    <x v="2"/>
  </r>
  <r>
    <x v="2"/>
    <x v="1"/>
    <x v="6"/>
    <x v="0"/>
    <x v="28"/>
    <x v="1"/>
    <x v="1"/>
    <n v="4.29"/>
    <n v="11391.11"/>
    <n v="26276.69"/>
    <x v="2"/>
  </r>
  <r>
    <x v="2"/>
    <x v="1"/>
    <x v="6"/>
    <x v="0"/>
    <x v="4"/>
    <x v="1"/>
    <x v="1"/>
    <n v="10.66"/>
    <n v="28305.18"/>
    <n v="63889.18"/>
    <x v="2"/>
  </r>
  <r>
    <x v="2"/>
    <x v="1"/>
    <x v="6"/>
    <x v="0"/>
    <x v="5"/>
    <x v="1"/>
    <x v="1"/>
    <n v="14.67"/>
    <n v="38952.81"/>
    <n v="90567.45"/>
    <x v="2"/>
  </r>
  <r>
    <x v="2"/>
    <x v="1"/>
    <x v="6"/>
    <x v="0"/>
    <x v="6"/>
    <x v="1"/>
    <x v="1"/>
    <n v="2.08"/>
    <n v="5522.96"/>
    <n v="12802.14"/>
    <x v="2"/>
  </r>
  <r>
    <x v="2"/>
    <x v="1"/>
    <x v="6"/>
    <x v="0"/>
    <x v="7"/>
    <x v="1"/>
    <x v="1"/>
    <n v="2.41"/>
    <n v="6399.2"/>
    <n v="15111.43"/>
    <x v="2"/>
  </r>
  <r>
    <x v="2"/>
    <x v="1"/>
    <x v="6"/>
    <x v="0"/>
    <x v="8"/>
    <x v="1"/>
    <x v="1"/>
    <n v="3.66"/>
    <n v="9718.2900000000009"/>
    <n v="21824.71"/>
    <x v="2"/>
  </r>
  <r>
    <x v="2"/>
    <x v="1"/>
    <x v="6"/>
    <x v="1"/>
    <x v="30"/>
    <x v="1"/>
    <x v="1"/>
    <n v="0"/>
    <n v="0"/>
    <n v="0"/>
    <x v="2"/>
  </r>
  <r>
    <x v="2"/>
    <x v="1"/>
    <x v="6"/>
    <x v="1"/>
    <x v="9"/>
    <x v="1"/>
    <x v="1"/>
    <n v="4.05"/>
    <n v="10753.84"/>
    <n v="26111.31"/>
    <x v="2"/>
  </r>
  <r>
    <x v="2"/>
    <x v="1"/>
    <x v="6"/>
    <x v="1"/>
    <x v="31"/>
    <x v="1"/>
    <x v="1"/>
    <n v="0"/>
    <n v="0"/>
    <n v="0"/>
    <x v="2"/>
  </r>
  <r>
    <x v="2"/>
    <x v="1"/>
    <x v="6"/>
    <x v="1"/>
    <x v="10"/>
    <x v="1"/>
    <x v="1"/>
    <n v="22.8"/>
    <n v="60540.160000000003"/>
    <n v="145643.38"/>
    <x v="2"/>
  </r>
  <r>
    <x v="2"/>
    <x v="1"/>
    <x v="6"/>
    <x v="1"/>
    <x v="11"/>
    <x v="1"/>
    <x v="1"/>
    <n v="23.35"/>
    <n v="62000.55"/>
    <n v="142168.79"/>
    <x v="2"/>
  </r>
  <r>
    <x v="2"/>
    <x v="1"/>
    <x v="6"/>
    <x v="1"/>
    <x v="12"/>
    <x v="1"/>
    <x v="1"/>
    <n v="1.79"/>
    <n v="4752.93"/>
    <n v="11475.45"/>
    <x v="2"/>
  </r>
  <r>
    <x v="2"/>
    <x v="1"/>
    <x v="6"/>
    <x v="1"/>
    <x v="13"/>
    <x v="1"/>
    <x v="1"/>
    <n v="11.9"/>
    <n v="31597.71"/>
    <n v="75915.649999999994"/>
    <x v="2"/>
  </r>
  <r>
    <x v="2"/>
    <x v="1"/>
    <x v="6"/>
    <x v="1"/>
    <x v="14"/>
    <x v="1"/>
    <x v="1"/>
    <n v="7.65"/>
    <n v="20312.82"/>
    <n v="47853.97"/>
    <x v="2"/>
  </r>
  <r>
    <x v="2"/>
    <x v="1"/>
    <x v="6"/>
    <x v="1"/>
    <x v="15"/>
    <x v="1"/>
    <x v="1"/>
    <n v="1.64"/>
    <n v="4354.6400000000003"/>
    <n v="10647.31"/>
    <x v="2"/>
  </r>
  <r>
    <x v="2"/>
    <x v="1"/>
    <x v="6"/>
    <x v="1"/>
    <x v="16"/>
    <x v="1"/>
    <x v="1"/>
    <n v="8.3000000000000007"/>
    <n v="22038.74"/>
    <n v="51148.88"/>
    <x v="2"/>
  </r>
  <r>
    <x v="2"/>
    <x v="1"/>
    <x v="6"/>
    <x v="1"/>
    <x v="17"/>
    <x v="1"/>
    <x v="1"/>
    <n v="3.43"/>
    <n v="9107.58"/>
    <n v="21363.26"/>
    <x v="2"/>
  </r>
  <r>
    <x v="2"/>
    <x v="1"/>
    <x v="6"/>
    <x v="1"/>
    <x v="18"/>
    <x v="1"/>
    <x v="1"/>
    <n v="20.58"/>
    <n v="54645.46"/>
    <n v="133965.5"/>
    <x v="2"/>
  </r>
  <r>
    <x v="2"/>
    <x v="1"/>
    <x v="6"/>
    <x v="1"/>
    <x v="19"/>
    <x v="1"/>
    <x v="1"/>
    <n v="13.94"/>
    <n v="37014.46"/>
    <n v="88014.92"/>
    <x v="2"/>
  </r>
  <r>
    <x v="2"/>
    <x v="1"/>
    <x v="6"/>
    <x v="1"/>
    <x v="20"/>
    <x v="1"/>
    <x v="1"/>
    <n v="21.41"/>
    <n v="56849.33"/>
    <n v="132986.22"/>
    <x v="2"/>
  </r>
  <r>
    <x v="2"/>
    <x v="1"/>
    <x v="6"/>
    <x v="2"/>
    <x v="21"/>
    <x v="1"/>
    <x v="1"/>
    <n v="1.76"/>
    <n v="4673.28"/>
    <n v="10046.93"/>
    <x v="2"/>
  </r>
  <r>
    <x v="2"/>
    <x v="1"/>
    <x v="6"/>
    <x v="2"/>
    <x v="22"/>
    <x v="1"/>
    <x v="1"/>
    <n v="10.34"/>
    <n v="27455.49"/>
    <n v="58994.16"/>
    <x v="2"/>
  </r>
  <r>
    <x v="2"/>
    <x v="1"/>
    <x v="6"/>
    <x v="2"/>
    <x v="29"/>
    <x v="1"/>
    <x v="1"/>
    <n v="2.4700000000000002"/>
    <n v="6558.52"/>
    <n v="14993.03"/>
    <x v="2"/>
  </r>
  <r>
    <x v="2"/>
    <x v="1"/>
    <x v="6"/>
    <x v="2"/>
    <x v="23"/>
    <x v="1"/>
    <x v="1"/>
    <n v="1.94"/>
    <n v="5151.22"/>
    <n v="11523.33"/>
    <x v="2"/>
  </r>
  <r>
    <x v="2"/>
    <x v="1"/>
    <x v="6"/>
    <x v="2"/>
    <x v="24"/>
    <x v="1"/>
    <x v="1"/>
    <n v="1.27"/>
    <n v="3372.19"/>
    <n v="7374.31"/>
    <x v="2"/>
  </r>
  <r>
    <x v="2"/>
    <x v="1"/>
    <x v="6"/>
    <x v="3"/>
    <x v="25"/>
    <x v="1"/>
    <x v="1"/>
    <n v="8.09"/>
    <n v="21481.13"/>
    <n v="51906.74"/>
    <x v="2"/>
  </r>
  <r>
    <x v="2"/>
    <x v="1"/>
    <x v="6"/>
    <x v="3"/>
    <x v="26"/>
    <x v="1"/>
    <x v="1"/>
    <n v="13.59"/>
    <n v="36085.120000000003"/>
    <n v="87864.98"/>
    <x v="2"/>
  </r>
  <r>
    <x v="2"/>
    <x v="1"/>
    <x v="6"/>
    <x v="3"/>
    <x v="27"/>
    <x v="1"/>
    <x v="1"/>
    <n v="27.24"/>
    <n v="72329.55"/>
    <n v="172742.23"/>
    <x v="2"/>
  </r>
  <r>
    <x v="2"/>
    <x v="1"/>
    <x v="7"/>
    <x v="0"/>
    <x v="0"/>
    <x v="0"/>
    <x v="0"/>
    <n v="1.51"/>
    <n v="7170.6"/>
    <n v="27908.78"/>
    <x v="2"/>
  </r>
  <r>
    <x v="2"/>
    <x v="1"/>
    <x v="7"/>
    <x v="0"/>
    <x v="1"/>
    <x v="0"/>
    <x v="0"/>
    <n v="3.12"/>
    <n v="14816.07"/>
    <n v="57866.43"/>
    <x v="2"/>
  </r>
  <r>
    <x v="2"/>
    <x v="1"/>
    <x v="7"/>
    <x v="0"/>
    <x v="2"/>
    <x v="0"/>
    <x v="0"/>
    <n v="0"/>
    <n v="0"/>
    <n v="0"/>
    <x v="2"/>
  </r>
  <r>
    <x v="2"/>
    <x v="1"/>
    <x v="7"/>
    <x v="0"/>
    <x v="3"/>
    <x v="0"/>
    <x v="0"/>
    <n v="2.0499999999999998"/>
    <n v="9734.92"/>
    <n v="37982.86"/>
    <x v="2"/>
  </r>
  <r>
    <x v="2"/>
    <x v="1"/>
    <x v="7"/>
    <x v="0"/>
    <x v="4"/>
    <x v="0"/>
    <x v="0"/>
    <n v="0"/>
    <n v="0"/>
    <n v="0"/>
    <x v="2"/>
  </r>
  <r>
    <x v="2"/>
    <x v="1"/>
    <x v="7"/>
    <x v="0"/>
    <x v="5"/>
    <x v="0"/>
    <x v="0"/>
    <n v="0"/>
    <n v="0"/>
    <n v="0"/>
    <x v="2"/>
  </r>
  <r>
    <x v="2"/>
    <x v="1"/>
    <x v="7"/>
    <x v="0"/>
    <x v="6"/>
    <x v="0"/>
    <x v="0"/>
    <n v="0"/>
    <n v="0"/>
    <n v="0"/>
    <x v="2"/>
  </r>
  <r>
    <x v="2"/>
    <x v="1"/>
    <x v="7"/>
    <x v="0"/>
    <x v="8"/>
    <x v="0"/>
    <x v="0"/>
    <n v="0"/>
    <n v="0"/>
    <n v="0"/>
    <x v="2"/>
  </r>
  <r>
    <x v="2"/>
    <x v="1"/>
    <x v="7"/>
    <x v="1"/>
    <x v="10"/>
    <x v="0"/>
    <x v="0"/>
    <n v="0.9"/>
    <n v="4273.87"/>
    <n v="16652.55"/>
    <x v="2"/>
  </r>
  <r>
    <x v="2"/>
    <x v="1"/>
    <x v="7"/>
    <x v="1"/>
    <x v="11"/>
    <x v="0"/>
    <x v="0"/>
    <n v="0"/>
    <n v="0"/>
    <n v="0"/>
    <x v="2"/>
  </r>
  <r>
    <x v="2"/>
    <x v="1"/>
    <x v="7"/>
    <x v="1"/>
    <x v="13"/>
    <x v="0"/>
    <x v="0"/>
    <n v="0"/>
    <n v="0"/>
    <n v="0"/>
    <x v="2"/>
  </r>
  <r>
    <x v="2"/>
    <x v="1"/>
    <x v="7"/>
    <x v="1"/>
    <x v="14"/>
    <x v="0"/>
    <x v="0"/>
    <n v="0"/>
    <n v="0"/>
    <n v="0"/>
    <x v="2"/>
  </r>
  <r>
    <x v="2"/>
    <x v="1"/>
    <x v="7"/>
    <x v="1"/>
    <x v="16"/>
    <x v="0"/>
    <x v="0"/>
    <n v="0"/>
    <n v="0"/>
    <n v="0"/>
    <x v="2"/>
  </r>
  <r>
    <x v="2"/>
    <x v="1"/>
    <x v="7"/>
    <x v="1"/>
    <x v="17"/>
    <x v="0"/>
    <x v="0"/>
    <n v="0"/>
    <n v="0"/>
    <n v="0"/>
    <x v="2"/>
  </r>
  <r>
    <x v="2"/>
    <x v="1"/>
    <x v="7"/>
    <x v="1"/>
    <x v="18"/>
    <x v="0"/>
    <x v="0"/>
    <n v="0"/>
    <n v="0"/>
    <n v="0"/>
    <x v="2"/>
  </r>
  <r>
    <x v="2"/>
    <x v="1"/>
    <x v="7"/>
    <x v="1"/>
    <x v="19"/>
    <x v="0"/>
    <x v="0"/>
    <n v="0"/>
    <n v="0"/>
    <n v="0"/>
    <x v="2"/>
  </r>
  <r>
    <x v="2"/>
    <x v="1"/>
    <x v="7"/>
    <x v="1"/>
    <x v="20"/>
    <x v="0"/>
    <x v="0"/>
    <n v="1.48"/>
    <n v="7028.14"/>
    <n v="27400.78"/>
    <x v="2"/>
  </r>
  <r>
    <x v="2"/>
    <x v="1"/>
    <x v="7"/>
    <x v="2"/>
    <x v="21"/>
    <x v="0"/>
    <x v="0"/>
    <n v="1.1000000000000001"/>
    <n v="5223.6099999999997"/>
    <n v="20407.32"/>
    <x v="2"/>
  </r>
  <r>
    <x v="2"/>
    <x v="1"/>
    <x v="7"/>
    <x v="2"/>
    <x v="22"/>
    <x v="0"/>
    <x v="0"/>
    <n v="0"/>
    <n v="0"/>
    <n v="0"/>
    <x v="2"/>
  </r>
  <r>
    <x v="2"/>
    <x v="1"/>
    <x v="7"/>
    <x v="2"/>
    <x v="29"/>
    <x v="0"/>
    <x v="0"/>
    <n v="0"/>
    <n v="0"/>
    <n v="0"/>
    <x v="2"/>
  </r>
  <r>
    <x v="2"/>
    <x v="1"/>
    <x v="7"/>
    <x v="2"/>
    <x v="24"/>
    <x v="0"/>
    <x v="0"/>
    <n v="0"/>
    <n v="0"/>
    <n v="0"/>
    <x v="2"/>
  </r>
  <r>
    <x v="2"/>
    <x v="1"/>
    <x v="7"/>
    <x v="3"/>
    <x v="25"/>
    <x v="0"/>
    <x v="0"/>
    <n v="0"/>
    <n v="0"/>
    <n v="0"/>
    <x v="2"/>
  </r>
  <r>
    <x v="2"/>
    <x v="1"/>
    <x v="7"/>
    <x v="3"/>
    <x v="26"/>
    <x v="0"/>
    <x v="0"/>
    <n v="1.63"/>
    <n v="7740.45"/>
    <n v="30196.05"/>
    <x v="2"/>
  </r>
  <r>
    <x v="2"/>
    <x v="1"/>
    <x v="7"/>
    <x v="3"/>
    <x v="27"/>
    <x v="0"/>
    <x v="0"/>
    <n v="2.58"/>
    <n v="12251.75"/>
    <n v="47869.42"/>
    <x v="2"/>
  </r>
  <r>
    <x v="2"/>
    <x v="1"/>
    <x v="7"/>
    <x v="0"/>
    <x v="0"/>
    <x v="0"/>
    <x v="1"/>
    <n v="1.51"/>
    <n v="7170.6"/>
    <n v="27908.78"/>
    <x v="2"/>
  </r>
  <r>
    <x v="2"/>
    <x v="1"/>
    <x v="7"/>
    <x v="0"/>
    <x v="1"/>
    <x v="0"/>
    <x v="1"/>
    <n v="4.8600000000000003"/>
    <n v="23078.880000000001"/>
    <n v="90062.79"/>
    <x v="2"/>
  </r>
  <r>
    <x v="2"/>
    <x v="1"/>
    <x v="7"/>
    <x v="0"/>
    <x v="2"/>
    <x v="0"/>
    <x v="1"/>
    <n v="4.01"/>
    <n v="19042.45"/>
    <n v="74407.92"/>
    <x v="2"/>
  </r>
  <r>
    <x v="2"/>
    <x v="1"/>
    <x v="7"/>
    <x v="0"/>
    <x v="3"/>
    <x v="0"/>
    <x v="1"/>
    <n v="5.53"/>
    <n v="26260.53"/>
    <n v="102553.71"/>
    <x v="2"/>
  </r>
  <r>
    <x v="2"/>
    <x v="1"/>
    <x v="7"/>
    <x v="0"/>
    <x v="4"/>
    <x v="0"/>
    <x v="1"/>
    <n v="1.01"/>
    <n v="4796.2299999999996"/>
    <n v="18648.75"/>
    <x v="2"/>
  </r>
  <r>
    <x v="2"/>
    <x v="1"/>
    <x v="7"/>
    <x v="0"/>
    <x v="5"/>
    <x v="0"/>
    <x v="1"/>
    <n v="3.67"/>
    <n v="17427.88"/>
    <n v="68113.94"/>
    <x v="2"/>
  </r>
  <r>
    <x v="2"/>
    <x v="1"/>
    <x v="7"/>
    <x v="0"/>
    <x v="6"/>
    <x v="0"/>
    <x v="1"/>
    <n v="1.7"/>
    <n v="8072.86"/>
    <n v="31531.94"/>
    <x v="2"/>
  </r>
  <r>
    <x v="2"/>
    <x v="1"/>
    <x v="7"/>
    <x v="0"/>
    <x v="8"/>
    <x v="0"/>
    <x v="1"/>
    <n v="2.38"/>
    <n v="11302"/>
    <n v="44171.360000000001"/>
    <x v="2"/>
  </r>
  <r>
    <x v="2"/>
    <x v="1"/>
    <x v="7"/>
    <x v="1"/>
    <x v="10"/>
    <x v="0"/>
    <x v="1"/>
    <n v="3.86"/>
    <n v="18330.14"/>
    <n v="71605.97"/>
    <x v="2"/>
  </r>
  <r>
    <x v="2"/>
    <x v="1"/>
    <x v="7"/>
    <x v="1"/>
    <x v="11"/>
    <x v="0"/>
    <x v="1"/>
    <n v="8"/>
    <n v="37989.919999999998"/>
    <n v="148260.43"/>
    <x v="2"/>
  </r>
  <r>
    <x v="2"/>
    <x v="1"/>
    <x v="7"/>
    <x v="1"/>
    <x v="13"/>
    <x v="0"/>
    <x v="1"/>
    <n v="3.71"/>
    <n v="17617.830000000002"/>
    <n v="68805.95"/>
    <x v="2"/>
  </r>
  <r>
    <x v="2"/>
    <x v="1"/>
    <x v="7"/>
    <x v="1"/>
    <x v="14"/>
    <x v="0"/>
    <x v="1"/>
    <n v="1.28"/>
    <n v="6078.39"/>
    <n v="23745.1"/>
    <x v="2"/>
  </r>
  <r>
    <x v="2"/>
    <x v="1"/>
    <x v="7"/>
    <x v="1"/>
    <x v="16"/>
    <x v="0"/>
    <x v="1"/>
    <n v="1.44"/>
    <n v="6838.19"/>
    <n v="26664.38"/>
    <x v="2"/>
  </r>
  <r>
    <x v="2"/>
    <x v="1"/>
    <x v="7"/>
    <x v="1"/>
    <x v="17"/>
    <x v="0"/>
    <x v="1"/>
    <n v="2.09"/>
    <n v="9924.8700000000008"/>
    <n v="38663.480000000003"/>
    <x v="2"/>
  </r>
  <r>
    <x v="2"/>
    <x v="1"/>
    <x v="7"/>
    <x v="1"/>
    <x v="18"/>
    <x v="0"/>
    <x v="1"/>
    <n v="9.3699999999999992"/>
    <n v="44495.69"/>
    <n v="173660.15"/>
    <x v="2"/>
  </r>
  <r>
    <x v="2"/>
    <x v="1"/>
    <x v="7"/>
    <x v="1"/>
    <x v="19"/>
    <x v="0"/>
    <x v="1"/>
    <n v="3.1"/>
    <n v="14721.09"/>
    <n v="57372.41"/>
    <x v="2"/>
  </r>
  <r>
    <x v="2"/>
    <x v="1"/>
    <x v="7"/>
    <x v="1"/>
    <x v="20"/>
    <x v="0"/>
    <x v="1"/>
    <n v="9.15"/>
    <n v="43450.97"/>
    <n v="169542.34"/>
    <x v="2"/>
  </r>
  <r>
    <x v="2"/>
    <x v="1"/>
    <x v="7"/>
    <x v="2"/>
    <x v="21"/>
    <x v="0"/>
    <x v="1"/>
    <n v="0"/>
    <n v="0"/>
    <n v="0"/>
    <x v="2"/>
  </r>
  <r>
    <x v="2"/>
    <x v="1"/>
    <x v="7"/>
    <x v="2"/>
    <x v="22"/>
    <x v="0"/>
    <x v="1"/>
    <n v="4.3499999999999996"/>
    <n v="20657.02"/>
    <n v="80721.64"/>
    <x v="2"/>
  </r>
  <r>
    <x v="2"/>
    <x v="1"/>
    <x v="7"/>
    <x v="2"/>
    <x v="29"/>
    <x v="0"/>
    <x v="1"/>
    <n v="1.28"/>
    <n v="6078.39"/>
    <n v="23753.66"/>
    <x v="2"/>
  </r>
  <r>
    <x v="2"/>
    <x v="1"/>
    <x v="7"/>
    <x v="2"/>
    <x v="24"/>
    <x v="0"/>
    <x v="1"/>
    <n v="1.95"/>
    <n v="9260.0400000000009"/>
    <n v="36142.93"/>
    <x v="2"/>
  </r>
  <r>
    <x v="2"/>
    <x v="1"/>
    <x v="7"/>
    <x v="3"/>
    <x v="25"/>
    <x v="0"/>
    <x v="1"/>
    <n v="2.33"/>
    <n v="11064.56"/>
    <n v="43165.09"/>
    <x v="2"/>
  </r>
  <r>
    <x v="2"/>
    <x v="1"/>
    <x v="7"/>
    <x v="3"/>
    <x v="26"/>
    <x v="0"/>
    <x v="1"/>
    <n v="1.71"/>
    <n v="8120.35"/>
    <n v="31785.31"/>
    <x v="2"/>
  </r>
  <r>
    <x v="2"/>
    <x v="1"/>
    <x v="7"/>
    <x v="3"/>
    <x v="27"/>
    <x v="0"/>
    <x v="1"/>
    <n v="6.36"/>
    <n v="30201.99"/>
    <n v="117832.42"/>
    <x v="2"/>
  </r>
  <r>
    <x v="2"/>
    <x v="1"/>
    <x v="7"/>
    <x v="0"/>
    <x v="0"/>
    <x v="1"/>
    <x v="0"/>
    <n v="7.09"/>
    <n v="33668.57"/>
    <n v="85914.98"/>
    <x v="2"/>
  </r>
  <r>
    <x v="2"/>
    <x v="1"/>
    <x v="7"/>
    <x v="0"/>
    <x v="1"/>
    <x v="1"/>
    <x v="0"/>
    <n v="8.74"/>
    <n v="41503.99"/>
    <n v="104122.83"/>
    <x v="2"/>
  </r>
  <r>
    <x v="2"/>
    <x v="1"/>
    <x v="7"/>
    <x v="0"/>
    <x v="2"/>
    <x v="1"/>
    <x v="0"/>
    <n v="3.38"/>
    <n v="16050.74"/>
    <n v="38893.769999999997"/>
    <x v="2"/>
  </r>
  <r>
    <x v="2"/>
    <x v="1"/>
    <x v="7"/>
    <x v="0"/>
    <x v="3"/>
    <x v="1"/>
    <x v="0"/>
    <n v="12.18"/>
    <n v="57839.65"/>
    <n v="145861.07999999999"/>
    <x v="2"/>
  </r>
  <r>
    <x v="2"/>
    <x v="1"/>
    <x v="7"/>
    <x v="0"/>
    <x v="28"/>
    <x v="1"/>
    <x v="0"/>
    <n v="0"/>
    <n v="0"/>
    <n v="0"/>
    <x v="2"/>
  </r>
  <r>
    <x v="2"/>
    <x v="1"/>
    <x v="7"/>
    <x v="0"/>
    <x v="4"/>
    <x v="1"/>
    <x v="0"/>
    <n v="7.43"/>
    <n v="35283.14"/>
    <n v="88182.92"/>
    <x v="2"/>
  </r>
  <r>
    <x v="2"/>
    <x v="1"/>
    <x v="7"/>
    <x v="0"/>
    <x v="5"/>
    <x v="1"/>
    <x v="0"/>
    <n v="1.83"/>
    <n v="8690.19"/>
    <n v="22369.78"/>
    <x v="2"/>
  </r>
  <r>
    <x v="2"/>
    <x v="1"/>
    <x v="7"/>
    <x v="0"/>
    <x v="6"/>
    <x v="1"/>
    <x v="0"/>
    <n v="0"/>
    <n v="0"/>
    <n v="0"/>
    <x v="2"/>
  </r>
  <r>
    <x v="2"/>
    <x v="1"/>
    <x v="7"/>
    <x v="0"/>
    <x v="7"/>
    <x v="1"/>
    <x v="0"/>
    <n v="0"/>
    <n v="0"/>
    <n v="0"/>
    <x v="2"/>
  </r>
  <r>
    <x v="2"/>
    <x v="1"/>
    <x v="7"/>
    <x v="0"/>
    <x v="8"/>
    <x v="1"/>
    <x v="0"/>
    <n v="0"/>
    <n v="0"/>
    <n v="0"/>
    <x v="2"/>
  </r>
  <r>
    <x v="2"/>
    <x v="1"/>
    <x v="7"/>
    <x v="1"/>
    <x v="30"/>
    <x v="1"/>
    <x v="0"/>
    <n v="1.42"/>
    <n v="6743.21"/>
    <n v="18182.32"/>
    <x v="2"/>
  </r>
  <r>
    <x v="2"/>
    <x v="1"/>
    <x v="7"/>
    <x v="1"/>
    <x v="9"/>
    <x v="1"/>
    <x v="0"/>
    <n v="0"/>
    <n v="0"/>
    <n v="0"/>
    <x v="2"/>
  </r>
  <r>
    <x v="2"/>
    <x v="1"/>
    <x v="7"/>
    <x v="1"/>
    <x v="31"/>
    <x v="1"/>
    <x v="0"/>
    <n v="1.5"/>
    <n v="7123.11"/>
    <n v="19327.5"/>
    <x v="2"/>
  </r>
  <r>
    <x v="2"/>
    <x v="1"/>
    <x v="7"/>
    <x v="1"/>
    <x v="10"/>
    <x v="1"/>
    <x v="0"/>
    <n v="4.8"/>
    <n v="22793.95"/>
    <n v="60638.22"/>
    <x v="2"/>
  </r>
  <r>
    <x v="2"/>
    <x v="1"/>
    <x v="7"/>
    <x v="1"/>
    <x v="11"/>
    <x v="1"/>
    <x v="0"/>
    <n v="6.54"/>
    <n v="31056.76"/>
    <n v="78760.52"/>
    <x v="2"/>
  </r>
  <r>
    <x v="2"/>
    <x v="1"/>
    <x v="7"/>
    <x v="1"/>
    <x v="12"/>
    <x v="1"/>
    <x v="0"/>
    <n v="2.29"/>
    <n v="10874.61"/>
    <n v="29090.37"/>
    <x v="2"/>
  </r>
  <r>
    <x v="2"/>
    <x v="1"/>
    <x v="7"/>
    <x v="1"/>
    <x v="13"/>
    <x v="1"/>
    <x v="0"/>
    <n v="1.19"/>
    <n v="5651"/>
    <n v="15067.69"/>
    <x v="2"/>
  </r>
  <r>
    <x v="2"/>
    <x v="1"/>
    <x v="7"/>
    <x v="1"/>
    <x v="14"/>
    <x v="1"/>
    <x v="0"/>
    <n v="11.74"/>
    <n v="55750.21"/>
    <n v="145410.32999999999"/>
    <x v="2"/>
  </r>
  <r>
    <x v="2"/>
    <x v="1"/>
    <x v="7"/>
    <x v="1"/>
    <x v="15"/>
    <x v="1"/>
    <x v="0"/>
    <n v="4.17"/>
    <n v="19802.25"/>
    <n v="53371.87"/>
    <x v="2"/>
  </r>
  <r>
    <x v="2"/>
    <x v="1"/>
    <x v="7"/>
    <x v="1"/>
    <x v="16"/>
    <x v="1"/>
    <x v="0"/>
    <n v="1.62"/>
    <n v="7692.96"/>
    <n v="19745.669999999998"/>
    <x v="2"/>
  </r>
  <r>
    <x v="2"/>
    <x v="1"/>
    <x v="7"/>
    <x v="1"/>
    <x v="17"/>
    <x v="1"/>
    <x v="0"/>
    <n v="7.13"/>
    <n v="33858.519999999997"/>
    <n v="87717.02"/>
    <x v="2"/>
  </r>
  <r>
    <x v="2"/>
    <x v="1"/>
    <x v="7"/>
    <x v="1"/>
    <x v="18"/>
    <x v="1"/>
    <x v="0"/>
    <n v="6.45"/>
    <n v="30629.37"/>
    <n v="83077.66"/>
    <x v="2"/>
  </r>
  <r>
    <x v="2"/>
    <x v="1"/>
    <x v="7"/>
    <x v="1"/>
    <x v="19"/>
    <x v="1"/>
    <x v="0"/>
    <n v="7.12"/>
    <n v="33811.03"/>
    <n v="88999.85"/>
    <x v="2"/>
  </r>
  <r>
    <x v="2"/>
    <x v="1"/>
    <x v="7"/>
    <x v="1"/>
    <x v="20"/>
    <x v="1"/>
    <x v="0"/>
    <n v="10.62"/>
    <n v="50431.62"/>
    <n v="130494"/>
    <x v="2"/>
  </r>
  <r>
    <x v="2"/>
    <x v="1"/>
    <x v="7"/>
    <x v="2"/>
    <x v="21"/>
    <x v="1"/>
    <x v="0"/>
    <n v="0"/>
    <n v="0"/>
    <n v="0"/>
    <x v="2"/>
  </r>
  <r>
    <x v="2"/>
    <x v="1"/>
    <x v="7"/>
    <x v="2"/>
    <x v="22"/>
    <x v="1"/>
    <x v="0"/>
    <n v="7.78"/>
    <n v="36945.199999999997"/>
    <n v="87793.83"/>
    <x v="2"/>
  </r>
  <r>
    <x v="2"/>
    <x v="1"/>
    <x v="7"/>
    <x v="2"/>
    <x v="29"/>
    <x v="1"/>
    <x v="0"/>
    <n v="0"/>
    <n v="0"/>
    <n v="0"/>
    <x v="2"/>
  </r>
  <r>
    <x v="2"/>
    <x v="1"/>
    <x v="7"/>
    <x v="2"/>
    <x v="23"/>
    <x v="1"/>
    <x v="0"/>
    <n v="0"/>
    <n v="0"/>
    <n v="0"/>
    <x v="2"/>
  </r>
  <r>
    <x v="2"/>
    <x v="1"/>
    <x v="7"/>
    <x v="2"/>
    <x v="24"/>
    <x v="1"/>
    <x v="0"/>
    <n v="2.02"/>
    <n v="9592.4500000000007"/>
    <n v="23190.21"/>
    <x v="2"/>
  </r>
  <r>
    <x v="2"/>
    <x v="1"/>
    <x v="7"/>
    <x v="3"/>
    <x v="25"/>
    <x v="1"/>
    <x v="0"/>
    <n v="6.84"/>
    <n v="32481.38"/>
    <n v="86868.04"/>
    <x v="2"/>
  </r>
  <r>
    <x v="2"/>
    <x v="1"/>
    <x v="7"/>
    <x v="3"/>
    <x v="26"/>
    <x v="1"/>
    <x v="0"/>
    <n v="5.32"/>
    <n v="25263.3"/>
    <n v="68104.320000000007"/>
    <x v="2"/>
  </r>
  <r>
    <x v="2"/>
    <x v="1"/>
    <x v="7"/>
    <x v="3"/>
    <x v="27"/>
    <x v="1"/>
    <x v="0"/>
    <n v="9.73"/>
    <n v="46205.24"/>
    <n v="122131.22"/>
    <x v="2"/>
  </r>
  <r>
    <x v="2"/>
    <x v="1"/>
    <x v="7"/>
    <x v="0"/>
    <x v="0"/>
    <x v="1"/>
    <x v="1"/>
    <n v="12.05"/>
    <n v="57222.32"/>
    <n v="146055.46"/>
    <x v="2"/>
  </r>
  <r>
    <x v="2"/>
    <x v="1"/>
    <x v="7"/>
    <x v="0"/>
    <x v="1"/>
    <x v="1"/>
    <x v="1"/>
    <n v="15.69"/>
    <n v="74507.73"/>
    <n v="186947.81"/>
    <x v="2"/>
  </r>
  <r>
    <x v="2"/>
    <x v="1"/>
    <x v="7"/>
    <x v="0"/>
    <x v="2"/>
    <x v="1"/>
    <x v="1"/>
    <n v="8.58"/>
    <n v="40744.19"/>
    <n v="98730.33"/>
    <x v="2"/>
  </r>
  <r>
    <x v="2"/>
    <x v="1"/>
    <x v="7"/>
    <x v="0"/>
    <x v="3"/>
    <x v="1"/>
    <x v="1"/>
    <n v="21.53"/>
    <n v="102240.37"/>
    <n v="257824.87"/>
    <x v="2"/>
  </r>
  <r>
    <x v="2"/>
    <x v="1"/>
    <x v="7"/>
    <x v="0"/>
    <x v="28"/>
    <x v="1"/>
    <x v="1"/>
    <n v="2.67"/>
    <n v="12679.14"/>
    <n v="32408.28"/>
    <x v="2"/>
  </r>
  <r>
    <x v="2"/>
    <x v="1"/>
    <x v="7"/>
    <x v="0"/>
    <x v="4"/>
    <x v="1"/>
    <x v="1"/>
    <n v="8.0299999999999994"/>
    <n v="38132.379999999997"/>
    <n v="95294.45"/>
    <x v="2"/>
  </r>
  <r>
    <x v="2"/>
    <x v="1"/>
    <x v="7"/>
    <x v="0"/>
    <x v="5"/>
    <x v="1"/>
    <x v="1"/>
    <n v="13.87"/>
    <n v="65865.02"/>
    <n v="169371.22"/>
    <x v="2"/>
  </r>
  <r>
    <x v="2"/>
    <x v="1"/>
    <x v="7"/>
    <x v="0"/>
    <x v="6"/>
    <x v="1"/>
    <x v="1"/>
    <n v="1.71"/>
    <n v="8120.35"/>
    <n v="20764.54"/>
    <x v="2"/>
  </r>
  <r>
    <x v="2"/>
    <x v="1"/>
    <x v="7"/>
    <x v="0"/>
    <x v="7"/>
    <x v="1"/>
    <x v="1"/>
    <n v="4.9400000000000004"/>
    <n v="23458.78"/>
    <n v="61139.67"/>
    <x v="2"/>
  </r>
  <r>
    <x v="2"/>
    <x v="1"/>
    <x v="7"/>
    <x v="0"/>
    <x v="8"/>
    <x v="1"/>
    <x v="1"/>
    <n v="2.91"/>
    <n v="13818.83"/>
    <n v="34322.519999999997"/>
    <x v="2"/>
  </r>
  <r>
    <x v="2"/>
    <x v="1"/>
    <x v="7"/>
    <x v="1"/>
    <x v="30"/>
    <x v="1"/>
    <x v="1"/>
    <n v="0"/>
    <n v="0"/>
    <n v="0"/>
    <x v="2"/>
  </r>
  <r>
    <x v="2"/>
    <x v="1"/>
    <x v="7"/>
    <x v="1"/>
    <x v="9"/>
    <x v="1"/>
    <x v="1"/>
    <n v="3.15"/>
    <n v="14958.53"/>
    <n v="40142.480000000003"/>
    <x v="2"/>
  </r>
  <r>
    <x v="2"/>
    <x v="1"/>
    <x v="7"/>
    <x v="1"/>
    <x v="31"/>
    <x v="1"/>
    <x v="1"/>
    <n v="0"/>
    <n v="0"/>
    <n v="0"/>
    <x v="2"/>
  </r>
  <r>
    <x v="2"/>
    <x v="1"/>
    <x v="7"/>
    <x v="1"/>
    <x v="10"/>
    <x v="1"/>
    <x v="1"/>
    <n v="27.69"/>
    <n v="131492.60999999999"/>
    <n v="349999.57"/>
    <x v="2"/>
  </r>
  <r>
    <x v="2"/>
    <x v="1"/>
    <x v="7"/>
    <x v="1"/>
    <x v="11"/>
    <x v="1"/>
    <x v="1"/>
    <n v="21.12"/>
    <n v="100293.39"/>
    <n v="254457.07"/>
    <x v="2"/>
  </r>
  <r>
    <x v="2"/>
    <x v="1"/>
    <x v="7"/>
    <x v="1"/>
    <x v="12"/>
    <x v="1"/>
    <x v="1"/>
    <n v="2.5499999999999998"/>
    <n v="12109.29"/>
    <n v="32322.63"/>
    <x v="2"/>
  </r>
  <r>
    <x v="2"/>
    <x v="1"/>
    <x v="7"/>
    <x v="1"/>
    <x v="13"/>
    <x v="1"/>
    <x v="1"/>
    <n v="9.98"/>
    <n v="47392.43"/>
    <n v="125922.81"/>
    <x v="2"/>
  </r>
  <r>
    <x v="2"/>
    <x v="1"/>
    <x v="7"/>
    <x v="1"/>
    <x v="14"/>
    <x v="1"/>
    <x v="1"/>
    <n v="7.95"/>
    <n v="37752.480000000003"/>
    <n v="98397.97"/>
    <x v="2"/>
  </r>
  <r>
    <x v="2"/>
    <x v="1"/>
    <x v="7"/>
    <x v="1"/>
    <x v="15"/>
    <x v="1"/>
    <x v="1"/>
    <n v="2.08"/>
    <n v="9877.3799999999992"/>
    <n v="26685.93"/>
    <x v="2"/>
  </r>
  <r>
    <x v="2"/>
    <x v="1"/>
    <x v="7"/>
    <x v="1"/>
    <x v="16"/>
    <x v="1"/>
    <x v="1"/>
    <n v="5.49"/>
    <n v="26070.58"/>
    <n v="66994.25"/>
    <x v="2"/>
  </r>
  <r>
    <x v="2"/>
    <x v="1"/>
    <x v="7"/>
    <x v="1"/>
    <x v="17"/>
    <x v="1"/>
    <x v="1"/>
    <n v="5.88"/>
    <n v="27922.59"/>
    <n v="72417.539999999994"/>
    <x v="2"/>
  </r>
  <r>
    <x v="2"/>
    <x v="1"/>
    <x v="7"/>
    <x v="1"/>
    <x v="18"/>
    <x v="1"/>
    <x v="1"/>
    <n v="21.55"/>
    <n v="102335.35"/>
    <n v="277626.63"/>
    <x v="2"/>
  </r>
  <r>
    <x v="2"/>
    <x v="1"/>
    <x v="7"/>
    <x v="1"/>
    <x v="19"/>
    <x v="1"/>
    <x v="1"/>
    <n v="13.15"/>
    <n v="62445.93"/>
    <n v="164225.92000000001"/>
    <x v="2"/>
  </r>
  <r>
    <x v="2"/>
    <x v="1"/>
    <x v="7"/>
    <x v="1"/>
    <x v="20"/>
    <x v="1"/>
    <x v="1"/>
    <n v="15.8"/>
    <n v="75030.09"/>
    <n v="194199.73"/>
    <x v="2"/>
  </r>
  <r>
    <x v="2"/>
    <x v="1"/>
    <x v="7"/>
    <x v="2"/>
    <x v="21"/>
    <x v="1"/>
    <x v="1"/>
    <n v="0.79"/>
    <n v="3751.5"/>
    <n v="8954.19"/>
    <x v="2"/>
  </r>
  <r>
    <x v="2"/>
    <x v="1"/>
    <x v="7"/>
    <x v="2"/>
    <x v="22"/>
    <x v="1"/>
    <x v="1"/>
    <n v="18.45"/>
    <n v="87614.25"/>
    <n v="208228.95"/>
    <x v="2"/>
  </r>
  <r>
    <x v="2"/>
    <x v="1"/>
    <x v="7"/>
    <x v="2"/>
    <x v="29"/>
    <x v="1"/>
    <x v="1"/>
    <n v="1.55"/>
    <n v="7360.55"/>
    <n v="18589.84"/>
    <x v="2"/>
  </r>
  <r>
    <x v="2"/>
    <x v="1"/>
    <x v="7"/>
    <x v="2"/>
    <x v="23"/>
    <x v="1"/>
    <x v="1"/>
    <n v="2.84"/>
    <n v="13486.42"/>
    <n v="33317.61"/>
    <x v="2"/>
  </r>
  <r>
    <x v="2"/>
    <x v="1"/>
    <x v="7"/>
    <x v="2"/>
    <x v="24"/>
    <x v="1"/>
    <x v="1"/>
    <n v="3.78"/>
    <n v="17950.240000000002"/>
    <n v="43481.64"/>
    <x v="2"/>
  </r>
  <r>
    <x v="2"/>
    <x v="1"/>
    <x v="7"/>
    <x v="3"/>
    <x v="25"/>
    <x v="1"/>
    <x v="1"/>
    <n v="6.17"/>
    <n v="29299.73"/>
    <n v="78288.479999999996"/>
    <x v="2"/>
  </r>
  <r>
    <x v="2"/>
    <x v="1"/>
    <x v="7"/>
    <x v="3"/>
    <x v="26"/>
    <x v="1"/>
    <x v="1"/>
    <n v="16.579999999999998"/>
    <n v="78734.11"/>
    <n v="212002.16"/>
    <x v="2"/>
  </r>
  <r>
    <x v="2"/>
    <x v="1"/>
    <x v="7"/>
    <x v="3"/>
    <x v="27"/>
    <x v="1"/>
    <x v="1"/>
    <n v="27.91"/>
    <n v="132537.32999999999"/>
    <n v="350181.54"/>
    <x v="2"/>
  </r>
  <r>
    <x v="2"/>
    <x v="1"/>
    <x v="8"/>
    <x v="0"/>
    <x v="0"/>
    <x v="0"/>
    <x v="0"/>
    <n v="2.2599999999999998"/>
    <n v="7607.52"/>
    <n v="27338.7"/>
    <x v="2"/>
  </r>
  <r>
    <x v="2"/>
    <x v="1"/>
    <x v="8"/>
    <x v="0"/>
    <x v="1"/>
    <x v="0"/>
    <x v="0"/>
    <n v="5.88"/>
    <n v="19793.02"/>
    <n v="70995.58"/>
    <x v="2"/>
  </r>
  <r>
    <x v="2"/>
    <x v="1"/>
    <x v="8"/>
    <x v="0"/>
    <x v="2"/>
    <x v="0"/>
    <x v="0"/>
    <n v="0"/>
    <n v="0"/>
    <n v="0"/>
    <x v="2"/>
  </r>
  <r>
    <x v="2"/>
    <x v="1"/>
    <x v="8"/>
    <x v="0"/>
    <x v="3"/>
    <x v="0"/>
    <x v="0"/>
    <n v="2.74"/>
    <n v="9223.2800000000007"/>
    <n v="33064.71"/>
    <x v="2"/>
  </r>
  <r>
    <x v="2"/>
    <x v="1"/>
    <x v="8"/>
    <x v="0"/>
    <x v="4"/>
    <x v="0"/>
    <x v="0"/>
    <n v="0"/>
    <n v="0"/>
    <n v="0"/>
    <x v="2"/>
  </r>
  <r>
    <x v="2"/>
    <x v="1"/>
    <x v="8"/>
    <x v="0"/>
    <x v="5"/>
    <x v="0"/>
    <x v="0"/>
    <n v="0"/>
    <n v="0"/>
    <n v="0"/>
    <x v="2"/>
  </r>
  <r>
    <x v="2"/>
    <x v="1"/>
    <x v="8"/>
    <x v="0"/>
    <x v="6"/>
    <x v="0"/>
    <x v="0"/>
    <n v="0"/>
    <n v="0"/>
    <n v="0"/>
    <x v="2"/>
  </r>
  <r>
    <x v="2"/>
    <x v="1"/>
    <x v="8"/>
    <x v="0"/>
    <x v="8"/>
    <x v="0"/>
    <x v="0"/>
    <n v="0"/>
    <n v="0"/>
    <n v="0"/>
    <x v="2"/>
  </r>
  <r>
    <x v="2"/>
    <x v="1"/>
    <x v="8"/>
    <x v="1"/>
    <x v="10"/>
    <x v="0"/>
    <x v="0"/>
    <n v="1.62"/>
    <n v="5453.18"/>
    <n v="19569.48"/>
    <x v="2"/>
  </r>
  <r>
    <x v="2"/>
    <x v="1"/>
    <x v="8"/>
    <x v="1"/>
    <x v="11"/>
    <x v="0"/>
    <x v="0"/>
    <n v="0"/>
    <n v="0"/>
    <n v="0"/>
    <x v="2"/>
  </r>
  <r>
    <x v="2"/>
    <x v="1"/>
    <x v="8"/>
    <x v="1"/>
    <x v="13"/>
    <x v="0"/>
    <x v="0"/>
    <n v="0"/>
    <n v="0"/>
    <n v="0"/>
    <x v="2"/>
  </r>
  <r>
    <x v="2"/>
    <x v="1"/>
    <x v="8"/>
    <x v="1"/>
    <x v="14"/>
    <x v="0"/>
    <x v="0"/>
    <n v="0"/>
    <n v="0"/>
    <n v="0"/>
    <x v="2"/>
  </r>
  <r>
    <x v="2"/>
    <x v="1"/>
    <x v="8"/>
    <x v="1"/>
    <x v="16"/>
    <x v="0"/>
    <x v="0"/>
    <n v="0"/>
    <n v="0"/>
    <n v="0"/>
    <x v="2"/>
  </r>
  <r>
    <x v="2"/>
    <x v="1"/>
    <x v="8"/>
    <x v="1"/>
    <x v="17"/>
    <x v="0"/>
    <x v="0"/>
    <n v="0"/>
    <n v="0"/>
    <n v="0"/>
    <x v="2"/>
  </r>
  <r>
    <x v="2"/>
    <x v="1"/>
    <x v="8"/>
    <x v="1"/>
    <x v="18"/>
    <x v="0"/>
    <x v="0"/>
    <n v="0"/>
    <n v="0"/>
    <n v="0"/>
    <x v="2"/>
  </r>
  <r>
    <x v="2"/>
    <x v="1"/>
    <x v="8"/>
    <x v="1"/>
    <x v="19"/>
    <x v="0"/>
    <x v="0"/>
    <n v="0"/>
    <n v="0"/>
    <n v="0"/>
    <x v="2"/>
  </r>
  <r>
    <x v="2"/>
    <x v="1"/>
    <x v="8"/>
    <x v="1"/>
    <x v="20"/>
    <x v="0"/>
    <x v="0"/>
    <n v="3.3"/>
    <n v="11108.33"/>
    <n v="39885.86"/>
    <x v="2"/>
  </r>
  <r>
    <x v="2"/>
    <x v="1"/>
    <x v="8"/>
    <x v="2"/>
    <x v="21"/>
    <x v="0"/>
    <x v="0"/>
    <n v="2.74"/>
    <n v="9223.2800000000007"/>
    <n v="33078.559999999998"/>
    <x v="2"/>
  </r>
  <r>
    <x v="2"/>
    <x v="1"/>
    <x v="8"/>
    <x v="2"/>
    <x v="22"/>
    <x v="0"/>
    <x v="0"/>
    <n v="0"/>
    <n v="0"/>
    <n v="0"/>
    <x v="2"/>
  </r>
  <r>
    <x v="2"/>
    <x v="1"/>
    <x v="8"/>
    <x v="2"/>
    <x v="29"/>
    <x v="0"/>
    <x v="0"/>
    <n v="0"/>
    <n v="0"/>
    <n v="0"/>
    <x v="2"/>
  </r>
  <r>
    <x v="2"/>
    <x v="1"/>
    <x v="8"/>
    <x v="2"/>
    <x v="24"/>
    <x v="0"/>
    <x v="0"/>
    <n v="0"/>
    <n v="0"/>
    <n v="0"/>
    <x v="2"/>
  </r>
  <r>
    <x v="2"/>
    <x v="1"/>
    <x v="8"/>
    <x v="3"/>
    <x v="25"/>
    <x v="0"/>
    <x v="0"/>
    <n v="0"/>
    <n v="0"/>
    <n v="0"/>
    <x v="2"/>
  </r>
  <r>
    <x v="2"/>
    <x v="1"/>
    <x v="8"/>
    <x v="3"/>
    <x v="26"/>
    <x v="0"/>
    <x v="0"/>
    <n v="3.08"/>
    <n v="10367.77"/>
    <n v="37157.83"/>
    <x v="2"/>
  </r>
  <r>
    <x v="2"/>
    <x v="1"/>
    <x v="8"/>
    <x v="3"/>
    <x v="27"/>
    <x v="0"/>
    <x v="0"/>
    <n v="2.77"/>
    <n v="9324.26"/>
    <n v="33468.1"/>
    <x v="2"/>
  </r>
  <r>
    <x v="2"/>
    <x v="1"/>
    <x v="8"/>
    <x v="0"/>
    <x v="0"/>
    <x v="0"/>
    <x v="1"/>
    <n v="2"/>
    <n v="6732.32"/>
    <n v="24184.240000000002"/>
    <x v="2"/>
  </r>
  <r>
    <x v="2"/>
    <x v="1"/>
    <x v="8"/>
    <x v="0"/>
    <x v="1"/>
    <x v="0"/>
    <x v="1"/>
    <n v="6.79"/>
    <n v="22856.23"/>
    <n v="82048.78"/>
    <x v="2"/>
  </r>
  <r>
    <x v="2"/>
    <x v="1"/>
    <x v="8"/>
    <x v="0"/>
    <x v="2"/>
    <x v="0"/>
    <x v="1"/>
    <n v="4.7699999999999996"/>
    <n v="16056.58"/>
    <n v="57555.74"/>
    <x v="2"/>
  </r>
  <r>
    <x v="2"/>
    <x v="1"/>
    <x v="8"/>
    <x v="0"/>
    <x v="3"/>
    <x v="0"/>
    <x v="1"/>
    <n v="8.83"/>
    <n v="29723.19"/>
    <n v="106660.34"/>
    <x v="2"/>
  </r>
  <r>
    <x v="2"/>
    <x v="1"/>
    <x v="8"/>
    <x v="0"/>
    <x v="4"/>
    <x v="0"/>
    <x v="1"/>
    <n v="2.44"/>
    <n v="8213.43"/>
    <n v="29490.95"/>
    <x v="2"/>
  </r>
  <r>
    <x v="2"/>
    <x v="1"/>
    <x v="8"/>
    <x v="0"/>
    <x v="5"/>
    <x v="0"/>
    <x v="1"/>
    <n v="4.8899999999999997"/>
    <n v="16460.52"/>
    <n v="59038.47"/>
    <x v="2"/>
  </r>
  <r>
    <x v="2"/>
    <x v="1"/>
    <x v="8"/>
    <x v="0"/>
    <x v="6"/>
    <x v="0"/>
    <x v="1"/>
    <n v="0"/>
    <n v="0"/>
    <n v="0"/>
    <x v="2"/>
  </r>
  <r>
    <x v="2"/>
    <x v="1"/>
    <x v="8"/>
    <x v="0"/>
    <x v="8"/>
    <x v="0"/>
    <x v="1"/>
    <n v="4.18"/>
    <n v="14070.55"/>
    <n v="50452.02"/>
    <x v="2"/>
  </r>
  <r>
    <x v="2"/>
    <x v="1"/>
    <x v="8"/>
    <x v="1"/>
    <x v="10"/>
    <x v="0"/>
    <x v="1"/>
    <n v="5.49"/>
    <n v="18480.22"/>
    <n v="66318.789999999994"/>
    <x v="2"/>
  </r>
  <r>
    <x v="2"/>
    <x v="1"/>
    <x v="8"/>
    <x v="1"/>
    <x v="11"/>
    <x v="0"/>
    <x v="1"/>
    <n v="13.15"/>
    <n v="44265"/>
    <n v="158802.35999999999"/>
    <x v="2"/>
  </r>
  <r>
    <x v="2"/>
    <x v="1"/>
    <x v="8"/>
    <x v="1"/>
    <x v="13"/>
    <x v="0"/>
    <x v="1"/>
    <n v="5.9"/>
    <n v="19860.34"/>
    <n v="71191.23"/>
    <x v="2"/>
  </r>
  <r>
    <x v="2"/>
    <x v="1"/>
    <x v="8"/>
    <x v="1"/>
    <x v="14"/>
    <x v="0"/>
    <x v="1"/>
    <n v="2.88"/>
    <n v="9694.5400000000009"/>
    <n v="34731.35"/>
    <x v="2"/>
  </r>
  <r>
    <x v="2"/>
    <x v="1"/>
    <x v="8"/>
    <x v="1"/>
    <x v="16"/>
    <x v="0"/>
    <x v="1"/>
    <n v="2.69"/>
    <n v="9054.9699999999993"/>
    <n v="32479.69"/>
    <x v="2"/>
  </r>
  <r>
    <x v="2"/>
    <x v="1"/>
    <x v="8"/>
    <x v="1"/>
    <x v="17"/>
    <x v="0"/>
    <x v="1"/>
    <n v="2.39"/>
    <n v="8045.12"/>
    <n v="28898.87"/>
    <x v="2"/>
  </r>
  <r>
    <x v="2"/>
    <x v="1"/>
    <x v="8"/>
    <x v="1"/>
    <x v="18"/>
    <x v="0"/>
    <x v="1"/>
    <n v="16.399999999999999"/>
    <n v="55205.02"/>
    <n v="197996.06"/>
    <x v="2"/>
  </r>
  <r>
    <x v="2"/>
    <x v="1"/>
    <x v="8"/>
    <x v="1"/>
    <x v="19"/>
    <x v="0"/>
    <x v="1"/>
    <n v="4.46"/>
    <n v="15013.07"/>
    <n v="53853.46"/>
    <x v="2"/>
  </r>
  <r>
    <x v="2"/>
    <x v="1"/>
    <x v="8"/>
    <x v="1"/>
    <x v="20"/>
    <x v="0"/>
    <x v="1"/>
    <n v="14.46"/>
    <n v="48674.67"/>
    <n v="174635.41"/>
    <x v="2"/>
  </r>
  <r>
    <x v="2"/>
    <x v="1"/>
    <x v="8"/>
    <x v="2"/>
    <x v="21"/>
    <x v="0"/>
    <x v="1"/>
    <n v="0"/>
    <n v="0"/>
    <n v="0"/>
    <x v="2"/>
  </r>
  <r>
    <x v="2"/>
    <x v="1"/>
    <x v="8"/>
    <x v="2"/>
    <x v="22"/>
    <x v="0"/>
    <x v="1"/>
    <n v="5.77"/>
    <n v="19422.740000000002"/>
    <n v="69737.87"/>
    <x v="2"/>
  </r>
  <r>
    <x v="2"/>
    <x v="1"/>
    <x v="8"/>
    <x v="2"/>
    <x v="29"/>
    <x v="0"/>
    <x v="1"/>
    <n v="2.13"/>
    <n v="7169.92"/>
    <n v="25776.44"/>
    <x v="2"/>
  </r>
  <r>
    <x v="2"/>
    <x v="1"/>
    <x v="8"/>
    <x v="2"/>
    <x v="24"/>
    <x v="0"/>
    <x v="1"/>
    <n v="3.96"/>
    <n v="13329.99"/>
    <n v="47787.54"/>
    <x v="2"/>
  </r>
  <r>
    <x v="2"/>
    <x v="1"/>
    <x v="8"/>
    <x v="3"/>
    <x v="25"/>
    <x v="0"/>
    <x v="1"/>
    <n v="3.54"/>
    <n v="11916.21"/>
    <n v="42739.59"/>
    <x v="2"/>
  </r>
  <r>
    <x v="2"/>
    <x v="1"/>
    <x v="8"/>
    <x v="3"/>
    <x v="26"/>
    <x v="0"/>
    <x v="1"/>
    <n v="2.99"/>
    <n v="10064.82"/>
    <n v="36064.949999999997"/>
    <x v="2"/>
  </r>
  <r>
    <x v="2"/>
    <x v="1"/>
    <x v="8"/>
    <x v="3"/>
    <x v="27"/>
    <x v="0"/>
    <x v="1"/>
    <n v="9.92"/>
    <n v="33392.31"/>
    <n v="119837.37"/>
    <x v="2"/>
  </r>
  <r>
    <x v="2"/>
    <x v="1"/>
    <x v="8"/>
    <x v="0"/>
    <x v="0"/>
    <x v="1"/>
    <x v="0"/>
    <n v="5.62"/>
    <n v="18917.82"/>
    <n v="44375.51"/>
    <x v="2"/>
  </r>
  <r>
    <x v="2"/>
    <x v="1"/>
    <x v="8"/>
    <x v="0"/>
    <x v="1"/>
    <x v="1"/>
    <x v="0"/>
    <n v="14.76"/>
    <n v="49684.52"/>
    <n v="114617.02"/>
    <x v="2"/>
  </r>
  <r>
    <x v="2"/>
    <x v="1"/>
    <x v="8"/>
    <x v="0"/>
    <x v="2"/>
    <x v="1"/>
    <x v="0"/>
    <n v="7.82"/>
    <n v="26323.37"/>
    <n v="58666.15"/>
    <x v="2"/>
  </r>
  <r>
    <x v="2"/>
    <x v="1"/>
    <x v="8"/>
    <x v="0"/>
    <x v="3"/>
    <x v="1"/>
    <x v="0"/>
    <n v="14.72"/>
    <n v="49549.88"/>
    <n v="114867.24"/>
    <x v="2"/>
  </r>
  <r>
    <x v="2"/>
    <x v="1"/>
    <x v="8"/>
    <x v="0"/>
    <x v="28"/>
    <x v="1"/>
    <x v="0"/>
    <n v="0"/>
    <n v="0"/>
    <n v="0"/>
    <x v="2"/>
  </r>
  <r>
    <x v="2"/>
    <x v="1"/>
    <x v="8"/>
    <x v="0"/>
    <x v="4"/>
    <x v="1"/>
    <x v="0"/>
    <n v="10.09"/>
    <n v="33964.550000000003"/>
    <n v="77975.41"/>
    <x v="2"/>
  </r>
  <r>
    <x v="2"/>
    <x v="1"/>
    <x v="8"/>
    <x v="0"/>
    <x v="5"/>
    <x v="1"/>
    <x v="0"/>
    <n v="2.36"/>
    <n v="7944.14"/>
    <n v="18777.7"/>
    <x v="2"/>
  </r>
  <r>
    <x v="2"/>
    <x v="1"/>
    <x v="8"/>
    <x v="0"/>
    <x v="6"/>
    <x v="1"/>
    <x v="0"/>
    <n v="0"/>
    <n v="0"/>
    <n v="0"/>
    <x v="2"/>
  </r>
  <r>
    <x v="2"/>
    <x v="1"/>
    <x v="8"/>
    <x v="0"/>
    <x v="7"/>
    <x v="1"/>
    <x v="0"/>
    <n v="0"/>
    <n v="0"/>
    <n v="0"/>
    <x v="2"/>
  </r>
  <r>
    <x v="2"/>
    <x v="1"/>
    <x v="8"/>
    <x v="0"/>
    <x v="8"/>
    <x v="1"/>
    <x v="0"/>
    <n v="0"/>
    <n v="0"/>
    <n v="0"/>
    <x v="2"/>
  </r>
  <r>
    <x v="2"/>
    <x v="1"/>
    <x v="8"/>
    <x v="1"/>
    <x v="30"/>
    <x v="1"/>
    <x v="0"/>
    <n v="3.8"/>
    <n v="12791.41"/>
    <n v="31591.97"/>
    <x v="2"/>
  </r>
  <r>
    <x v="2"/>
    <x v="1"/>
    <x v="8"/>
    <x v="1"/>
    <x v="9"/>
    <x v="1"/>
    <x v="0"/>
    <n v="0"/>
    <n v="0"/>
    <n v="0"/>
    <x v="2"/>
  </r>
  <r>
    <x v="2"/>
    <x v="1"/>
    <x v="8"/>
    <x v="1"/>
    <x v="31"/>
    <x v="1"/>
    <x v="0"/>
    <n v="2.73"/>
    <n v="9189.6200000000008"/>
    <n v="22942.33"/>
    <x v="2"/>
  </r>
  <r>
    <x v="2"/>
    <x v="1"/>
    <x v="8"/>
    <x v="1"/>
    <x v="10"/>
    <x v="1"/>
    <x v="0"/>
    <n v="18.38"/>
    <n v="61870.02"/>
    <n v="151404.03"/>
    <x v="2"/>
  </r>
  <r>
    <x v="2"/>
    <x v="1"/>
    <x v="8"/>
    <x v="1"/>
    <x v="11"/>
    <x v="1"/>
    <x v="0"/>
    <n v="7.69"/>
    <n v="25885.77"/>
    <n v="60402.94"/>
    <x v="2"/>
  </r>
  <r>
    <x v="2"/>
    <x v="1"/>
    <x v="8"/>
    <x v="1"/>
    <x v="12"/>
    <x v="1"/>
    <x v="0"/>
    <n v="2.17"/>
    <n v="7304.57"/>
    <n v="17924.25"/>
    <x v="2"/>
  </r>
  <r>
    <x v="2"/>
    <x v="1"/>
    <x v="8"/>
    <x v="1"/>
    <x v="13"/>
    <x v="1"/>
    <x v="0"/>
    <n v="3.82"/>
    <n v="12858.73"/>
    <n v="31429.759999999998"/>
    <x v="2"/>
  </r>
  <r>
    <x v="2"/>
    <x v="1"/>
    <x v="8"/>
    <x v="1"/>
    <x v="14"/>
    <x v="1"/>
    <x v="0"/>
    <n v="20.51"/>
    <n v="69039.94"/>
    <n v="165463.25"/>
    <x v="2"/>
  </r>
  <r>
    <x v="2"/>
    <x v="1"/>
    <x v="8"/>
    <x v="1"/>
    <x v="15"/>
    <x v="1"/>
    <x v="0"/>
    <n v="2.67"/>
    <n v="8987.65"/>
    <n v="22315.91"/>
    <x v="2"/>
  </r>
  <r>
    <x v="2"/>
    <x v="1"/>
    <x v="8"/>
    <x v="1"/>
    <x v="16"/>
    <x v="1"/>
    <x v="0"/>
    <n v="8.7100000000000009"/>
    <n v="29319.25"/>
    <n v="69177.990000000005"/>
    <x v="2"/>
  </r>
  <r>
    <x v="2"/>
    <x v="1"/>
    <x v="8"/>
    <x v="1"/>
    <x v="17"/>
    <x v="1"/>
    <x v="0"/>
    <n v="8.15"/>
    <n v="27434.2"/>
    <n v="65339.839999999997"/>
    <x v="2"/>
  </r>
  <r>
    <x v="2"/>
    <x v="1"/>
    <x v="8"/>
    <x v="1"/>
    <x v="18"/>
    <x v="1"/>
    <x v="0"/>
    <n v="10.039999999999999"/>
    <n v="33796.25"/>
    <n v="84294.080000000002"/>
    <x v="2"/>
  </r>
  <r>
    <x v="2"/>
    <x v="1"/>
    <x v="8"/>
    <x v="1"/>
    <x v="19"/>
    <x v="1"/>
    <x v="0"/>
    <n v="9.81"/>
    <n v="33022.03"/>
    <n v="79817.84"/>
    <x v="2"/>
  </r>
  <r>
    <x v="2"/>
    <x v="1"/>
    <x v="8"/>
    <x v="1"/>
    <x v="20"/>
    <x v="1"/>
    <x v="0"/>
    <n v="14.03"/>
    <n v="47227.22"/>
    <n v="112312.07"/>
    <x v="2"/>
  </r>
  <r>
    <x v="2"/>
    <x v="1"/>
    <x v="8"/>
    <x v="2"/>
    <x v="21"/>
    <x v="1"/>
    <x v="0"/>
    <n v="0"/>
    <n v="0"/>
    <n v="0"/>
    <x v="2"/>
  </r>
  <r>
    <x v="2"/>
    <x v="1"/>
    <x v="8"/>
    <x v="2"/>
    <x v="22"/>
    <x v="1"/>
    <x v="0"/>
    <n v="9.98"/>
    <n v="33594.28"/>
    <n v="73397.13"/>
    <x v="2"/>
  </r>
  <r>
    <x v="2"/>
    <x v="1"/>
    <x v="8"/>
    <x v="2"/>
    <x v="29"/>
    <x v="1"/>
    <x v="0"/>
    <n v="0"/>
    <n v="0"/>
    <n v="0"/>
    <x v="2"/>
  </r>
  <r>
    <x v="2"/>
    <x v="1"/>
    <x v="8"/>
    <x v="2"/>
    <x v="23"/>
    <x v="1"/>
    <x v="0"/>
    <n v="0"/>
    <n v="0"/>
    <n v="0"/>
    <x v="2"/>
  </r>
  <r>
    <x v="2"/>
    <x v="1"/>
    <x v="8"/>
    <x v="2"/>
    <x v="24"/>
    <x v="1"/>
    <x v="0"/>
    <n v="2.19"/>
    <n v="7371.89"/>
    <n v="16365.65"/>
    <x v="2"/>
  </r>
  <r>
    <x v="2"/>
    <x v="1"/>
    <x v="8"/>
    <x v="3"/>
    <x v="25"/>
    <x v="1"/>
    <x v="0"/>
    <n v="9.52"/>
    <n v="32045.84"/>
    <n v="78737.34"/>
    <x v="2"/>
  </r>
  <r>
    <x v="2"/>
    <x v="1"/>
    <x v="8"/>
    <x v="3"/>
    <x v="26"/>
    <x v="1"/>
    <x v="0"/>
    <n v="11.46"/>
    <n v="38576.19"/>
    <n v="95504.87"/>
    <x v="2"/>
  </r>
  <r>
    <x v="2"/>
    <x v="1"/>
    <x v="8"/>
    <x v="3"/>
    <x v="27"/>
    <x v="1"/>
    <x v="0"/>
    <n v="13.71"/>
    <n v="46150.05"/>
    <n v="112059.44"/>
    <x v="2"/>
  </r>
  <r>
    <x v="2"/>
    <x v="1"/>
    <x v="8"/>
    <x v="0"/>
    <x v="0"/>
    <x v="1"/>
    <x v="1"/>
    <n v="9.34"/>
    <n v="31439.93"/>
    <n v="73731.62"/>
    <x v="2"/>
  </r>
  <r>
    <x v="2"/>
    <x v="1"/>
    <x v="8"/>
    <x v="0"/>
    <x v="1"/>
    <x v="1"/>
    <x v="1"/>
    <n v="19.63"/>
    <n v="66077.72"/>
    <n v="152451.76"/>
    <x v="2"/>
  </r>
  <r>
    <x v="2"/>
    <x v="1"/>
    <x v="8"/>
    <x v="0"/>
    <x v="2"/>
    <x v="1"/>
    <x v="1"/>
    <n v="15.47"/>
    <n v="52074.5"/>
    <n v="116028.61"/>
    <x v="2"/>
  </r>
  <r>
    <x v="2"/>
    <x v="1"/>
    <x v="8"/>
    <x v="0"/>
    <x v="3"/>
    <x v="1"/>
    <x v="1"/>
    <n v="35.14"/>
    <n v="118286.86"/>
    <n v="274115.01"/>
    <x v="2"/>
  </r>
  <r>
    <x v="2"/>
    <x v="1"/>
    <x v="8"/>
    <x v="0"/>
    <x v="28"/>
    <x v="1"/>
    <x v="1"/>
    <n v="1.8"/>
    <n v="6059.09"/>
    <n v="14193.81"/>
    <x v="2"/>
  </r>
  <r>
    <x v="2"/>
    <x v="1"/>
    <x v="8"/>
    <x v="0"/>
    <x v="4"/>
    <x v="1"/>
    <x v="1"/>
    <n v="10.09"/>
    <n v="33964.550000000003"/>
    <n v="77975.41"/>
    <x v="2"/>
  </r>
  <r>
    <x v="2"/>
    <x v="1"/>
    <x v="8"/>
    <x v="0"/>
    <x v="5"/>
    <x v="1"/>
    <x v="1"/>
    <n v="25.63"/>
    <n v="86274.68"/>
    <n v="203964.69"/>
    <x v="2"/>
  </r>
  <r>
    <x v="2"/>
    <x v="1"/>
    <x v="8"/>
    <x v="0"/>
    <x v="6"/>
    <x v="1"/>
    <x v="1"/>
    <n v="2.77"/>
    <n v="9324.26"/>
    <n v="21957.4"/>
    <x v="2"/>
  </r>
  <r>
    <x v="2"/>
    <x v="1"/>
    <x v="8"/>
    <x v="0"/>
    <x v="7"/>
    <x v="1"/>
    <x v="1"/>
    <n v="3.93"/>
    <n v="13229.01"/>
    <n v="31719.03"/>
    <x v="2"/>
  </r>
  <r>
    <x v="2"/>
    <x v="1"/>
    <x v="8"/>
    <x v="0"/>
    <x v="8"/>
    <x v="1"/>
    <x v="1"/>
    <n v="5.45"/>
    <n v="18345.57"/>
    <n v="41924.730000000003"/>
    <x v="2"/>
  </r>
  <r>
    <x v="2"/>
    <x v="1"/>
    <x v="8"/>
    <x v="1"/>
    <x v="30"/>
    <x v="1"/>
    <x v="1"/>
    <n v="0"/>
    <n v="0"/>
    <n v="0"/>
    <x v="2"/>
  </r>
  <r>
    <x v="2"/>
    <x v="1"/>
    <x v="8"/>
    <x v="1"/>
    <x v="9"/>
    <x v="1"/>
    <x v="1"/>
    <n v="4.46"/>
    <n v="15013.07"/>
    <n v="37081.81"/>
    <x v="2"/>
  </r>
  <r>
    <x v="2"/>
    <x v="1"/>
    <x v="8"/>
    <x v="1"/>
    <x v="31"/>
    <x v="1"/>
    <x v="1"/>
    <n v="0"/>
    <n v="0"/>
    <n v="0"/>
    <x v="2"/>
  </r>
  <r>
    <x v="2"/>
    <x v="1"/>
    <x v="8"/>
    <x v="1"/>
    <x v="10"/>
    <x v="1"/>
    <x v="1"/>
    <n v="40.909999999999997"/>
    <n v="137709.60999999999"/>
    <n v="336915.57"/>
    <x v="2"/>
  </r>
  <r>
    <x v="2"/>
    <x v="1"/>
    <x v="8"/>
    <x v="1"/>
    <x v="11"/>
    <x v="1"/>
    <x v="1"/>
    <n v="32.58"/>
    <n v="109669.49"/>
    <n v="255705.77"/>
    <x v="2"/>
  </r>
  <r>
    <x v="2"/>
    <x v="1"/>
    <x v="8"/>
    <x v="1"/>
    <x v="12"/>
    <x v="1"/>
    <x v="1"/>
    <n v="3.91"/>
    <n v="13161.69"/>
    <n v="32263.66"/>
    <x v="2"/>
  </r>
  <r>
    <x v="2"/>
    <x v="1"/>
    <x v="8"/>
    <x v="1"/>
    <x v="13"/>
    <x v="1"/>
    <x v="1"/>
    <n v="17.2"/>
    <n v="57897.95"/>
    <n v="141433.92000000001"/>
    <x v="2"/>
  </r>
  <r>
    <x v="2"/>
    <x v="1"/>
    <x v="8"/>
    <x v="1"/>
    <x v="14"/>
    <x v="1"/>
    <x v="1"/>
    <n v="11.48"/>
    <n v="38643.519999999997"/>
    <n v="92623.45"/>
    <x v="2"/>
  </r>
  <r>
    <x v="2"/>
    <x v="1"/>
    <x v="8"/>
    <x v="1"/>
    <x v="15"/>
    <x v="1"/>
    <x v="1"/>
    <n v="2.58"/>
    <n v="8684.69"/>
    <n v="21518.91"/>
    <x v="2"/>
  </r>
  <r>
    <x v="2"/>
    <x v="1"/>
    <x v="8"/>
    <x v="1"/>
    <x v="16"/>
    <x v="1"/>
    <x v="1"/>
    <n v="10.41"/>
    <n v="35041.730000000003"/>
    <n v="82742.3"/>
    <x v="2"/>
  </r>
  <r>
    <x v="2"/>
    <x v="1"/>
    <x v="8"/>
    <x v="1"/>
    <x v="17"/>
    <x v="1"/>
    <x v="1"/>
    <n v="7.22"/>
    <n v="24303.68"/>
    <n v="57930.16"/>
    <x v="2"/>
  </r>
  <r>
    <x v="2"/>
    <x v="1"/>
    <x v="8"/>
    <x v="1"/>
    <x v="18"/>
    <x v="1"/>
    <x v="1"/>
    <n v="38.799999999999997"/>
    <n v="130607.01"/>
    <n v="325641.34000000003"/>
    <x v="2"/>
  </r>
  <r>
    <x v="2"/>
    <x v="1"/>
    <x v="8"/>
    <x v="1"/>
    <x v="19"/>
    <x v="1"/>
    <x v="1"/>
    <n v="15.6"/>
    <n v="52512.1"/>
    <n v="127014.47"/>
    <x v="2"/>
  </r>
  <r>
    <x v="2"/>
    <x v="1"/>
    <x v="8"/>
    <x v="1"/>
    <x v="20"/>
    <x v="1"/>
    <x v="1"/>
    <n v="26.11"/>
    <n v="87890.44"/>
    <n v="209062.83"/>
    <x v="2"/>
  </r>
  <r>
    <x v="2"/>
    <x v="1"/>
    <x v="8"/>
    <x v="2"/>
    <x v="21"/>
    <x v="1"/>
    <x v="1"/>
    <n v="3.32"/>
    <n v="11175.65"/>
    <n v="24441.8"/>
    <x v="2"/>
  </r>
  <r>
    <x v="2"/>
    <x v="1"/>
    <x v="8"/>
    <x v="2"/>
    <x v="22"/>
    <x v="1"/>
    <x v="1"/>
    <n v="20.05"/>
    <n v="67491.509999999995"/>
    <n v="147455.5"/>
    <x v="2"/>
  </r>
  <r>
    <x v="2"/>
    <x v="1"/>
    <x v="8"/>
    <x v="2"/>
    <x v="29"/>
    <x v="1"/>
    <x v="1"/>
    <n v="3.82"/>
    <n v="12858.73"/>
    <n v="29877.34"/>
    <x v="2"/>
  </r>
  <r>
    <x v="2"/>
    <x v="1"/>
    <x v="8"/>
    <x v="2"/>
    <x v="23"/>
    <x v="1"/>
    <x v="1"/>
    <n v="2.02"/>
    <n v="6799.64"/>
    <n v="15429.66"/>
    <x v="2"/>
  </r>
  <r>
    <x v="2"/>
    <x v="1"/>
    <x v="8"/>
    <x v="2"/>
    <x v="24"/>
    <x v="1"/>
    <x v="1"/>
    <n v="3.53"/>
    <n v="11882.54"/>
    <n v="26436.82"/>
    <x v="2"/>
  </r>
  <r>
    <x v="2"/>
    <x v="1"/>
    <x v="8"/>
    <x v="3"/>
    <x v="25"/>
    <x v="1"/>
    <x v="1"/>
    <n v="9.69"/>
    <n v="32618.09"/>
    <n v="80130.92"/>
    <x v="2"/>
  </r>
  <r>
    <x v="2"/>
    <x v="1"/>
    <x v="8"/>
    <x v="3"/>
    <x v="26"/>
    <x v="1"/>
    <x v="1"/>
    <n v="29.58"/>
    <n v="99571.01"/>
    <n v="246493.52"/>
    <x v="2"/>
  </r>
  <r>
    <x v="2"/>
    <x v="1"/>
    <x v="8"/>
    <x v="3"/>
    <x v="27"/>
    <x v="1"/>
    <x v="1"/>
    <n v="43.59"/>
    <n v="146730.91"/>
    <n v="356362.95"/>
    <x v="2"/>
  </r>
  <r>
    <x v="2"/>
    <x v="1"/>
    <x v="9"/>
    <x v="0"/>
    <x v="0"/>
    <x v="0"/>
    <x v="0"/>
    <n v="1.27"/>
    <n v="3428.76"/>
    <n v="11890.44"/>
    <x v="2"/>
  </r>
  <r>
    <x v="2"/>
    <x v="1"/>
    <x v="9"/>
    <x v="0"/>
    <x v="1"/>
    <x v="0"/>
    <x v="0"/>
    <n v="3.8"/>
    <n v="10259.280000000001"/>
    <n v="35683.58"/>
    <x v="2"/>
  </r>
  <r>
    <x v="2"/>
    <x v="1"/>
    <x v="9"/>
    <x v="0"/>
    <x v="2"/>
    <x v="0"/>
    <x v="0"/>
    <n v="0"/>
    <n v="0"/>
    <n v="0"/>
    <x v="2"/>
  </r>
  <r>
    <x v="2"/>
    <x v="1"/>
    <x v="9"/>
    <x v="0"/>
    <x v="3"/>
    <x v="0"/>
    <x v="0"/>
    <n v="1.52"/>
    <n v="4103.71"/>
    <n v="14254.26"/>
    <x v="2"/>
  </r>
  <r>
    <x v="2"/>
    <x v="1"/>
    <x v="9"/>
    <x v="0"/>
    <x v="4"/>
    <x v="0"/>
    <x v="0"/>
    <n v="0"/>
    <n v="0"/>
    <n v="0"/>
    <x v="2"/>
  </r>
  <r>
    <x v="2"/>
    <x v="1"/>
    <x v="9"/>
    <x v="0"/>
    <x v="5"/>
    <x v="0"/>
    <x v="0"/>
    <n v="0"/>
    <n v="0"/>
    <n v="0"/>
    <x v="2"/>
  </r>
  <r>
    <x v="2"/>
    <x v="1"/>
    <x v="9"/>
    <x v="0"/>
    <x v="6"/>
    <x v="0"/>
    <x v="0"/>
    <n v="0"/>
    <n v="0"/>
    <n v="0"/>
    <x v="2"/>
  </r>
  <r>
    <x v="2"/>
    <x v="1"/>
    <x v="9"/>
    <x v="0"/>
    <x v="8"/>
    <x v="0"/>
    <x v="0"/>
    <n v="0"/>
    <n v="0"/>
    <n v="0"/>
    <x v="2"/>
  </r>
  <r>
    <x v="2"/>
    <x v="1"/>
    <x v="9"/>
    <x v="1"/>
    <x v="10"/>
    <x v="0"/>
    <x v="0"/>
    <n v="1.57"/>
    <n v="4238.7"/>
    <n v="14759.58"/>
    <x v="2"/>
  </r>
  <r>
    <x v="2"/>
    <x v="1"/>
    <x v="9"/>
    <x v="1"/>
    <x v="11"/>
    <x v="0"/>
    <x v="0"/>
    <n v="0"/>
    <n v="0"/>
    <n v="0"/>
    <x v="2"/>
  </r>
  <r>
    <x v="2"/>
    <x v="1"/>
    <x v="9"/>
    <x v="1"/>
    <x v="13"/>
    <x v="0"/>
    <x v="0"/>
    <n v="0"/>
    <n v="0"/>
    <n v="0"/>
    <x v="2"/>
  </r>
  <r>
    <x v="2"/>
    <x v="1"/>
    <x v="9"/>
    <x v="1"/>
    <x v="14"/>
    <x v="0"/>
    <x v="0"/>
    <n v="0"/>
    <n v="0"/>
    <n v="0"/>
    <x v="2"/>
  </r>
  <r>
    <x v="2"/>
    <x v="1"/>
    <x v="9"/>
    <x v="1"/>
    <x v="16"/>
    <x v="0"/>
    <x v="0"/>
    <n v="0"/>
    <n v="0"/>
    <n v="0"/>
    <x v="2"/>
  </r>
  <r>
    <x v="2"/>
    <x v="1"/>
    <x v="9"/>
    <x v="1"/>
    <x v="17"/>
    <x v="0"/>
    <x v="0"/>
    <n v="0"/>
    <n v="0"/>
    <n v="0"/>
    <x v="2"/>
  </r>
  <r>
    <x v="2"/>
    <x v="1"/>
    <x v="9"/>
    <x v="1"/>
    <x v="18"/>
    <x v="0"/>
    <x v="0"/>
    <n v="0"/>
    <n v="0"/>
    <n v="0"/>
    <x v="2"/>
  </r>
  <r>
    <x v="2"/>
    <x v="1"/>
    <x v="9"/>
    <x v="1"/>
    <x v="19"/>
    <x v="0"/>
    <x v="0"/>
    <n v="0"/>
    <n v="0"/>
    <n v="0"/>
    <x v="2"/>
  </r>
  <r>
    <x v="2"/>
    <x v="1"/>
    <x v="9"/>
    <x v="1"/>
    <x v="20"/>
    <x v="0"/>
    <x v="0"/>
    <n v="1.77"/>
    <n v="4778.66"/>
    <n v="16618.3"/>
    <x v="2"/>
  </r>
  <r>
    <x v="2"/>
    <x v="1"/>
    <x v="9"/>
    <x v="2"/>
    <x v="21"/>
    <x v="0"/>
    <x v="0"/>
    <n v="2.23"/>
    <n v="6020.58"/>
    <n v="20957.439999999999"/>
    <x v="2"/>
  </r>
  <r>
    <x v="2"/>
    <x v="1"/>
    <x v="9"/>
    <x v="2"/>
    <x v="22"/>
    <x v="0"/>
    <x v="0"/>
    <n v="0"/>
    <n v="0"/>
    <n v="0"/>
    <x v="2"/>
  </r>
  <r>
    <x v="2"/>
    <x v="1"/>
    <x v="9"/>
    <x v="2"/>
    <x v="29"/>
    <x v="0"/>
    <x v="0"/>
    <n v="0"/>
    <n v="0"/>
    <n v="0"/>
    <x v="2"/>
  </r>
  <r>
    <x v="2"/>
    <x v="1"/>
    <x v="9"/>
    <x v="2"/>
    <x v="24"/>
    <x v="0"/>
    <x v="0"/>
    <n v="0"/>
    <n v="0"/>
    <n v="0"/>
    <x v="2"/>
  </r>
  <r>
    <x v="2"/>
    <x v="1"/>
    <x v="9"/>
    <x v="3"/>
    <x v="25"/>
    <x v="0"/>
    <x v="0"/>
    <n v="0"/>
    <n v="0"/>
    <n v="0"/>
    <x v="2"/>
  </r>
  <r>
    <x v="2"/>
    <x v="1"/>
    <x v="9"/>
    <x v="3"/>
    <x v="26"/>
    <x v="0"/>
    <x v="0"/>
    <n v="1.31"/>
    <n v="3536.75"/>
    <n v="12311.71"/>
    <x v="2"/>
  </r>
  <r>
    <x v="2"/>
    <x v="1"/>
    <x v="9"/>
    <x v="3"/>
    <x v="27"/>
    <x v="0"/>
    <x v="0"/>
    <n v="2.86"/>
    <n v="7721.46"/>
    <n v="26840.18"/>
    <x v="2"/>
  </r>
  <r>
    <x v="2"/>
    <x v="1"/>
    <x v="9"/>
    <x v="0"/>
    <x v="0"/>
    <x v="0"/>
    <x v="1"/>
    <n v="1.72"/>
    <n v="4643.67"/>
    <n v="16137.03"/>
    <x v="2"/>
  </r>
  <r>
    <x v="2"/>
    <x v="1"/>
    <x v="9"/>
    <x v="0"/>
    <x v="1"/>
    <x v="0"/>
    <x v="1"/>
    <n v="7.9"/>
    <n v="21328.5"/>
    <n v="74112.06"/>
    <x v="2"/>
  </r>
  <r>
    <x v="2"/>
    <x v="1"/>
    <x v="9"/>
    <x v="0"/>
    <x v="2"/>
    <x v="0"/>
    <x v="1"/>
    <n v="3.51"/>
    <n v="9476.33"/>
    <n v="32914.980000000003"/>
    <x v="2"/>
  </r>
  <r>
    <x v="2"/>
    <x v="1"/>
    <x v="9"/>
    <x v="0"/>
    <x v="3"/>
    <x v="0"/>
    <x v="1"/>
    <n v="4.9000000000000004"/>
    <n v="13229.07"/>
    <n v="46002.39"/>
    <x v="2"/>
  </r>
  <r>
    <x v="2"/>
    <x v="1"/>
    <x v="9"/>
    <x v="0"/>
    <x v="4"/>
    <x v="0"/>
    <x v="1"/>
    <n v="1.52"/>
    <n v="4103.71"/>
    <n v="14211.41"/>
    <x v="2"/>
  </r>
  <r>
    <x v="2"/>
    <x v="1"/>
    <x v="9"/>
    <x v="0"/>
    <x v="5"/>
    <x v="0"/>
    <x v="1"/>
    <n v="2.61"/>
    <n v="7046.5"/>
    <n v="24480.73"/>
    <x v="2"/>
  </r>
  <r>
    <x v="2"/>
    <x v="1"/>
    <x v="9"/>
    <x v="0"/>
    <x v="6"/>
    <x v="0"/>
    <x v="1"/>
    <n v="1.97"/>
    <n v="5318.63"/>
    <n v="18437.849999999999"/>
    <x v="2"/>
  </r>
  <r>
    <x v="2"/>
    <x v="1"/>
    <x v="9"/>
    <x v="0"/>
    <x v="8"/>
    <x v="0"/>
    <x v="1"/>
    <n v="3.38"/>
    <n v="9125.36"/>
    <n v="31679.5"/>
    <x v="2"/>
  </r>
  <r>
    <x v="2"/>
    <x v="1"/>
    <x v="9"/>
    <x v="1"/>
    <x v="10"/>
    <x v="0"/>
    <x v="1"/>
    <n v="4.72"/>
    <n v="12743.1"/>
    <n v="44278.73"/>
    <x v="2"/>
  </r>
  <r>
    <x v="2"/>
    <x v="1"/>
    <x v="9"/>
    <x v="1"/>
    <x v="11"/>
    <x v="0"/>
    <x v="1"/>
    <n v="10.220000000000001"/>
    <n v="27592.06"/>
    <n v="95901.38"/>
    <x v="2"/>
  </r>
  <r>
    <x v="2"/>
    <x v="1"/>
    <x v="9"/>
    <x v="1"/>
    <x v="13"/>
    <x v="0"/>
    <x v="1"/>
    <n v="3.73"/>
    <n v="10070.290000000001"/>
    <n v="34992.32"/>
    <x v="2"/>
  </r>
  <r>
    <x v="2"/>
    <x v="1"/>
    <x v="9"/>
    <x v="1"/>
    <x v="14"/>
    <x v="0"/>
    <x v="1"/>
    <n v="1.85"/>
    <n v="4994.6499999999996"/>
    <n v="17308.72"/>
    <x v="2"/>
  </r>
  <r>
    <x v="2"/>
    <x v="1"/>
    <x v="9"/>
    <x v="1"/>
    <x v="16"/>
    <x v="0"/>
    <x v="1"/>
    <n v="1.68"/>
    <n v="4535.68"/>
    <n v="15790.88"/>
    <x v="2"/>
  </r>
  <r>
    <x v="2"/>
    <x v="1"/>
    <x v="9"/>
    <x v="1"/>
    <x v="17"/>
    <x v="0"/>
    <x v="1"/>
    <n v="2.27"/>
    <n v="6128.57"/>
    <n v="21308.639999999999"/>
    <x v="2"/>
  </r>
  <r>
    <x v="2"/>
    <x v="1"/>
    <x v="9"/>
    <x v="1"/>
    <x v="18"/>
    <x v="0"/>
    <x v="1"/>
    <n v="11.07"/>
    <n v="29886.9"/>
    <n v="103815.5"/>
    <x v="2"/>
  </r>
  <r>
    <x v="2"/>
    <x v="1"/>
    <x v="9"/>
    <x v="1"/>
    <x v="19"/>
    <x v="0"/>
    <x v="1"/>
    <n v="4.05"/>
    <n v="10934.23"/>
    <n v="37994.42"/>
    <x v="2"/>
  </r>
  <r>
    <x v="2"/>
    <x v="1"/>
    <x v="9"/>
    <x v="1"/>
    <x v="20"/>
    <x v="0"/>
    <x v="1"/>
    <n v="10.01"/>
    <n v="27025.1"/>
    <n v="93893.4"/>
    <x v="2"/>
  </r>
  <r>
    <x v="2"/>
    <x v="1"/>
    <x v="9"/>
    <x v="2"/>
    <x v="21"/>
    <x v="0"/>
    <x v="1"/>
    <n v="0"/>
    <n v="0"/>
    <n v="0"/>
    <x v="2"/>
  </r>
  <r>
    <x v="2"/>
    <x v="1"/>
    <x v="9"/>
    <x v="2"/>
    <x v="22"/>
    <x v="0"/>
    <x v="1"/>
    <n v="3.38"/>
    <n v="9125.36"/>
    <n v="31685.57"/>
    <x v="2"/>
  </r>
  <r>
    <x v="2"/>
    <x v="1"/>
    <x v="9"/>
    <x v="2"/>
    <x v="29"/>
    <x v="0"/>
    <x v="1"/>
    <n v="2.21"/>
    <n v="5966.58"/>
    <n v="20707.09"/>
    <x v="2"/>
  </r>
  <r>
    <x v="2"/>
    <x v="1"/>
    <x v="9"/>
    <x v="2"/>
    <x v="24"/>
    <x v="0"/>
    <x v="1"/>
    <n v="2.0099999999999998"/>
    <n v="5426.62"/>
    <n v="18882.28"/>
    <x v="2"/>
  </r>
  <r>
    <x v="2"/>
    <x v="1"/>
    <x v="9"/>
    <x v="3"/>
    <x v="25"/>
    <x v="0"/>
    <x v="1"/>
    <n v="2.08"/>
    <n v="5615.6"/>
    <n v="19476.04"/>
    <x v="2"/>
  </r>
  <r>
    <x v="2"/>
    <x v="1"/>
    <x v="9"/>
    <x v="3"/>
    <x v="26"/>
    <x v="0"/>
    <x v="1"/>
    <n v="1.05"/>
    <n v="2834.8"/>
    <n v="9849.3700000000008"/>
    <x v="2"/>
  </r>
  <r>
    <x v="2"/>
    <x v="1"/>
    <x v="9"/>
    <x v="3"/>
    <x v="27"/>
    <x v="0"/>
    <x v="1"/>
    <n v="7.87"/>
    <n v="21247.5"/>
    <n v="73810.509999999995"/>
    <x v="2"/>
  </r>
  <r>
    <x v="2"/>
    <x v="1"/>
    <x v="9"/>
    <x v="0"/>
    <x v="0"/>
    <x v="1"/>
    <x v="0"/>
    <n v="4.22"/>
    <n v="11393.2"/>
    <n v="25898.95"/>
    <x v="2"/>
  </r>
  <r>
    <x v="2"/>
    <x v="1"/>
    <x v="9"/>
    <x v="0"/>
    <x v="1"/>
    <x v="1"/>
    <x v="0"/>
    <n v="9.94"/>
    <n v="26836.11"/>
    <n v="59976.6"/>
    <x v="2"/>
  </r>
  <r>
    <x v="2"/>
    <x v="1"/>
    <x v="9"/>
    <x v="0"/>
    <x v="2"/>
    <x v="1"/>
    <x v="0"/>
    <n v="6.67"/>
    <n v="18007.73"/>
    <n v="38876.76"/>
    <x v="2"/>
  </r>
  <r>
    <x v="2"/>
    <x v="1"/>
    <x v="9"/>
    <x v="0"/>
    <x v="3"/>
    <x v="1"/>
    <x v="0"/>
    <n v="12.39"/>
    <n v="33450.65"/>
    <n v="75072.33"/>
    <x v="2"/>
  </r>
  <r>
    <x v="2"/>
    <x v="1"/>
    <x v="9"/>
    <x v="0"/>
    <x v="28"/>
    <x v="1"/>
    <x v="0"/>
    <n v="0"/>
    <n v="0"/>
    <n v="0"/>
    <x v="2"/>
  </r>
  <r>
    <x v="2"/>
    <x v="1"/>
    <x v="9"/>
    <x v="0"/>
    <x v="4"/>
    <x v="1"/>
    <x v="0"/>
    <n v="8.2200000000000006"/>
    <n v="22192.44"/>
    <n v="49370.559999999998"/>
    <x v="2"/>
  </r>
  <r>
    <x v="2"/>
    <x v="1"/>
    <x v="9"/>
    <x v="0"/>
    <x v="5"/>
    <x v="1"/>
    <x v="0"/>
    <n v="2.64"/>
    <n v="7127.5"/>
    <n v="16324.17"/>
    <x v="2"/>
  </r>
  <r>
    <x v="2"/>
    <x v="1"/>
    <x v="9"/>
    <x v="0"/>
    <x v="6"/>
    <x v="1"/>
    <x v="0"/>
    <n v="0"/>
    <n v="0"/>
    <n v="0"/>
    <x v="2"/>
  </r>
  <r>
    <x v="2"/>
    <x v="1"/>
    <x v="9"/>
    <x v="0"/>
    <x v="7"/>
    <x v="1"/>
    <x v="0"/>
    <n v="0"/>
    <n v="0"/>
    <n v="0"/>
    <x v="2"/>
  </r>
  <r>
    <x v="2"/>
    <x v="1"/>
    <x v="9"/>
    <x v="0"/>
    <x v="8"/>
    <x v="1"/>
    <x v="0"/>
    <n v="0"/>
    <n v="0"/>
    <n v="0"/>
    <x v="2"/>
  </r>
  <r>
    <x v="2"/>
    <x v="1"/>
    <x v="9"/>
    <x v="1"/>
    <x v="30"/>
    <x v="1"/>
    <x v="0"/>
    <n v="1.76"/>
    <n v="4751.67"/>
    <n v="11357.03"/>
    <x v="2"/>
  </r>
  <r>
    <x v="2"/>
    <x v="1"/>
    <x v="9"/>
    <x v="1"/>
    <x v="9"/>
    <x v="1"/>
    <x v="0"/>
    <n v="0"/>
    <n v="0"/>
    <n v="0"/>
    <x v="2"/>
  </r>
  <r>
    <x v="2"/>
    <x v="1"/>
    <x v="9"/>
    <x v="1"/>
    <x v="31"/>
    <x v="1"/>
    <x v="0"/>
    <n v="0"/>
    <n v="0"/>
    <n v="0"/>
    <x v="2"/>
  </r>
  <r>
    <x v="2"/>
    <x v="1"/>
    <x v="9"/>
    <x v="1"/>
    <x v="10"/>
    <x v="1"/>
    <x v="0"/>
    <n v="6.17"/>
    <n v="16657.830000000002"/>
    <n v="39491.339999999997"/>
    <x v="2"/>
  </r>
  <r>
    <x v="2"/>
    <x v="1"/>
    <x v="9"/>
    <x v="1"/>
    <x v="11"/>
    <x v="1"/>
    <x v="0"/>
    <n v="7.48"/>
    <n v="20194.580000000002"/>
    <n v="45602.97"/>
    <x v="2"/>
  </r>
  <r>
    <x v="2"/>
    <x v="1"/>
    <x v="9"/>
    <x v="1"/>
    <x v="12"/>
    <x v="1"/>
    <x v="0"/>
    <n v="1.94"/>
    <n v="5237.63"/>
    <n v="12423.6"/>
    <x v="2"/>
  </r>
  <r>
    <x v="2"/>
    <x v="1"/>
    <x v="9"/>
    <x v="1"/>
    <x v="13"/>
    <x v="1"/>
    <x v="0"/>
    <n v="2.77"/>
    <n v="7478.47"/>
    <n v="17714.02"/>
    <x v="2"/>
  </r>
  <r>
    <x v="2"/>
    <x v="1"/>
    <x v="9"/>
    <x v="1"/>
    <x v="14"/>
    <x v="1"/>
    <x v="0"/>
    <n v="12.51"/>
    <n v="33774.620000000003"/>
    <n v="78409.570000000007"/>
    <x v="2"/>
  </r>
  <r>
    <x v="2"/>
    <x v="1"/>
    <x v="9"/>
    <x v="1"/>
    <x v="15"/>
    <x v="1"/>
    <x v="0"/>
    <n v="1.96"/>
    <n v="5291.63"/>
    <n v="12727.11"/>
    <x v="2"/>
  </r>
  <r>
    <x v="2"/>
    <x v="1"/>
    <x v="9"/>
    <x v="1"/>
    <x v="16"/>
    <x v="1"/>
    <x v="0"/>
    <n v="6.1"/>
    <n v="16468.84"/>
    <n v="37640.51"/>
    <x v="2"/>
  </r>
  <r>
    <x v="2"/>
    <x v="1"/>
    <x v="9"/>
    <x v="1"/>
    <x v="17"/>
    <x v="1"/>
    <x v="0"/>
    <n v="6.45"/>
    <n v="17413.77"/>
    <n v="40195.19"/>
    <x v="2"/>
  </r>
  <r>
    <x v="2"/>
    <x v="1"/>
    <x v="9"/>
    <x v="1"/>
    <x v="18"/>
    <x v="1"/>
    <x v="0"/>
    <n v="7.66"/>
    <n v="20680.54"/>
    <n v="49922.34"/>
    <x v="2"/>
  </r>
  <r>
    <x v="2"/>
    <x v="1"/>
    <x v="9"/>
    <x v="1"/>
    <x v="19"/>
    <x v="1"/>
    <x v="0"/>
    <n v="5.88"/>
    <n v="15874.88"/>
    <n v="37184.230000000003"/>
    <x v="2"/>
  </r>
  <r>
    <x v="2"/>
    <x v="1"/>
    <x v="9"/>
    <x v="1"/>
    <x v="20"/>
    <x v="1"/>
    <x v="0"/>
    <n v="12.19"/>
    <n v="32910.68"/>
    <n v="75832.210000000006"/>
    <x v="2"/>
  </r>
  <r>
    <x v="2"/>
    <x v="1"/>
    <x v="9"/>
    <x v="2"/>
    <x v="21"/>
    <x v="1"/>
    <x v="0"/>
    <n v="0"/>
    <n v="0"/>
    <n v="0"/>
    <x v="2"/>
  </r>
  <r>
    <x v="2"/>
    <x v="1"/>
    <x v="9"/>
    <x v="2"/>
    <x v="22"/>
    <x v="1"/>
    <x v="0"/>
    <n v="8.11"/>
    <n v="21895.46"/>
    <n v="46332.74"/>
    <x v="2"/>
  </r>
  <r>
    <x v="2"/>
    <x v="1"/>
    <x v="9"/>
    <x v="2"/>
    <x v="29"/>
    <x v="1"/>
    <x v="0"/>
    <n v="0"/>
    <n v="0"/>
    <n v="0"/>
    <x v="2"/>
  </r>
  <r>
    <x v="2"/>
    <x v="1"/>
    <x v="9"/>
    <x v="2"/>
    <x v="23"/>
    <x v="1"/>
    <x v="0"/>
    <n v="0"/>
    <n v="0"/>
    <n v="0"/>
    <x v="2"/>
  </r>
  <r>
    <x v="2"/>
    <x v="1"/>
    <x v="9"/>
    <x v="2"/>
    <x v="24"/>
    <x v="1"/>
    <x v="0"/>
    <n v="1.25"/>
    <n v="3374.76"/>
    <n v="7262.33"/>
    <x v="2"/>
  </r>
  <r>
    <x v="2"/>
    <x v="1"/>
    <x v="9"/>
    <x v="3"/>
    <x v="25"/>
    <x v="1"/>
    <x v="0"/>
    <n v="4.97"/>
    <n v="13418.06"/>
    <n v="31942.33"/>
    <x v="2"/>
  </r>
  <r>
    <x v="2"/>
    <x v="1"/>
    <x v="9"/>
    <x v="3"/>
    <x v="26"/>
    <x v="1"/>
    <x v="0"/>
    <n v="5.1100000000000003"/>
    <n v="13796.03"/>
    <n v="33066.18"/>
    <x v="2"/>
  </r>
  <r>
    <x v="2"/>
    <x v="1"/>
    <x v="9"/>
    <x v="3"/>
    <x v="27"/>
    <x v="1"/>
    <x v="0"/>
    <n v="10.34"/>
    <n v="27916.04"/>
    <n v="65682.91"/>
    <x v="2"/>
  </r>
  <r>
    <x v="2"/>
    <x v="1"/>
    <x v="9"/>
    <x v="0"/>
    <x v="0"/>
    <x v="1"/>
    <x v="1"/>
    <n v="11.03"/>
    <n v="29778.9"/>
    <n v="67654.39"/>
    <x v="2"/>
  </r>
  <r>
    <x v="2"/>
    <x v="1"/>
    <x v="9"/>
    <x v="0"/>
    <x v="1"/>
    <x v="1"/>
    <x v="1"/>
    <n v="17.54"/>
    <n v="47354.67"/>
    <n v="105769.54"/>
    <x v="2"/>
  </r>
  <r>
    <x v="2"/>
    <x v="1"/>
    <x v="9"/>
    <x v="0"/>
    <x v="2"/>
    <x v="1"/>
    <x v="1"/>
    <n v="12.51"/>
    <n v="33774.620000000003"/>
    <n v="72893.919999999998"/>
    <x v="2"/>
  </r>
  <r>
    <x v="2"/>
    <x v="1"/>
    <x v="9"/>
    <x v="0"/>
    <x v="3"/>
    <x v="1"/>
    <x v="1"/>
    <n v="25.21"/>
    <n v="68062.210000000006"/>
    <n v="152733.35999999999"/>
    <x v="2"/>
  </r>
  <r>
    <x v="2"/>
    <x v="1"/>
    <x v="9"/>
    <x v="0"/>
    <x v="28"/>
    <x v="1"/>
    <x v="1"/>
    <n v="3.77"/>
    <n v="10178.280000000001"/>
    <n v="23137.63"/>
    <x v="2"/>
  </r>
  <r>
    <x v="2"/>
    <x v="1"/>
    <x v="9"/>
    <x v="0"/>
    <x v="4"/>
    <x v="1"/>
    <x v="1"/>
    <n v="7.81"/>
    <n v="21085.52"/>
    <n v="46877.1"/>
    <x v="2"/>
  </r>
  <r>
    <x v="2"/>
    <x v="1"/>
    <x v="9"/>
    <x v="0"/>
    <x v="5"/>
    <x v="1"/>
    <x v="1"/>
    <n v="20.53"/>
    <n v="55427.1"/>
    <n v="126907.26"/>
    <x v="2"/>
  </r>
  <r>
    <x v="2"/>
    <x v="1"/>
    <x v="9"/>
    <x v="0"/>
    <x v="6"/>
    <x v="1"/>
    <x v="1"/>
    <n v="2.38"/>
    <n v="6425.55"/>
    <n v="14678.14"/>
    <x v="2"/>
  </r>
  <r>
    <x v="2"/>
    <x v="1"/>
    <x v="9"/>
    <x v="0"/>
    <x v="7"/>
    <x v="1"/>
    <x v="1"/>
    <n v="4.1900000000000004"/>
    <n v="11312.2"/>
    <n v="26284.03"/>
    <x v="2"/>
  </r>
  <r>
    <x v="2"/>
    <x v="1"/>
    <x v="9"/>
    <x v="0"/>
    <x v="8"/>
    <x v="1"/>
    <x v="1"/>
    <n v="2.66"/>
    <n v="7181.49"/>
    <n v="15899.08"/>
    <x v="2"/>
  </r>
  <r>
    <x v="2"/>
    <x v="1"/>
    <x v="9"/>
    <x v="1"/>
    <x v="30"/>
    <x v="1"/>
    <x v="1"/>
    <n v="0"/>
    <n v="0"/>
    <n v="0"/>
    <x v="2"/>
  </r>
  <r>
    <x v="2"/>
    <x v="1"/>
    <x v="9"/>
    <x v="1"/>
    <x v="9"/>
    <x v="1"/>
    <x v="1"/>
    <n v="3.93"/>
    <n v="10610.25"/>
    <n v="25390.18"/>
    <x v="2"/>
  </r>
  <r>
    <x v="2"/>
    <x v="1"/>
    <x v="9"/>
    <x v="1"/>
    <x v="31"/>
    <x v="1"/>
    <x v="1"/>
    <n v="0"/>
    <n v="0"/>
    <n v="0"/>
    <x v="2"/>
  </r>
  <r>
    <x v="2"/>
    <x v="1"/>
    <x v="9"/>
    <x v="1"/>
    <x v="10"/>
    <x v="1"/>
    <x v="1"/>
    <n v="35.79"/>
    <n v="96626.2"/>
    <n v="228915.93"/>
    <x v="2"/>
  </r>
  <r>
    <x v="2"/>
    <x v="1"/>
    <x v="9"/>
    <x v="1"/>
    <x v="11"/>
    <x v="1"/>
    <x v="1"/>
    <n v="29.84"/>
    <n v="80562.33"/>
    <n v="181899.47"/>
    <x v="2"/>
  </r>
  <r>
    <x v="2"/>
    <x v="1"/>
    <x v="9"/>
    <x v="1"/>
    <x v="12"/>
    <x v="1"/>
    <x v="1"/>
    <n v="2.95"/>
    <n v="7964.44"/>
    <n v="18905.48"/>
    <x v="2"/>
  </r>
  <r>
    <x v="2"/>
    <x v="1"/>
    <x v="9"/>
    <x v="1"/>
    <x v="13"/>
    <x v="1"/>
    <x v="1"/>
    <n v="10.84"/>
    <n v="29265.94"/>
    <n v="69245.73"/>
    <x v="2"/>
  </r>
  <r>
    <x v="2"/>
    <x v="1"/>
    <x v="9"/>
    <x v="1"/>
    <x v="14"/>
    <x v="1"/>
    <x v="1"/>
    <n v="5.4"/>
    <n v="14578.97"/>
    <n v="33834.269999999997"/>
    <x v="2"/>
  </r>
  <r>
    <x v="2"/>
    <x v="1"/>
    <x v="9"/>
    <x v="1"/>
    <x v="15"/>
    <x v="1"/>
    <x v="1"/>
    <n v="2.41"/>
    <n v="6506.54"/>
    <n v="15619.63"/>
    <x v="2"/>
  </r>
  <r>
    <x v="2"/>
    <x v="1"/>
    <x v="9"/>
    <x v="1"/>
    <x v="16"/>
    <x v="1"/>
    <x v="1"/>
    <n v="9.11"/>
    <n v="24595.27"/>
    <n v="56202.95"/>
    <x v="2"/>
  </r>
  <r>
    <x v="2"/>
    <x v="1"/>
    <x v="9"/>
    <x v="1"/>
    <x v="17"/>
    <x v="1"/>
    <x v="1"/>
    <n v="4.24"/>
    <n v="11447.19"/>
    <n v="26429.72"/>
    <x v="2"/>
  </r>
  <r>
    <x v="2"/>
    <x v="1"/>
    <x v="9"/>
    <x v="1"/>
    <x v="18"/>
    <x v="1"/>
    <x v="1"/>
    <n v="26.17"/>
    <n v="70654.03"/>
    <n v="170613.73"/>
    <x v="2"/>
  </r>
  <r>
    <x v="2"/>
    <x v="1"/>
    <x v="9"/>
    <x v="1"/>
    <x v="19"/>
    <x v="1"/>
    <x v="1"/>
    <n v="8.23"/>
    <n v="22219.439999999999"/>
    <n v="52057.93"/>
    <x v="2"/>
  </r>
  <r>
    <x v="2"/>
    <x v="1"/>
    <x v="9"/>
    <x v="1"/>
    <x v="20"/>
    <x v="1"/>
    <x v="1"/>
    <n v="20.170000000000002"/>
    <n v="54455.17"/>
    <n v="125414.82"/>
    <x v="2"/>
  </r>
  <r>
    <x v="2"/>
    <x v="1"/>
    <x v="9"/>
    <x v="2"/>
    <x v="21"/>
    <x v="1"/>
    <x v="1"/>
    <n v="1.78"/>
    <n v="4805.66"/>
    <n v="10172.299999999999"/>
    <x v="2"/>
  </r>
  <r>
    <x v="2"/>
    <x v="1"/>
    <x v="9"/>
    <x v="2"/>
    <x v="22"/>
    <x v="1"/>
    <x v="1"/>
    <n v="10.93"/>
    <n v="29508.92"/>
    <n v="62427.27"/>
    <x v="2"/>
  </r>
  <r>
    <x v="2"/>
    <x v="1"/>
    <x v="9"/>
    <x v="2"/>
    <x v="29"/>
    <x v="1"/>
    <x v="1"/>
    <n v="1.79"/>
    <n v="4832.66"/>
    <n v="10835.08"/>
    <x v="2"/>
  </r>
  <r>
    <x v="2"/>
    <x v="1"/>
    <x v="9"/>
    <x v="2"/>
    <x v="23"/>
    <x v="1"/>
    <x v="1"/>
    <n v="4.24"/>
    <n v="11447.19"/>
    <n v="25241"/>
    <x v="2"/>
  </r>
  <r>
    <x v="2"/>
    <x v="1"/>
    <x v="9"/>
    <x v="2"/>
    <x v="24"/>
    <x v="1"/>
    <x v="1"/>
    <n v="2.3199999999999998"/>
    <n v="6263.56"/>
    <n v="13487.18"/>
    <x v="2"/>
  </r>
  <r>
    <x v="2"/>
    <x v="1"/>
    <x v="9"/>
    <x v="3"/>
    <x v="25"/>
    <x v="1"/>
    <x v="1"/>
    <n v="8.4"/>
    <n v="22678.400000000001"/>
    <n v="53971.53"/>
    <x v="2"/>
  </r>
  <r>
    <x v="2"/>
    <x v="1"/>
    <x v="9"/>
    <x v="3"/>
    <x v="26"/>
    <x v="1"/>
    <x v="1"/>
    <n v="16.350000000000001"/>
    <n v="44141.89"/>
    <n v="105811.77"/>
    <x v="2"/>
  </r>
  <r>
    <x v="2"/>
    <x v="1"/>
    <x v="9"/>
    <x v="3"/>
    <x v="27"/>
    <x v="1"/>
    <x v="1"/>
    <n v="35.71"/>
    <n v="96410.22"/>
    <n v="226732.34"/>
    <x v="2"/>
  </r>
  <r>
    <x v="3"/>
    <x v="1"/>
    <x v="0"/>
    <x v="0"/>
    <x v="0"/>
    <x v="0"/>
    <x v="0"/>
    <n v="3.49"/>
    <n v="23159.85"/>
    <n v="101506.87"/>
    <x v="2"/>
  </r>
  <r>
    <x v="3"/>
    <x v="1"/>
    <x v="0"/>
    <x v="0"/>
    <x v="1"/>
    <x v="0"/>
    <x v="0"/>
    <n v="6.99"/>
    <n v="46386.06"/>
    <n v="203396.31"/>
    <x v="2"/>
  </r>
  <r>
    <x v="3"/>
    <x v="1"/>
    <x v="0"/>
    <x v="0"/>
    <x v="2"/>
    <x v="0"/>
    <x v="0"/>
    <n v="0"/>
    <n v="0"/>
    <n v="0"/>
    <x v="2"/>
  </r>
  <r>
    <x v="3"/>
    <x v="1"/>
    <x v="0"/>
    <x v="0"/>
    <x v="3"/>
    <x v="0"/>
    <x v="0"/>
    <n v="2.15"/>
    <n v="14267.53"/>
    <n v="62496.38"/>
    <x v="2"/>
  </r>
  <r>
    <x v="3"/>
    <x v="1"/>
    <x v="0"/>
    <x v="0"/>
    <x v="4"/>
    <x v="0"/>
    <x v="0"/>
    <n v="0"/>
    <n v="0"/>
    <n v="0"/>
    <x v="2"/>
  </r>
  <r>
    <x v="3"/>
    <x v="1"/>
    <x v="0"/>
    <x v="0"/>
    <x v="5"/>
    <x v="0"/>
    <x v="0"/>
    <n v="0"/>
    <n v="0"/>
    <n v="0"/>
    <x v="2"/>
  </r>
  <r>
    <x v="3"/>
    <x v="1"/>
    <x v="0"/>
    <x v="0"/>
    <x v="6"/>
    <x v="0"/>
    <x v="0"/>
    <n v="0"/>
    <n v="0"/>
    <n v="0"/>
    <x v="2"/>
  </r>
  <r>
    <x v="3"/>
    <x v="1"/>
    <x v="0"/>
    <x v="0"/>
    <x v="8"/>
    <x v="0"/>
    <x v="0"/>
    <n v="0"/>
    <n v="0"/>
    <n v="0"/>
    <x v="2"/>
  </r>
  <r>
    <x v="3"/>
    <x v="1"/>
    <x v="0"/>
    <x v="1"/>
    <x v="10"/>
    <x v="0"/>
    <x v="0"/>
    <n v="2.23"/>
    <n v="14798.41"/>
    <n v="64832.19"/>
    <x v="2"/>
  </r>
  <r>
    <x v="3"/>
    <x v="1"/>
    <x v="0"/>
    <x v="1"/>
    <x v="11"/>
    <x v="0"/>
    <x v="0"/>
    <n v="0"/>
    <n v="0"/>
    <n v="0"/>
    <x v="2"/>
  </r>
  <r>
    <x v="3"/>
    <x v="1"/>
    <x v="0"/>
    <x v="1"/>
    <x v="13"/>
    <x v="0"/>
    <x v="0"/>
    <n v="0"/>
    <n v="0"/>
    <n v="0"/>
    <x v="2"/>
  </r>
  <r>
    <x v="3"/>
    <x v="1"/>
    <x v="0"/>
    <x v="1"/>
    <x v="14"/>
    <x v="0"/>
    <x v="0"/>
    <n v="0"/>
    <n v="0"/>
    <n v="0"/>
    <x v="2"/>
  </r>
  <r>
    <x v="3"/>
    <x v="1"/>
    <x v="0"/>
    <x v="1"/>
    <x v="16"/>
    <x v="0"/>
    <x v="0"/>
    <n v="0"/>
    <n v="0"/>
    <n v="0"/>
    <x v="2"/>
  </r>
  <r>
    <x v="3"/>
    <x v="1"/>
    <x v="0"/>
    <x v="1"/>
    <x v="17"/>
    <x v="0"/>
    <x v="0"/>
    <n v="0"/>
    <n v="0"/>
    <n v="0"/>
    <x v="2"/>
  </r>
  <r>
    <x v="3"/>
    <x v="1"/>
    <x v="0"/>
    <x v="1"/>
    <x v="18"/>
    <x v="0"/>
    <x v="0"/>
    <n v="0"/>
    <n v="0"/>
    <n v="0"/>
    <x v="2"/>
  </r>
  <r>
    <x v="3"/>
    <x v="1"/>
    <x v="0"/>
    <x v="1"/>
    <x v="19"/>
    <x v="0"/>
    <x v="0"/>
    <n v="0"/>
    <n v="0"/>
    <n v="0"/>
    <x v="2"/>
  </r>
  <r>
    <x v="3"/>
    <x v="1"/>
    <x v="0"/>
    <x v="1"/>
    <x v="20"/>
    <x v="0"/>
    <x v="0"/>
    <n v="2.9"/>
    <n v="19244.57"/>
    <n v="84520.6"/>
    <x v="2"/>
  </r>
  <r>
    <x v="3"/>
    <x v="1"/>
    <x v="0"/>
    <x v="2"/>
    <x v="21"/>
    <x v="0"/>
    <x v="0"/>
    <n v="2.17"/>
    <n v="14400.25"/>
    <n v="63145.37"/>
    <x v="2"/>
  </r>
  <r>
    <x v="3"/>
    <x v="1"/>
    <x v="0"/>
    <x v="2"/>
    <x v="22"/>
    <x v="0"/>
    <x v="0"/>
    <n v="0"/>
    <n v="0"/>
    <n v="0"/>
    <x v="2"/>
  </r>
  <r>
    <x v="3"/>
    <x v="1"/>
    <x v="0"/>
    <x v="2"/>
    <x v="29"/>
    <x v="0"/>
    <x v="0"/>
    <n v="0"/>
    <n v="0"/>
    <n v="0"/>
    <x v="2"/>
  </r>
  <r>
    <x v="3"/>
    <x v="1"/>
    <x v="0"/>
    <x v="2"/>
    <x v="24"/>
    <x v="0"/>
    <x v="0"/>
    <n v="0"/>
    <n v="0"/>
    <n v="0"/>
    <x v="2"/>
  </r>
  <r>
    <x v="3"/>
    <x v="1"/>
    <x v="0"/>
    <x v="3"/>
    <x v="25"/>
    <x v="0"/>
    <x v="0"/>
    <n v="0"/>
    <n v="0"/>
    <n v="0"/>
    <x v="2"/>
  </r>
  <r>
    <x v="3"/>
    <x v="1"/>
    <x v="0"/>
    <x v="3"/>
    <x v="26"/>
    <x v="0"/>
    <x v="0"/>
    <n v="2.6"/>
    <n v="17253.759999999998"/>
    <n v="75618.2"/>
    <x v="2"/>
  </r>
  <r>
    <x v="3"/>
    <x v="1"/>
    <x v="0"/>
    <x v="3"/>
    <x v="27"/>
    <x v="0"/>
    <x v="0"/>
    <n v="3.18"/>
    <n v="21102.67"/>
    <n v="92581.8"/>
    <x v="2"/>
  </r>
  <r>
    <x v="3"/>
    <x v="1"/>
    <x v="0"/>
    <x v="0"/>
    <x v="0"/>
    <x v="0"/>
    <x v="1"/>
    <n v="2.7"/>
    <n v="17917.36"/>
    <n v="78667.820000000007"/>
    <x v="2"/>
  </r>
  <r>
    <x v="3"/>
    <x v="1"/>
    <x v="0"/>
    <x v="0"/>
    <x v="1"/>
    <x v="0"/>
    <x v="1"/>
    <n v="6.74"/>
    <n v="44727.040000000001"/>
    <n v="196160.25"/>
    <x v="2"/>
  </r>
  <r>
    <x v="3"/>
    <x v="1"/>
    <x v="0"/>
    <x v="0"/>
    <x v="2"/>
    <x v="0"/>
    <x v="1"/>
    <n v="7.62"/>
    <n v="50566.78"/>
    <n v="221729.58"/>
    <x v="2"/>
  </r>
  <r>
    <x v="3"/>
    <x v="1"/>
    <x v="0"/>
    <x v="0"/>
    <x v="3"/>
    <x v="0"/>
    <x v="1"/>
    <n v="7.24"/>
    <n v="48045.07"/>
    <n v="210925.27"/>
    <x v="2"/>
  </r>
  <r>
    <x v="3"/>
    <x v="1"/>
    <x v="0"/>
    <x v="0"/>
    <x v="4"/>
    <x v="0"/>
    <x v="1"/>
    <n v="2.0699999999999998"/>
    <n v="13736.64"/>
    <n v="60209.38"/>
    <x v="2"/>
  </r>
  <r>
    <x v="3"/>
    <x v="1"/>
    <x v="0"/>
    <x v="0"/>
    <x v="5"/>
    <x v="0"/>
    <x v="1"/>
    <n v="4.79"/>
    <n v="31786.73"/>
    <n v="139435.6"/>
    <x v="2"/>
  </r>
  <r>
    <x v="3"/>
    <x v="1"/>
    <x v="0"/>
    <x v="0"/>
    <x v="6"/>
    <x v="0"/>
    <x v="1"/>
    <n v="2.99"/>
    <n v="19841.82"/>
    <n v="87036.4"/>
    <x v="2"/>
  </r>
  <r>
    <x v="3"/>
    <x v="1"/>
    <x v="0"/>
    <x v="0"/>
    <x v="8"/>
    <x v="0"/>
    <x v="1"/>
    <n v="4.63"/>
    <n v="30724.959999999999"/>
    <n v="134691.24"/>
    <x v="2"/>
  </r>
  <r>
    <x v="3"/>
    <x v="1"/>
    <x v="0"/>
    <x v="1"/>
    <x v="10"/>
    <x v="0"/>
    <x v="1"/>
    <n v="4.63"/>
    <n v="30724.959999999999"/>
    <n v="134850.96"/>
    <x v="2"/>
  </r>
  <r>
    <x v="3"/>
    <x v="1"/>
    <x v="0"/>
    <x v="1"/>
    <x v="11"/>
    <x v="0"/>
    <x v="1"/>
    <n v="12.45"/>
    <n v="82618.95"/>
    <n v="362386.11"/>
    <x v="2"/>
  </r>
  <r>
    <x v="3"/>
    <x v="1"/>
    <x v="0"/>
    <x v="1"/>
    <x v="13"/>
    <x v="0"/>
    <x v="1"/>
    <n v="5.73"/>
    <n v="38024.620000000003"/>
    <n v="166698.04"/>
    <x v="2"/>
  </r>
  <r>
    <x v="3"/>
    <x v="1"/>
    <x v="0"/>
    <x v="1"/>
    <x v="14"/>
    <x v="0"/>
    <x v="1"/>
    <n v="0.88"/>
    <n v="5839.73"/>
    <n v="25702.080000000002"/>
    <x v="2"/>
  </r>
  <r>
    <x v="3"/>
    <x v="1"/>
    <x v="0"/>
    <x v="1"/>
    <x v="16"/>
    <x v="0"/>
    <x v="1"/>
    <n v="2.63"/>
    <n v="17452.84"/>
    <n v="76527.66"/>
    <x v="2"/>
  </r>
  <r>
    <x v="3"/>
    <x v="1"/>
    <x v="0"/>
    <x v="1"/>
    <x v="17"/>
    <x v="0"/>
    <x v="1"/>
    <n v="2.56"/>
    <n v="16988.310000000001"/>
    <n v="74579.56"/>
    <x v="2"/>
  </r>
  <r>
    <x v="3"/>
    <x v="1"/>
    <x v="0"/>
    <x v="1"/>
    <x v="18"/>
    <x v="0"/>
    <x v="1"/>
    <n v="14.9"/>
    <n v="98877.29"/>
    <n v="433781.66"/>
    <x v="2"/>
  </r>
  <r>
    <x v="3"/>
    <x v="1"/>
    <x v="0"/>
    <x v="1"/>
    <x v="19"/>
    <x v="0"/>
    <x v="1"/>
    <n v="3.71"/>
    <n v="24619.78"/>
    <n v="107868.54"/>
    <x v="2"/>
  </r>
  <r>
    <x v="3"/>
    <x v="1"/>
    <x v="0"/>
    <x v="1"/>
    <x v="20"/>
    <x v="0"/>
    <x v="1"/>
    <n v="12.52"/>
    <n v="83083.47"/>
    <n v="364495.07"/>
    <x v="2"/>
  </r>
  <r>
    <x v="3"/>
    <x v="1"/>
    <x v="0"/>
    <x v="2"/>
    <x v="21"/>
    <x v="0"/>
    <x v="1"/>
    <n v="0"/>
    <n v="0"/>
    <n v="0"/>
    <x v="2"/>
  </r>
  <r>
    <x v="3"/>
    <x v="1"/>
    <x v="0"/>
    <x v="2"/>
    <x v="22"/>
    <x v="0"/>
    <x v="1"/>
    <n v="5.09"/>
    <n v="33777.550000000003"/>
    <n v="148221.73000000001"/>
    <x v="2"/>
  </r>
  <r>
    <x v="3"/>
    <x v="1"/>
    <x v="0"/>
    <x v="2"/>
    <x v="29"/>
    <x v="0"/>
    <x v="1"/>
    <n v="3.32"/>
    <n v="22031.72"/>
    <n v="96673.79"/>
    <x v="2"/>
  </r>
  <r>
    <x v="3"/>
    <x v="1"/>
    <x v="0"/>
    <x v="2"/>
    <x v="24"/>
    <x v="0"/>
    <x v="1"/>
    <n v="2.2000000000000002"/>
    <n v="14599.33"/>
    <n v="63969.49"/>
    <x v="2"/>
  </r>
  <r>
    <x v="3"/>
    <x v="1"/>
    <x v="0"/>
    <x v="3"/>
    <x v="25"/>
    <x v="0"/>
    <x v="1"/>
    <n v="1.81"/>
    <n v="12011.27"/>
    <n v="52800.06"/>
    <x v="2"/>
  </r>
  <r>
    <x v="3"/>
    <x v="1"/>
    <x v="0"/>
    <x v="3"/>
    <x v="26"/>
    <x v="0"/>
    <x v="1"/>
    <n v="1.7"/>
    <n v="11281.3"/>
    <n v="49542.96"/>
    <x v="2"/>
  </r>
  <r>
    <x v="3"/>
    <x v="1"/>
    <x v="0"/>
    <x v="3"/>
    <x v="27"/>
    <x v="0"/>
    <x v="1"/>
    <n v="11.66"/>
    <n v="77376.460000000006"/>
    <n v="339466.6"/>
    <x v="2"/>
  </r>
  <r>
    <x v="3"/>
    <x v="1"/>
    <x v="0"/>
    <x v="0"/>
    <x v="0"/>
    <x v="1"/>
    <x v="0"/>
    <n v="6.57"/>
    <n v="43598.91"/>
    <n v="125139.74"/>
    <x v="2"/>
  </r>
  <r>
    <x v="3"/>
    <x v="1"/>
    <x v="0"/>
    <x v="0"/>
    <x v="1"/>
    <x v="1"/>
    <x v="0"/>
    <n v="14.15"/>
    <n v="93900.25"/>
    <n v="264970.95"/>
    <x v="2"/>
  </r>
  <r>
    <x v="3"/>
    <x v="1"/>
    <x v="0"/>
    <x v="0"/>
    <x v="2"/>
    <x v="1"/>
    <x v="0"/>
    <n v="4.8"/>
    <n v="31853.09"/>
    <n v="86768.05"/>
    <x v="2"/>
  </r>
  <r>
    <x v="3"/>
    <x v="1"/>
    <x v="0"/>
    <x v="0"/>
    <x v="3"/>
    <x v="1"/>
    <x v="0"/>
    <n v="9.01"/>
    <n v="59790.9"/>
    <n v="169400.54"/>
    <x v="2"/>
  </r>
  <r>
    <x v="3"/>
    <x v="1"/>
    <x v="0"/>
    <x v="0"/>
    <x v="28"/>
    <x v="1"/>
    <x v="0"/>
    <n v="0"/>
    <n v="0"/>
    <n v="0"/>
    <x v="2"/>
  </r>
  <r>
    <x v="3"/>
    <x v="1"/>
    <x v="0"/>
    <x v="0"/>
    <x v="4"/>
    <x v="1"/>
    <x v="0"/>
    <n v="6.62"/>
    <n v="43930.720000000001"/>
    <n v="123303.58"/>
    <x v="2"/>
  </r>
  <r>
    <x v="3"/>
    <x v="1"/>
    <x v="0"/>
    <x v="0"/>
    <x v="5"/>
    <x v="1"/>
    <x v="0"/>
    <n v="1.44"/>
    <n v="9555.93"/>
    <n v="27608.74"/>
    <x v="2"/>
  </r>
  <r>
    <x v="3"/>
    <x v="1"/>
    <x v="0"/>
    <x v="0"/>
    <x v="6"/>
    <x v="1"/>
    <x v="0"/>
    <n v="0"/>
    <n v="0"/>
    <n v="0"/>
    <x v="2"/>
  </r>
  <r>
    <x v="3"/>
    <x v="1"/>
    <x v="0"/>
    <x v="0"/>
    <x v="7"/>
    <x v="1"/>
    <x v="0"/>
    <n v="0"/>
    <n v="0"/>
    <n v="0"/>
    <x v="2"/>
  </r>
  <r>
    <x v="3"/>
    <x v="1"/>
    <x v="0"/>
    <x v="0"/>
    <x v="8"/>
    <x v="1"/>
    <x v="0"/>
    <n v="0"/>
    <n v="0"/>
    <n v="0"/>
    <x v="2"/>
  </r>
  <r>
    <x v="3"/>
    <x v="1"/>
    <x v="0"/>
    <x v="1"/>
    <x v="30"/>
    <x v="1"/>
    <x v="0"/>
    <n v="2.96"/>
    <n v="19642.740000000002"/>
    <n v="59307.21"/>
    <x v="2"/>
  </r>
  <r>
    <x v="3"/>
    <x v="1"/>
    <x v="0"/>
    <x v="1"/>
    <x v="9"/>
    <x v="1"/>
    <x v="0"/>
    <n v="0"/>
    <n v="0"/>
    <n v="0"/>
    <x v="2"/>
  </r>
  <r>
    <x v="3"/>
    <x v="1"/>
    <x v="0"/>
    <x v="1"/>
    <x v="31"/>
    <x v="1"/>
    <x v="0"/>
    <n v="3.5"/>
    <n v="23226.21"/>
    <n v="70745.350000000006"/>
    <x v="2"/>
  </r>
  <r>
    <x v="3"/>
    <x v="1"/>
    <x v="0"/>
    <x v="1"/>
    <x v="10"/>
    <x v="1"/>
    <x v="0"/>
    <n v="9.43"/>
    <n v="62578.05"/>
    <n v="187234.3"/>
    <x v="2"/>
  </r>
  <r>
    <x v="3"/>
    <x v="1"/>
    <x v="0"/>
    <x v="1"/>
    <x v="11"/>
    <x v="1"/>
    <x v="0"/>
    <n v="9.6300000000000008"/>
    <n v="63905.26"/>
    <n v="182191.22"/>
    <x v="2"/>
  </r>
  <r>
    <x v="3"/>
    <x v="1"/>
    <x v="0"/>
    <x v="1"/>
    <x v="12"/>
    <x v="1"/>
    <x v="0"/>
    <n v="2.38"/>
    <n v="15793.82"/>
    <n v="47429.42"/>
    <x v="2"/>
  </r>
  <r>
    <x v="3"/>
    <x v="1"/>
    <x v="0"/>
    <x v="1"/>
    <x v="13"/>
    <x v="1"/>
    <x v="0"/>
    <n v="2.65"/>
    <n v="17585.560000000001"/>
    <n v="52540.29"/>
    <x v="2"/>
  </r>
  <r>
    <x v="3"/>
    <x v="1"/>
    <x v="0"/>
    <x v="1"/>
    <x v="14"/>
    <x v="1"/>
    <x v="0"/>
    <n v="13.48"/>
    <n v="89454.09"/>
    <n v="262127.64"/>
    <x v="2"/>
  </r>
  <r>
    <x v="3"/>
    <x v="1"/>
    <x v="0"/>
    <x v="1"/>
    <x v="15"/>
    <x v="1"/>
    <x v="0"/>
    <n v="3.12"/>
    <n v="20704.509999999998"/>
    <n v="62747.99"/>
    <x v="2"/>
  </r>
  <r>
    <x v="3"/>
    <x v="1"/>
    <x v="0"/>
    <x v="1"/>
    <x v="16"/>
    <x v="1"/>
    <x v="0"/>
    <n v="5.55"/>
    <n v="36830.129999999997"/>
    <n v="106397.24"/>
    <x v="2"/>
  </r>
  <r>
    <x v="3"/>
    <x v="1"/>
    <x v="0"/>
    <x v="1"/>
    <x v="17"/>
    <x v="1"/>
    <x v="0"/>
    <n v="8.7799999999999994"/>
    <n v="58264.61"/>
    <n v="169656.26"/>
    <x v="2"/>
  </r>
  <r>
    <x v="3"/>
    <x v="1"/>
    <x v="0"/>
    <x v="1"/>
    <x v="18"/>
    <x v="1"/>
    <x v="0"/>
    <n v="7.67"/>
    <n v="50898.58"/>
    <n v="155206.69"/>
    <x v="2"/>
  </r>
  <r>
    <x v="3"/>
    <x v="1"/>
    <x v="0"/>
    <x v="1"/>
    <x v="19"/>
    <x v="1"/>
    <x v="0"/>
    <n v="12.65"/>
    <n v="83946.16"/>
    <n v="248302.77"/>
    <x v="2"/>
  </r>
  <r>
    <x v="3"/>
    <x v="1"/>
    <x v="0"/>
    <x v="1"/>
    <x v="20"/>
    <x v="1"/>
    <x v="0"/>
    <n v="7.13"/>
    <n v="47315.11"/>
    <n v="137609.56"/>
    <x v="2"/>
  </r>
  <r>
    <x v="3"/>
    <x v="1"/>
    <x v="0"/>
    <x v="2"/>
    <x v="21"/>
    <x v="1"/>
    <x v="0"/>
    <n v="0"/>
    <n v="0"/>
    <n v="0"/>
    <x v="2"/>
  </r>
  <r>
    <x v="3"/>
    <x v="1"/>
    <x v="0"/>
    <x v="2"/>
    <x v="22"/>
    <x v="1"/>
    <x v="0"/>
    <n v="7.33"/>
    <n v="48642.32"/>
    <n v="129895.02"/>
    <x v="2"/>
  </r>
  <r>
    <x v="3"/>
    <x v="1"/>
    <x v="0"/>
    <x v="2"/>
    <x v="29"/>
    <x v="1"/>
    <x v="0"/>
    <n v="0"/>
    <n v="0"/>
    <n v="0"/>
    <x v="2"/>
  </r>
  <r>
    <x v="3"/>
    <x v="1"/>
    <x v="0"/>
    <x v="2"/>
    <x v="23"/>
    <x v="1"/>
    <x v="0"/>
    <n v="0"/>
    <n v="0"/>
    <n v="0"/>
    <x v="2"/>
  </r>
  <r>
    <x v="3"/>
    <x v="1"/>
    <x v="0"/>
    <x v="2"/>
    <x v="24"/>
    <x v="1"/>
    <x v="0"/>
    <n v="2.15"/>
    <n v="14267.53"/>
    <n v="38766.629999999997"/>
    <x v="2"/>
  </r>
  <r>
    <x v="3"/>
    <x v="1"/>
    <x v="0"/>
    <x v="3"/>
    <x v="25"/>
    <x v="1"/>
    <x v="0"/>
    <n v="8.3000000000000007"/>
    <n v="55079.3"/>
    <n v="165495.60999999999"/>
    <x v="2"/>
  </r>
  <r>
    <x v="3"/>
    <x v="1"/>
    <x v="0"/>
    <x v="3"/>
    <x v="26"/>
    <x v="1"/>
    <x v="0"/>
    <n v="5.75"/>
    <n v="38157.35"/>
    <n v="115462.22"/>
    <x v="2"/>
  </r>
  <r>
    <x v="3"/>
    <x v="1"/>
    <x v="0"/>
    <x v="3"/>
    <x v="27"/>
    <x v="1"/>
    <x v="0"/>
    <n v="14.97"/>
    <n v="99341.82"/>
    <n v="295003.93"/>
    <x v="2"/>
  </r>
  <r>
    <x v="3"/>
    <x v="1"/>
    <x v="0"/>
    <x v="0"/>
    <x v="0"/>
    <x v="1"/>
    <x v="1"/>
    <n v="11.1"/>
    <n v="73660.27"/>
    <n v="211274.88"/>
    <x v="2"/>
  </r>
  <r>
    <x v="3"/>
    <x v="1"/>
    <x v="0"/>
    <x v="0"/>
    <x v="1"/>
    <x v="1"/>
    <x v="1"/>
    <n v="26.52"/>
    <n v="175988.31"/>
    <n v="496378.91"/>
    <x v="2"/>
  </r>
  <r>
    <x v="3"/>
    <x v="1"/>
    <x v="0"/>
    <x v="0"/>
    <x v="2"/>
    <x v="1"/>
    <x v="1"/>
    <n v="14.48"/>
    <n v="96090.15"/>
    <n v="261853.58"/>
    <x v="2"/>
  </r>
  <r>
    <x v="3"/>
    <x v="1"/>
    <x v="0"/>
    <x v="0"/>
    <x v="3"/>
    <x v="1"/>
    <x v="1"/>
    <n v="25.9"/>
    <n v="171873.95"/>
    <n v="487026.54"/>
    <x v="2"/>
  </r>
  <r>
    <x v="3"/>
    <x v="1"/>
    <x v="0"/>
    <x v="0"/>
    <x v="28"/>
    <x v="1"/>
    <x v="1"/>
    <n v="2.44"/>
    <n v="16191.99"/>
    <n v="46403.040000000001"/>
    <x v="2"/>
  </r>
  <r>
    <x v="3"/>
    <x v="1"/>
    <x v="0"/>
    <x v="0"/>
    <x v="4"/>
    <x v="1"/>
    <x v="1"/>
    <n v="9.25"/>
    <n v="61383.56"/>
    <n v="172308.85"/>
    <x v="2"/>
  </r>
  <r>
    <x v="3"/>
    <x v="1"/>
    <x v="0"/>
    <x v="0"/>
    <x v="5"/>
    <x v="1"/>
    <x v="1"/>
    <n v="25.56"/>
    <n v="169617.69"/>
    <n v="490461.15"/>
    <x v="2"/>
  </r>
  <r>
    <x v="3"/>
    <x v="1"/>
    <x v="0"/>
    <x v="0"/>
    <x v="6"/>
    <x v="1"/>
    <x v="1"/>
    <n v="2.76"/>
    <n v="18315.53"/>
    <n v="52727.15"/>
    <x v="2"/>
  </r>
  <r>
    <x v="3"/>
    <x v="1"/>
    <x v="0"/>
    <x v="0"/>
    <x v="7"/>
    <x v="1"/>
    <x v="1"/>
    <n v="0"/>
    <n v="0"/>
    <n v="0"/>
    <x v="2"/>
  </r>
  <r>
    <x v="3"/>
    <x v="1"/>
    <x v="0"/>
    <x v="0"/>
    <x v="8"/>
    <x v="1"/>
    <x v="1"/>
    <n v="4.21"/>
    <n v="27937.81"/>
    <n v="78034.850000000006"/>
    <x v="2"/>
  </r>
  <r>
    <x v="3"/>
    <x v="1"/>
    <x v="0"/>
    <x v="1"/>
    <x v="30"/>
    <x v="1"/>
    <x v="1"/>
    <n v="0"/>
    <n v="0"/>
    <n v="0"/>
    <x v="2"/>
  </r>
  <r>
    <x v="3"/>
    <x v="1"/>
    <x v="0"/>
    <x v="1"/>
    <x v="9"/>
    <x v="1"/>
    <x v="1"/>
    <n v="4.7699999999999996"/>
    <n v="31654.01"/>
    <n v="95509.08"/>
    <x v="2"/>
  </r>
  <r>
    <x v="3"/>
    <x v="1"/>
    <x v="0"/>
    <x v="1"/>
    <x v="31"/>
    <x v="1"/>
    <x v="1"/>
    <n v="0"/>
    <n v="0"/>
    <n v="0"/>
    <x v="2"/>
  </r>
  <r>
    <x v="3"/>
    <x v="1"/>
    <x v="0"/>
    <x v="1"/>
    <x v="10"/>
    <x v="1"/>
    <x v="1"/>
    <n v="30.67"/>
    <n v="203527.96"/>
    <n v="608933.18000000005"/>
    <x v="2"/>
  </r>
  <r>
    <x v="3"/>
    <x v="1"/>
    <x v="0"/>
    <x v="1"/>
    <x v="11"/>
    <x v="1"/>
    <x v="1"/>
    <n v="30.91"/>
    <n v="205120.61"/>
    <n v="584929.71"/>
    <x v="2"/>
  </r>
  <r>
    <x v="3"/>
    <x v="1"/>
    <x v="0"/>
    <x v="1"/>
    <x v="12"/>
    <x v="1"/>
    <x v="1"/>
    <n v="2.4700000000000002"/>
    <n v="16391.07"/>
    <n v="49123.33"/>
    <x v="2"/>
  </r>
  <r>
    <x v="3"/>
    <x v="1"/>
    <x v="0"/>
    <x v="1"/>
    <x v="13"/>
    <x v="1"/>
    <x v="1"/>
    <n v="11.97"/>
    <n v="79433.64"/>
    <n v="237278.71"/>
    <x v="2"/>
  </r>
  <r>
    <x v="3"/>
    <x v="1"/>
    <x v="0"/>
    <x v="1"/>
    <x v="14"/>
    <x v="1"/>
    <x v="1"/>
    <n v="7.9"/>
    <n v="52424.87"/>
    <n v="153603.46"/>
    <x v="2"/>
  </r>
  <r>
    <x v="3"/>
    <x v="1"/>
    <x v="0"/>
    <x v="1"/>
    <x v="15"/>
    <x v="1"/>
    <x v="1"/>
    <n v="1.73"/>
    <n v="11480.38"/>
    <n v="34859.99"/>
    <x v="2"/>
  </r>
  <r>
    <x v="3"/>
    <x v="1"/>
    <x v="0"/>
    <x v="1"/>
    <x v="16"/>
    <x v="1"/>
    <x v="1"/>
    <n v="11.5"/>
    <n v="76314.69"/>
    <n v="220260.95"/>
    <x v="2"/>
  </r>
  <r>
    <x v="3"/>
    <x v="1"/>
    <x v="0"/>
    <x v="1"/>
    <x v="17"/>
    <x v="1"/>
    <x v="1"/>
    <n v="5.79"/>
    <n v="38422.79"/>
    <n v="112006.08"/>
    <x v="2"/>
  </r>
  <r>
    <x v="3"/>
    <x v="1"/>
    <x v="0"/>
    <x v="1"/>
    <x v="18"/>
    <x v="1"/>
    <x v="1"/>
    <n v="21.26"/>
    <n v="141082.64000000001"/>
    <n v="430144.26"/>
    <x v="2"/>
  </r>
  <r>
    <x v="3"/>
    <x v="1"/>
    <x v="0"/>
    <x v="1"/>
    <x v="19"/>
    <x v="1"/>
    <x v="1"/>
    <n v="13.08"/>
    <n v="86799.66"/>
    <n v="256748.44"/>
    <x v="2"/>
  </r>
  <r>
    <x v="3"/>
    <x v="1"/>
    <x v="0"/>
    <x v="1"/>
    <x v="20"/>
    <x v="1"/>
    <x v="1"/>
    <n v="26.48"/>
    <n v="175722.87"/>
    <n v="511121.22"/>
    <x v="2"/>
  </r>
  <r>
    <x v="3"/>
    <x v="1"/>
    <x v="0"/>
    <x v="2"/>
    <x v="21"/>
    <x v="1"/>
    <x v="1"/>
    <n v="1.08"/>
    <n v="7166.94"/>
    <n v="19143.93"/>
    <x v="2"/>
  </r>
  <r>
    <x v="3"/>
    <x v="1"/>
    <x v="0"/>
    <x v="2"/>
    <x v="22"/>
    <x v="1"/>
    <x v="1"/>
    <n v="17.399999999999999"/>
    <n v="115467.44"/>
    <n v="308500.68"/>
    <x v="2"/>
  </r>
  <r>
    <x v="3"/>
    <x v="1"/>
    <x v="0"/>
    <x v="2"/>
    <x v="29"/>
    <x v="1"/>
    <x v="1"/>
    <n v="2.54"/>
    <n v="16855.59"/>
    <n v="47923.18"/>
    <x v="2"/>
  </r>
  <r>
    <x v="3"/>
    <x v="1"/>
    <x v="0"/>
    <x v="2"/>
    <x v="23"/>
    <x v="1"/>
    <x v="1"/>
    <n v="3.08"/>
    <n v="20439.060000000001"/>
    <n v="56770.37"/>
    <x v="2"/>
  </r>
  <r>
    <x v="3"/>
    <x v="1"/>
    <x v="0"/>
    <x v="2"/>
    <x v="24"/>
    <x v="1"/>
    <x v="1"/>
    <n v="1.98"/>
    <n v="13139.4"/>
    <n v="35665.300000000003"/>
    <x v="2"/>
  </r>
  <r>
    <x v="3"/>
    <x v="1"/>
    <x v="0"/>
    <x v="3"/>
    <x v="25"/>
    <x v="1"/>
    <x v="1"/>
    <n v="11.43"/>
    <n v="75850.17"/>
    <n v="227978.65"/>
    <x v="2"/>
  </r>
  <r>
    <x v="3"/>
    <x v="1"/>
    <x v="0"/>
    <x v="3"/>
    <x v="26"/>
    <x v="1"/>
    <x v="1"/>
    <n v="24.6"/>
    <n v="163247.07999999999"/>
    <n v="494110.4"/>
    <x v="2"/>
  </r>
  <r>
    <x v="3"/>
    <x v="1"/>
    <x v="0"/>
    <x v="3"/>
    <x v="27"/>
    <x v="1"/>
    <x v="1"/>
    <n v="35.840000000000003"/>
    <n v="237836.39"/>
    <n v="706323.7"/>
    <x v="2"/>
  </r>
  <r>
    <x v="3"/>
    <x v="1"/>
    <x v="1"/>
    <x v="0"/>
    <x v="0"/>
    <x v="0"/>
    <x v="0"/>
    <n v="1.05"/>
    <n v="2858.92"/>
    <n v="10128.719999999999"/>
    <x v="2"/>
  </r>
  <r>
    <x v="3"/>
    <x v="1"/>
    <x v="1"/>
    <x v="0"/>
    <x v="1"/>
    <x v="0"/>
    <x v="0"/>
    <n v="2.36"/>
    <n v="6425.76"/>
    <n v="22758.27"/>
    <x v="2"/>
  </r>
  <r>
    <x v="3"/>
    <x v="1"/>
    <x v="1"/>
    <x v="0"/>
    <x v="2"/>
    <x v="0"/>
    <x v="0"/>
    <n v="0"/>
    <n v="0"/>
    <n v="0"/>
    <x v="2"/>
  </r>
  <r>
    <x v="3"/>
    <x v="1"/>
    <x v="1"/>
    <x v="0"/>
    <x v="3"/>
    <x v="0"/>
    <x v="0"/>
    <n v="1.29"/>
    <n v="3512.39"/>
    <n v="12438.26"/>
    <x v="2"/>
  </r>
  <r>
    <x v="3"/>
    <x v="1"/>
    <x v="1"/>
    <x v="0"/>
    <x v="4"/>
    <x v="0"/>
    <x v="0"/>
    <n v="0"/>
    <n v="0"/>
    <n v="0"/>
    <x v="2"/>
  </r>
  <r>
    <x v="3"/>
    <x v="1"/>
    <x v="1"/>
    <x v="0"/>
    <x v="5"/>
    <x v="0"/>
    <x v="0"/>
    <n v="0"/>
    <n v="0"/>
    <n v="0"/>
    <x v="2"/>
  </r>
  <r>
    <x v="3"/>
    <x v="1"/>
    <x v="1"/>
    <x v="0"/>
    <x v="6"/>
    <x v="0"/>
    <x v="0"/>
    <n v="0"/>
    <n v="0"/>
    <n v="0"/>
    <x v="2"/>
  </r>
  <r>
    <x v="3"/>
    <x v="1"/>
    <x v="1"/>
    <x v="0"/>
    <x v="8"/>
    <x v="0"/>
    <x v="0"/>
    <n v="0"/>
    <n v="0"/>
    <n v="0"/>
    <x v="2"/>
  </r>
  <r>
    <x v="3"/>
    <x v="1"/>
    <x v="1"/>
    <x v="1"/>
    <x v="10"/>
    <x v="0"/>
    <x v="0"/>
    <n v="0.88"/>
    <n v="2396.0500000000002"/>
    <n v="8463.7099999999991"/>
    <x v="2"/>
  </r>
  <r>
    <x v="3"/>
    <x v="1"/>
    <x v="1"/>
    <x v="1"/>
    <x v="11"/>
    <x v="0"/>
    <x v="0"/>
    <n v="0"/>
    <n v="0"/>
    <n v="0"/>
    <x v="2"/>
  </r>
  <r>
    <x v="3"/>
    <x v="1"/>
    <x v="1"/>
    <x v="1"/>
    <x v="13"/>
    <x v="0"/>
    <x v="0"/>
    <n v="0"/>
    <n v="0"/>
    <n v="0"/>
    <x v="2"/>
  </r>
  <r>
    <x v="3"/>
    <x v="1"/>
    <x v="1"/>
    <x v="1"/>
    <x v="14"/>
    <x v="0"/>
    <x v="0"/>
    <n v="0"/>
    <n v="0"/>
    <n v="0"/>
    <x v="2"/>
  </r>
  <r>
    <x v="3"/>
    <x v="1"/>
    <x v="1"/>
    <x v="1"/>
    <x v="16"/>
    <x v="0"/>
    <x v="0"/>
    <n v="0"/>
    <n v="0"/>
    <n v="0"/>
    <x v="2"/>
  </r>
  <r>
    <x v="3"/>
    <x v="1"/>
    <x v="1"/>
    <x v="1"/>
    <x v="17"/>
    <x v="0"/>
    <x v="0"/>
    <n v="0"/>
    <n v="0"/>
    <n v="0"/>
    <x v="2"/>
  </r>
  <r>
    <x v="3"/>
    <x v="1"/>
    <x v="1"/>
    <x v="1"/>
    <x v="18"/>
    <x v="0"/>
    <x v="0"/>
    <n v="0"/>
    <n v="0"/>
    <n v="0"/>
    <x v="2"/>
  </r>
  <r>
    <x v="3"/>
    <x v="1"/>
    <x v="1"/>
    <x v="1"/>
    <x v="19"/>
    <x v="0"/>
    <x v="0"/>
    <n v="0"/>
    <n v="0"/>
    <n v="0"/>
    <x v="2"/>
  </r>
  <r>
    <x v="3"/>
    <x v="1"/>
    <x v="1"/>
    <x v="1"/>
    <x v="20"/>
    <x v="0"/>
    <x v="0"/>
    <n v="1.08"/>
    <n v="2940.6"/>
    <n v="10418.200000000001"/>
    <x v="2"/>
  </r>
  <r>
    <x v="3"/>
    <x v="1"/>
    <x v="1"/>
    <x v="2"/>
    <x v="21"/>
    <x v="0"/>
    <x v="0"/>
    <n v="1.02"/>
    <n v="2777.24"/>
    <n v="9832.9"/>
    <x v="2"/>
  </r>
  <r>
    <x v="3"/>
    <x v="1"/>
    <x v="1"/>
    <x v="2"/>
    <x v="22"/>
    <x v="0"/>
    <x v="0"/>
    <n v="0"/>
    <n v="0"/>
    <n v="0"/>
    <x v="2"/>
  </r>
  <r>
    <x v="3"/>
    <x v="1"/>
    <x v="1"/>
    <x v="2"/>
    <x v="29"/>
    <x v="0"/>
    <x v="0"/>
    <n v="0"/>
    <n v="0"/>
    <n v="0"/>
    <x v="2"/>
  </r>
  <r>
    <x v="3"/>
    <x v="1"/>
    <x v="1"/>
    <x v="2"/>
    <x v="24"/>
    <x v="0"/>
    <x v="0"/>
    <n v="0"/>
    <n v="0"/>
    <n v="0"/>
    <x v="2"/>
  </r>
  <r>
    <x v="3"/>
    <x v="1"/>
    <x v="1"/>
    <x v="3"/>
    <x v="25"/>
    <x v="0"/>
    <x v="0"/>
    <n v="0"/>
    <n v="0"/>
    <n v="0"/>
    <x v="2"/>
  </r>
  <r>
    <x v="3"/>
    <x v="1"/>
    <x v="1"/>
    <x v="3"/>
    <x v="26"/>
    <x v="0"/>
    <x v="0"/>
    <n v="1.77"/>
    <n v="4819.32"/>
    <n v="17085.07"/>
    <x v="2"/>
  </r>
  <r>
    <x v="3"/>
    <x v="1"/>
    <x v="1"/>
    <x v="3"/>
    <x v="27"/>
    <x v="0"/>
    <x v="0"/>
    <n v="1.26"/>
    <n v="3430.7"/>
    <n v="12131.92"/>
    <x v="2"/>
  </r>
  <r>
    <x v="3"/>
    <x v="1"/>
    <x v="1"/>
    <x v="0"/>
    <x v="0"/>
    <x v="0"/>
    <x v="1"/>
    <n v="0.82"/>
    <n v="2232.6799999999998"/>
    <n v="7877.89"/>
    <x v="2"/>
  </r>
  <r>
    <x v="3"/>
    <x v="1"/>
    <x v="1"/>
    <x v="0"/>
    <x v="1"/>
    <x v="0"/>
    <x v="1"/>
    <n v="4.0599999999999996"/>
    <n v="11054.49"/>
    <n v="39054.32"/>
    <x v="2"/>
  </r>
  <r>
    <x v="3"/>
    <x v="1"/>
    <x v="1"/>
    <x v="0"/>
    <x v="2"/>
    <x v="0"/>
    <x v="1"/>
    <n v="2.06"/>
    <n v="5608.93"/>
    <n v="19845.169999999998"/>
    <x v="2"/>
  </r>
  <r>
    <x v="3"/>
    <x v="1"/>
    <x v="1"/>
    <x v="0"/>
    <x v="3"/>
    <x v="0"/>
    <x v="1"/>
    <n v="3.69"/>
    <n v="10047.06"/>
    <n v="35537.870000000003"/>
    <x v="2"/>
  </r>
  <r>
    <x v="3"/>
    <x v="1"/>
    <x v="1"/>
    <x v="0"/>
    <x v="4"/>
    <x v="0"/>
    <x v="1"/>
    <n v="1.29"/>
    <n v="3512.39"/>
    <n v="12387.58"/>
    <x v="2"/>
  </r>
  <r>
    <x v="3"/>
    <x v="1"/>
    <x v="1"/>
    <x v="0"/>
    <x v="5"/>
    <x v="0"/>
    <x v="1"/>
    <n v="3.01"/>
    <n v="8195.57"/>
    <n v="29017.38"/>
    <x v="2"/>
  </r>
  <r>
    <x v="3"/>
    <x v="1"/>
    <x v="1"/>
    <x v="0"/>
    <x v="6"/>
    <x v="0"/>
    <x v="1"/>
    <n v="0.45"/>
    <n v="1225.25"/>
    <n v="4331.74"/>
    <x v="2"/>
  </r>
  <r>
    <x v="3"/>
    <x v="1"/>
    <x v="1"/>
    <x v="0"/>
    <x v="8"/>
    <x v="0"/>
    <x v="1"/>
    <n v="2.12"/>
    <n v="5772.29"/>
    <n v="20360.3"/>
    <x v="2"/>
  </r>
  <r>
    <x v="3"/>
    <x v="1"/>
    <x v="1"/>
    <x v="1"/>
    <x v="10"/>
    <x v="0"/>
    <x v="1"/>
    <n v="2.5499999999999998"/>
    <n v="6943.09"/>
    <n v="24544.75"/>
    <x v="2"/>
  </r>
  <r>
    <x v="3"/>
    <x v="1"/>
    <x v="1"/>
    <x v="1"/>
    <x v="11"/>
    <x v="0"/>
    <x v="1"/>
    <n v="5.38"/>
    <n v="14648.56"/>
    <n v="51793.07"/>
    <x v="2"/>
  </r>
  <r>
    <x v="3"/>
    <x v="1"/>
    <x v="1"/>
    <x v="1"/>
    <x v="13"/>
    <x v="0"/>
    <x v="1"/>
    <n v="2.25"/>
    <n v="6126.26"/>
    <n v="21682.47"/>
    <x v="2"/>
  </r>
  <r>
    <x v="3"/>
    <x v="1"/>
    <x v="1"/>
    <x v="1"/>
    <x v="14"/>
    <x v="0"/>
    <x v="1"/>
    <n v="1.43"/>
    <n v="3893.58"/>
    <n v="13788.31"/>
    <x v="2"/>
  </r>
  <r>
    <x v="3"/>
    <x v="1"/>
    <x v="1"/>
    <x v="1"/>
    <x v="16"/>
    <x v="0"/>
    <x v="1"/>
    <n v="1.28"/>
    <n v="3485.16"/>
    <n v="12314.89"/>
    <x v="2"/>
  </r>
  <r>
    <x v="3"/>
    <x v="1"/>
    <x v="1"/>
    <x v="1"/>
    <x v="17"/>
    <x v="0"/>
    <x v="1"/>
    <n v="0.72"/>
    <n v="1960.4"/>
    <n v="6895.85"/>
    <x v="2"/>
  </r>
  <r>
    <x v="3"/>
    <x v="1"/>
    <x v="1"/>
    <x v="1"/>
    <x v="18"/>
    <x v="0"/>
    <x v="1"/>
    <n v="7.85"/>
    <n v="21373.82"/>
    <n v="75590.67"/>
    <x v="2"/>
  </r>
  <r>
    <x v="3"/>
    <x v="1"/>
    <x v="1"/>
    <x v="1"/>
    <x v="19"/>
    <x v="0"/>
    <x v="1"/>
    <n v="1.61"/>
    <n v="4383.68"/>
    <n v="15452.75"/>
    <x v="2"/>
  </r>
  <r>
    <x v="3"/>
    <x v="1"/>
    <x v="1"/>
    <x v="1"/>
    <x v="20"/>
    <x v="0"/>
    <x v="1"/>
    <n v="8.2100000000000009"/>
    <n v="22354.02"/>
    <n v="79004.649999999994"/>
    <x v="2"/>
  </r>
  <r>
    <x v="3"/>
    <x v="1"/>
    <x v="1"/>
    <x v="2"/>
    <x v="21"/>
    <x v="0"/>
    <x v="1"/>
    <n v="0"/>
    <n v="0"/>
    <n v="0"/>
    <x v="2"/>
  </r>
  <r>
    <x v="3"/>
    <x v="1"/>
    <x v="1"/>
    <x v="2"/>
    <x v="22"/>
    <x v="0"/>
    <x v="1"/>
    <n v="2.79"/>
    <n v="7596.56"/>
    <n v="26895.11"/>
    <x v="2"/>
  </r>
  <r>
    <x v="3"/>
    <x v="1"/>
    <x v="1"/>
    <x v="2"/>
    <x v="29"/>
    <x v="0"/>
    <x v="1"/>
    <n v="1.62"/>
    <n v="4410.8999999999996"/>
    <n v="15617.09"/>
    <x v="2"/>
  </r>
  <r>
    <x v="3"/>
    <x v="1"/>
    <x v="1"/>
    <x v="2"/>
    <x v="24"/>
    <x v="0"/>
    <x v="1"/>
    <n v="2.04"/>
    <n v="5554.47"/>
    <n v="19598.060000000001"/>
    <x v="2"/>
  </r>
  <r>
    <x v="3"/>
    <x v="1"/>
    <x v="1"/>
    <x v="3"/>
    <x v="25"/>
    <x v="0"/>
    <x v="1"/>
    <n v="1.33"/>
    <n v="3621.3"/>
    <n v="12775.63"/>
    <x v="2"/>
  </r>
  <r>
    <x v="3"/>
    <x v="1"/>
    <x v="1"/>
    <x v="3"/>
    <x v="26"/>
    <x v="0"/>
    <x v="1"/>
    <n v="0.85"/>
    <n v="2314.36"/>
    <n v="8135.75"/>
    <x v="2"/>
  </r>
  <r>
    <x v="3"/>
    <x v="1"/>
    <x v="1"/>
    <x v="3"/>
    <x v="27"/>
    <x v="0"/>
    <x v="1"/>
    <n v="4.96"/>
    <n v="13504.99"/>
    <n v="47769.43"/>
    <x v="2"/>
  </r>
  <r>
    <x v="3"/>
    <x v="1"/>
    <x v="1"/>
    <x v="0"/>
    <x v="0"/>
    <x v="1"/>
    <x v="0"/>
    <n v="3.86"/>
    <n v="10509.93"/>
    <n v="24285.26"/>
    <x v="2"/>
  </r>
  <r>
    <x v="3"/>
    <x v="1"/>
    <x v="1"/>
    <x v="0"/>
    <x v="1"/>
    <x v="1"/>
    <x v="0"/>
    <n v="15.41"/>
    <n v="41958.04"/>
    <n v="95357.14"/>
    <x v="2"/>
  </r>
  <r>
    <x v="3"/>
    <x v="1"/>
    <x v="1"/>
    <x v="0"/>
    <x v="2"/>
    <x v="1"/>
    <x v="0"/>
    <n v="1.23"/>
    <n v="3349.02"/>
    <n v="7342.14"/>
    <x v="2"/>
  </r>
  <r>
    <x v="3"/>
    <x v="1"/>
    <x v="1"/>
    <x v="0"/>
    <x v="3"/>
    <x v="1"/>
    <x v="0"/>
    <n v="5.09"/>
    <n v="13858.95"/>
    <n v="31640.36"/>
    <x v="2"/>
  </r>
  <r>
    <x v="3"/>
    <x v="1"/>
    <x v="1"/>
    <x v="0"/>
    <x v="28"/>
    <x v="1"/>
    <x v="0"/>
    <n v="0"/>
    <n v="0"/>
    <n v="0"/>
    <x v="2"/>
  </r>
  <r>
    <x v="3"/>
    <x v="1"/>
    <x v="1"/>
    <x v="0"/>
    <x v="4"/>
    <x v="1"/>
    <x v="0"/>
    <n v="8.06"/>
    <n v="21945.61"/>
    <n v="49647.62"/>
    <x v="2"/>
  </r>
  <r>
    <x v="3"/>
    <x v="1"/>
    <x v="1"/>
    <x v="0"/>
    <x v="5"/>
    <x v="1"/>
    <x v="0"/>
    <n v="0.54"/>
    <n v="1470.3"/>
    <n v="3451.39"/>
    <x v="2"/>
  </r>
  <r>
    <x v="3"/>
    <x v="1"/>
    <x v="1"/>
    <x v="0"/>
    <x v="6"/>
    <x v="1"/>
    <x v="0"/>
    <n v="0"/>
    <n v="0"/>
    <n v="0"/>
    <x v="2"/>
  </r>
  <r>
    <x v="3"/>
    <x v="1"/>
    <x v="1"/>
    <x v="0"/>
    <x v="7"/>
    <x v="1"/>
    <x v="0"/>
    <n v="0"/>
    <n v="0"/>
    <n v="0"/>
    <x v="2"/>
  </r>
  <r>
    <x v="3"/>
    <x v="1"/>
    <x v="1"/>
    <x v="0"/>
    <x v="8"/>
    <x v="1"/>
    <x v="0"/>
    <n v="0"/>
    <n v="0"/>
    <n v="0"/>
    <x v="2"/>
  </r>
  <r>
    <x v="3"/>
    <x v="1"/>
    <x v="1"/>
    <x v="1"/>
    <x v="30"/>
    <x v="1"/>
    <x v="0"/>
    <n v="0.46"/>
    <n v="1252.48"/>
    <n v="3067.41"/>
    <x v="2"/>
  </r>
  <r>
    <x v="3"/>
    <x v="1"/>
    <x v="1"/>
    <x v="1"/>
    <x v="9"/>
    <x v="1"/>
    <x v="0"/>
    <n v="0"/>
    <n v="0"/>
    <n v="0"/>
    <x v="2"/>
  </r>
  <r>
    <x v="3"/>
    <x v="1"/>
    <x v="1"/>
    <x v="1"/>
    <x v="31"/>
    <x v="1"/>
    <x v="0"/>
    <n v="2.2000000000000002"/>
    <n v="5990.12"/>
    <n v="14734.62"/>
    <x v="2"/>
  </r>
  <r>
    <x v="3"/>
    <x v="1"/>
    <x v="1"/>
    <x v="1"/>
    <x v="10"/>
    <x v="1"/>
    <x v="0"/>
    <n v="6.09"/>
    <n v="16581.73"/>
    <n v="39963.43"/>
    <x v="2"/>
  </r>
  <r>
    <x v="3"/>
    <x v="1"/>
    <x v="1"/>
    <x v="1"/>
    <x v="11"/>
    <x v="1"/>
    <x v="0"/>
    <n v="4.29"/>
    <n v="11680.73"/>
    <n v="26858.560000000001"/>
    <x v="2"/>
  </r>
  <r>
    <x v="3"/>
    <x v="1"/>
    <x v="1"/>
    <x v="1"/>
    <x v="12"/>
    <x v="1"/>
    <x v="0"/>
    <n v="1.66"/>
    <n v="4519.8100000000004"/>
    <n v="10915.32"/>
    <x v="2"/>
  </r>
  <r>
    <x v="3"/>
    <x v="1"/>
    <x v="1"/>
    <x v="1"/>
    <x v="13"/>
    <x v="1"/>
    <x v="0"/>
    <n v="1.2"/>
    <n v="3267.34"/>
    <n v="7898.79"/>
    <x v="2"/>
  </r>
  <r>
    <x v="3"/>
    <x v="1"/>
    <x v="1"/>
    <x v="1"/>
    <x v="14"/>
    <x v="1"/>
    <x v="0"/>
    <n v="9.35"/>
    <n v="25457.99"/>
    <n v="60130.25"/>
    <x v="2"/>
  </r>
  <r>
    <x v="3"/>
    <x v="1"/>
    <x v="1"/>
    <x v="1"/>
    <x v="15"/>
    <x v="1"/>
    <x v="0"/>
    <n v="1.01"/>
    <n v="2750.01"/>
    <n v="6740.69"/>
    <x v="2"/>
  </r>
  <r>
    <x v="3"/>
    <x v="1"/>
    <x v="1"/>
    <x v="1"/>
    <x v="16"/>
    <x v="1"/>
    <x v="0"/>
    <n v="2.42"/>
    <n v="6589.13"/>
    <n v="15339.52"/>
    <x v="2"/>
  </r>
  <r>
    <x v="3"/>
    <x v="1"/>
    <x v="1"/>
    <x v="1"/>
    <x v="17"/>
    <x v="1"/>
    <x v="0"/>
    <n v="5.59"/>
    <n v="15220.34"/>
    <n v="35702.379999999997"/>
    <x v="2"/>
  </r>
  <r>
    <x v="3"/>
    <x v="1"/>
    <x v="1"/>
    <x v="1"/>
    <x v="18"/>
    <x v="1"/>
    <x v="0"/>
    <n v="0"/>
    <n v="0"/>
    <n v="0"/>
    <x v="2"/>
  </r>
  <r>
    <x v="3"/>
    <x v="1"/>
    <x v="1"/>
    <x v="1"/>
    <x v="19"/>
    <x v="1"/>
    <x v="0"/>
    <n v="5.59"/>
    <n v="15220.34"/>
    <n v="36296.54"/>
    <x v="2"/>
  </r>
  <r>
    <x v="3"/>
    <x v="1"/>
    <x v="1"/>
    <x v="1"/>
    <x v="20"/>
    <x v="1"/>
    <x v="0"/>
    <n v="5.0599999999999996"/>
    <n v="13777.27"/>
    <n v="32272.86"/>
    <x v="2"/>
  </r>
  <r>
    <x v="3"/>
    <x v="1"/>
    <x v="1"/>
    <x v="2"/>
    <x v="21"/>
    <x v="1"/>
    <x v="0"/>
    <n v="0"/>
    <n v="0"/>
    <n v="0"/>
    <x v="2"/>
  </r>
  <r>
    <x v="3"/>
    <x v="1"/>
    <x v="1"/>
    <x v="2"/>
    <x v="22"/>
    <x v="1"/>
    <x v="0"/>
    <n v="2.65"/>
    <n v="7215.37"/>
    <n v="15533.14"/>
    <x v="2"/>
  </r>
  <r>
    <x v="3"/>
    <x v="1"/>
    <x v="1"/>
    <x v="2"/>
    <x v="29"/>
    <x v="1"/>
    <x v="0"/>
    <n v="0"/>
    <n v="0"/>
    <n v="0"/>
    <x v="2"/>
  </r>
  <r>
    <x v="3"/>
    <x v="1"/>
    <x v="1"/>
    <x v="2"/>
    <x v="23"/>
    <x v="1"/>
    <x v="0"/>
    <n v="0"/>
    <n v="0"/>
    <n v="0"/>
    <x v="2"/>
  </r>
  <r>
    <x v="3"/>
    <x v="1"/>
    <x v="1"/>
    <x v="2"/>
    <x v="24"/>
    <x v="1"/>
    <x v="0"/>
    <n v="2.1"/>
    <n v="5717.84"/>
    <n v="12505.81"/>
    <x v="2"/>
  </r>
  <r>
    <x v="3"/>
    <x v="1"/>
    <x v="1"/>
    <x v="3"/>
    <x v="25"/>
    <x v="1"/>
    <x v="0"/>
    <n v="4.01"/>
    <n v="10918.35"/>
    <n v="26441.439999999999"/>
    <x v="2"/>
  </r>
  <r>
    <x v="3"/>
    <x v="1"/>
    <x v="1"/>
    <x v="3"/>
    <x v="26"/>
    <x v="1"/>
    <x v="0"/>
    <n v="1.68"/>
    <n v="4574.2700000000004"/>
    <n v="11144.6"/>
    <x v="2"/>
  </r>
  <r>
    <x v="3"/>
    <x v="1"/>
    <x v="1"/>
    <x v="3"/>
    <x v="27"/>
    <x v="1"/>
    <x v="0"/>
    <n v="6.16"/>
    <n v="16772.32"/>
    <n v="40147.629999999997"/>
    <x v="2"/>
  </r>
  <r>
    <x v="3"/>
    <x v="1"/>
    <x v="1"/>
    <x v="0"/>
    <x v="0"/>
    <x v="1"/>
    <x v="1"/>
    <n v="7.46"/>
    <n v="20311.939999999999"/>
    <n v="46986.7"/>
    <x v="2"/>
  </r>
  <r>
    <x v="3"/>
    <x v="1"/>
    <x v="1"/>
    <x v="0"/>
    <x v="1"/>
    <x v="1"/>
    <x v="1"/>
    <n v="22.03"/>
    <n v="59982.84"/>
    <n v="136351.79999999999"/>
    <x v="2"/>
  </r>
  <r>
    <x v="3"/>
    <x v="1"/>
    <x v="1"/>
    <x v="0"/>
    <x v="2"/>
    <x v="1"/>
    <x v="1"/>
    <n v="6.04"/>
    <n v="16445.59"/>
    <n v="36098.839999999997"/>
    <x v="2"/>
  </r>
  <r>
    <x v="3"/>
    <x v="1"/>
    <x v="1"/>
    <x v="0"/>
    <x v="3"/>
    <x v="1"/>
    <x v="1"/>
    <n v="17.510000000000002"/>
    <n v="47675.88"/>
    <n v="108864.3"/>
    <x v="2"/>
  </r>
  <r>
    <x v="3"/>
    <x v="1"/>
    <x v="1"/>
    <x v="0"/>
    <x v="28"/>
    <x v="1"/>
    <x v="1"/>
    <n v="2.13"/>
    <n v="5799.52"/>
    <n v="13412.97"/>
    <x v="2"/>
  </r>
  <r>
    <x v="3"/>
    <x v="1"/>
    <x v="1"/>
    <x v="0"/>
    <x v="4"/>
    <x v="1"/>
    <x v="1"/>
    <n v="9.23"/>
    <n v="25131.26"/>
    <n v="56869.1"/>
    <x v="2"/>
  </r>
  <r>
    <x v="3"/>
    <x v="1"/>
    <x v="1"/>
    <x v="0"/>
    <x v="5"/>
    <x v="1"/>
    <x v="1"/>
    <n v="10.27"/>
    <n v="27962.95"/>
    <n v="65145.05"/>
    <x v="2"/>
  </r>
  <r>
    <x v="3"/>
    <x v="1"/>
    <x v="1"/>
    <x v="0"/>
    <x v="6"/>
    <x v="1"/>
    <x v="1"/>
    <n v="2.61"/>
    <n v="7106.46"/>
    <n v="16510.68"/>
    <x v="2"/>
  </r>
  <r>
    <x v="3"/>
    <x v="1"/>
    <x v="1"/>
    <x v="0"/>
    <x v="7"/>
    <x v="1"/>
    <x v="1"/>
    <n v="2.72"/>
    <n v="7405.96"/>
    <n v="17501.54"/>
    <x v="2"/>
  </r>
  <r>
    <x v="3"/>
    <x v="1"/>
    <x v="1"/>
    <x v="0"/>
    <x v="8"/>
    <x v="1"/>
    <x v="1"/>
    <n v="2.23"/>
    <n v="6071.8"/>
    <n v="13699.55"/>
    <x v="2"/>
  </r>
  <r>
    <x v="3"/>
    <x v="1"/>
    <x v="1"/>
    <x v="1"/>
    <x v="30"/>
    <x v="1"/>
    <x v="1"/>
    <n v="0"/>
    <n v="0"/>
    <n v="0"/>
    <x v="2"/>
  </r>
  <r>
    <x v="3"/>
    <x v="1"/>
    <x v="1"/>
    <x v="1"/>
    <x v="9"/>
    <x v="1"/>
    <x v="1"/>
    <n v="3.67"/>
    <n v="9992.6"/>
    <n v="24307.8"/>
    <x v="2"/>
  </r>
  <r>
    <x v="3"/>
    <x v="1"/>
    <x v="1"/>
    <x v="1"/>
    <x v="31"/>
    <x v="1"/>
    <x v="1"/>
    <n v="0"/>
    <n v="0"/>
    <n v="0"/>
    <x v="2"/>
  </r>
  <r>
    <x v="3"/>
    <x v="1"/>
    <x v="1"/>
    <x v="1"/>
    <x v="10"/>
    <x v="1"/>
    <x v="1"/>
    <n v="16.55"/>
    <n v="45062.01"/>
    <n v="108633"/>
    <x v="2"/>
  </r>
  <r>
    <x v="3"/>
    <x v="1"/>
    <x v="1"/>
    <x v="1"/>
    <x v="11"/>
    <x v="1"/>
    <x v="1"/>
    <n v="14.25"/>
    <n v="38799.620000000003"/>
    <n v="89170.42"/>
    <x v="2"/>
  </r>
  <r>
    <x v="3"/>
    <x v="1"/>
    <x v="1"/>
    <x v="1"/>
    <x v="12"/>
    <x v="1"/>
    <x v="1"/>
    <n v="0.79"/>
    <n v="2151"/>
    <n v="5170.41"/>
    <x v="2"/>
  </r>
  <r>
    <x v="3"/>
    <x v="1"/>
    <x v="1"/>
    <x v="1"/>
    <x v="13"/>
    <x v="1"/>
    <x v="1"/>
    <n v="5.68"/>
    <n v="15465.39"/>
    <n v="37237.17"/>
    <x v="2"/>
  </r>
  <r>
    <x v="3"/>
    <x v="1"/>
    <x v="1"/>
    <x v="1"/>
    <x v="14"/>
    <x v="1"/>
    <x v="1"/>
    <n v="4.37"/>
    <n v="11898.55"/>
    <n v="28098.25"/>
    <x v="2"/>
  </r>
  <r>
    <x v="3"/>
    <x v="1"/>
    <x v="1"/>
    <x v="1"/>
    <x v="15"/>
    <x v="1"/>
    <x v="1"/>
    <n v="2.4900000000000002"/>
    <n v="6779.72"/>
    <n v="16545.34"/>
    <x v="2"/>
  </r>
  <r>
    <x v="3"/>
    <x v="1"/>
    <x v="1"/>
    <x v="1"/>
    <x v="16"/>
    <x v="1"/>
    <x v="1"/>
    <n v="7.11"/>
    <n v="19358.97"/>
    <n v="45028.93"/>
    <x v="2"/>
  </r>
  <r>
    <x v="3"/>
    <x v="1"/>
    <x v="1"/>
    <x v="1"/>
    <x v="17"/>
    <x v="1"/>
    <x v="1"/>
    <n v="1.98"/>
    <n v="5391.1"/>
    <n v="12633.15"/>
    <x v="2"/>
  </r>
  <r>
    <x v="3"/>
    <x v="1"/>
    <x v="1"/>
    <x v="1"/>
    <x v="18"/>
    <x v="1"/>
    <x v="1"/>
    <n v="0"/>
    <n v="0"/>
    <n v="0"/>
    <x v="2"/>
  </r>
  <r>
    <x v="3"/>
    <x v="1"/>
    <x v="1"/>
    <x v="1"/>
    <x v="19"/>
    <x v="1"/>
    <x v="1"/>
    <n v="9.64"/>
    <n v="26247.599999999999"/>
    <n v="62541.73"/>
    <x v="2"/>
  </r>
  <r>
    <x v="3"/>
    <x v="1"/>
    <x v="1"/>
    <x v="1"/>
    <x v="20"/>
    <x v="1"/>
    <x v="1"/>
    <n v="11.49"/>
    <n v="31284.74"/>
    <n v="73305.509999999995"/>
    <x v="2"/>
  </r>
  <r>
    <x v="3"/>
    <x v="1"/>
    <x v="1"/>
    <x v="2"/>
    <x v="21"/>
    <x v="1"/>
    <x v="1"/>
    <n v="2.13"/>
    <n v="5799.52"/>
    <n v="12458.92"/>
    <x v="2"/>
  </r>
  <r>
    <x v="3"/>
    <x v="1"/>
    <x v="1"/>
    <x v="2"/>
    <x v="22"/>
    <x v="1"/>
    <x v="1"/>
    <n v="9.11"/>
    <n v="24804.53"/>
    <n v="53395.15"/>
    <x v="2"/>
  </r>
  <r>
    <x v="3"/>
    <x v="1"/>
    <x v="1"/>
    <x v="2"/>
    <x v="29"/>
    <x v="1"/>
    <x v="1"/>
    <n v="2.57"/>
    <n v="6997.54"/>
    <n v="16007.62"/>
    <x v="2"/>
  </r>
  <r>
    <x v="3"/>
    <x v="1"/>
    <x v="1"/>
    <x v="2"/>
    <x v="23"/>
    <x v="1"/>
    <x v="1"/>
    <n v="1.47"/>
    <n v="4002.49"/>
    <n v="8998.43"/>
    <x v="2"/>
  </r>
  <r>
    <x v="3"/>
    <x v="1"/>
    <x v="1"/>
    <x v="2"/>
    <x v="24"/>
    <x v="1"/>
    <x v="1"/>
    <n v="1.84"/>
    <n v="5009.92"/>
    <n v="11005.11"/>
    <x v="2"/>
  </r>
  <r>
    <x v="3"/>
    <x v="1"/>
    <x v="1"/>
    <x v="3"/>
    <x v="25"/>
    <x v="1"/>
    <x v="1"/>
    <n v="5.4"/>
    <n v="14703.01"/>
    <n v="35638.47"/>
    <x v="2"/>
  </r>
  <r>
    <x v="3"/>
    <x v="1"/>
    <x v="1"/>
    <x v="3"/>
    <x v="26"/>
    <x v="1"/>
    <x v="1"/>
    <n v="13.51"/>
    <n v="36784.76"/>
    <n v="89743.4"/>
    <x v="2"/>
  </r>
  <r>
    <x v="3"/>
    <x v="1"/>
    <x v="1"/>
    <x v="3"/>
    <x v="27"/>
    <x v="1"/>
    <x v="1"/>
    <n v="18.649999999999999"/>
    <n v="50779.85"/>
    <n v="121542.83"/>
    <x v="2"/>
  </r>
  <r>
    <x v="3"/>
    <x v="1"/>
    <x v="2"/>
    <x v="0"/>
    <x v="0"/>
    <x v="0"/>
    <x v="0"/>
    <n v="2.21"/>
    <n v="11977.58"/>
    <n v="51873.98"/>
    <x v="2"/>
  </r>
  <r>
    <x v="3"/>
    <x v="1"/>
    <x v="2"/>
    <x v="0"/>
    <x v="1"/>
    <x v="0"/>
    <x v="0"/>
    <n v="3.74"/>
    <n v="20269.75"/>
    <n v="87754.04"/>
    <x v="2"/>
  </r>
  <r>
    <x v="3"/>
    <x v="1"/>
    <x v="2"/>
    <x v="0"/>
    <x v="2"/>
    <x v="0"/>
    <x v="0"/>
    <n v="0"/>
    <n v="0"/>
    <n v="0"/>
    <x v="2"/>
  </r>
  <r>
    <x v="3"/>
    <x v="1"/>
    <x v="2"/>
    <x v="0"/>
    <x v="3"/>
    <x v="0"/>
    <x v="0"/>
    <n v="2.0299999999999998"/>
    <n v="11002.03"/>
    <n v="47469.85"/>
    <x v="2"/>
  </r>
  <r>
    <x v="3"/>
    <x v="1"/>
    <x v="2"/>
    <x v="0"/>
    <x v="4"/>
    <x v="0"/>
    <x v="0"/>
    <n v="0"/>
    <n v="0"/>
    <n v="0"/>
    <x v="2"/>
  </r>
  <r>
    <x v="3"/>
    <x v="1"/>
    <x v="2"/>
    <x v="0"/>
    <x v="5"/>
    <x v="0"/>
    <x v="0"/>
    <n v="0"/>
    <n v="0"/>
    <n v="0"/>
    <x v="2"/>
  </r>
  <r>
    <x v="3"/>
    <x v="1"/>
    <x v="2"/>
    <x v="0"/>
    <x v="6"/>
    <x v="0"/>
    <x v="0"/>
    <n v="0"/>
    <n v="0"/>
    <n v="0"/>
    <x v="2"/>
  </r>
  <r>
    <x v="3"/>
    <x v="1"/>
    <x v="2"/>
    <x v="0"/>
    <x v="8"/>
    <x v="0"/>
    <x v="0"/>
    <n v="0"/>
    <n v="0"/>
    <n v="0"/>
    <x v="2"/>
  </r>
  <r>
    <x v="3"/>
    <x v="1"/>
    <x v="2"/>
    <x v="1"/>
    <x v="10"/>
    <x v="0"/>
    <x v="0"/>
    <n v="1.5"/>
    <n v="8129.58"/>
    <n v="35238.559999999998"/>
    <x v="2"/>
  </r>
  <r>
    <x v="3"/>
    <x v="1"/>
    <x v="2"/>
    <x v="1"/>
    <x v="11"/>
    <x v="0"/>
    <x v="0"/>
    <n v="0"/>
    <n v="0"/>
    <n v="0"/>
    <x v="2"/>
  </r>
  <r>
    <x v="3"/>
    <x v="1"/>
    <x v="2"/>
    <x v="1"/>
    <x v="13"/>
    <x v="0"/>
    <x v="0"/>
    <n v="0"/>
    <n v="0"/>
    <n v="0"/>
    <x v="2"/>
  </r>
  <r>
    <x v="3"/>
    <x v="1"/>
    <x v="2"/>
    <x v="1"/>
    <x v="14"/>
    <x v="0"/>
    <x v="0"/>
    <n v="0"/>
    <n v="0"/>
    <n v="0"/>
    <x v="2"/>
  </r>
  <r>
    <x v="3"/>
    <x v="1"/>
    <x v="2"/>
    <x v="1"/>
    <x v="16"/>
    <x v="0"/>
    <x v="0"/>
    <n v="0"/>
    <n v="0"/>
    <n v="0"/>
    <x v="2"/>
  </r>
  <r>
    <x v="3"/>
    <x v="1"/>
    <x v="2"/>
    <x v="1"/>
    <x v="17"/>
    <x v="0"/>
    <x v="0"/>
    <n v="0"/>
    <n v="0"/>
    <n v="0"/>
    <x v="2"/>
  </r>
  <r>
    <x v="3"/>
    <x v="1"/>
    <x v="2"/>
    <x v="1"/>
    <x v="18"/>
    <x v="0"/>
    <x v="0"/>
    <n v="0"/>
    <n v="0"/>
    <n v="0"/>
    <x v="2"/>
  </r>
  <r>
    <x v="3"/>
    <x v="1"/>
    <x v="2"/>
    <x v="1"/>
    <x v="19"/>
    <x v="0"/>
    <x v="0"/>
    <n v="0"/>
    <n v="0"/>
    <n v="0"/>
    <x v="2"/>
  </r>
  <r>
    <x v="3"/>
    <x v="1"/>
    <x v="2"/>
    <x v="1"/>
    <x v="20"/>
    <x v="0"/>
    <x v="0"/>
    <n v="1.86"/>
    <n v="10080.68"/>
    <n v="43663.12"/>
    <x v="2"/>
  </r>
  <r>
    <x v="3"/>
    <x v="1"/>
    <x v="2"/>
    <x v="2"/>
    <x v="21"/>
    <x v="0"/>
    <x v="0"/>
    <n v="2.2799999999999998"/>
    <n v="12356.96"/>
    <n v="53542.04"/>
    <x v="2"/>
  </r>
  <r>
    <x v="3"/>
    <x v="1"/>
    <x v="2"/>
    <x v="2"/>
    <x v="22"/>
    <x v="0"/>
    <x v="0"/>
    <n v="0"/>
    <n v="0"/>
    <n v="0"/>
    <x v="2"/>
  </r>
  <r>
    <x v="3"/>
    <x v="1"/>
    <x v="2"/>
    <x v="2"/>
    <x v="29"/>
    <x v="0"/>
    <x v="0"/>
    <n v="0"/>
    <n v="0"/>
    <n v="0"/>
    <x v="2"/>
  </r>
  <r>
    <x v="3"/>
    <x v="1"/>
    <x v="2"/>
    <x v="2"/>
    <x v="24"/>
    <x v="0"/>
    <x v="0"/>
    <n v="0"/>
    <n v="0"/>
    <n v="0"/>
    <x v="2"/>
  </r>
  <r>
    <x v="3"/>
    <x v="1"/>
    <x v="2"/>
    <x v="3"/>
    <x v="25"/>
    <x v="0"/>
    <x v="0"/>
    <n v="0"/>
    <n v="0"/>
    <n v="0"/>
    <x v="2"/>
  </r>
  <r>
    <x v="3"/>
    <x v="1"/>
    <x v="2"/>
    <x v="3"/>
    <x v="26"/>
    <x v="0"/>
    <x v="0"/>
    <n v="1.83"/>
    <n v="9918.09"/>
    <n v="43000.4"/>
    <x v="2"/>
  </r>
  <r>
    <x v="3"/>
    <x v="1"/>
    <x v="2"/>
    <x v="3"/>
    <x v="27"/>
    <x v="0"/>
    <x v="0"/>
    <n v="1.61"/>
    <n v="8725.75"/>
    <n v="37781.69"/>
    <x v="2"/>
  </r>
  <r>
    <x v="3"/>
    <x v="1"/>
    <x v="2"/>
    <x v="0"/>
    <x v="0"/>
    <x v="0"/>
    <x v="1"/>
    <n v="2.2999999999999998"/>
    <n v="12465.36"/>
    <n v="53948.94"/>
    <x v="2"/>
  </r>
  <r>
    <x v="3"/>
    <x v="1"/>
    <x v="2"/>
    <x v="0"/>
    <x v="1"/>
    <x v="0"/>
    <x v="1"/>
    <n v="6.36"/>
    <n v="34469.42"/>
    <n v="149128.03"/>
    <x v="2"/>
  </r>
  <r>
    <x v="3"/>
    <x v="1"/>
    <x v="2"/>
    <x v="0"/>
    <x v="2"/>
    <x v="0"/>
    <x v="1"/>
    <n v="5.37"/>
    <n v="29103.9"/>
    <n v="125776.4"/>
    <x v="2"/>
  </r>
  <r>
    <x v="3"/>
    <x v="1"/>
    <x v="2"/>
    <x v="0"/>
    <x v="3"/>
    <x v="0"/>
    <x v="1"/>
    <n v="5.52"/>
    <n v="29916.85"/>
    <n v="129463.24"/>
    <x v="2"/>
  </r>
  <r>
    <x v="3"/>
    <x v="1"/>
    <x v="2"/>
    <x v="0"/>
    <x v="4"/>
    <x v="0"/>
    <x v="1"/>
    <n v="1.75"/>
    <n v="9484.51"/>
    <n v="41028.31"/>
    <x v="2"/>
  </r>
  <r>
    <x v="3"/>
    <x v="1"/>
    <x v="2"/>
    <x v="0"/>
    <x v="5"/>
    <x v="0"/>
    <x v="1"/>
    <n v="4.93"/>
    <n v="26719.22"/>
    <n v="115463"/>
    <x v="2"/>
  </r>
  <r>
    <x v="3"/>
    <x v="1"/>
    <x v="2"/>
    <x v="0"/>
    <x v="6"/>
    <x v="0"/>
    <x v="1"/>
    <n v="2.39"/>
    <n v="12953.13"/>
    <n v="56111.67"/>
    <x v="2"/>
  </r>
  <r>
    <x v="3"/>
    <x v="1"/>
    <x v="2"/>
    <x v="0"/>
    <x v="8"/>
    <x v="0"/>
    <x v="1"/>
    <n v="4.1900000000000004"/>
    <n v="22708.63"/>
    <n v="98298.45"/>
    <x v="2"/>
  </r>
  <r>
    <x v="3"/>
    <x v="1"/>
    <x v="2"/>
    <x v="1"/>
    <x v="10"/>
    <x v="0"/>
    <x v="1"/>
    <n v="5.04"/>
    <n v="27315.39"/>
    <n v="118152.82"/>
    <x v="2"/>
  </r>
  <r>
    <x v="3"/>
    <x v="1"/>
    <x v="2"/>
    <x v="1"/>
    <x v="11"/>
    <x v="0"/>
    <x v="1"/>
    <n v="11.03"/>
    <n v="59779.51"/>
    <n v="258465.17"/>
    <x v="2"/>
  </r>
  <r>
    <x v="3"/>
    <x v="1"/>
    <x v="2"/>
    <x v="1"/>
    <x v="13"/>
    <x v="0"/>
    <x v="1"/>
    <n v="3.28"/>
    <n v="17776.68"/>
    <n v="76769.070000000007"/>
    <x v="2"/>
  </r>
  <r>
    <x v="3"/>
    <x v="1"/>
    <x v="2"/>
    <x v="1"/>
    <x v="14"/>
    <x v="0"/>
    <x v="1"/>
    <n v="1.63"/>
    <n v="8834.14"/>
    <n v="38241.83"/>
    <x v="2"/>
  </r>
  <r>
    <x v="3"/>
    <x v="1"/>
    <x v="2"/>
    <x v="1"/>
    <x v="16"/>
    <x v="0"/>
    <x v="1"/>
    <n v="1.62"/>
    <n v="8779.9500000000007"/>
    <n v="37994.76"/>
    <x v="2"/>
  </r>
  <r>
    <x v="3"/>
    <x v="1"/>
    <x v="2"/>
    <x v="1"/>
    <x v="17"/>
    <x v="0"/>
    <x v="1"/>
    <n v="1.23"/>
    <n v="6666.26"/>
    <n v="28890.76"/>
    <x v="2"/>
  </r>
  <r>
    <x v="3"/>
    <x v="1"/>
    <x v="2"/>
    <x v="1"/>
    <x v="18"/>
    <x v="0"/>
    <x v="1"/>
    <n v="12.54"/>
    <n v="67963.289999999994"/>
    <n v="293773.36"/>
    <x v="2"/>
  </r>
  <r>
    <x v="3"/>
    <x v="1"/>
    <x v="2"/>
    <x v="1"/>
    <x v="19"/>
    <x v="0"/>
    <x v="1"/>
    <n v="4.13"/>
    <n v="22383.439999999999"/>
    <n v="96687.98"/>
    <x v="2"/>
  </r>
  <r>
    <x v="3"/>
    <x v="1"/>
    <x v="2"/>
    <x v="1"/>
    <x v="20"/>
    <x v="0"/>
    <x v="1"/>
    <n v="11.71"/>
    <n v="63464.92"/>
    <n v="274453.92"/>
    <x v="2"/>
  </r>
  <r>
    <x v="3"/>
    <x v="1"/>
    <x v="2"/>
    <x v="2"/>
    <x v="21"/>
    <x v="0"/>
    <x v="1"/>
    <n v="0"/>
    <n v="0"/>
    <n v="0"/>
    <x v="2"/>
  </r>
  <r>
    <x v="3"/>
    <x v="1"/>
    <x v="2"/>
    <x v="2"/>
    <x v="22"/>
    <x v="0"/>
    <x v="1"/>
    <n v="5.3"/>
    <n v="28724.52"/>
    <n v="124142.51"/>
    <x v="2"/>
  </r>
  <r>
    <x v="3"/>
    <x v="1"/>
    <x v="2"/>
    <x v="2"/>
    <x v="29"/>
    <x v="0"/>
    <x v="1"/>
    <n v="2.33"/>
    <n v="12627.95"/>
    <n v="54695.42"/>
    <x v="2"/>
  </r>
  <r>
    <x v="3"/>
    <x v="1"/>
    <x v="2"/>
    <x v="2"/>
    <x v="24"/>
    <x v="0"/>
    <x v="1"/>
    <n v="2.21"/>
    <n v="11977.58"/>
    <n v="51771.360000000001"/>
    <x v="2"/>
  </r>
  <r>
    <x v="3"/>
    <x v="1"/>
    <x v="2"/>
    <x v="3"/>
    <x v="25"/>
    <x v="0"/>
    <x v="1"/>
    <n v="1.17"/>
    <n v="6341.07"/>
    <n v="27389.8"/>
    <x v="2"/>
  </r>
  <r>
    <x v="3"/>
    <x v="1"/>
    <x v="2"/>
    <x v="3"/>
    <x v="26"/>
    <x v="0"/>
    <x v="1"/>
    <n v="1.49"/>
    <n v="8075.38"/>
    <n v="34809.839999999997"/>
    <x v="2"/>
  </r>
  <r>
    <x v="3"/>
    <x v="1"/>
    <x v="2"/>
    <x v="3"/>
    <x v="27"/>
    <x v="0"/>
    <x v="1"/>
    <n v="8.24"/>
    <n v="44658.49"/>
    <n v="193106.39"/>
    <x v="2"/>
  </r>
  <r>
    <x v="3"/>
    <x v="1"/>
    <x v="2"/>
    <x v="0"/>
    <x v="0"/>
    <x v="1"/>
    <x v="0"/>
    <n v="3.86"/>
    <n v="20920.12"/>
    <n v="59186.44"/>
    <x v="2"/>
  </r>
  <r>
    <x v="3"/>
    <x v="1"/>
    <x v="2"/>
    <x v="0"/>
    <x v="1"/>
    <x v="1"/>
    <x v="0"/>
    <n v="14.92"/>
    <n v="80862.22"/>
    <n v="224869.56"/>
    <x v="2"/>
  </r>
  <r>
    <x v="3"/>
    <x v="1"/>
    <x v="2"/>
    <x v="0"/>
    <x v="2"/>
    <x v="1"/>
    <x v="0"/>
    <n v="6.17"/>
    <n v="33439.67"/>
    <n v="89803.42"/>
    <x v="2"/>
  </r>
  <r>
    <x v="3"/>
    <x v="1"/>
    <x v="2"/>
    <x v="0"/>
    <x v="3"/>
    <x v="1"/>
    <x v="0"/>
    <n v="10.01"/>
    <n v="54251.4"/>
    <n v="151536.72"/>
    <x v="2"/>
  </r>
  <r>
    <x v="3"/>
    <x v="1"/>
    <x v="2"/>
    <x v="0"/>
    <x v="28"/>
    <x v="1"/>
    <x v="0"/>
    <n v="0"/>
    <n v="0"/>
    <n v="0"/>
    <x v="2"/>
  </r>
  <r>
    <x v="3"/>
    <x v="1"/>
    <x v="2"/>
    <x v="0"/>
    <x v="4"/>
    <x v="1"/>
    <x v="0"/>
    <n v="7.25"/>
    <n v="39292.97"/>
    <n v="108759.7"/>
    <x v="2"/>
  </r>
  <r>
    <x v="3"/>
    <x v="1"/>
    <x v="2"/>
    <x v="0"/>
    <x v="5"/>
    <x v="1"/>
    <x v="0"/>
    <n v="2.42"/>
    <n v="13115.72"/>
    <n v="37397.040000000001"/>
    <x v="2"/>
  </r>
  <r>
    <x v="3"/>
    <x v="1"/>
    <x v="2"/>
    <x v="0"/>
    <x v="6"/>
    <x v="1"/>
    <x v="0"/>
    <n v="0"/>
    <n v="0"/>
    <n v="0"/>
    <x v="2"/>
  </r>
  <r>
    <x v="3"/>
    <x v="1"/>
    <x v="2"/>
    <x v="0"/>
    <x v="7"/>
    <x v="1"/>
    <x v="0"/>
    <n v="0"/>
    <n v="0"/>
    <n v="0"/>
    <x v="2"/>
  </r>
  <r>
    <x v="3"/>
    <x v="1"/>
    <x v="2"/>
    <x v="0"/>
    <x v="8"/>
    <x v="1"/>
    <x v="0"/>
    <n v="0"/>
    <n v="0"/>
    <n v="0"/>
    <x v="2"/>
  </r>
  <r>
    <x v="3"/>
    <x v="1"/>
    <x v="2"/>
    <x v="1"/>
    <x v="30"/>
    <x v="1"/>
    <x v="0"/>
    <n v="3.58"/>
    <n v="19402.599999999999"/>
    <n v="57878.07"/>
    <x v="2"/>
  </r>
  <r>
    <x v="3"/>
    <x v="1"/>
    <x v="2"/>
    <x v="1"/>
    <x v="9"/>
    <x v="1"/>
    <x v="0"/>
    <n v="0"/>
    <n v="0"/>
    <n v="0"/>
    <x v="2"/>
  </r>
  <r>
    <x v="3"/>
    <x v="1"/>
    <x v="2"/>
    <x v="1"/>
    <x v="31"/>
    <x v="1"/>
    <x v="0"/>
    <n v="3.63"/>
    <n v="19673.580000000002"/>
    <n v="59193.15"/>
    <x v="2"/>
  </r>
  <r>
    <x v="3"/>
    <x v="1"/>
    <x v="2"/>
    <x v="1"/>
    <x v="10"/>
    <x v="1"/>
    <x v="0"/>
    <n v="7.73"/>
    <n v="41894.44"/>
    <n v="123519.41"/>
    <x v="2"/>
  </r>
  <r>
    <x v="3"/>
    <x v="1"/>
    <x v="2"/>
    <x v="1"/>
    <x v="11"/>
    <x v="1"/>
    <x v="0"/>
    <n v="10.63"/>
    <n v="57611.62"/>
    <n v="161881.15"/>
    <x v="2"/>
  </r>
  <r>
    <x v="3"/>
    <x v="1"/>
    <x v="2"/>
    <x v="1"/>
    <x v="12"/>
    <x v="1"/>
    <x v="0"/>
    <n v="0.67"/>
    <n v="3631.21"/>
    <n v="10691.3"/>
    <x v="2"/>
  </r>
  <r>
    <x v="3"/>
    <x v="1"/>
    <x v="2"/>
    <x v="1"/>
    <x v="13"/>
    <x v="1"/>
    <x v="0"/>
    <n v="2.21"/>
    <n v="11977.58"/>
    <n v="35215.83"/>
    <x v="2"/>
  </r>
  <r>
    <x v="3"/>
    <x v="1"/>
    <x v="2"/>
    <x v="1"/>
    <x v="14"/>
    <x v="1"/>
    <x v="0"/>
    <n v="14.61"/>
    <n v="79182.11"/>
    <n v="228799.95"/>
    <x v="2"/>
  </r>
  <r>
    <x v="3"/>
    <x v="1"/>
    <x v="2"/>
    <x v="1"/>
    <x v="15"/>
    <x v="1"/>
    <x v="0"/>
    <n v="1.54"/>
    <n v="8346.3700000000008"/>
    <n v="24944.29"/>
    <x v="2"/>
  </r>
  <r>
    <x v="3"/>
    <x v="1"/>
    <x v="2"/>
    <x v="1"/>
    <x v="16"/>
    <x v="1"/>
    <x v="0"/>
    <n v="6.46"/>
    <n v="35011.39"/>
    <n v="99587.1"/>
    <x v="2"/>
  </r>
  <r>
    <x v="3"/>
    <x v="1"/>
    <x v="2"/>
    <x v="1"/>
    <x v="17"/>
    <x v="1"/>
    <x v="0"/>
    <n v="9.27"/>
    <n v="50240.800000000003"/>
    <n v="144278.79"/>
    <x v="2"/>
  </r>
  <r>
    <x v="3"/>
    <x v="1"/>
    <x v="2"/>
    <x v="1"/>
    <x v="18"/>
    <x v="1"/>
    <x v="0"/>
    <n v="5.69"/>
    <n v="30838.21"/>
    <n v="92724.56"/>
    <x v="2"/>
  </r>
  <r>
    <x v="3"/>
    <x v="1"/>
    <x v="2"/>
    <x v="1"/>
    <x v="19"/>
    <x v="1"/>
    <x v="0"/>
    <n v="10.86"/>
    <n v="58858.16"/>
    <n v="171497.59"/>
    <x v="2"/>
  </r>
  <r>
    <x v="3"/>
    <x v="1"/>
    <x v="2"/>
    <x v="1"/>
    <x v="20"/>
    <x v="1"/>
    <x v="0"/>
    <n v="15.51"/>
    <n v="84059.86"/>
    <n v="240982.23"/>
    <x v="2"/>
  </r>
  <r>
    <x v="3"/>
    <x v="1"/>
    <x v="2"/>
    <x v="2"/>
    <x v="21"/>
    <x v="1"/>
    <x v="0"/>
    <n v="0"/>
    <n v="0"/>
    <n v="0"/>
    <x v="2"/>
  </r>
  <r>
    <x v="3"/>
    <x v="1"/>
    <x v="2"/>
    <x v="2"/>
    <x v="22"/>
    <x v="1"/>
    <x v="0"/>
    <n v="9.35"/>
    <n v="50674.38"/>
    <n v="133441.22"/>
    <x v="2"/>
  </r>
  <r>
    <x v="3"/>
    <x v="1"/>
    <x v="2"/>
    <x v="2"/>
    <x v="29"/>
    <x v="1"/>
    <x v="0"/>
    <n v="0"/>
    <n v="0"/>
    <n v="0"/>
    <x v="2"/>
  </r>
  <r>
    <x v="3"/>
    <x v="1"/>
    <x v="2"/>
    <x v="2"/>
    <x v="23"/>
    <x v="1"/>
    <x v="0"/>
    <n v="0"/>
    <n v="0"/>
    <n v="0"/>
    <x v="2"/>
  </r>
  <r>
    <x v="3"/>
    <x v="1"/>
    <x v="2"/>
    <x v="2"/>
    <x v="24"/>
    <x v="1"/>
    <x v="0"/>
    <n v="4.25"/>
    <n v="23033.81"/>
    <n v="61715.15"/>
    <x v="2"/>
  </r>
  <r>
    <x v="3"/>
    <x v="1"/>
    <x v="2"/>
    <x v="3"/>
    <x v="25"/>
    <x v="1"/>
    <x v="0"/>
    <n v="7.69"/>
    <n v="41677.65"/>
    <n v="123375.06"/>
    <x v="2"/>
  </r>
  <r>
    <x v="3"/>
    <x v="1"/>
    <x v="2"/>
    <x v="3"/>
    <x v="26"/>
    <x v="1"/>
    <x v="0"/>
    <n v="3.52"/>
    <n v="19077.41"/>
    <n v="56961.74"/>
    <x v="2"/>
  </r>
  <r>
    <x v="3"/>
    <x v="1"/>
    <x v="2"/>
    <x v="3"/>
    <x v="27"/>
    <x v="1"/>
    <x v="0"/>
    <n v="16"/>
    <n v="86715.520000000004"/>
    <n v="253924.13"/>
    <x v="2"/>
  </r>
  <r>
    <x v="3"/>
    <x v="1"/>
    <x v="2"/>
    <x v="0"/>
    <x v="0"/>
    <x v="1"/>
    <x v="1"/>
    <n v="13.18"/>
    <n v="71431.91"/>
    <n v="202005.89"/>
    <x v="2"/>
  </r>
  <r>
    <x v="3"/>
    <x v="1"/>
    <x v="2"/>
    <x v="0"/>
    <x v="1"/>
    <x v="1"/>
    <x v="1"/>
    <n v="20.420000000000002"/>
    <n v="110670.68"/>
    <n v="307651.21000000002"/>
    <x v="2"/>
  </r>
  <r>
    <x v="3"/>
    <x v="1"/>
    <x v="2"/>
    <x v="0"/>
    <x v="2"/>
    <x v="1"/>
    <x v="1"/>
    <n v="17.329999999999998"/>
    <n v="93923.75"/>
    <n v="252187.69"/>
    <x v="2"/>
  </r>
  <r>
    <x v="3"/>
    <x v="1"/>
    <x v="2"/>
    <x v="0"/>
    <x v="3"/>
    <x v="1"/>
    <x v="1"/>
    <n v="20.87"/>
    <n v="113109.56"/>
    <n v="316009.51"/>
    <x v="2"/>
  </r>
  <r>
    <x v="3"/>
    <x v="1"/>
    <x v="2"/>
    <x v="0"/>
    <x v="28"/>
    <x v="1"/>
    <x v="1"/>
    <n v="2.0499999999999998"/>
    <n v="11110.43"/>
    <n v="31446.04"/>
    <x v="2"/>
  </r>
  <r>
    <x v="3"/>
    <x v="1"/>
    <x v="2"/>
    <x v="0"/>
    <x v="4"/>
    <x v="1"/>
    <x v="1"/>
    <n v="6.48"/>
    <n v="35119.79"/>
    <n v="97243.97"/>
    <x v="2"/>
  </r>
  <r>
    <x v="3"/>
    <x v="1"/>
    <x v="2"/>
    <x v="0"/>
    <x v="5"/>
    <x v="1"/>
    <x v="1"/>
    <n v="18.850000000000001"/>
    <n v="102161.72"/>
    <n v="291162.7"/>
    <x v="2"/>
  </r>
  <r>
    <x v="3"/>
    <x v="1"/>
    <x v="2"/>
    <x v="0"/>
    <x v="6"/>
    <x v="1"/>
    <x v="1"/>
    <n v="3"/>
    <n v="16259.16"/>
    <n v="46181.760000000002"/>
    <x v="2"/>
  </r>
  <r>
    <x v="3"/>
    <x v="1"/>
    <x v="2"/>
    <x v="0"/>
    <x v="7"/>
    <x v="1"/>
    <x v="1"/>
    <n v="4.45"/>
    <n v="24117.75"/>
    <n v="69707.520000000004"/>
    <x v="2"/>
  </r>
  <r>
    <x v="3"/>
    <x v="1"/>
    <x v="2"/>
    <x v="0"/>
    <x v="8"/>
    <x v="1"/>
    <x v="1"/>
    <n v="4.41"/>
    <n v="23900.97"/>
    <n v="65812.960000000006"/>
    <x v="2"/>
  </r>
  <r>
    <x v="3"/>
    <x v="1"/>
    <x v="2"/>
    <x v="1"/>
    <x v="30"/>
    <x v="1"/>
    <x v="1"/>
    <n v="0"/>
    <n v="0"/>
    <n v="0"/>
    <x v="2"/>
  </r>
  <r>
    <x v="3"/>
    <x v="1"/>
    <x v="2"/>
    <x v="1"/>
    <x v="9"/>
    <x v="1"/>
    <x v="1"/>
    <n v="3.05"/>
    <n v="16530.150000000001"/>
    <n v="49108.37"/>
    <x v="2"/>
  </r>
  <r>
    <x v="3"/>
    <x v="1"/>
    <x v="2"/>
    <x v="1"/>
    <x v="31"/>
    <x v="1"/>
    <x v="1"/>
    <n v="0"/>
    <n v="0"/>
    <n v="0"/>
    <x v="2"/>
  </r>
  <r>
    <x v="3"/>
    <x v="1"/>
    <x v="2"/>
    <x v="1"/>
    <x v="10"/>
    <x v="1"/>
    <x v="1"/>
    <n v="34.729999999999997"/>
    <n v="188226.88"/>
    <n v="555158.68000000005"/>
    <x v="2"/>
  </r>
  <r>
    <x v="3"/>
    <x v="1"/>
    <x v="2"/>
    <x v="1"/>
    <x v="11"/>
    <x v="1"/>
    <x v="1"/>
    <n v="31.21"/>
    <n v="169149.46"/>
    <n v="475446.21"/>
    <x v="2"/>
  </r>
  <r>
    <x v="3"/>
    <x v="1"/>
    <x v="2"/>
    <x v="1"/>
    <x v="12"/>
    <x v="1"/>
    <x v="1"/>
    <n v="3.17"/>
    <n v="17180.509999999998"/>
    <n v="50783.66"/>
    <x v="2"/>
  </r>
  <r>
    <x v="3"/>
    <x v="1"/>
    <x v="2"/>
    <x v="1"/>
    <x v="13"/>
    <x v="1"/>
    <x v="1"/>
    <n v="14.34"/>
    <n v="77718.78"/>
    <n v="228902.92"/>
    <x v="2"/>
  </r>
  <r>
    <x v="3"/>
    <x v="1"/>
    <x v="2"/>
    <x v="1"/>
    <x v="14"/>
    <x v="1"/>
    <x v="1"/>
    <n v="9.3800000000000008"/>
    <n v="50836.97"/>
    <n v="146823.5"/>
    <x v="2"/>
  </r>
  <r>
    <x v="3"/>
    <x v="1"/>
    <x v="2"/>
    <x v="1"/>
    <x v="15"/>
    <x v="1"/>
    <x v="1"/>
    <n v="1.63"/>
    <n v="8834.14"/>
    <n v="26411.599999999999"/>
    <x v="2"/>
  </r>
  <r>
    <x v="3"/>
    <x v="1"/>
    <x v="2"/>
    <x v="1"/>
    <x v="16"/>
    <x v="1"/>
    <x v="1"/>
    <n v="10.99"/>
    <n v="59562.720000000001"/>
    <n v="169427.41"/>
    <x v="2"/>
  </r>
  <r>
    <x v="3"/>
    <x v="1"/>
    <x v="2"/>
    <x v="1"/>
    <x v="17"/>
    <x v="1"/>
    <x v="1"/>
    <n v="4.97"/>
    <n v="26936.01"/>
    <n v="77345.33"/>
    <x v="2"/>
  </r>
  <r>
    <x v="3"/>
    <x v="1"/>
    <x v="2"/>
    <x v="1"/>
    <x v="18"/>
    <x v="1"/>
    <x v="1"/>
    <n v="24.21"/>
    <n v="131211.42000000001"/>
    <n v="394334.12"/>
    <x v="2"/>
  </r>
  <r>
    <x v="3"/>
    <x v="1"/>
    <x v="2"/>
    <x v="1"/>
    <x v="19"/>
    <x v="1"/>
    <x v="1"/>
    <n v="16.579999999999998"/>
    <n v="89858.96"/>
    <n v="261899.42"/>
    <x v="2"/>
  </r>
  <r>
    <x v="3"/>
    <x v="1"/>
    <x v="2"/>
    <x v="1"/>
    <x v="20"/>
    <x v="1"/>
    <x v="1"/>
    <n v="29.93"/>
    <n v="162212.22"/>
    <n v="465030.57"/>
    <x v="2"/>
  </r>
  <r>
    <x v="3"/>
    <x v="1"/>
    <x v="2"/>
    <x v="2"/>
    <x v="21"/>
    <x v="1"/>
    <x v="1"/>
    <n v="3.14"/>
    <n v="17017.919999999998"/>
    <n v="44787.07"/>
    <x v="2"/>
  </r>
  <r>
    <x v="3"/>
    <x v="1"/>
    <x v="2"/>
    <x v="2"/>
    <x v="22"/>
    <x v="1"/>
    <x v="1"/>
    <n v="20.079999999999998"/>
    <n v="108827.98"/>
    <n v="286608.53999999998"/>
    <x v="2"/>
  </r>
  <r>
    <x v="3"/>
    <x v="1"/>
    <x v="2"/>
    <x v="2"/>
    <x v="29"/>
    <x v="1"/>
    <x v="1"/>
    <n v="3.48"/>
    <n v="18860.63"/>
    <n v="52790.09"/>
    <x v="2"/>
  </r>
  <r>
    <x v="3"/>
    <x v="1"/>
    <x v="2"/>
    <x v="2"/>
    <x v="23"/>
    <x v="1"/>
    <x v="1"/>
    <n v="2.25"/>
    <n v="12194.37"/>
    <n v="33374.400000000001"/>
    <x v="2"/>
  </r>
  <r>
    <x v="3"/>
    <x v="1"/>
    <x v="2"/>
    <x v="2"/>
    <x v="24"/>
    <x v="1"/>
    <x v="1"/>
    <n v="2.97"/>
    <n v="16096.57"/>
    <n v="43200.61"/>
    <x v="2"/>
  </r>
  <r>
    <x v="3"/>
    <x v="1"/>
    <x v="2"/>
    <x v="3"/>
    <x v="25"/>
    <x v="1"/>
    <x v="1"/>
    <n v="10.39"/>
    <n v="56310.89"/>
    <n v="166759.69"/>
    <x v="2"/>
  </r>
  <r>
    <x v="3"/>
    <x v="1"/>
    <x v="2"/>
    <x v="3"/>
    <x v="26"/>
    <x v="1"/>
    <x v="1"/>
    <n v="33.72"/>
    <n v="182752.96"/>
    <n v="545205.25"/>
    <x v="2"/>
  </r>
  <r>
    <x v="3"/>
    <x v="1"/>
    <x v="2"/>
    <x v="3"/>
    <x v="27"/>
    <x v="1"/>
    <x v="1"/>
    <n v="44.55"/>
    <n v="241448.53"/>
    <n v="706912.23"/>
    <x v="2"/>
  </r>
  <r>
    <x v="3"/>
    <x v="1"/>
    <x v="3"/>
    <x v="0"/>
    <x v="0"/>
    <x v="0"/>
    <x v="0"/>
    <n v="1.98"/>
    <n v="11927.12"/>
    <n v="54339.62"/>
    <x v="2"/>
  </r>
  <r>
    <x v="3"/>
    <x v="1"/>
    <x v="3"/>
    <x v="0"/>
    <x v="1"/>
    <x v="0"/>
    <x v="0"/>
    <n v="4.6500000000000004"/>
    <n v="28010.67"/>
    <n v="127696.01"/>
    <x v="2"/>
  </r>
  <r>
    <x v="3"/>
    <x v="1"/>
    <x v="3"/>
    <x v="0"/>
    <x v="2"/>
    <x v="0"/>
    <x v="0"/>
    <n v="0"/>
    <n v="0"/>
    <n v="0"/>
    <x v="2"/>
  </r>
  <r>
    <x v="3"/>
    <x v="1"/>
    <x v="3"/>
    <x v="0"/>
    <x v="3"/>
    <x v="0"/>
    <x v="0"/>
    <n v="1.95"/>
    <n v="11746.41"/>
    <n v="53623.7"/>
    <x v="2"/>
  </r>
  <r>
    <x v="3"/>
    <x v="1"/>
    <x v="3"/>
    <x v="0"/>
    <x v="4"/>
    <x v="0"/>
    <x v="0"/>
    <n v="0"/>
    <n v="0"/>
    <n v="0"/>
    <x v="2"/>
  </r>
  <r>
    <x v="3"/>
    <x v="1"/>
    <x v="3"/>
    <x v="0"/>
    <x v="5"/>
    <x v="0"/>
    <x v="0"/>
    <n v="0"/>
    <n v="0"/>
    <n v="0"/>
    <x v="2"/>
  </r>
  <r>
    <x v="3"/>
    <x v="1"/>
    <x v="3"/>
    <x v="0"/>
    <x v="6"/>
    <x v="0"/>
    <x v="0"/>
    <n v="0"/>
    <n v="0"/>
    <n v="0"/>
    <x v="2"/>
  </r>
  <r>
    <x v="3"/>
    <x v="1"/>
    <x v="3"/>
    <x v="0"/>
    <x v="8"/>
    <x v="0"/>
    <x v="0"/>
    <n v="0"/>
    <n v="0"/>
    <n v="0"/>
    <x v="2"/>
  </r>
  <r>
    <x v="3"/>
    <x v="1"/>
    <x v="3"/>
    <x v="1"/>
    <x v="10"/>
    <x v="0"/>
    <x v="0"/>
    <n v="1.43"/>
    <n v="8614.0300000000007"/>
    <n v="39197.879999999997"/>
    <x v="2"/>
  </r>
  <r>
    <x v="3"/>
    <x v="1"/>
    <x v="3"/>
    <x v="1"/>
    <x v="11"/>
    <x v="0"/>
    <x v="0"/>
    <n v="0"/>
    <n v="0"/>
    <n v="0"/>
    <x v="2"/>
  </r>
  <r>
    <x v="3"/>
    <x v="1"/>
    <x v="3"/>
    <x v="1"/>
    <x v="13"/>
    <x v="0"/>
    <x v="0"/>
    <n v="0"/>
    <n v="0"/>
    <n v="0"/>
    <x v="2"/>
  </r>
  <r>
    <x v="3"/>
    <x v="1"/>
    <x v="3"/>
    <x v="1"/>
    <x v="14"/>
    <x v="0"/>
    <x v="0"/>
    <n v="0"/>
    <n v="0"/>
    <n v="0"/>
    <x v="2"/>
  </r>
  <r>
    <x v="3"/>
    <x v="1"/>
    <x v="3"/>
    <x v="1"/>
    <x v="16"/>
    <x v="0"/>
    <x v="0"/>
    <n v="0"/>
    <n v="0"/>
    <n v="0"/>
    <x v="2"/>
  </r>
  <r>
    <x v="3"/>
    <x v="1"/>
    <x v="3"/>
    <x v="1"/>
    <x v="17"/>
    <x v="0"/>
    <x v="0"/>
    <n v="0"/>
    <n v="0"/>
    <n v="0"/>
    <x v="2"/>
  </r>
  <r>
    <x v="3"/>
    <x v="1"/>
    <x v="3"/>
    <x v="1"/>
    <x v="18"/>
    <x v="0"/>
    <x v="0"/>
    <n v="0"/>
    <n v="0"/>
    <n v="0"/>
    <x v="2"/>
  </r>
  <r>
    <x v="3"/>
    <x v="1"/>
    <x v="3"/>
    <x v="1"/>
    <x v="19"/>
    <x v="0"/>
    <x v="0"/>
    <n v="0"/>
    <n v="0"/>
    <n v="0"/>
    <x v="2"/>
  </r>
  <r>
    <x v="3"/>
    <x v="1"/>
    <x v="3"/>
    <x v="1"/>
    <x v="20"/>
    <x v="0"/>
    <x v="0"/>
    <n v="2.33"/>
    <n v="14035.45"/>
    <n v="63999.41"/>
    <x v="2"/>
  </r>
  <r>
    <x v="3"/>
    <x v="1"/>
    <x v="3"/>
    <x v="2"/>
    <x v="21"/>
    <x v="0"/>
    <x v="0"/>
    <n v="3.06"/>
    <n v="18432.830000000002"/>
    <n v="84166.05"/>
    <x v="2"/>
  </r>
  <r>
    <x v="3"/>
    <x v="1"/>
    <x v="3"/>
    <x v="2"/>
    <x v="22"/>
    <x v="0"/>
    <x v="0"/>
    <n v="0"/>
    <n v="0"/>
    <n v="0"/>
    <x v="2"/>
  </r>
  <r>
    <x v="3"/>
    <x v="1"/>
    <x v="3"/>
    <x v="2"/>
    <x v="29"/>
    <x v="0"/>
    <x v="0"/>
    <n v="0"/>
    <n v="0"/>
    <n v="0"/>
    <x v="2"/>
  </r>
  <r>
    <x v="3"/>
    <x v="1"/>
    <x v="3"/>
    <x v="2"/>
    <x v="24"/>
    <x v="0"/>
    <x v="0"/>
    <n v="0"/>
    <n v="0"/>
    <n v="0"/>
    <x v="2"/>
  </r>
  <r>
    <x v="3"/>
    <x v="1"/>
    <x v="3"/>
    <x v="3"/>
    <x v="25"/>
    <x v="0"/>
    <x v="0"/>
    <n v="0"/>
    <n v="0"/>
    <n v="0"/>
    <x v="2"/>
  </r>
  <r>
    <x v="3"/>
    <x v="1"/>
    <x v="3"/>
    <x v="3"/>
    <x v="26"/>
    <x v="0"/>
    <x v="0"/>
    <n v="2.88"/>
    <n v="17348.54"/>
    <n v="79112.3"/>
    <x v="2"/>
  </r>
  <r>
    <x v="3"/>
    <x v="1"/>
    <x v="3"/>
    <x v="3"/>
    <x v="27"/>
    <x v="0"/>
    <x v="0"/>
    <n v="2.13"/>
    <n v="12830.69"/>
    <n v="58659.32"/>
    <x v="2"/>
  </r>
  <r>
    <x v="3"/>
    <x v="1"/>
    <x v="3"/>
    <x v="0"/>
    <x v="0"/>
    <x v="0"/>
    <x v="1"/>
    <n v="2.15"/>
    <n v="12951.17"/>
    <n v="59064.800000000003"/>
    <x v="2"/>
  </r>
  <r>
    <x v="3"/>
    <x v="1"/>
    <x v="3"/>
    <x v="0"/>
    <x v="1"/>
    <x v="0"/>
    <x v="1"/>
    <n v="6.89"/>
    <n v="41503.980000000003"/>
    <n v="189301.11"/>
    <x v="2"/>
  </r>
  <r>
    <x v="3"/>
    <x v="1"/>
    <x v="3"/>
    <x v="0"/>
    <x v="2"/>
    <x v="0"/>
    <x v="1"/>
    <n v="5.94"/>
    <n v="35781.370000000003"/>
    <n v="163182.85999999999"/>
    <x v="2"/>
  </r>
  <r>
    <x v="3"/>
    <x v="1"/>
    <x v="3"/>
    <x v="0"/>
    <x v="3"/>
    <x v="0"/>
    <x v="1"/>
    <n v="8.69"/>
    <n v="52346.82"/>
    <n v="238869.19"/>
    <x v="2"/>
  </r>
  <r>
    <x v="3"/>
    <x v="1"/>
    <x v="3"/>
    <x v="0"/>
    <x v="4"/>
    <x v="0"/>
    <x v="1"/>
    <n v="1.9"/>
    <n v="11445.22"/>
    <n v="52156.04"/>
    <x v="2"/>
  </r>
  <r>
    <x v="3"/>
    <x v="1"/>
    <x v="3"/>
    <x v="0"/>
    <x v="5"/>
    <x v="0"/>
    <x v="1"/>
    <n v="4.74"/>
    <n v="28552.81"/>
    <n v="130175.12"/>
    <x v="2"/>
  </r>
  <r>
    <x v="3"/>
    <x v="1"/>
    <x v="3"/>
    <x v="0"/>
    <x v="6"/>
    <x v="0"/>
    <x v="1"/>
    <n v="2.37"/>
    <n v="14276.41"/>
    <n v="65027.519999999997"/>
    <x v="2"/>
  </r>
  <r>
    <x v="3"/>
    <x v="1"/>
    <x v="3"/>
    <x v="0"/>
    <x v="8"/>
    <x v="0"/>
    <x v="1"/>
    <n v="3"/>
    <n v="18071.400000000001"/>
    <n v="82380.350000000006"/>
    <x v="2"/>
  </r>
  <r>
    <x v="3"/>
    <x v="1"/>
    <x v="3"/>
    <x v="1"/>
    <x v="10"/>
    <x v="0"/>
    <x v="1"/>
    <n v="3.53"/>
    <n v="21264.01"/>
    <n v="97061.41"/>
    <x v="2"/>
  </r>
  <r>
    <x v="3"/>
    <x v="1"/>
    <x v="3"/>
    <x v="1"/>
    <x v="11"/>
    <x v="0"/>
    <x v="1"/>
    <n v="13.47"/>
    <n v="81140.59"/>
    <n v="370074.58"/>
    <x v="2"/>
  </r>
  <r>
    <x v="3"/>
    <x v="1"/>
    <x v="3"/>
    <x v="1"/>
    <x v="13"/>
    <x v="0"/>
    <x v="1"/>
    <n v="5.46"/>
    <n v="32889.949999999997"/>
    <n v="149929.17000000001"/>
    <x v="2"/>
  </r>
  <r>
    <x v="3"/>
    <x v="1"/>
    <x v="3"/>
    <x v="1"/>
    <x v="14"/>
    <x v="0"/>
    <x v="1"/>
    <n v="1.9"/>
    <n v="11445.22"/>
    <n v="52328.44"/>
    <x v="2"/>
  </r>
  <r>
    <x v="3"/>
    <x v="1"/>
    <x v="3"/>
    <x v="1"/>
    <x v="16"/>
    <x v="0"/>
    <x v="1"/>
    <n v="2.29"/>
    <n v="13794.5"/>
    <n v="62811.67"/>
    <x v="2"/>
  </r>
  <r>
    <x v="3"/>
    <x v="1"/>
    <x v="3"/>
    <x v="1"/>
    <x v="17"/>
    <x v="0"/>
    <x v="1"/>
    <n v="1.75"/>
    <n v="10541.65"/>
    <n v="48221.67"/>
    <x v="2"/>
  </r>
  <r>
    <x v="3"/>
    <x v="1"/>
    <x v="3"/>
    <x v="1"/>
    <x v="18"/>
    <x v="0"/>
    <x v="1"/>
    <n v="15.82"/>
    <n v="95296.52"/>
    <n v="434909.69"/>
    <x v="2"/>
  </r>
  <r>
    <x v="3"/>
    <x v="1"/>
    <x v="3"/>
    <x v="1"/>
    <x v="19"/>
    <x v="0"/>
    <x v="1"/>
    <n v="4.46"/>
    <n v="26866.15"/>
    <n v="122553.99"/>
    <x v="2"/>
  </r>
  <r>
    <x v="3"/>
    <x v="1"/>
    <x v="3"/>
    <x v="1"/>
    <x v="20"/>
    <x v="0"/>
    <x v="1"/>
    <n v="12.18"/>
    <n v="73369.88"/>
    <n v="334766.15999999997"/>
    <x v="2"/>
  </r>
  <r>
    <x v="3"/>
    <x v="1"/>
    <x v="3"/>
    <x v="2"/>
    <x v="21"/>
    <x v="0"/>
    <x v="1"/>
    <n v="0"/>
    <n v="0"/>
    <n v="0"/>
    <x v="2"/>
  </r>
  <r>
    <x v="3"/>
    <x v="1"/>
    <x v="3"/>
    <x v="2"/>
    <x v="22"/>
    <x v="0"/>
    <x v="1"/>
    <n v="5.52"/>
    <n v="33251.379999999997"/>
    <n v="151659.09"/>
    <x v="2"/>
  </r>
  <r>
    <x v="3"/>
    <x v="1"/>
    <x v="3"/>
    <x v="2"/>
    <x v="29"/>
    <x v="0"/>
    <x v="1"/>
    <n v="3.16"/>
    <n v="19035.21"/>
    <n v="86950.01"/>
    <x v="2"/>
  </r>
  <r>
    <x v="3"/>
    <x v="1"/>
    <x v="3"/>
    <x v="2"/>
    <x v="24"/>
    <x v="0"/>
    <x v="1"/>
    <n v="2.48"/>
    <n v="14939.02"/>
    <n v="68252.58"/>
    <x v="2"/>
  </r>
  <r>
    <x v="3"/>
    <x v="1"/>
    <x v="3"/>
    <x v="3"/>
    <x v="25"/>
    <x v="0"/>
    <x v="1"/>
    <n v="2.65"/>
    <n v="15963.07"/>
    <n v="72776.22"/>
    <x v="2"/>
  </r>
  <r>
    <x v="3"/>
    <x v="1"/>
    <x v="3"/>
    <x v="3"/>
    <x v="26"/>
    <x v="0"/>
    <x v="1"/>
    <n v="2.79"/>
    <n v="16806.400000000001"/>
    <n v="76714.95"/>
    <x v="2"/>
  </r>
  <r>
    <x v="3"/>
    <x v="1"/>
    <x v="3"/>
    <x v="3"/>
    <x v="27"/>
    <x v="0"/>
    <x v="1"/>
    <n v="9.16"/>
    <n v="55178.01"/>
    <n v="251746.24"/>
    <x v="2"/>
  </r>
  <r>
    <x v="3"/>
    <x v="1"/>
    <x v="3"/>
    <x v="0"/>
    <x v="0"/>
    <x v="1"/>
    <x v="0"/>
    <n v="4.4400000000000004"/>
    <n v="26745.67"/>
    <n v="79718.59"/>
    <x v="2"/>
  </r>
  <r>
    <x v="3"/>
    <x v="1"/>
    <x v="3"/>
    <x v="0"/>
    <x v="1"/>
    <x v="1"/>
    <x v="0"/>
    <n v="12.78"/>
    <n v="76984.160000000003"/>
    <n v="225769.63"/>
    <x v="2"/>
  </r>
  <r>
    <x v="3"/>
    <x v="1"/>
    <x v="3"/>
    <x v="0"/>
    <x v="2"/>
    <x v="1"/>
    <x v="0"/>
    <n v="4.5999999999999996"/>
    <n v="27709.48"/>
    <n v="78493.42"/>
    <x v="2"/>
  </r>
  <r>
    <x v="3"/>
    <x v="1"/>
    <x v="3"/>
    <x v="0"/>
    <x v="3"/>
    <x v="1"/>
    <x v="0"/>
    <n v="13.88"/>
    <n v="83610.34"/>
    <n v="246354.3"/>
    <x v="2"/>
  </r>
  <r>
    <x v="3"/>
    <x v="1"/>
    <x v="3"/>
    <x v="0"/>
    <x v="28"/>
    <x v="1"/>
    <x v="0"/>
    <n v="0"/>
    <n v="0"/>
    <n v="0"/>
    <x v="2"/>
  </r>
  <r>
    <x v="3"/>
    <x v="1"/>
    <x v="3"/>
    <x v="0"/>
    <x v="4"/>
    <x v="1"/>
    <x v="0"/>
    <n v="6.59"/>
    <n v="39696.839999999997"/>
    <n v="115940.68"/>
    <x v="2"/>
  </r>
  <r>
    <x v="3"/>
    <x v="1"/>
    <x v="3"/>
    <x v="0"/>
    <x v="5"/>
    <x v="1"/>
    <x v="0"/>
    <n v="3"/>
    <n v="18071.400000000001"/>
    <n v="54393.93"/>
    <x v="2"/>
  </r>
  <r>
    <x v="3"/>
    <x v="1"/>
    <x v="3"/>
    <x v="0"/>
    <x v="6"/>
    <x v="1"/>
    <x v="0"/>
    <n v="0"/>
    <n v="0"/>
    <n v="0"/>
    <x v="2"/>
  </r>
  <r>
    <x v="3"/>
    <x v="1"/>
    <x v="3"/>
    <x v="0"/>
    <x v="7"/>
    <x v="1"/>
    <x v="0"/>
    <n v="0"/>
    <n v="0"/>
    <n v="0"/>
    <x v="2"/>
  </r>
  <r>
    <x v="3"/>
    <x v="1"/>
    <x v="3"/>
    <x v="0"/>
    <x v="8"/>
    <x v="1"/>
    <x v="0"/>
    <n v="0"/>
    <n v="0"/>
    <n v="0"/>
    <x v="2"/>
  </r>
  <r>
    <x v="3"/>
    <x v="1"/>
    <x v="3"/>
    <x v="1"/>
    <x v="30"/>
    <x v="1"/>
    <x v="0"/>
    <n v="1.32"/>
    <n v="7951.42"/>
    <n v="24934.94"/>
    <x v="2"/>
  </r>
  <r>
    <x v="3"/>
    <x v="1"/>
    <x v="3"/>
    <x v="1"/>
    <x v="9"/>
    <x v="1"/>
    <x v="0"/>
    <n v="0"/>
    <n v="0"/>
    <n v="0"/>
    <x v="2"/>
  </r>
  <r>
    <x v="3"/>
    <x v="1"/>
    <x v="3"/>
    <x v="1"/>
    <x v="31"/>
    <x v="1"/>
    <x v="0"/>
    <n v="2.12"/>
    <n v="12770.46"/>
    <n v="40410.300000000003"/>
    <x v="2"/>
  </r>
  <r>
    <x v="3"/>
    <x v="1"/>
    <x v="3"/>
    <x v="1"/>
    <x v="10"/>
    <x v="1"/>
    <x v="0"/>
    <n v="10.98"/>
    <n v="66141.320000000007"/>
    <n v="205888.72"/>
    <x v="2"/>
  </r>
  <r>
    <x v="3"/>
    <x v="1"/>
    <x v="3"/>
    <x v="1"/>
    <x v="11"/>
    <x v="1"/>
    <x v="0"/>
    <n v="8.1999999999999993"/>
    <n v="49395.16"/>
    <n v="146542.42000000001"/>
    <x v="2"/>
  </r>
  <r>
    <x v="3"/>
    <x v="1"/>
    <x v="3"/>
    <x v="1"/>
    <x v="12"/>
    <x v="1"/>
    <x v="0"/>
    <n v="1.54"/>
    <n v="9276.65"/>
    <n v="28983.279999999999"/>
    <x v="2"/>
  </r>
  <r>
    <x v="3"/>
    <x v="1"/>
    <x v="3"/>
    <x v="1"/>
    <x v="13"/>
    <x v="1"/>
    <x v="0"/>
    <n v="2.19"/>
    <n v="13192.12"/>
    <n v="40934.36"/>
    <x v="2"/>
  </r>
  <r>
    <x v="3"/>
    <x v="1"/>
    <x v="3"/>
    <x v="1"/>
    <x v="14"/>
    <x v="1"/>
    <x v="0"/>
    <n v="9.7899999999999991"/>
    <n v="58973"/>
    <n v="179795.02"/>
    <x v="2"/>
  </r>
  <r>
    <x v="3"/>
    <x v="1"/>
    <x v="3"/>
    <x v="1"/>
    <x v="15"/>
    <x v="1"/>
    <x v="0"/>
    <n v="1.91"/>
    <n v="11505.46"/>
    <n v="36282.1"/>
    <x v="2"/>
  </r>
  <r>
    <x v="3"/>
    <x v="1"/>
    <x v="3"/>
    <x v="1"/>
    <x v="16"/>
    <x v="1"/>
    <x v="0"/>
    <n v="5.34"/>
    <n v="32167.09"/>
    <n v="96596.74"/>
    <x v="2"/>
  </r>
  <r>
    <x v="3"/>
    <x v="1"/>
    <x v="3"/>
    <x v="1"/>
    <x v="17"/>
    <x v="1"/>
    <x v="0"/>
    <n v="6.55"/>
    <n v="39455.89"/>
    <n v="119511.92"/>
    <x v="2"/>
  </r>
  <r>
    <x v="3"/>
    <x v="1"/>
    <x v="3"/>
    <x v="1"/>
    <x v="18"/>
    <x v="1"/>
    <x v="0"/>
    <n v="3.25"/>
    <n v="19577.349999999999"/>
    <n v="62156.24"/>
    <x v="2"/>
  </r>
  <r>
    <x v="3"/>
    <x v="1"/>
    <x v="3"/>
    <x v="1"/>
    <x v="19"/>
    <x v="1"/>
    <x v="0"/>
    <n v="10.77"/>
    <n v="64876.33"/>
    <n v="199478.1"/>
    <x v="2"/>
  </r>
  <r>
    <x v="3"/>
    <x v="1"/>
    <x v="3"/>
    <x v="1"/>
    <x v="20"/>
    <x v="1"/>
    <x v="0"/>
    <n v="13.57"/>
    <n v="81742.97"/>
    <n v="247223.58"/>
    <x v="2"/>
  </r>
  <r>
    <x v="3"/>
    <x v="1"/>
    <x v="3"/>
    <x v="2"/>
    <x v="21"/>
    <x v="1"/>
    <x v="0"/>
    <n v="0"/>
    <n v="0"/>
    <n v="0"/>
    <x v="2"/>
  </r>
  <r>
    <x v="3"/>
    <x v="1"/>
    <x v="3"/>
    <x v="2"/>
    <x v="22"/>
    <x v="1"/>
    <x v="0"/>
    <n v="6.48"/>
    <n v="39034.22"/>
    <n v="108529.78"/>
    <x v="2"/>
  </r>
  <r>
    <x v="3"/>
    <x v="1"/>
    <x v="3"/>
    <x v="2"/>
    <x v="29"/>
    <x v="1"/>
    <x v="0"/>
    <n v="0"/>
    <n v="0"/>
    <n v="0"/>
    <x v="2"/>
  </r>
  <r>
    <x v="3"/>
    <x v="1"/>
    <x v="3"/>
    <x v="2"/>
    <x v="23"/>
    <x v="1"/>
    <x v="0"/>
    <n v="0"/>
    <n v="0"/>
    <n v="0"/>
    <x v="2"/>
  </r>
  <r>
    <x v="3"/>
    <x v="1"/>
    <x v="3"/>
    <x v="2"/>
    <x v="24"/>
    <x v="1"/>
    <x v="0"/>
    <n v="2.58"/>
    <n v="15541.4"/>
    <n v="43963.45"/>
    <x v="2"/>
  </r>
  <r>
    <x v="3"/>
    <x v="1"/>
    <x v="3"/>
    <x v="3"/>
    <x v="25"/>
    <x v="1"/>
    <x v="0"/>
    <n v="7.8"/>
    <n v="46985.64"/>
    <n v="146820.04"/>
    <x v="2"/>
  </r>
  <r>
    <x v="3"/>
    <x v="1"/>
    <x v="3"/>
    <x v="3"/>
    <x v="26"/>
    <x v="1"/>
    <x v="0"/>
    <n v="5.58"/>
    <n v="33612.800000000003"/>
    <n v="105808.49"/>
    <x v="2"/>
  </r>
  <r>
    <x v="3"/>
    <x v="1"/>
    <x v="3"/>
    <x v="3"/>
    <x v="27"/>
    <x v="1"/>
    <x v="0"/>
    <n v="15.41"/>
    <n v="92826.76"/>
    <n v="286722.36"/>
    <x v="2"/>
  </r>
  <r>
    <x v="3"/>
    <x v="1"/>
    <x v="3"/>
    <x v="0"/>
    <x v="0"/>
    <x v="1"/>
    <x v="1"/>
    <n v="11.13"/>
    <n v="67044.89"/>
    <n v="200048.54"/>
    <x v="2"/>
  </r>
  <r>
    <x v="3"/>
    <x v="1"/>
    <x v="3"/>
    <x v="0"/>
    <x v="1"/>
    <x v="1"/>
    <x v="1"/>
    <n v="16.68"/>
    <n v="100476.98"/>
    <n v="294794.73"/>
    <x v="2"/>
  </r>
  <r>
    <x v="3"/>
    <x v="1"/>
    <x v="3"/>
    <x v="0"/>
    <x v="2"/>
    <x v="1"/>
    <x v="1"/>
    <n v="17.14"/>
    <n v="103247.93"/>
    <n v="292566.37"/>
    <x v="2"/>
  </r>
  <r>
    <x v="3"/>
    <x v="1"/>
    <x v="3"/>
    <x v="0"/>
    <x v="3"/>
    <x v="1"/>
    <x v="1"/>
    <n v="33.42"/>
    <n v="201315.4"/>
    <n v="593408.18000000005"/>
    <x v="2"/>
  </r>
  <r>
    <x v="3"/>
    <x v="1"/>
    <x v="3"/>
    <x v="0"/>
    <x v="28"/>
    <x v="1"/>
    <x v="1"/>
    <n v="2.72"/>
    <n v="16384.740000000002"/>
    <n v="48835.6"/>
    <x v="2"/>
  </r>
  <r>
    <x v="3"/>
    <x v="1"/>
    <x v="3"/>
    <x v="0"/>
    <x v="4"/>
    <x v="1"/>
    <x v="1"/>
    <n v="9.93"/>
    <n v="59816.33"/>
    <n v="174644.83"/>
    <x v="2"/>
  </r>
  <r>
    <x v="3"/>
    <x v="1"/>
    <x v="3"/>
    <x v="0"/>
    <x v="5"/>
    <x v="1"/>
    <x v="1"/>
    <n v="24.71"/>
    <n v="148848.1"/>
    <n v="447584.37"/>
    <x v="2"/>
  </r>
  <r>
    <x v="3"/>
    <x v="1"/>
    <x v="3"/>
    <x v="0"/>
    <x v="6"/>
    <x v="1"/>
    <x v="1"/>
    <n v="1.3"/>
    <n v="7830.94"/>
    <n v="23393.119999999999"/>
    <x v="2"/>
  </r>
  <r>
    <x v="3"/>
    <x v="1"/>
    <x v="3"/>
    <x v="0"/>
    <x v="7"/>
    <x v="1"/>
    <x v="1"/>
    <n v="4.4000000000000004"/>
    <n v="26504.720000000001"/>
    <n v="80815.33"/>
    <x v="2"/>
  </r>
  <r>
    <x v="3"/>
    <x v="1"/>
    <x v="3"/>
    <x v="0"/>
    <x v="8"/>
    <x v="1"/>
    <x v="1"/>
    <n v="3.43"/>
    <n v="20661.63"/>
    <n v="60104.28"/>
    <x v="2"/>
  </r>
  <r>
    <x v="3"/>
    <x v="1"/>
    <x v="3"/>
    <x v="1"/>
    <x v="30"/>
    <x v="1"/>
    <x v="1"/>
    <n v="0"/>
    <n v="0"/>
    <n v="0"/>
    <x v="2"/>
  </r>
  <r>
    <x v="3"/>
    <x v="1"/>
    <x v="3"/>
    <x v="1"/>
    <x v="9"/>
    <x v="1"/>
    <x v="1"/>
    <n v="4.5599999999999996"/>
    <n v="27468.53"/>
    <n v="86242.94"/>
    <x v="2"/>
  </r>
  <r>
    <x v="3"/>
    <x v="1"/>
    <x v="3"/>
    <x v="1"/>
    <x v="31"/>
    <x v="1"/>
    <x v="1"/>
    <n v="0"/>
    <n v="0"/>
    <n v="0"/>
    <x v="2"/>
  </r>
  <r>
    <x v="3"/>
    <x v="1"/>
    <x v="3"/>
    <x v="1"/>
    <x v="10"/>
    <x v="1"/>
    <x v="1"/>
    <n v="29.85"/>
    <n v="179810.43"/>
    <n v="559514.37"/>
    <x v="2"/>
  </r>
  <r>
    <x v="3"/>
    <x v="1"/>
    <x v="3"/>
    <x v="1"/>
    <x v="11"/>
    <x v="1"/>
    <x v="1"/>
    <n v="29.46"/>
    <n v="177461.15"/>
    <n v="526356.43999999994"/>
    <x v="2"/>
  </r>
  <r>
    <x v="3"/>
    <x v="1"/>
    <x v="3"/>
    <x v="1"/>
    <x v="12"/>
    <x v="1"/>
    <x v="1"/>
    <n v="3.77"/>
    <n v="22709.73"/>
    <n v="70848.03"/>
    <x v="2"/>
  </r>
  <r>
    <x v="3"/>
    <x v="1"/>
    <x v="3"/>
    <x v="1"/>
    <x v="13"/>
    <x v="1"/>
    <x v="1"/>
    <n v="11.27"/>
    <n v="67888.23"/>
    <n v="210969.39"/>
    <x v="2"/>
  </r>
  <r>
    <x v="3"/>
    <x v="1"/>
    <x v="3"/>
    <x v="1"/>
    <x v="14"/>
    <x v="1"/>
    <x v="1"/>
    <n v="5.1100000000000003"/>
    <n v="30781.62"/>
    <n v="93855.26"/>
    <x v="2"/>
  </r>
  <r>
    <x v="3"/>
    <x v="1"/>
    <x v="3"/>
    <x v="1"/>
    <x v="15"/>
    <x v="1"/>
    <x v="1"/>
    <n v="2.37"/>
    <n v="14276.41"/>
    <n v="44920.69"/>
    <x v="2"/>
  </r>
  <r>
    <x v="3"/>
    <x v="1"/>
    <x v="3"/>
    <x v="1"/>
    <x v="16"/>
    <x v="1"/>
    <x v="1"/>
    <n v="10.68"/>
    <n v="64334.18"/>
    <n v="193193.49"/>
    <x v="2"/>
  </r>
  <r>
    <x v="3"/>
    <x v="1"/>
    <x v="3"/>
    <x v="1"/>
    <x v="17"/>
    <x v="1"/>
    <x v="1"/>
    <n v="3.89"/>
    <n v="23432.58"/>
    <n v="71061.14"/>
    <x v="2"/>
  </r>
  <r>
    <x v="3"/>
    <x v="1"/>
    <x v="3"/>
    <x v="1"/>
    <x v="18"/>
    <x v="1"/>
    <x v="1"/>
    <n v="14.35"/>
    <n v="86441.53"/>
    <n v="274052.51"/>
    <x v="2"/>
  </r>
  <r>
    <x v="3"/>
    <x v="1"/>
    <x v="3"/>
    <x v="1"/>
    <x v="19"/>
    <x v="1"/>
    <x v="1"/>
    <n v="14.08"/>
    <n v="84815.1"/>
    <n v="260735.16"/>
    <x v="2"/>
  </r>
  <r>
    <x v="3"/>
    <x v="1"/>
    <x v="3"/>
    <x v="1"/>
    <x v="20"/>
    <x v="1"/>
    <x v="1"/>
    <n v="25.2"/>
    <n v="151799.76"/>
    <n v="459129.5"/>
    <x v="2"/>
  </r>
  <r>
    <x v="3"/>
    <x v="1"/>
    <x v="3"/>
    <x v="2"/>
    <x v="21"/>
    <x v="1"/>
    <x v="1"/>
    <n v="2.39"/>
    <n v="14396.88"/>
    <n v="39921.15"/>
    <x v="2"/>
  </r>
  <r>
    <x v="3"/>
    <x v="1"/>
    <x v="3"/>
    <x v="2"/>
    <x v="22"/>
    <x v="1"/>
    <x v="1"/>
    <n v="13.05"/>
    <n v="78610.59"/>
    <n v="218450.97"/>
    <x v="2"/>
  </r>
  <r>
    <x v="3"/>
    <x v="1"/>
    <x v="3"/>
    <x v="2"/>
    <x v="29"/>
    <x v="1"/>
    <x v="1"/>
    <n v="3.41"/>
    <n v="20541.16"/>
    <n v="60622.6"/>
    <x v="2"/>
  </r>
  <r>
    <x v="3"/>
    <x v="1"/>
    <x v="3"/>
    <x v="2"/>
    <x v="23"/>
    <x v="1"/>
    <x v="1"/>
    <n v="0"/>
    <n v="0"/>
    <n v="0"/>
    <x v="2"/>
  </r>
  <r>
    <x v="3"/>
    <x v="1"/>
    <x v="3"/>
    <x v="2"/>
    <x v="24"/>
    <x v="1"/>
    <x v="1"/>
    <n v="2.66"/>
    <n v="16023.31"/>
    <n v="45381.62"/>
    <x v="2"/>
  </r>
  <r>
    <x v="3"/>
    <x v="1"/>
    <x v="3"/>
    <x v="3"/>
    <x v="25"/>
    <x v="1"/>
    <x v="1"/>
    <n v="9.39"/>
    <n v="56563.48"/>
    <n v="176815.53"/>
    <x v="2"/>
  </r>
  <r>
    <x v="3"/>
    <x v="1"/>
    <x v="3"/>
    <x v="3"/>
    <x v="26"/>
    <x v="1"/>
    <x v="1"/>
    <n v="23.23"/>
    <n v="139932.87"/>
    <n v="440605.48"/>
    <x v="2"/>
  </r>
  <r>
    <x v="3"/>
    <x v="1"/>
    <x v="3"/>
    <x v="3"/>
    <x v="27"/>
    <x v="1"/>
    <x v="1"/>
    <n v="30.65"/>
    <n v="184629.47"/>
    <n v="570293.93000000005"/>
    <x v="2"/>
  </r>
  <r>
    <x v="3"/>
    <x v="1"/>
    <x v="4"/>
    <x v="0"/>
    <x v="0"/>
    <x v="0"/>
    <x v="0"/>
    <n v="1.52"/>
    <n v="8013.64"/>
    <n v="37362.17"/>
    <x v="2"/>
  </r>
  <r>
    <x v="3"/>
    <x v="1"/>
    <x v="4"/>
    <x v="0"/>
    <x v="1"/>
    <x v="0"/>
    <x v="0"/>
    <n v="2.78"/>
    <n v="14656.52"/>
    <n v="68226.759999999995"/>
    <x v="2"/>
  </r>
  <r>
    <x v="3"/>
    <x v="1"/>
    <x v="4"/>
    <x v="0"/>
    <x v="2"/>
    <x v="0"/>
    <x v="0"/>
    <n v="0"/>
    <n v="0"/>
    <n v="0"/>
    <x v="2"/>
  </r>
  <r>
    <x v="3"/>
    <x v="1"/>
    <x v="4"/>
    <x v="0"/>
    <x v="3"/>
    <x v="0"/>
    <x v="0"/>
    <n v="1.85"/>
    <n v="9753.44"/>
    <n v="45327.11"/>
    <x v="2"/>
  </r>
  <r>
    <x v="3"/>
    <x v="1"/>
    <x v="4"/>
    <x v="0"/>
    <x v="4"/>
    <x v="0"/>
    <x v="0"/>
    <n v="0"/>
    <n v="0"/>
    <n v="0"/>
    <x v="2"/>
  </r>
  <r>
    <x v="3"/>
    <x v="1"/>
    <x v="4"/>
    <x v="0"/>
    <x v="5"/>
    <x v="0"/>
    <x v="0"/>
    <n v="0"/>
    <n v="0"/>
    <n v="0"/>
    <x v="2"/>
  </r>
  <r>
    <x v="3"/>
    <x v="1"/>
    <x v="4"/>
    <x v="0"/>
    <x v="6"/>
    <x v="0"/>
    <x v="0"/>
    <n v="0"/>
    <n v="0"/>
    <n v="0"/>
    <x v="2"/>
  </r>
  <r>
    <x v="3"/>
    <x v="1"/>
    <x v="4"/>
    <x v="0"/>
    <x v="8"/>
    <x v="0"/>
    <x v="0"/>
    <n v="0"/>
    <n v="0"/>
    <n v="0"/>
    <x v="2"/>
  </r>
  <r>
    <x v="3"/>
    <x v="1"/>
    <x v="4"/>
    <x v="1"/>
    <x v="10"/>
    <x v="0"/>
    <x v="0"/>
    <n v="0.93"/>
    <n v="4903.08"/>
    <n v="22902.41"/>
    <x v="2"/>
  </r>
  <r>
    <x v="3"/>
    <x v="1"/>
    <x v="4"/>
    <x v="1"/>
    <x v="11"/>
    <x v="0"/>
    <x v="0"/>
    <n v="0"/>
    <n v="0"/>
    <n v="0"/>
    <x v="2"/>
  </r>
  <r>
    <x v="3"/>
    <x v="1"/>
    <x v="4"/>
    <x v="1"/>
    <x v="13"/>
    <x v="0"/>
    <x v="0"/>
    <n v="0"/>
    <n v="0"/>
    <n v="0"/>
    <x v="2"/>
  </r>
  <r>
    <x v="3"/>
    <x v="1"/>
    <x v="4"/>
    <x v="1"/>
    <x v="14"/>
    <x v="0"/>
    <x v="0"/>
    <n v="0"/>
    <n v="0"/>
    <n v="0"/>
    <x v="2"/>
  </r>
  <r>
    <x v="3"/>
    <x v="1"/>
    <x v="4"/>
    <x v="1"/>
    <x v="16"/>
    <x v="0"/>
    <x v="0"/>
    <n v="0"/>
    <n v="0"/>
    <n v="0"/>
    <x v="2"/>
  </r>
  <r>
    <x v="3"/>
    <x v="1"/>
    <x v="4"/>
    <x v="1"/>
    <x v="17"/>
    <x v="0"/>
    <x v="0"/>
    <n v="0"/>
    <n v="0"/>
    <n v="0"/>
    <x v="2"/>
  </r>
  <r>
    <x v="3"/>
    <x v="1"/>
    <x v="4"/>
    <x v="1"/>
    <x v="18"/>
    <x v="0"/>
    <x v="0"/>
    <n v="0"/>
    <n v="0"/>
    <n v="0"/>
    <x v="2"/>
  </r>
  <r>
    <x v="3"/>
    <x v="1"/>
    <x v="4"/>
    <x v="1"/>
    <x v="19"/>
    <x v="0"/>
    <x v="0"/>
    <n v="0"/>
    <n v="0"/>
    <n v="0"/>
    <x v="2"/>
  </r>
  <r>
    <x v="3"/>
    <x v="1"/>
    <x v="4"/>
    <x v="1"/>
    <x v="20"/>
    <x v="0"/>
    <x v="0"/>
    <n v="1.59"/>
    <n v="8382.69"/>
    <n v="38850.74"/>
    <x v="2"/>
  </r>
  <r>
    <x v="3"/>
    <x v="1"/>
    <x v="4"/>
    <x v="2"/>
    <x v="21"/>
    <x v="0"/>
    <x v="0"/>
    <n v="1.39"/>
    <n v="7328.26"/>
    <n v="34006.32"/>
    <x v="2"/>
  </r>
  <r>
    <x v="3"/>
    <x v="1"/>
    <x v="4"/>
    <x v="2"/>
    <x v="22"/>
    <x v="0"/>
    <x v="0"/>
    <n v="0"/>
    <n v="0"/>
    <n v="0"/>
    <x v="2"/>
  </r>
  <r>
    <x v="3"/>
    <x v="1"/>
    <x v="4"/>
    <x v="2"/>
    <x v="29"/>
    <x v="0"/>
    <x v="0"/>
    <n v="0"/>
    <n v="0"/>
    <n v="0"/>
    <x v="2"/>
  </r>
  <r>
    <x v="3"/>
    <x v="1"/>
    <x v="4"/>
    <x v="2"/>
    <x v="24"/>
    <x v="0"/>
    <x v="0"/>
    <n v="0"/>
    <n v="0"/>
    <n v="0"/>
    <x v="2"/>
  </r>
  <r>
    <x v="3"/>
    <x v="1"/>
    <x v="4"/>
    <x v="3"/>
    <x v="25"/>
    <x v="0"/>
    <x v="0"/>
    <n v="0"/>
    <n v="0"/>
    <n v="0"/>
    <x v="2"/>
  </r>
  <r>
    <x v="3"/>
    <x v="1"/>
    <x v="4"/>
    <x v="3"/>
    <x v="26"/>
    <x v="0"/>
    <x v="0"/>
    <n v="0.67"/>
    <n v="3532.33"/>
    <n v="16445.46"/>
    <x v="2"/>
  </r>
  <r>
    <x v="3"/>
    <x v="1"/>
    <x v="4"/>
    <x v="3"/>
    <x v="27"/>
    <x v="0"/>
    <x v="0"/>
    <n v="1.1000000000000001"/>
    <n v="5799.34"/>
    <n v="26968.55"/>
    <x v="2"/>
  </r>
  <r>
    <x v="3"/>
    <x v="1"/>
    <x v="4"/>
    <x v="0"/>
    <x v="0"/>
    <x v="0"/>
    <x v="1"/>
    <n v="0.9"/>
    <n v="4744.92"/>
    <n v="21977.75"/>
    <x v="2"/>
  </r>
  <r>
    <x v="3"/>
    <x v="1"/>
    <x v="4"/>
    <x v="0"/>
    <x v="1"/>
    <x v="0"/>
    <x v="1"/>
    <n v="4.2699999999999996"/>
    <n v="22512"/>
    <n v="104742.48"/>
    <x v="2"/>
  </r>
  <r>
    <x v="3"/>
    <x v="1"/>
    <x v="4"/>
    <x v="0"/>
    <x v="2"/>
    <x v="0"/>
    <x v="1"/>
    <n v="4.18"/>
    <n v="22037.5"/>
    <n v="102487.76"/>
    <x v="2"/>
  </r>
  <r>
    <x v="3"/>
    <x v="1"/>
    <x v="4"/>
    <x v="0"/>
    <x v="3"/>
    <x v="0"/>
    <x v="1"/>
    <n v="3.14"/>
    <n v="16554.490000000002"/>
    <n v="77056.09"/>
    <x v="2"/>
  </r>
  <r>
    <x v="3"/>
    <x v="1"/>
    <x v="4"/>
    <x v="0"/>
    <x v="4"/>
    <x v="0"/>
    <x v="1"/>
    <n v="1.72"/>
    <n v="9068.06"/>
    <n v="42078.87"/>
    <x v="2"/>
  </r>
  <r>
    <x v="3"/>
    <x v="1"/>
    <x v="4"/>
    <x v="0"/>
    <x v="5"/>
    <x v="0"/>
    <x v="1"/>
    <n v="1.79"/>
    <n v="9437.11"/>
    <n v="43791.82"/>
    <x v="2"/>
  </r>
  <r>
    <x v="3"/>
    <x v="1"/>
    <x v="4"/>
    <x v="0"/>
    <x v="6"/>
    <x v="0"/>
    <x v="1"/>
    <n v="1.95"/>
    <n v="10280.65"/>
    <n v="47778.51"/>
    <x v="2"/>
  </r>
  <r>
    <x v="3"/>
    <x v="1"/>
    <x v="4"/>
    <x v="0"/>
    <x v="8"/>
    <x v="0"/>
    <x v="1"/>
    <n v="2.61"/>
    <n v="13760.26"/>
    <n v="64072.55"/>
    <x v="2"/>
  </r>
  <r>
    <x v="3"/>
    <x v="1"/>
    <x v="4"/>
    <x v="1"/>
    <x v="10"/>
    <x v="0"/>
    <x v="1"/>
    <n v="1.31"/>
    <n v="6906.49"/>
    <n v="32063.38"/>
    <x v="2"/>
  </r>
  <r>
    <x v="3"/>
    <x v="1"/>
    <x v="4"/>
    <x v="1"/>
    <x v="11"/>
    <x v="0"/>
    <x v="1"/>
    <n v="7.69"/>
    <n v="40542.68"/>
    <n v="188500.33"/>
    <x v="2"/>
  </r>
  <r>
    <x v="3"/>
    <x v="1"/>
    <x v="4"/>
    <x v="1"/>
    <x v="13"/>
    <x v="0"/>
    <x v="1"/>
    <n v="3.42"/>
    <n v="18030.68"/>
    <n v="83816.850000000006"/>
    <x v="2"/>
  </r>
  <r>
    <x v="3"/>
    <x v="1"/>
    <x v="4"/>
    <x v="1"/>
    <x v="14"/>
    <x v="0"/>
    <x v="1"/>
    <n v="1.51"/>
    <n v="7960.92"/>
    <n v="36878.980000000003"/>
    <x v="2"/>
  </r>
  <r>
    <x v="3"/>
    <x v="1"/>
    <x v="4"/>
    <x v="1"/>
    <x v="16"/>
    <x v="0"/>
    <x v="1"/>
    <n v="0.84"/>
    <n v="4428.59"/>
    <n v="20502.07"/>
    <x v="2"/>
  </r>
  <r>
    <x v="3"/>
    <x v="1"/>
    <x v="4"/>
    <x v="1"/>
    <x v="17"/>
    <x v="0"/>
    <x v="1"/>
    <n v="2.76"/>
    <n v="14551.08"/>
    <n v="67669.97"/>
    <x v="2"/>
  </r>
  <r>
    <x v="3"/>
    <x v="1"/>
    <x v="4"/>
    <x v="1"/>
    <x v="18"/>
    <x v="0"/>
    <x v="1"/>
    <n v="7.97"/>
    <n v="42018.879999999997"/>
    <n v="195207.26"/>
    <x v="2"/>
  </r>
  <r>
    <x v="3"/>
    <x v="1"/>
    <x v="4"/>
    <x v="1"/>
    <x v="19"/>
    <x v="0"/>
    <x v="1"/>
    <n v="3.09"/>
    <n v="16290.88"/>
    <n v="75691.600000000006"/>
    <x v="2"/>
  </r>
  <r>
    <x v="3"/>
    <x v="1"/>
    <x v="4"/>
    <x v="1"/>
    <x v="20"/>
    <x v="0"/>
    <x v="1"/>
    <n v="5.69"/>
    <n v="29998.42"/>
    <n v="139405.6"/>
    <x v="2"/>
  </r>
  <r>
    <x v="3"/>
    <x v="1"/>
    <x v="4"/>
    <x v="2"/>
    <x v="21"/>
    <x v="0"/>
    <x v="1"/>
    <n v="0"/>
    <n v="0"/>
    <n v="0"/>
    <x v="2"/>
  </r>
  <r>
    <x v="3"/>
    <x v="1"/>
    <x v="4"/>
    <x v="2"/>
    <x v="22"/>
    <x v="0"/>
    <x v="1"/>
    <n v="3.29"/>
    <n v="17345.310000000001"/>
    <n v="80535.13"/>
    <x v="2"/>
  </r>
  <r>
    <x v="3"/>
    <x v="1"/>
    <x v="4"/>
    <x v="2"/>
    <x v="29"/>
    <x v="0"/>
    <x v="1"/>
    <n v="1.42"/>
    <n v="7486.42"/>
    <n v="34676.959999999999"/>
    <x v="2"/>
  </r>
  <r>
    <x v="3"/>
    <x v="1"/>
    <x v="4"/>
    <x v="2"/>
    <x v="24"/>
    <x v="0"/>
    <x v="1"/>
    <n v="0.88"/>
    <n v="4639.47"/>
    <n v="21624.17"/>
    <x v="2"/>
  </r>
  <r>
    <x v="3"/>
    <x v="1"/>
    <x v="4"/>
    <x v="3"/>
    <x v="25"/>
    <x v="0"/>
    <x v="1"/>
    <n v="1.41"/>
    <n v="7433.7"/>
    <n v="34633.19"/>
    <x v="2"/>
  </r>
  <r>
    <x v="3"/>
    <x v="1"/>
    <x v="4"/>
    <x v="3"/>
    <x v="26"/>
    <x v="0"/>
    <x v="1"/>
    <n v="0.79"/>
    <n v="4164.9799999999996"/>
    <n v="19435.54"/>
    <x v="2"/>
  </r>
  <r>
    <x v="3"/>
    <x v="1"/>
    <x v="4"/>
    <x v="3"/>
    <x v="27"/>
    <x v="0"/>
    <x v="1"/>
    <n v="4.4800000000000004"/>
    <n v="23619.14"/>
    <n v="109800.53"/>
    <x v="2"/>
  </r>
  <r>
    <x v="3"/>
    <x v="1"/>
    <x v="4"/>
    <x v="0"/>
    <x v="0"/>
    <x v="1"/>
    <x v="0"/>
    <n v="3.28"/>
    <n v="17292.59"/>
    <n v="52639.5"/>
    <x v="2"/>
  </r>
  <r>
    <x v="3"/>
    <x v="1"/>
    <x v="4"/>
    <x v="0"/>
    <x v="1"/>
    <x v="1"/>
    <x v="0"/>
    <n v="13.82"/>
    <n v="72860.84"/>
    <n v="217729.02"/>
    <x v="2"/>
  </r>
  <r>
    <x v="3"/>
    <x v="1"/>
    <x v="4"/>
    <x v="0"/>
    <x v="2"/>
    <x v="1"/>
    <x v="0"/>
    <n v="4.87"/>
    <n v="25675.27"/>
    <n v="74144.61"/>
    <x v="2"/>
  </r>
  <r>
    <x v="3"/>
    <x v="1"/>
    <x v="4"/>
    <x v="0"/>
    <x v="3"/>
    <x v="1"/>
    <x v="0"/>
    <n v="4.28"/>
    <n v="22564.720000000001"/>
    <n v="67743.13"/>
    <x v="2"/>
  </r>
  <r>
    <x v="3"/>
    <x v="1"/>
    <x v="4"/>
    <x v="0"/>
    <x v="28"/>
    <x v="1"/>
    <x v="0"/>
    <n v="0"/>
    <n v="0"/>
    <n v="0"/>
    <x v="2"/>
  </r>
  <r>
    <x v="3"/>
    <x v="1"/>
    <x v="4"/>
    <x v="0"/>
    <x v="4"/>
    <x v="1"/>
    <x v="0"/>
    <n v="7.54"/>
    <n v="39751.86"/>
    <n v="118218.36"/>
    <x v="2"/>
  </r>
  <r>
    <x v="3"/>
    <x v="1"/>
    <x v="4"/>
    <x v="0"/>
    <x v="5"/>
    <x v="1"/>
    <x v="0"/>
    <n v="3"/>
    <n v="15816.39"/>
    <n v="48512.67"/>
    <x v="2"/>
  </r>
  <r>
    <x v="3"/>
    <x v="1"/>
    <x v="4"/>
    <x v="0"/>
    <x v="6"/>
    <x v="1"/>
    <x v="0"/>
    <n v="0"/>
    <n v="0"/>
    <n v="0"/>
    <x v="2"/>
  </r>
  <r>
    <x v="3"/>
    <x v="1"/>
    <x v="4"/>
    <x v="0"/>
    <x v="7"/>
    <x v="1"/>
    <x v="0"/>
    <n v="0"/>
    <n v="0"/>
    <n v="0"/>
    <x v="2"/>
  </r>
  <r>
    <x v="3"/>
    <x v="1"/>
    <x v="4"/>
    <x v="0"/>
    <x v="8"/>
    <x v="1"/>
    <x v="0"/>
    <n v="0"/>
    <n v="0"/>
    <n v="0"/>
    <x v="2"/>
  </r>
  <r>
    <x v="3"/>
    <x v="1"/>
    <x v="4"/>
    <x v="1"/>
    <x v="30"/>
    <x v="1"/>
    <x v="0"/>
    <n v="0"/>
    <n v="0"/>
    <n v="0"/>
    <x v="2"/>
  </r>
  <r>
    <x v="3"/>
    <x v="1"/>
    <x v="4"/>
    <x v="1"/>
    <x v="9"/>
    <x v="1"/>
    <x v="0"/>
    <n v="0"/>
    <n v="0"/>
    <n v="0"/>
    <x v="2"/>
  </r>
  <r>
    <x v="3"/>
    <x v="1"/>
    <x v="4"/>
    <x v="1"/>
    <x v="31"/>
    <x v="1"/>
    <x v="0"/>
    <n v="2.68"/>
    <n v="14129.31"/>
    <n v="45675.34"/>
    <x v="2"/>
  </r>
  <r>
    <x v="3"/>
    <x v="1"/>
    <x v="4"/>
    <x v="1"/>
    <x v="10"/>
    <x v="1"/>
    <x v="0"/>
    <n v="10.64"/>
    <n v="56095.46"/>
    <n v="177764.16"/>
    <x v="2"/>
  </r>
  <r>
    <x v="3"/>
    <x v="1"/>
    <x v="4"/>
    <x v="1"/>
    <x v="11"/>
    <x v="1"/>
    <x v="0"/>
    <n v="10.71"/>
    <n v="56464.51"/>
    <n v="170600.95999999999"/>
    <x v="2"/>
  </r>
  <r>
    <x v="3"/>
    <x v="1"/>
    <x v="4"/>
    <x v="1"/>
    <x v="12"/>
    <x v="1"/>
    <x v="0"/>
    <n v="2.59"/>
    <n v="13654.82"/>
    <n v="43379.06"/>
    <x v="2"/>
  </r>
  <r>
    <x v="3"/>
    <x v="1"/>
    <x v="4"/>
    <x v="1"/>
    <x v="13"/>
    <x v="1"/>
    <x v="0"/>
    <n v="4.49"/>
    <n v="23671.86"/>
    <n v="74876.45"/>
    <x v="2"/>
  </r>
  <r>
    <x v="3"/>
    <x v="1"/>
    <x v="4"/>
    <x v="1"/>
    <x v="14"/>
    <x v="1"/>
    <x v="0"/>
    <n v="15.27"/>
    <n v="80505.429999999993"/>
    <n v="249902.27"/>
    <x v="2"/>
  </r>
  <r>
    <x v="3"/>
    <x v="1"/>
    <x v="4"/>
    <x v="1"/>
    <x v="15"/>
    <x v="1"/>
    <x v="0"/>
    <n v="6.84"/>
    <n v="36061.370000000003"/>
    <n v="115892.44"/>
    <x v="2"/>
  </r>
  <r>
    <x v="3"/>
    <x v="1"/>
    <x v="4"/>
    <x v="1"/>
    <x v="16"/>
    <x v="1"/>
    <x v="0"/>
    <n v="6.4"/>
    <n v="33741.629999999997"/>
    <n v="103131.63"/>
    <x v="2"/>
  </r>
  <r>
    <x v="3"/>
    <x v="1"/>
    <x v="4"/>
    <x v="1"/>
    <x v="17"/>
    <x v="1"/>
    <x v="0"/>
    <n v="6.22"/>
    <n v="32792.65"/>
    <n v="101168.89"/>
    <x v="2"/>
  </r>
  <r>
    <x v="3"/>
    <x v="1"/>
    <x v="4"/>
    <x v="1"/>
    <x v="18"/>
    <x v="1"/>
    <x v="0"/>
    <n v="8.6"/>
    <n v="45340.32"/>
    <n v="146529.04999999999"/>
    <x v="2"/>
  </r>
  <r>
    <x v="3"/>
    <x v="1"/>
    <x v="4"/>
    <x v="1"/>
    <x v="19"/>
    <x v="1"/>
    <x v="0"/>
    <n v="12.79"/>
    <n v="67430.539999999994"/>
    <n v="211265.43"/>
    <x v="2"/>
  </r>
  <r>
    <x v="3"/>
    <x v="1"/>
    <x v="4"/>
    <x v="1"/>
    <x v="20"/>
    <x v="1"/>
    <x v="0"/>
    <n v="13.85"/>
    <n v="73019"/>
    <n v="225088.66"/>
    <x v="2"/>
  </r>
  <r>
    <x v="3"/>
    <x v="1"/>
    <x v="4"/>
    <x v="2"/>
    <x v="21"/>
    <x v="1"/>
    <x v="0"/>
    <n v="0"/>
    <n v="0"/>
    <n v="0"/>
    <x v="2"/>
  </r>
  <r>
    <x v="3"/>
    <x v="1"/>
    <x v="4"/>
    <x v="2"/>
    <x v="22"/>
    <x v="1"/>
    <x v="0"/>
    <n v="8.73"/>
    <n v="46025.69"/>
    <n v="130205.74"/>
    <x v="2"/>
  </r>
  <r>
    <x v="3"/>
    <x v="1"/>
    <x v="4"/>
    <x v="2"/>
    <x v="29"/>
    <x v="1"/>
    <x v="0"/>
    <n v="0"/>
    <n v="0"/>
    <n v="0"/>
    <x v="2"/>
  </r>
  <r>
    <x v="3"/>
    <x v="1"/>
    <x v="4"/>
    <x v="2"/>
    <x v="23"/>
    <x v="1"/>
    <x v="0"/>
    <n v="0"/>
    <n v="0"/>
    <n v="0"/>
    <x v="2"/>
  </r>
  <r>
    <x v="3"/>
    <x v="1"/>
    <x v="4"/>
    <x v="2"/>
    <x v="24"/>
    <x v="1"/>
    <x v="0"/>
    <n v="2.36"/>
    <n v="12442.23"/>
    <n v="35825.449999999997"/>
    <x v="2"/>
  </r>
  <r>
    <x v="3"/>
    <x v="1"/>
    <x v="4"/>
    <x v="3"/>
    <x v="25"/>
    <x v="1"/>
    <x v="0"/>
    <n v="8.67"/>
    <n v="45709.37"/>
    <n v="145539.72"/>
    <x v="2"/>
  </r>
  <r>
    <x v="3"/>
    <x v="1"/>
    <x v="4"/>
    <x v="3"/>
    <x v="26"/>
    <x v="1"/>
    <x v="0"/>
    <n v="0.16"/>
    <n v="843.54"/>
    <n v="2748.01"/>
    <x v="2"/>
  </r>
  <r>
    <x v="3"/>
    <x v="1"/>
    <x v="4"/>
    <x v="3"/>
    <x v="27"/>
    <x v="1"/>
    <x v="0"/>
    <n v="12.36"/>
    <n v="65163.53"/>
    <n v="205032.74"/>
    <x v="2"/>
  </r>
  <r>
    <x v="3"/>
    <x v="1"/>
    <x v="4"/>
    <x v="0"/>
    <x v="0"/>
    <x v="1"/>
    <x v="1"/>
    <n v="8.09"/>
    <n v="42651.53"/>
    <n v="129574.15"/>
    <x v="2"/>
  </r>
  <r>
    <x v="3"/>
    <x v="1"/>
    <x v="4"/>
    <x v="0"/>
    <x v="1"/>
    <x v="1"/>
    <x v="1"/>
    <n v="21.79"/>
    <n v="114879.71"/>
    <n v="343290.53"/>
    <x v="2"/>
  </r>
  <r>
    <x v="3"/>
    <x v="1"/>
    <x v="4"/>
    <x v="0"/>
    <x v="2"/>
    <x v="1"/>
    <x v="1"/>
    <n v="15.58"/>
    <n v="82139.789999999994"/>
    <n v="237038.07999999999"/>
    <x v="2"/>
  </r>
  <r>
    <x v="3"/>
    <x v="1"/>
    <x v="4"/>
    <x v="0"/>
    <x v="3"/>
    <x v="1"/>
    <x v="1"/>
    <n v="14.52"/>
    <n v="76551.33"/>
    <n v="229795.31"/>
    <x v="2"/>
  </r>
  <r>
    <x v="3"/>
    <x v="1"/>
    <x v="4"/>
    <x v="0"/>
    <x v="28"/>
    <x v="1"/>
    <x v="1"/>
    <n v="2.56"/>
    <n v="13496.65"/>
    <n v="41102.94"/>
    <x v="2"/>
  </r>
  <r>
    <x v="3"/>
    <x v="1"/>
    <x v="4"/>
    <x v="0"/>
    <x v="4"/>
    <x v="1"/>
    <x v="1"/>
    <n v="7.45"/>
    <n v="39277.370000000003"/>
    <n v="116859.53"/>
    <x v="2"/>
  </r>
  <r>
    <x v="3"/>
    <x v="1"/>
    <x v="4"/>
    <x v="0"/>
    <x v="5"/>
    <x v="1"/>
    <x v="1"/>
    <n v="23.69"/>
    <n v="124896.76"/>
    <n v="382557.03"/>
    <x v="2"/>
  </r>
  <r>
    <x v="3"/>
    <x v="1"/>
    <x v="4"/>
    <x v="0"/>
    <x v="6"/>
    <x v="1"/>
    <x v="1"/>
    <n v="4.3099999999999996"/>
    <n v="22722.880000000001"/>
    <n v="69452.41"/>
    <x v="2"/>
  </r>
  <r>
    <x v="3"/>
    <x v="1"/>
    <x v="4"/>
    <x v="0"/>
    <x v="7"/>
    <x v="1"/>
    <x v="1"/>
    <n v="3.87"/>
    <n v="20403.14"/>
    <n v="63426.55"/>
    <x v="2"/>
  </r>
  <r>
    <x v="3"/>
    <x v="1"/>
    <x v="4"/>
    <x v="0"/>
    <x v="8"/>
    <x v="1"/>
    <x v="1"/>
    <n v="3.75"/>
    <n v="19770.490000000002"/>
    <n v="58516.17"/>
    <x v="2"/>
  </r>
  <r>
    <x v="3"/>
    <x v="1"/>
    <x v="4"/>
    <x v="1"/>
    <x v="30"/>
    <x v="1"/>
    <x v="1"/>
    <n v="0"/>
    <n v="0"/>
    <n v="0"/>
    <x v="2"/>
  </r>
  <r>
    <x v="3"/>
    <x v="1"/>
    <x v="4"/>
    <x v="1"/>
    <x v="9"/>
    <x v="1"/>
    <x v="1"/>
    <n v="5.47"/>
    <n v="28838.55"/>
    <n v="92290.09"/>
    <x v="2"/>
  </r>
  <r>
    <x v="3"/>
    <x v="1"/>
    <x v="4"/>
    <x v="1"/>
    <x v="31"/>
    <x v="1"/>
    <x v="1"/>
    <n v="0"/>
    <n v="0"/>
    <n v="0"/>
    <x v="2"/>
  </r>
  <r>
    <x v="3"/>
    <x v="1"/>
    <x v="4"/>
    <x v="1"/>
    <x v="10"/>
    <x v="1"/>
    <x v="1"/>
    <n v="29.32"/>
    <n v="154578.85"/>
    <n v="489935.38"/>
    <x v="2"/>
  </r>
  <r>
    <x v="3"/>
    <x v="1"/>
    <x v="4"/>
    <x v="1"/>
    <x v="11"/>
    <x v="1"/>
    <x v="1"/>
    <n v="40.36"/>
    <n v="212783.17"/>
    <n v="642896.25"/>
    <x v="2"/>
  </r>
  <r>
    <x v="3"/>
    <x v="1"/>
    <x v="4"/>
    <x v="1"/>
    <x v="12"/>
    <x v="1"/>
    <x v="1"/>
    <n v="3.01"/>
    <n v="15869.11"/>
    <n v="50375.69"/>
    <x v="2"/>
  </r>
  <r>
    <x v="3"/>
    <x v="1"/>
    <x v="4"/>
    <x v="1"/>
    <x v="13"/>
    <x v="1"/>
    <x v="1"/>
    <n v="12.76"/>
    <n v="67272.38"/>
    <n v="212884.03"/>
    <x v="2"/>
  </r>
  <r>
    <x v="3"/>
    <x v="1"/>
    <x v="4"/>
    <x v="1"/>
    <x v="14"/>
    <x v="1"/>
    <x v="1"/>
    <n v="7.11"/>
    <n v="37484.839999999997"/>
    <n v="116431.74"/>
    <x v="2"/>
  </r>
  <r>
    <x v="3"/>
    <x v="1"/>
    <x v="4"/>
    <x v="1"/>
    <x v="15"/>
    <x v="1"/>
    <x v="1"/>
    <n v="1.98"/>
    <n v="10438.82"/>
    <n v="33547.81"/>
    <x v="2"/>
  </r>
  <r>
    <x v="3"/>
    <x v="1"/>
    <x v="4"/>
    <x v="1"/>
    <x v="16"/>
    <x v="1"/>
    <x v="1"/>
    <n v="8.64"/>
    <n v="45551.199999999997"/>
    <n v="139367.07"/>
    <x v="2"/>
  </r>
  <r>
    <x v="3"/>
    <x v="1"/>
    <x v="4"/>
    <x v="1"/>
    <x v="17"/>
    <x v="1"/>
    <x v="1"/>
    <n v="5.14"/>
    <n v="27098.75"/>
    <n v="83574.3"/>
    <x v="2"/>
  </r>
  <r>
    <x v="3"/>
    <x v="1"/>
    <x v="4"/>
    <x v="1"/>
    <x v="18"/>
    <x v="1"/>
    <x v="1"/>
    <n v="39.299999999999997"/>
    <n v="207194.71"/>
    <n v="669330.21"/>
    <x v="2"/>
  </r>
  <r>
    <x v="3"/>
    <x v="1"/>
    <x v="4"/>
    <x v="1"/>
    <x v="19"/>
    <x v="1"/>
    <x v="1"/>
    <n v="14.34"/>
    <n v="75602.34"/>
    <n v="236787.43"/>
    <x v="2"/>
  </r>
  <r>
    <x v="3"/>
    <x v="1"/>
    <x v="4"/>
    <x v="1"/>
    <x v="20"/>
    <x v="1"/>
    <x v="1"/>
    <n v="22.78"/>
    <n v="120099.12"/>
    <n v="370084.42"/>
    <x v="2"/>
  </r>
  <r>
    <x v="3"/>
    <x v="1"/>
    <x v="4"/>
    <x v="2"/>
    <x v="21"/>
    <x v="1"/>
    <x v="1"/>
    <n v="1.43"/>
    <n v="7539.15"/>
    <n v="21289.01"/>
    <x v="2"/>
  </r>
  <r>
    <x v="3"/>
    <x v="1"/>
    <x v="4"/>
    <x v="2"/>
    <x v="22"/>
    <x v="1"/>
    <x v="1"/>
    <n v="13.33"/>
    <n v="70277.490000000005"/>
    <n v="198993.68"/>
    <x v="2"/>
  </r>
  <r>
    <x v="3"/>
    <x v="1"/>
    <x v="4"/>
    <x v="2"/>
    <x v="29"/>
    <x v="1"/>
    <x v="1"/>
    <n v="2.08"/>
    <n v="10966.03"/>
    <n v="32928.65"/>
    <x v="2"/>
  </r>
  <r>
    <x v="3"/>
    <x v="1"/>
    <x v="4"/>
    <x v="2"/>
    <x v="23"/>
    <x v="1"/>
    <x v="1"/>
    <n v="2.27"/>
    <n v="11967.74"/>
    <n v="35275.94"/>
    <x v="2"/>
  </r>
  <r>
    <x v="3"/>
    <x v="1"/>
    <x v="4"/>
    <x v="2"/>
    <x v="24"/>
    <x v="1"/>
    <x v="1"/>
    <n v="3.54"/>
    <n v="18663.34"/>
    <n v="53738.17"/>
    <x v="2"/>
  </r>
  <r>
    <x v="3"/>
    <x v="1"/>
    <x v="4"/>
    <x v="3"/>
    <x v="25"/>
    <x v="1"/>
    <x v="1"/>
    <n v="8.17"/>
    <n v="43073.3"/>
    <n v="137061.68"/>
    <x v="2"/>
  </r>
  <r>
    <x v="3"/>
    <x v="1"/>
    <x v="4"/>
    <x v="3"/>
    <x v="26"/>
    <x v="1"/>
    <x v="1"/>
    <n v="0.44"/>
    <n v="2319.7399999999998"/>
    <n v="7398.49"/>
    <x v="2"/>
  </r>
  <r>
    <x v="3"/>
    <x v="1"/>
    <x v="4"/>
    <x v="3"/>
    <x v="27"/>
    <x v="1"/>
    <x v="1"/>
    <n v="28.21"/>
    <n v="148726.79"/>
    <n v="467957.08"/>
    <x v="2"/>
  </r>
  <r>
    <x v="3"/>
    <x v="1"/>
    <x v="5"/>
    <x v="0"/>
    <x v="0"/>
    <x v="0"/>
    <x v="0"/>
    <n v="2.0499999999999998"/>
    <n v="11473.67"/>
    <n v="46992.82"/>
    <x v="2"/>
  </r>
  <r>
    <x v="3"/>
    <x v="1"/>
    <x v="5"/>
    <x v="0"/>
    <x v="1"/>
    <x v="0"/>
    <x v="0"/>
    <n v="3.67"/>
    <n v="20540.66"/>
    <n v="84285.56"/>
    <x v="2"/>
  </r>
  <r>
    <x v="3"/>
    <x v="1"/>
    <x v="5"/>
    <x v="0"/>
    <x v="2"/>
    <x v="0"/>
    <x v="0"/>
    <n v="0"/>
    <n v="0"/>
    <n v="0"/>
    <x v="2"/>
  </r>
  <r>
    <x v="3"/>
    <x v="1"/>
    <x v="5"/>
    <x v="0"/>
    <x v="3"/>
    <x v="0"/>
    <x v="0"/>
    <n v="1.55"/>
    <n v="8675.2099999999991"/>
    <n v="35557.74"/>
    <x v="2"/>
  </r>
  <r>
    <x v="3"/>
    <x v="1"/>
    <x v="5"/>
    <x v="0"/>
    <x v="4"/>
    <x v="0"/>
    <x v="0"/>
    <n v="0"/>
    <n v="0"/>
    <n v="0"/>
    <x v="2"/>
  </r>
  <r>
    <x v="3"/>
    <x v="1"/>
    <x v="5"/>
    <x v="0"/>
    <x v="5"/>
    <x v="0"/>
    <x v="0"/>
    <n v="0"/>
    <n v="0"/>
    <n v="0"/>
    <x v="2"/>
  </r>
  <r>
    <x v="3"/>
    <x v="1"/>
    <x v="5"/>
    <x v="0"/>
    <x v="6"/>
    <x v="0"/>
    <x v="0"/>
    <n v="0"/>
    <n v="0"/>
    <n v="0"/>
    <x v="2"/>
  </r>
  <r>
    <x v="3"/>
    <x v="1"/>
    <x v="5"/>
    <x v="0"/>
    <x v="8"/>
    <x v="0"/>
    <x v="0"/>
    <n v="0"/>
    <n v="0"/>
    <n v="0"/>
    <x v="2"/>
  </r>
  <r>
    <x v="3"/>
    <x v="1"/>
    <x v="5"/>
    <x v="1"/>
    <x v="10"/>
    <x v="0"/>
    <x v="0"/>
    <n v="1.43"/>
    <n v="8003.58"/>
    <n v="32938.019999999997"/>
    <x v="2"/>
  </r>
  <r>
    <x v="3"/>
    <x v="1"/>
    <x v="5"/>
    <x v="1"/>
    <x v="11"/>
    <x v="0"/>
    <x v="0"/>
    <n v="0"/>
    <n v="0"/>
    <n v="0"/>
    <x v="2"/>
  </r>
  <r>
    <x v="3"/>
    <x v="1"/>
    <x v="5"/>
    <x v="1"/>
    <x v="13"/>
    <x v="0"/>
    <x v="0"/>
    <n v="0"/>
    <n v="0"/>
    <n v="0"/>
    <x v="2"/>
  </r>
  <r>
    <x v="3"/>
    <x v="1"/>
    <x v="5"/>
    <x v="1"/>
    <x v="14"/>
    <x v="0"/>
    <x v="0"/>
    <n v="0"/>
    <n v="0"/>
    <n v="0"/>
    <x v="2"/>
  </r>
  <r>
    <x v="3"/>
    <x v="1"/>
    <x v="5"/>
    <x v="1"/>
    <x v="16"/>
    <x v="0"/>
    <x v="0"/>
    <n v="0"/>
    <n v="0"/>
    <n v="0"/>
    <x v="2"/>
  </r>
  <r>
    <x v="3"/>
    <x v="1"/>
    <x v="5"/>
    <x v="1"/>
    <x v="17"/>
    <x v="0"/>
    <x v="0"/>
    <n v="0"/>
    <n v="0"/>
    <n v="0"/>
    <x v="2"/>
  </r>
  <r>
    <x v="3"/>
    <x v="1"/>
    <x v="5"/>
    <x v="1"/>
    <x v="18"/>
    <x v="0"/>
    <x v="0"/>
    <n v="0"/>
    <n v="0"/>
    <n v="0"/>
    <x v="2"/>
  </r>
  <r>
    <x v="3"/>
    <x v="1"/>
    <x v="5"/>
    <x v="1"/>
    <x v="19"/>
    <x v="0"/>
    <x v="0"/>
    <n v="0"/>
    <n v="0"/>
    <n v="0"/>
    <x v="2"/>
  </r>
  <r>
    <x v="3"/>
    <x v="1"/>
    <x v="5"/>
    <x v="1"/>
    <x v="20"/>
    <x v="0"/>
    <x v="0"/>
    <n v="1.52"/>
    <n v="8507.2999999999993"/>
    <n v="34958.9"/>
    <x v="2"/>
  </r>
  <r>
    <x v="3"/>
    <x v="1"/>
    <x v="5"/>
    <x v="2"/>
    <x v="21"/>
    <x v="0"/>
    <x v="0"/>
    <n v="1.69"/>
    <n v="9458.7800000000007"/>
    <n v="38880.93"/>
    <x v="2"/>
  </r>
  <r>
    <x v="3"/>
    <x v="1"/>
    <x v="5"/>
    <x v="2"/>
    <x v="22"/>
    <x v="0"/>
    <x v="0"/>
    <n v="0"/>
    <n v="0"/>
    <n v="0"/>
    <x v="2"/>
  </r>
  <r>
    <x v="3"/>
    <x v="1"/>
    <x v="5"/>
    <x v="2"/>
    <x v="29"/>
    <x v="0"/>
    <x v="0"/>
    <n v="0"/>
    <n v="0"/>
    <n v="0"/>
    <x v="2"/>
  </r>
  <r>
    <x v="3"/>
    <x v="1"/>
    <x v="5"/>
    <x v="2"/>
    <x v="24"/>
    <x v="0"/>
    <x v="0"/>
    <n v="0"/>
    <n v="0"/>
    <n v="0"/>
    <x v="2"/>
  </r>
  <r>
    <x v="3"/>
    <x v="1"/>
    <x v="5"/>
    <x v="3"/>
    <x v="25"/>
    <x v="0"/>
    <x v="0"/>
    <n v="0"/>
    <n v="0"/>
    <n v="0"/>
    <x v="2"/>
  </r>
  <r>
    <x v="3"/>
    <x v="1"/>
    <x v="5"/>
    <x v="3"/>
    <x v="26"/>
    <x v="0"/>
    <x v="0"/>
    <n v="1.69"/>
    <n v="9458.7800000000007"/>
    <n v="38739.1"/>
    <x v="2"/>
  </r>
  <r>
    <x v="3"/>
    <x v="1"/>
    <x v="5"/>
    <x v="3"/>
    <x v="27"/>
    <x v="0"/>
    <x v="0"/>
    <n v="1.34"/>
    <n v="7499.86"/>
    <n v="30772.71"/>
    <x v="2"/>
  </r>
  <r>
    <x v="3"/>
    <x v="1"/>
    <x v="5"/>
    <x v="0"/>
    <x v="0"/>
    <x v="0"/>
    <x v="1"/>
    <n v="1.69"/>
    <n v="9458.7800000000007"/>
    <n v="38820.160000000003"/>
    <x v="2"/>
  </r>
  <r>
    <x v="3"/>
    <x v="1"/>
    <x v="5"/>
    <x v="0"/>
    <x v="1"/>
    <x v="0"/>
    <x v="1"/>
    <n v="4.24"/>
    <n v="23730.9"/>
    <n v="97252.57"/>
    <x v="2"/>
  </r>
  <r>
    <x v="3"/>
    <x v="1"/>
    <x v="5"/>
    <x v="0"/>
    <x v="2"/>
    <x v="0"/>
    <x v="1"/>
    <n v="4.4800000000000004"/>
    <n v="25074.16"/>
    <n v="102769.51"/>
    <x v="2"/>
  </r>
  <r>
    <x v="3"/>
    <x v="1"/>
    <x v="5"/>
    <x v="0"/>
    <x v="3"/>
    <x v="0"/>
    <x v="1"/>
    <n v="5.65"/>
    <n v="31622.54"/>
    <n v="129681.17"/>
    <x v="2"/>
  </r>
  <r>
    <x v="3"/>
    <x v="1"/>
    <x v="5"/>
    <x v="0"/>
    <x v="4"/>
    <x v="0"/>
    <x v="1"/>
    <n v="0.43"/>
    <n v="2406.67"/>
    <n v="9847.85"/>
    <x v="2"/>
  </r>
  <r>
    <x v="3"/>
    <x v="1"/>
    <x v="5"/>
    <x v="0"/>
    <x v="5"/>
    <x v="0"/>
    <x v="1"/>
    <n v="3.3"/>
    <n v="18469.8"/>
    <n v="75819.97"/>
    <x v="2"/>
  </r>
  <r>
    <x v="3"/>
    <x v="1"/>
    <x v="5"/>
    <x v="0"/>
    <x v="6"/>
    <x v="0"/>
    <x v="1"/>
    <n v="1.4"/>
    <n v="7835.67"/>
    <n v="32224.05"/>
    <x v="2"/>
  </r>
  <r>
    <x v="3"/>
    <x v="1"/>
    <x v="5"/>
    <x v="0"/>
    <x v="8"/>
    <x v="0"/>
    <x v="1"/>
    <n v="2.04"/>
    <n v="11417.7"/>
    <n v="46803.03"/>
    <x v="2"/>
  </r>
  <r>
    <x v="3"/>
    <x v="1"/>
    <x v="5"/>
    <x v="1"/>
    <x v="10"/>
    <x v="0"/>
    <x v="1"/>
    <n v="3.14"/>
    <n v="17574.3"/>
    <n v="72051.91"/>
    <x v="2"/>
  </r>
  <r>
    <x v="3"/>
    <x v="1"/>
    <x v="5"/>
    <x v="1"/>
    <x v="11"/>
    <x v="0"/>
    <x v="1"/>
    <n v="8.7899999999999991"/>
    <n v="49196.84"/>
    <n v="201931.88"/>
    <x v="2"/>
  </r>
  <r>
    <x v="3"/>
    <x v="1"/>
    <x v="5"/>
    <x v="1"/>
    <x v="13"/>
    <x v="0"/>
    <x v="1"/>
    <n v="2.14"/>
    <n v="11977.39"/>
    <n v="49153.67"/>
    <x v="2"/>
  </r>
  <r>
    <x v="3"/>
    <x v="1"/>
    <x v="5"/>
    <x v="1"/>
    <x v="14"/>
    <x v="0"/>
    <x v="1"/>
    <n v="1.24"/>
    <n v="6940.17"/>
    <n v="28421.37"/>
    <x v="2"/>
  </r>
  <r>
    <x v="3"/>
    <x v="1"/>
    <x v="5"/>
    <x v="1"/>
    <x v="16"/>
    <x v="0"/>
    <x v="1"/>
    <n v="0"/>
    <n v="0"/>
    <n v="0"/>
    <x v="2"/>
  </r>
  <r>
    <x v="3"/>
    <x v="1"/>
    <x v="5"/>
    <x v="1"/>
    <x v="17"/>
    <x v="0"/>
    <x v="1"/>
    <n v="1.77"/>
    <n v="9906.5300000000007"/>
    <n v="40746.53"/>
    <x v="2"/>
  </r>
  <r>
    <x v="3"/>
    <x v="1"/>
    <x v="5"/>
    <x v="1"/>
    <x v="18"/>
    <x v="0"/>
    <x v="1"/>
    <n v="10.4"/>
    <n v="58207.86"/>
    <n v="238805.28"/>
    <x v="2"/>
  </r>
  <r>
    <x v="3"/>
    <x v="1"/>
    <x v="5"/>
    <x v="1"/>
    <x v="19"/>
    <x v="0"/>
    <x v="1"/>
    <n v="4.26"/>
    <n v="23842.84"/>
    <n v="97927.4"/>
    <x v="2"/>
  </r>
  <r>
    <x v="3"/>
    <x v="1"/>
    <x v="5"/>
    <x v="1"/>
    <x v="20"/>
    <x v="0"/>
    <x v="1"/>
    <n v="9.0500000000000007"/>
    <n v="50652.04"/>
    <n v="207811.23"/>
    <x v="2"/>
  </r>
  <r>
    <x v="3"/>
    <x v="1"/>
    <x v="5"/>
    <x v="2"/>
    <x v="21"/>
    <x v="0"/>
    <x v="1"/>
    <n v="0"/>
    <n v="0"/>
    <n v="0"/>
    <x v="2"/>
  </r>
  <r>
    <x v="3"/>
    <x v="1"/>
    <x v="5"/>
    <x v="2"/>
    <x v="22"/>
    <x v="0"/>
    <x v="1"/>
    <n v="2.79"/>
    <n v="15615.38"/>
    <n v="63994.559999999998"/>
    <x v="2"/>
  </r>
  <r>
    <x v="3"/>
    <x v="1"/>
    <x v="5"/>
    <x v="2"/>
    <x v="29"/>
    <x v="0"/>
    <x v="1"/>
    <n v="1.57"/>
    <n v="8787.15"/>
    <n v="36011.699999999997"/>
    <x v="2"/>
  </r>
  <r>
    <x v="3"/>
    <x v="1"/>
    <x v="5"/>
    <x v="2"/>
    <x v="24"/>
    <x v="0"/>
    <x v="1"/>
    <n v="1.98"/>
    <n v="11081.88"/>
    <n v="45527.19"/>
    <x v="2"/>
  </r>
  <r>
    <x v="3"/>
    <x v="1"/>
    <x v="5"/>
    <x v="3"/>
    <x v="25"/>
    <x v="0"/>
    <x v="1"/>
    <n v="1.38"/>
    <n v="7723.74"/>
    <n v="31794.47"/>
    <x v="2"/>
  </r>
  <r>
    <x v="3"/>
    <x v="1"/>
    <x v="5"/>
    <x v="3"/>
    <x v="26"/>
    <x v="0"/>
    <x v="1"/>
    <n v="1.42"/>
    <n v="7947.61"/>
    <n v="32622.400000000001"/>
    <x v="2"/>
  </r>
  <r>
    <x v="3"/>
    <x v="1"/>
    <x v="5"/>
    <x v="3"/>
    <x v="27"/>
    <x v="0"/>
    <x v="1"/>
    <n v="5.0999999999999996"/>
    <n v="28544.240000000002"/>
    <n v="117229.37"/>
    <x v="2"/>
  </r>
  <r>
    <x v="3"/>
    <x v="1"/>
    <x v="5"/>
    <x v="0"/>
    <x v="0"/>
    <x v="1"/>
    <x v="0"/>
    <n v="3.79"/>
    <n v="21212.29"/>
    <n v="56914.46"/>
    <x v="2"/>
  </r>
  <r>
    <x v="3"/>
    <x v="1"/>
    <x v="5"/>
    <x v="0"/>
    <x v="1"/>
    <x v="1"/>
    <x v="0"/>
    <n v="10.76"/>
    <n v="60222.75"/>
    <n v="158950.07"/>
    <x v="2"/>
  </r>
  <r>
    <x v="3"/>
    <x v="1"/>
    <x v="5"/>
    <x v="0"/>
    <x v="2"/>
    <x v="1"/>
    <x v="0"/>
    <n v="4.37"/>
    <n v="24458.5"/>
    <n v="62380.59"/>
    <x v="2"/>
  </r>
  <r>
    <x v="3"/>
    <x v="1"/>
    <x v="5"/>
    <x v="0"/>
    <x v="3"/>
    <x v="1"/>
    <x v="0"/>
    <n v="4.32"/>
    <n v="24178.65"/>
    <n v="64091.98"/>
    <x v="2"/>
  </r>
  <r>
    <x v="3"/>
    <x v="1"/>
    <x v="5"/>
    <x v="0"/>
    <x v="28"/>
    <x v="1"/>
    <x v="0"/>
    <n v="0"/>
    <n v="0"/>
    <n v="0"/>
    <x v="2"/>
  </r>
  <r>
    <x v="3"/>
    <x v="1"/>
    <x v="5"/>
    <x v="0"/>
    <x v="4"/>
    <x v="1"/>
    <x v="0"/>
    <n v="3.88"/>
    <n v="21716.01"/>
    <n v="57058.17"/>
    <x v="2"/>
  </r>
  <r>
    <x v="3"/>
    <x v="1"/>
    <x v="5"/>
    <x v="0"/>
    <x v="5"/>
    <x v="1"/>
    <x v="0"/>
    <n v="1.79"/>
    <n v="10018.469999999999"/>
    <n v="27135.59"/>
    <x v="2"/>
  </r>
  <r>
    <x v="3"/>
    <x v="1"/>
    <x v="5"/>
    <x v="0"/>
    <x v="6"/>
    <x v="1"/>
    <x v="0"/>
    <n v="0"/>
    <n v="0"/>
    <n v="0"/>
    <x v="2"/>
  </r>
  <r>
    <x v="3"/>
    <x v="1"/>
    <x v="5"/>
    <x v="0"/>
    <x v="7"/>
    <x v="1"/>
    <x v="0"/>
    <n v="0"/>
    <n v="0"/>
    <n v="0"/>
    <x v="2"/>
  </r>
  <r>
    <x v="3"/>
    <x v="1"/>
    <x v="5"/>
    <x v="0"/>
    <x v="8"/>
    <x v="1"/>
    <x v="0"/>
    <n v="0"/>
    <n v="0"/>
    <n v="0"/>
    <x v="2"/>
  </r>
  <r>
    <x v="3"/>
    <x v="1"/>
    <x v="5"/>
    <x v="1"/>
    <x v="30"/>
    <x v="1"/>
    <x v="0"/>
    <n v="1.61"/>
    <n v="9011.0300000000007"/>
    <n v="25416.26"/>
    <x v="2"/>
  </r>
  <r>
    <x v="3"/>
    <x v="1"/>
    <x v="5"/>
    <x v="1"/>
    <x v="9"/>
    <x v="1"/>
    <x v="0"/>
    <n v="0"/>
    <n v="0"/>
    <n v="0"/>
    <x v="2"/>
  </r>
  <r>
    <x v="3"/>
    <x v="1"/>
    <x v="5"/>
    <x v="1"/>
    <x v="31"/>
    <x v="1"/>
    <x v="0"/>
    <n v="3.14"/>
    <n v="17574.3"/>
    <n v="50051.35"/>
    <x v="2"/>
  </r>
  <r>
    <x v="3"/>
    <x v="1"/>
    <x v="5"/>
    <x v="1"/>
    <x v="10"/>
    <x v="1"/>
    <x v="0"/>
    <n v="6.16"/>
    <n v="34476.97"/>
    <n v="96520.14"/>
    <x v="2"/>
  </r>
  <r>
    <x v="3"/>
    <x v="1"/>
    <x v="5"/>
    <x v="1"/>
    <x v="11"/>
    <x v="1"/>
    <x v="0"/>
    <n v="3.13"/>
    <n v="17518.330000000002"/>
    <n v="46735.94"/>
    <x v="2"/>
  </r>
  <r>
    <x v="3"/>
    <x v="1"/>
    <x v="5"/>
    <x v="1"/>
    <x v="12"/>
    <x v="1"/>
    <x v="0"/>
    <n v="0.92"/>
    <n v="5149.16"/>
    <n v="14376.51"/>
    <x v="2"/>
  </r>
  <r>
    <x v="3"/>
    <x v="1"/>
    <x v="5"/>
    <x v="1"/>
    <x v="13"/>
    <x v="1"/>
    <x v="0"/>
    <n v="5.45"/>
    <n v="30503.16"/>
    <n v="85292.4"/>
    <x v="2"/>
  </r>
  <r>
    <x v="3"/>
    <x v="1"/>
    <x v="5"/>
    <x v="1"/>
    <x v="14"/>
    <x v="1"/>
    <x v="0"/>
    <n v="10.84"/>
    <n v="60670.5"/>
    <n v="166319.71"/>
    <x v="2"/>
  </r>
  <r>
    <x v="3"/>
    <x v="1"/>
    <x v="5"/>
    <x v="1"/>
    <x v="15"/>
    <x v="1"/>
    <x v="0"/>
    <n v="1.48"/>
    <n v="8283.43"/>
    <n v="23543.89"/>
    <x v="2"/>
  </r>
  <r>
    <x v="3"/>
    <x v="1"/>
    <x v="5"/>
    <x v="1"/>
    <x v="16"/>
    <x v="1"/>
    <x v="0"/>
    <n v="7.28"/>
    <n v="40745.5"/>
    <n v="110047.02"/>
    <x v="2"/>
  </r>
  <r>
    <x v="3"/>
    <x v="1"/>
    <x v="5"/>
    <x v="1"/>
    <x v="17"/>
    <x v="1"/>
    <x v="0"/>
    <n v="4.17"/>
    <n v="23339.11"/>
    <n v="63594.69"/>
    <x v="2"/>
  </r>
  <r>
    <x v="3"/>
    <x v="1"/>
    <x v="5"/>
    <x v="1"/>
    <x v="18"/>
    <x v="1"/>
    <x v="0"/>
    <n v="6.16"/>
    <n v="34476.97"/>
    <n v="98236.61"/>
    <x v="2"/>
  </r>
  <r>
    <x v="3"/>
    <x v="1"/>
    <x v="5"/>
    <x v="1"/>
    <x v="19"/>
    <x v="1"/>
    <x v="0"/>
    <n v="8.64"/>
    <n v="48357.3"/>
    <n v="133721.29999999999"/>
    <x v="2"/>
  </r>
  <r>
    <x v="3"/>
    <x v="1"/>
    <x v="5"/>
    <x v="1"/>
    <x v="20"/>
    <x v="1"/>
    <x v="0"/>
    <n v="9.0399999999999991"/>
    <n v="50596.07"/>
    <n v="137670.32999999999"/>
    <x v="2"/>
  </r>
  <r>
    <x v="3"/>
    <x v="1"/>
    <x v="5"/>
    <x v="2"/>
    <x v="21"/>
    <x v="1"/>
    <x v="0"/>
    <n v="0"/>
    <n v="0"/>
    <n v="0"/>
    <x v="2"/>
  </r>
  <r>
    <x v="3"/>
    <x v="1"/>
    <x v="5"/>
    <x v="2"/>
    <x v="22"/>
    <x v="1"/>
    <x v="0"/>
    <n v="5.03"/>
    <n v="28152.46"/>
    <n v="70283.509999999995"/>
    <x v="2"/>
  </r>
  <r>
    <x v="3"/>
    <x v="1"/>
    <x v="5"/>
    <x v="2"/>
    <x v="29"/>
    <x v="1"/>
    <x v="0"/>
    <n v="0"/>
    <n v="0"/>
    <n v="0"/>
    <x v="2"/>
  </r>
  <r>
    <x v="3"/>
    <x v="1"/>
    <x v="5"/>
    <x v="2"/>
    <x v="23"/>
    <x v="1"/>
    <x v="0"/>
    <n v="0"/>
    <n v="0"/>
    <n v="0"/>
    <x v="2"/>
  </r>
  <r>
    <x v="3"/>
    <x v="1"/>
    <x v="5"/>
    <x v="2"/>
    <x v="24"/>
    <x v="1"/>
    <x v="0"/>
    <n v="1.01"/>
    <n v="5652.88"/>
    <n v="14318.62"/>
    <x v="2"/>
  </r>
  <r>
    <x v="3"/>
    <x v="1"/>
    <x v="5"/>
    <x v="3"/>
    <x v="25"/>
    <x v="1"/>
    <x v="0"/>
    <n v="4.3099999999999996"/>
    <n v="24122.68"/>
    <n v="67865.740000000005"/>
    <x v="2"/>
  </r>
  <r>
    <x v="3"/>
    <x v="1"/>
    <x v="5"/>
    <x v="3"/>
    <x v="26"/>
    <x v="1"/>
    <x v="0"/>
    <n v="4.63"/>
    <n v="25913.69"/>
    <n v="73334.509999999995"/>
    <x v="2"/>
  </r>
  <r>
    <x v="3"/>
    <x v="1"/>
    <x v="5"/>
    <x v="3"/>
    <x v="27"/>
    <x v="1"/>
    <x v="0"/>
    <n v="10.38"/>
    <n v="58095.93"/>
    <n v="161346.99"/>
    <x v="2"/>
  </r>
  <r>
    <x v="3"/>
    <x v="1"/>
    <x v="5"/>
    <x v="0"/>
    <x v="0"/>
    <x v="1"/>
    <x v="1"/>
    <n v="6.03"/>
    <n v="33749.370000000003"/>
    <n v="90545.73"/>
    <x v="2"/>
  </r>
  <r>
    <x v="3"/>
    <x v="1"/>
    <x v="5"/>
    <x v="0"/>
    <x v="1"/>
    <x v="1"/>
    <x v="1"/>
    <n v="11.91"/>
    <n v="66659.199999999997"/>
    <n v="175808.41"/>
    <x v="2"/>
  </r>
  <r>
    <x v="3"/>
    <x v="1"/>
    <x v="5"/>
    <x v="0"/>
    <x v="2"/>
    <x v="1"/>
    <x v="1"/>
    <n v="9.43"/>
    <n v="52778.86"/>
    <n v="134546.38"/>
    <x v="2"/>
  </r>
  <r>
    <x v="3"/>
    <x v="1"/>
    <x v="5"/>
    <x v="0"/>
    <x v="3"/>
    <x v="1"/>
    <x v="1"/>
    <n v="9.81"/>
    <n v="54905.69"/>
    <n v="145554.67000000001"/>
    <x v="2"/>
  </r>
  <r>
    <x v="3"/>
    <x v="1"/>
    <x v="5"/>
    <x v="0"/>
    <x v="28"/>
    <x v="1"/>
    <x v="1"/>
    <n v="2.65"/>
    <n v="14831.81"/>
    <n v="39842.81"/>
    <x v="2"/>
  </r>
  <r>
    <x v="3"/>
    <x v="1"/>
    <x v="5"/>
    <x v="0"/>
    <x v="4"/>
    <x v="1"/>
    <x v="1"/>
    <n v="5.44"/>
    <n v="30447.19"/>
    <n v="79881.440000000002"/>
    <x v="2"/>
  </r>
  <r>
    <x v="3"/>
    <x v="1"/>
    <x v="5"/>
    <x v="0"/>
    <x v="5"/>
    <x v="1"/>
    <x v="1"/>
    <n v="14.74"/>
    <n v="82498.45"/>
    <n v="223114.81"/>
    <x v="2"/>
  </r>
  <r>
    <x v="3"/>
    <x v="1"/>
    <x v="5"/>
    <x v="0"/>
    <x v="6"/>
    <x v="1"/>
    <x v="1"/>
    <n v="0.96"/>
    <n v="5373.03"/>
    <n v="14450.54"/>
    <x v="2"/>
  </r>
  <r>
    <x v="3"/>
    <x v="1"/>
    <x v="5"/>
    <x v="0"/>
    <x v="7"/>
    <x v="1"/>
    <x v="1"/>
    <n v="3.04"/>
    <n v="17014.61"/>
    <n v="46598.57"/>
    <x v="2"/>
  </r>
  <r>
    <x v="3"/>
    <x v="1"/>
    <x v="5"/>
    <x v="0"/>
    <x v="8"/>
    <x v="1"/>
    <x v="1"/>
    <n v="1.57"/>
    <n v="8787.15"/>
    <n v="22999.99"/>
    <x v="2"/>
  </r>
  <r>
    <x v="3"/>
    <x v="1"/>
    <x v="5"/>
    <x v="1"/>
    <x v="30"/>
    <x v="1"/>
    <x v="1"/>
    <n v="0"/>
    <n v="0"/>
    <n v="0"/>
    <x v="2"/>
  </r>
  <r>
    <x v="3"/>
    <x v="1"/>
    <x v="5"/>
    <x v="1"/>
    <x v="9"/>
    <x v="1"/>
    <x v="1"/>
    <n v="3.6"/>
    <n v="20148.88"/>
    <n v="56916.79"/>
    <x v="2"/>
  </r>
  <r>
    <x v="3"/>
    <x v="1"/>
    <x v="5"/>
    <x v="1"/>
    <x v="31"/>
    <x v="1"/>
    <x v="1"/>
    <n v="0"/>
    <n v="0"/>
    <n v="0"/>
    <x v="2"/>
  </r>
  <r>
    <x v="3"/>
    <x v="1"/>
    <x v="5"/>
    <x v="1"/>
    <x v="10"/>
    <x v="1"/>
    <x v="1"/>
    <n v="24.4"/>
    <n v="136564.6"/>
    <n v="382058.89"/>
    <x v="2"/>
  </r>
  <r>
    <x v="3"/>
    <x v="1"/>
    <x v="5"/>
    <x v="1"/>
    <x v="11"/>
    <x v="1"/>
    <x v="1"/>
    <n v="9.94"/>
    <n v="55633.29"/>
    <n v="148335.81"/>
    <x v="2"/>
  </r>
  <r>
    <x v="3"/>
    <x v="1"/>
    <x v="5"/>
    <x v="1"/>
    <x v="12"/>
    <x v="1"/>
    <x v="1"/>
    <n v="2.65"/>
    <n v="14831.81"/>
    <n v="41691.870000000003"/>
    <x v="2"/>
  </r>
  <r>
    <x v="3"/>
    <x v="1"/>
    <x v="5"/>
    <x v="1"/>
    <x v="13"/>
    <x v="1"/>
    <x v="1"/>
    <n v="9.4"/>
    <n v="52610.95"/>
    <n v="146965.37"/>
    <x v="2"/>
  </r>
  <r>
    <x v="3"/>
    <x v="1"/>
    <x v="5"/>
    <x v="1"/>
    <x v="14"/>
    <x v="1"/>
    <x v="1"/>
    <n v="5.25"/>
    <n v="29383.78"/>
    <n v="80477.279999999999"/>
    <x v="2"/>
  </r>
  <r>
    <x v="3"/>
    <x v="1"/>
    <x v="5"/>
    <x v="1"/>
    <x v="15"/>
    <x v="1"/>
    <x v="1"/>
    <n v="1.48"/>
    <n v="8283.43"/>
    <n v="23543.89"/>
    <x v="2"/>
  </r>
  <r>
    <x v="3"/>
    <x v="1"/>
    <x v="5"/>
    <x v="1"/>
    <x v="16"/>
    <x v="1"/>
    <x v="1"/>
    <n v="14.05"/>
    <n v="78636.59"/>
    <n v="212371.43"/>
    <x v="2"/>
  </r>
  <r>
    <x v="3"/>
    <x v="1"/>
    <x v="5"/>
    <x v="1"/>
    <x v="17"/>
    <x v="1"/>
    <x v="1"/>
    <n v="3.63"/>
    <n v="20316.78"/>
    <n v="55299.73"/>
    <x v="2"/>
  </r>
  <r>
    <x v="3"/>
    <x v="1"/>
    <x v="5"/>
    <x v="1"/>
    <x v="18"/>
    <x v="1"/>
    <x v="1"/>
    <n v="24.54"/>
    <n v="137348.17000000001"/>
    <n v="391600.71"/>
    <x v="2"/>
  </r>
  <r>
    <x v="3"/>
    <x v="1"/>
    <x v="5"/>
    <x v="1"/>
    <x v="19"/>
    <x v="1"/>
    <x v="1"/>
    <n v="12.86"/>
    <n v="71976.259999999995"/>
    <n v="199062.39"/>
    <x v="2"/>
  </r>
  <r>
    <x v="3"/>
    <x v="1"/>
    <x v="5"/>
    <x v="1"/>
    <x v="20"/>
    <x v="1"/>
    <x v="1"/>
    <n v="17.579999999999998"/>
    <n v="98393.68"/>
    <n v="267692.3"/>
    <x v="2"/>
  </r>
  <r>
    <x v="3"/>
    <x v="1"/>
    <x v="5"/>
    <x v="2"/>
    <x v="21"/>
    <x v="1"/>
    <x v="1"/>
    <n v="1.95"/>
    <n v="10913.97"/>
    <n v="27261.42"/>
    <x v="2"/>
  </r>
  <r>
    <x v="3"/>
    <x v="1"/>
    <x v="5"/>
    <x v="2"/>
    <x v="22"/>
    <x v="1"/>
    <x v="1"/>
    <n v="10.55"/>
    <n v="59047.4"/>
    <n v="147595.37"/>
    <x v="2"/>
  </r>
  <r>
    <x v="3"/>
    <x v="1"/>
    <x v="5"/>
    <x v="2"/>
    <x v="29"/>
    <x v="1"/>
    <x v="1"/>
    <n v="1.29"/>
    <n v="7220.01"/>
    <n v="19175.14"/>
    <x v="2"/>
  </r>
  <r>
    <x v="3"/>
    <x v="1"/>
    <x v="5"/>
    <x v="2"/>
    <x v="23"/>
    <x v="1"/>
    <x v="1"/>
    <n v="1.9"/>
    <n v="10634.13"/>
    <n v="27669.040000000001"/>
    <x v="2"/>
  </r>
  <r>
    <x v="3"/>
    <x v="1"/>
    <x v="5"/>
    <x v="2"/>
    <x v="24"/>
    <x v="1"/>
    <x v="1"/>
    <n v="1.55"/>
    <n v="8675.2099999999991"/>
    <n v="22128.78"/>
    <x v="2"/>
  </r>
  <r>
    <x v="3"/>
    <x v="1"/>
    <x v="5"/>
    <x v="3"/>
    <x v="25"/>
    <x v="1"/>
    <x v="1"/>
    <n v="7.66"/>
    <n v="42872.33"/>
    <n v="120496.32000000001"/>
    <x v="2"/>
  </r>
  <r>
    <x v="3"/>
    <x v="1"/>
    <x v="5"/>
    <x v="3"/>
    <x v="26"/>
    <x v="1"/>
    <x v="1"/>
    <n v="11.18"/>
    <n v="62573.45"/>
    <n v="177109.77"/>
    <x v="2"/>
  </r>
  <r>
    <x v="3"/>
    <x v="1"/>
    <x v="5"/>
    <x v="3"/>
    <x v="27"/>
    <x v="1"/>
    <x v="1"/>
    <n v="27.39"/>
    <n v="153299.35999999999"/>
    <n v="425850.24"/>
    <x v="2"/>
  </r>
  <r>
    <x v="3"/>
    <x v="1"/>
    <x v="6"/>
    <x v="0"/>
    <x v="0"/>
    <x v="0"/>
    <x v="0"/>
    <n v="2.02"/>
    <n v="5363.65"/>
    <n v="18887.560000000001"/>
    <x v="2"/>
  </r>
  <r>
    <x v="3"/>
    <x v="1"/>
    <x v="6"/>
    <x v="0"/>
    <x v="1"/>
    <x v="0"/>
    <x v="0"/>
    <n v="2.79"/>
    <n v="7408.2"/>
    <n v="26158.99"/>
    <x v="2"/>
  </r>
  <r>
    <x v="3"/>
    <x v="1"/>
    <x v="6"/>
    <x v="0"/>
    <x v="2"/>
    <x v="0"/>
    <x v="0"/>
    <n v="0"/>
    <n v="0"/>
    <n v="0"/>
    <x v="2"/>
  </r>
  <r>
    <x v="3"/>
    <x v="1"/>
    <x v="6"/>
    <x v="0"/>
    <x v="3"/>
    <x v="0"/>
    <x v="0"/>
    <n v="1.35"/>
    <n v="3584.61"/>
    <n v="12632.15"/>
    <x v="2"/>
  </r>
  <r>
    <x v="3"/>
    <x v="1"/>
    <x v="6"/>
    <x v="0"/>
    <x v="4"/>
    <x v="0"/>
    <x v="0"/>
    <n v="0"/>
    <n v="0"/>
    <n v="0"/>
    <x v="2"/>
  </r>
  <r>
    <x v="3"/>
    <x v="1"/>
    <x v="6"/>
    <x v="0"/>
    <x v="5"/>
    <x v="0"/>
    <x v="0"/>
    <n v="0"/>
    <n v="0"/>
    <n v="0"/>
    <x v="2"/>
  </r>
  <r>
    <x v="3"/>
    <x v="1"/>
    <x v="6"/>
    <x v="0"/>
    <x v="6"/>
    <x v="0"/>
    <x v="0"/>
    <n v="0"/>
    <n v="0"/>
    <n v="0"/>
    <x v="2"/>
  </r>
  <r>
    <x v="3"/>
    <x v="1"/>
    <x v="6"/>
    <x v="0"/>
    <x v="8"/>
    <x v="0"/>
    <x v="0"/>
    <n v="0"/>
    <n v="0"/>
    <n v="0"/>
    <x v="2"/>
  </r>
  <r>
    <x v="3"/>
    <x v="1"/>
    <x v="6"/>
    <x v="1"/>
    <x v="10"/>
    <x v="0"/>
    <x v="0"/>
    <n v="2.42"/>
    <n v="6425.75"/>
    <n v="22711.78"/>
    <x v="2"/>
  </r>
  <r>
    <x v="3"/>
    <x v="1"/>
    <x v="6"/>
    <x v="1"/>
    <x v="11"/>
    <x v="0"/>
    <x v="0"/>
    <n v="0"/>
    <n v="0"/>
    <n v="0"/>
    <x v="2"/>
  </r>
  <r>
    <x v="3"/>
    <x v="1"/>
    <x v="6"/>
    <x v="1"/>
    <x v="13"/>
    <x v="0"/>
    <x v="0"/>
    <n v="0"/>
    <n v="0"/>
    <n v="0"/>
    <x v="2"/>
  </r>
  <r>
    <x v="3"/>
    <x v="1"/>
    <x v="6"/>
    <x v="1"/>
    <x v="14"/>
    <x v="0"/>
    <x v="0"/>
    <n v="0"/>
    <n v="0"/>
    <n v="0"/>
    <x v="2"/>
  </r>
  <r>
    <x v="3"/>
    <x v="1"/>
    <x v="6"/>
    <x v="1"/>
    <x v="16"/>
    <x v="0"/>
    <x v="0"/>
    <n v="0"/>
    <n v="0"/>
    <n v="0"/>
    <x v="2"/>
  </r>
  <r>
    <x v="3"/>
    <x v="1"/>
    <x v="6"/>
    <x v="1"/>
    <x v="17"/>
    <x v="0"/>
    <x v="0"/>
    <n v="0"/>
    <n v="0"/>
    <n v="0"/>
    <x v="2"/>
  </r>
  <r>
    <x v="3"/>
    <x v="1"/>
    <x v="6"/>
    <x v="1"/>
    <x v="18"/>
    <x v="0"/>
    <x v="0"/>
    <n v="0"/>
    <n v="0"/>
    <n v="0"/>
    <x v="2"/>
  </r>
  <r>
    <x v="3"/>
    <x v="1"/>
    <x v="6"/>
    <x v="1"/>
    <x v="19"/>
    <x v="0"/>
    <x v="0"/>
    <n v="0"/>
    <n v="0"/>
    <n v="0"/>
    <x v="2"/>
  </r>
  <r>
    <x v="3"/>
    <x v="1"/>
    <x v="6"/>
    <x v="1"/>
    <x v="20"/>
    <x v="0"/>
    <x v="0"/>
    <n v="1.28"/>
    <n v="3398.75"/>
    <n v="11950.08"/>
    <x v="2"/>
  </r>
  <r>
    <x v="3"/>
    <x v="1"/>
    <x v="6"/>
    <x v="2"/>
    <x v="21"/>
    <x v="0"/>
    <x v="0"/>
    <n v="1.19"/>
    <n v="3159.77"/>
    <n v="11172.64"/>
    <x v="2"/>
  </r>
  <r>
    <x v="3"/>
    <x v="1"/>
    <x v="6"/>
    <x v="2"/>
    <x v="22"/>
    <x v="0"/>
    <x v="0"/>
    <n v="0"/>
    <n v="0"/>
    <n v="0"/>
    <x v="2"/>
  </r>
  <r>
    <x v="3"/>
    <x v="1"/>
    <x v="6"/>
    <x v="2"/>
    <x v="29"/>
    <x v="0"/>
    <x v="0"/>
    <n v="0"/>
    <n v="0"/>
    <n v="0"/>
    <x v="2"/>
  </r>
  <r>
    <x v="3"/>
    <x v="1"/>
    <x v="6"/>
    <x v="2"/>
    <x v="24"/>
    <x v="0"/>
    <x v="0"/>
    <n v="0"/>
    <n v="0"/>
    <n v="0"/>
    <x v="2"/>
  </r>
  <r>
    <x v="3"/>
    <x v="1"/>
    <x v="6"/>
    <x v="3"/>
    <x v="25"/>
    <x v="0"/>
    <x v="0"/>
    <n v="0"/>
    <n v="0"/>
    <n v="0"/>
    <x v="2"/>
  </r>
  <r>
    <x v="3"/>
    <x v="1"/>
    <x v="6"/>
    <x v="3"/>
    <x v="26"/>
    <x v="0"/>
    <x v="0"/>
    <n v="1.4"/>
    <n v="3717.38"/>
    <n v="13100.53"/>
    <x v="2"/>
  </r>
  <r>
    <x v="3"/>
    <x v="1"/>
    <x v="6"/>
    <x v="3"/>
    <x v="27"/>
    <x v="0"/>
    <x v="0"/>
    <n v="1.43"/>
    <n v="3797.04"/>
    <n v="13393.21"/>
    <x v="2"/>
  </r>
  <r>
    <x v="3"/>
    <x v="1"/>
    <x v="6"/>
    <x v="0"/>
    <x v="0"/>
    <x v="0"/>
    <x v="1"/>
    <n v="1.58"/>
    <n v="4195.33"/>
    <n v="14781.57"/>
    <x v="2"/>
  </r>
  <r>
    <x v="3"/>
    <x v="1"/>
    <x v="6"/>
    <x v="0"/>
    <x v="1"/>
    <x v="0"/>
    <x v="1"/>
    <n v="5.84"/>
    <n v="15506.78"/>
    <n v="54745.1"/>
    <x v="2"/>
  </r>
  <r>
    <x v="3"/>
    <x v="1"/>
    <x v="6"/>
    <x v="0"/>
    <x v="2"/>
    <x v="0"/>
    <x v="1"/>
    <n v="2.81"/>
    <n v="7461.31"/>
    <n v="26350.35"/>
    <x v="2"/>
  </r>
  <r>
    <x v="3"/>
    <x v="1"/>
    <x v="6"/>
    <x v="0"/>
    <x v="3"/>
    <x v="0"/>
    <x v="1"/>
    <n v="5.39"/>
    <n v="14311.91"/>
    <n v="50528.59"/>
    <x v="2"/>
  </r>
  <r>
    <x v="3"/>
    <x v="1"/>
    <x v="6"/>
    <x v="0"/>
    <x v="4"/>
    <x v="0"/>
    <x v="1"/>
    <n v="1.8"/>
    <n v="4779.49"/>
    <n v="16881.080000000002"/>
    <x v="2"/>
  </r>
  <r>
    <x v="3"/>
    <x v="1"/>
    <x v="6"/>
    <x v="0"/>
    <x v="5"/>
    <x v="0"/>
    <x v="1"/>
    <n v="3.49"/>
    <n v="9266.89"/>
    <n v="32645.67"/>
    <x v="2"/>
  </r>
  <r>
    <x v="3"/>
    <x v="1"/>
    <x v="6"/>
    <x v="0"/>
    <x v="6"/>
    <x v="0"/>
    <x v="1"/>
    <n v="1.71"/>
    <n v="4540.51"/>
    <n v="15989.89"/>
    <x v="2"/>
  </r>
  <r>
    <x v="3"/>
    <x v="1"/>
    <x v="6"/>
    <x v="0"/>
    <x v="8"/>
    <x v="0"/>
    <x v="1"/>
    <n v="3.35"/>
    <n v="8895.15"/>
    <n v="31378.959999999999"/>
    <x v="2"/>
  </r>
  <r>
    <x v="3"/>
    <x v="1"/>
    <x v="6"/>
    <x v="1"/>
    <x v="10"/>
    <x v="0"/>
    <x v="1"/>
    <n v="3.41"/>
    <n v="9054.4699999999993"/>
    <n v="31964.73"/>
    <x v="2"/>
  </r>
  <r>
    <x v="3"/>
    <x v="1"/>
    <x v="6"/>
    <x v="1"/>
    <x v="11"/>
    <x v="0"/>
    <x v="1"/>
    <n v="8.9600000000000009"/>
    <n v="23791.22"/>
    <n v="83961.63"/>
    <x v="2"/>
  </r>
  <r>
    <x v="3"/>
    <x v="1"/>
    <x v="6"/>
    <x v="1"/>
    <x v="13"/>
    <x v="0"/>
    <x v="1"/>
    <n v="3.54"/>
    <n v="9399.66"/>
    <n v="33120.639999999999"/>
    <x v="2"/>
  </r>
  <r>
    <x v="3"/>
    <x v="1"/>
    <x v="6"/>
    <x v="1"/>
    <x v="14"/>
    <x v="0"/>
    <x v="1"/>
    <n v="0.66"/>
    <n v="1752.48"/>
    <n v="6143.21"/>
    <x v="2"/>
  </r>
  <r>
    <x v="3"/>
    <x v="1"/>
    <x v="6"/>
    <x v="1"/>
    <x v="16"/>
    <x v="0"/>
    <x v="1"/>
    <n v="1.64"/>
    <n v="4354.6400000000003"/>
    <n v="15395.07"/>
    <x v="2"/>
  </r>
  <r>
    <x v="3"/>
    <x v="1"/>
    <x v="6"/>
    <x v="1"/>
    <x v="17"/>
    <x v="0"/>
    <x v="1"/>
    <n v="1"/>
    <n v="2655.27"/>
    <n v="9401.51"/>
    <x v="2"/>
  </r>
  <r>
    <x v="3"/>
    <x v="1"/>
    <x v="6"/>
    <x v="1"/>
    <x v="18"/>
    <x v="0"/>
    <x v="1"/>
    <n v="9.4700000000000006"/>
    <n v="25145.41"/>
    <n v="88675.27"/>
    <x v="2"/>
  </r>
  <r>
    <x v="3"/>
    <x v="1"/>
    <x v="6"/>
    <x v="1"/>
    <x v="19"/>
    <x v="0"/>
    <x v="1"/>
    <n v="3.15"/>
    <n v="8364.1"/>
    <n v="29522.92"/>
    <x v="2"/>
  </r>
  <r>
    <x v="3"/>
    <x v="1"/>
    <x v="6"/>
    <x v="1"/>
    <x v="20"/>
    <x v="0"/>
    <x v="1"/>
    <n v="8.02"/>
    <n v="21295.27"/>
    <n v="75114.78"/>
    <x v="2"/>
  </r>
  <r>
    <x v="3"/>
    <x v="1"/>
    <x v="6"/>
    <x v="2"/>
    <x v="21"/>
    <x v="0"/>
    <x v="1"/>
    <n v="0"/>
    <n v="0"/>
    <n v="0"/>
    <x v="2"/>
  </r>
  <r>
    <x v="3"/>
    <x v="1"/>
    <x v="6"/>
    <x v="2"/>
    <x v="22"/>
    <x v="0"/>
    <x v="1"/>
    <n v="2.65"/>
    <n v="7036.47"/>
    <n v="24802.37"/>
    <x v="2"/>
  </r>
  <r>
    <x v="3"/>
    <x v="1"/>
    <x v="6"/>
    <x v="2"/>
    <x v="29"/>
    <x v="0"/>
    <x v="1"/>
    <n v="1.1299999999999999"/>
    <n v="3000.46"/>
    <n v="10565.54"/>
    <x v="2"/>
  </r>
  <r>
    <x v="3"/>
    <x v="1"/>
    <x v="6"/>
    <x v="2"/>
    <x v="24"/>
    <x v="0"/>
    <x v="1"/>
    <n v="1.31"/>
    <n v="3478.4"/>
    <n v="12257.26"/>
    <x v="2"/>
  </r>
  <r>
    <x v="3"/>
    <x v="1"/>
    <x v="6"/>
    <x v="3"/>
    <x v="25"/>
    <x v="0"/>
    <x v="1"/>
    <n v="2.84"/>
    <n v="7540.97"/>
    <n v="26641.94"/>
    <x v="2"/>
  </r>
  <r>
    <x v="3"/>
    <x v="1"/>
    <x v="6"/>
    <x v="3"/>
    <x v="26"/>
    <x v="0"/>
    <x v="1"/>
    <n v="0.96"/>
    <n v="2549.06"/>
    <n v="9006.6200000000008"/>
    <x v="2"/>
  </r>
  <r>
    <x v="3"/>
    <x v="1"/>
    <x v="6"/>
    <x v="3"/>
    <x v="27"/>
    <x v="0"/>
    <x v="1"/>
    <n v="7.06"/>
    <n v="18746.21"/>
    <n v="66128.990000000005"/>
    <x v="2"/>
  </r>
  <r>
    <x v="3"/>
    <x v="1"/>
    <x v="6"/>
    <x v="0"/>
    <x v="0"/>
    <x v="1"/>
    <x v="0"/>
    <n v="6.54"/>
    <n v="17365.47"/>
    <n v="40056.93"/>
    <x v="2"/>
  </r>
  <r>
    <x v="3"/>
    <x v="1"/>
    <x v="6"/>
    <x v="0"/>
    <x v="1"/>
    <x v="1"/>
    <x v="0"/>
    <n v="10.86"/>
    <n v="28836.23"/>
    <n v="65438.96"/>
    <x v="2"/>
  </r>
  <r>
    <x v="3"/>
    <x v="1"/>
    <x v="6"/>
    <x v="0"/>
    <x v="2"/>
    <x v="1"/>
    <x v="0"/>
    <n v="2.85"/>
    <n v="7567.52"/>
    <n v="16557.400000000001"/>
    <x v="2"/>
  </r>
  <r>
    <x v="3"/>
    <x v="1"/>
    <x v="6"/>
    <x v="0"/>
    <x v="3"/>
    <x v="1"/>
    <x v="0"/>
    <n v="9.86"/>
    <n v="26180.959999999999"/>
    <n v="59662.92"/>
    <x v="2"/>
  </r>
  <r>
    <x v="3"/>
    <x v="1"/>
    <x v="6"/>
    <x v="0"/>
    <x v="28"/>
    <x v="1"/>
    <x v="0"/>
    <n v="0"/>
    <n v="0"/>
    <n v="0"/>
    <x v="2"/>
  </r>
  <r>
    <x v="3"/>
    <x v="1"/>
    <x v="6"/>
    <x v="0"/>
    <x v="4"/>
    <x v="1"/>
    <x v="0"/>
    <n v="4.17"/>
    <n v="11072.48"/>
    <n v="24976.66"/>
    <x v="2"/>
  </r>
  <r>
    <x v="3"/>
    <x v="1"/>
    <x v="6"/>
    <x v="0"/>
    <x v="5"/>
    <x v="1"/>
    <x v="0"/>
    <n v="2.69"/>
    <n v="7142.68"/>
    <n v="16602.75"/>
    <x v="2"/>
  </r>
  <r>
    <x v="3"/>
    <x v="1"/>
    <x v="6"/>
    <x v="0"/>
    <x v="6"/>
    <x v="1"/>
    <x v="0"/>
    <n v="0"/>
    <n v="0"/>
    <n v="0"/>
    <x v="2"/>
  </r>
  <r>
    <x v="3"/>
    <x v="1"/>
    <x v="6"/>
    <x v="0"/>
    <x v="7"/>
    <x v="1"/>
    <x v="0"/>
    <n v="0"/>
    <n v="0"/>
    <n v="0"/>
    <x v="2"/>
  </r>
  <r>
    <x v="3"/>
    <x v="1"/>
    <x v="6"/>
    <x v="0"/>
    <x v="8"/>
    <x v="1"/>
    <x v="0"/>
    <n v="0"/>
    <n v="0"/>
    <n v="0"/>
    <x v="2"/>
  </r>
  <r>
    <x v="3"/>
    <x v="1"/>
    <x v="6"/>
    <x v="1"/>
    <x v="30"/>
    <x v="1"/>
    <x v="0"/>
    <n v="1.1100000000000001"/>
    <n v="2947.35"/>
    <n v="7158.24"/>
    <x v="2"/>
  </r>
  <r>
    <x v="3"/>
    <x v="1"/>
    <x v="6"/>
    <x v="1"/>
    <x v="9"/>
    <x v="1"/>
    <x v="0"/>
    <n v="0"/>
    <n v="0"/>
    <n v="0"/>
    <x v="2"/>
  </r>
  <r>
    <x v="3"/>
    <x v="1"/>
    <x v="6"/>
    <x v="1"/>
    <x v="31"/>
    <x v="1"/>
    <x v="0"/>
    <n v="0.86"/>
    <n v="2283.5300000000002"/>
    <n v="5604.57"/>
    <x v="2"/>
  </r>
  <r>
    <x v="3"/>
    <x v="1"/>
    <x v="6"/>
    <x v="1"/>
    <x v="10"/>
    <x v="1"/>
    <x v="0"/>
    <n v="9.23"/>
    <n v="24508.14"/>
    <n v="58951.75"/>
    <x v="2"/>
  </r>
  <r>
    <x v="3"/>
    <x v="1"/>
    <x v="6"/>
    <x v="1"/>
    <x v="11"/>
    <x v="1"/>
    <x v="0"/>
    <n v="6.88"/>
    <n v="18268.259999999998"/>
    <n v="41917.61"/>
    <x v="2"/>
  </r>
  <r>
    <x v="3"/>
    <x v="1"/>
    <x v="6"/>
    <x v="1"/>
    <x v="12"/>
    <x v="1"/>
    <x v="0"/>
    <n v="1.68"/>
    <n v="4460.8500000000004"/>
    <n v="10754.43"/>
    <x v="2"/>
  </r>
  <r>
    <x v="3"/>
    <x v="1"/>
    <x v="6"/>
    <x v="1"/>
    <x v="13"/>
    <x v="1"/>
    <x v="0"/>
    <n v="1.44"/>
    <n v="3823.59"/>
    <n v="9170.69"/>
    <x v="2"/>
  </r>
  <r>
    <x v="3"/>
    <x v="1"/>
    <x v="6"/>
    <x v="1"/>
    <x v="14"/>
    <x v="1"/>
    <x v="0"/>
    <n v="9.93"/>
    <n v="26366.83"/>
    <n v="62108.04"/>
    <x v="2"/>
  </r>
  <r>
    <x v="3"/>
    <x v="1"/>
    <x v="6"/>
    <x v="1"/>
    <x v="15"/>
    <x v="1"/>
    <x v="0"/>
    <n v="2.09"/>
    <n v="5549.51"/>
    <n v="13528.35"/>
    <x v="2"/>
  </r>
  <r>
    <x v="3"/>
    <x v="1"/>
    <x v="6"/>
    <x v="1"/>
    <x v="16"/>
    <x v="1"/>
    <x v="0"/>
    <n v="3.9"/>
    <n v="10355.549999999999"/>
    <n v="24024.799999999999"/>
    <x v="2"/>
  </r>
  <r>
    <x v="3"/>
    <x v="1"/>
    <x v="6"/>
    <x v="1"/>
    <x v="17"/>
    <x v="1"/>
    <x v="0"/>
    <n v="4.04"/>
    <n v="10727.29"/>
    <n v="25152.41"/>
    <x v="2"/>
  </r>
  <r>
    <x v="3"/>
    <x v="1"/>
    <x v="6"/>
    <x v="1"/>
    <x v="18"/>
    <x v="1"/>
    <x v="0"/>
    <n v="5.13"/>
    <n v="13621.54"/>
    <n v="33375.599999999999"/>
    <x v="2"/>
  </r>
  <r>
    <x v="3"/>
    <x v="1"/>
    <x v="6"/>
    <x v="1"/>
    <x v="19"/>
    <x v="1"/>
    <x v="0"/>
    <n v="8.6"/>
    <n v="22835.32"/>
    <n v="54328.06"/>
    <x v="2"/>
  </r>
  <r>
    <x v="3"/>
    <x v="1"/>
    <x v="6"/>
    <x v="1"/>
    <x v="20"/>
    <x v="1"/>
    <x v="0"/>
    <n v="9.93"/>
    <n v="26366.83"/>
    <n v="61657.83"/>
    <x v="2"/>
  </r>
  <r>
    <x v="3"/>
    <x v="1"/>
    <x v="6"/>
    <x v="2"/>
    <x v="21"/>
    <x v="1"/>
    <x v="0"/>
    <n v="0"/>
    <n v="0"/>
    <n v="0"/>
    <x v="2"/>
  </r>
  <r>
    <x v="3"/>
    <x v="1"/>
    <x v="6"/>
    <x v="2"/>
    <x v="22"/>
    <x v="1"/>
    <x v="0"/>
    <n v="4.62"/>
    <n v="12267.35"/>
    <n v="26374.04"/>
    <x v="2"/>
  </r>
  <r>
    <x v="3"/>
    <x v="1"/>
    <x v="6"/>
    <x v="2"/>
    <x v="29"/>
    <x v="1"/>
    <x v="0"/>
    <n v="0"/>
    <n v="0"/>
    <n v="0"/>
    <x v="2"/>
  </r>
  <r>
    <x v="3"/>
    <x v="1"/>
    <x v="6"/>
    <x v="2"/>
    <x v="23"/>
    <x v="1"/>
    <x v="0"/>
    <n v="0"/>
    <n v="0"/>
    <n v="0"/>
    <x v="2"/>
  </r>
  <r>
    <x v="3"/>
    <x v="1"/>
    <x v="6"/>
    <x v="2"/>
    <x v="24"/>
    <x v="1"/>
    <x v="0"/>
    <n v="2.04"/>
    <n v="5416.75"/>
    <n v="11849.88"/>
    <x v="2"/>
  </r>
  <r>
    <x v="3"/>
    <x v="1"/>
    <x v="6"/>
    <x v="3"/>
    <x v="25"/>
    <x v="1"/>
    <x v="0"/>
    <n v="4.22"/>
    <n v="11205.24"/>
    <n v="27070.22"/>
    <x v="2"/>
  </r>
  <r>
    <x v="3"/>
    <x v="1"/>
    <x v="6"/>
    <x v="3"/>
    <x v="26"/>
    <x v="1"/>
    <x v="0"/>
    <n v="2.72"/>
    <n v="7222.33"/>
    <n v="17611.52"/>
    <x v="2"/>
  </r>
  <r>
    <x v="3"/>
    <x v="1"/>
    <x v="6"/>
    <x v="3"/>
    <x v="27"/>
    <x v="1"/>
    <x v="0"/>
    <n v="9.2100000000000009"/>
    <n v="24455.040000000001"/>
    <n v="58403.35"/>
    <x v="2"/>
  </r>
  <r>
    <x v="3"/>
    <x v="1"/>
    <x v="6"/>
    <x v="0"/>
    <x v="0"/>
    <x v="1"/>
    <x v="1"/>
    <n v="9.4"/>
    <n v="24959.54"/>
    <n v="57581.84"/>
    <x v="2"/>
  </r>
  <r>
    <x v="3"/>
    <x v="1"/>
    <x v="6"/>
    <x v="0"/>
    <x v="1"/>
    <x v="1"/>
    <x v="1"/>
    <n v="19.41"/>
    <n v="51538.79"/>
    <n v="116924.03"/>
    <x v="2"/>
  </r>
  <r>
    <x v="3"/>
    <x v="1"/>
    <x v="6"/>
    <x v="0"/>
    <x v="2"/>
    <x v="1"/>
    <x v="1"/>
    <n v="11.64"/>
    <n v="30907.34"/>
    <n v="67734.820000000007"/>
    <x v="2"/>
  </r>
  <r>
    <x v="3"/>
    <x v="1"/>
    <x v="6"/>
    <x v="0"/>
    <x v="3"/>
    <x v="1"/>
    <x v="1"/>
    <n v="21.76"/>
    <n v="57778.68"/>
    <n v="131669.89000000001"/>
    <x v="2"/>
  </r>
  <r>
    <x v="3"/>
    <x v="1"/>
    <x v="6"/>
    <x v="0"/>
    <x v="28"/>
    <x v="1"/>
    <x v="1"/>
    <n v="3.85"/>
    <n v="10222.790000000001"/>
    <n v="23605.18"/>
    <x v="2"/>
  </r>
  <r>
    <x v="3"/>
    <x v="1"/>
    <x v="6"/>
    <x v="0"/>
    <x v="4"/>
    <x v="1"/>
    <x v="1"/>
    <n v="8.18"/>
    <n v="21720.11"/>
    <n v="49028.25"/>
    <x v="2"/>
  </r>
  <r>
    <x v="3"/>
    <x v="1"/>
    <x v="6"/>
    <x v="0"/>
    <x v="5"/>
    <x v="1"/>
    <x v="1"/>
    <n v="14.66"/>
    <n v="38926.26"/>
    <n v="90511.78"/>
    <x v="2"/>
  </r>
  <r>
    <x v="3"/>
    <x v="1"/>
    <x v="6"/>
    <x v="0"/>
    <x v="6"/>
    <x v="1"/>
    <x v="1"/>
    <n v="2.08"/>
    <n v="5522.96"/>
    <n v="12828.34"/>
    <x v="2"/>
  </r>
  <r>
    <x v="3"/>
    <x v="1"/>
    <x v="6"/>
    <x v="0"/>
    <x v="7"/>
    <x v="1"/>
    <x v="1"/>
    <n v="2.35"/>
    <n v="6239.88"/>
    <n v="14698"/>
    <x v="2"/>
  </r>
  <r>
    <x v="3"/>
    <x v="1"/>
    <x v="6"/>
    <x v="0"/>
    <x v="8"/>
    <x v="1"/>
    <x v="1"/>
    <n v="3.7"/>
    <n v="9824.5"/>
    <n v="22099.11"/>
    <x v="2"/>
  </r>
  <r>
    <x v="3"/>
    <x v="1"/>
    <x v="6"/>
    <x v="1"/>
    <x v="30"/>
    <x v="1"/>
    <x v="1"/>
    <n v="0"/>
    <n v="0"/>
    <n v="0"/>
    <x v="2"/>
  </r>
  <r>
    <x v="3"/>
    <x v="1"/>
    <x v="6"/>
    <x v="1"/>
    <x v="9"/>
    <x v="1"/>
    <x v="1"/>
    <n v="4.1399999999999997"/>
    <n v="10992.82"/>
    <n v="26655.47"/>
    <x v="2"/>
  </r>
  <r>
    <x v="3"/>
    <x v="1"/>
    <x v="6"/>
    <x v="1"/>
    <x v="31"/>
    <x v="1"/>
    <x v="1"/>
    <n v="0"/>
    <n v="0"/>
    <n v="0"/>
    <x v="2"/>
  </r>
  <r>
    <x v="3"/>
    <x v="1"/>
    <x v="6"/>
    <x v="1"/>
    <x v="10"/>
    <x v="1"/>
    <x v="1"/>
    <n v="23.03"/>
    <n v="61150.87"/>
    <n v="147108.96"/>
    <x v="2"/>
  </r>
  <r>
    <x v="3"/>
    <x v="1"/>
    <x v="6"/>
    <x v="1"/>
    <x v="11"/>
    <x v="1"/>
    <x v="1"/>
    <n v="23.46"/>
    <n v="62292.63"/>
    <n v="142830.38"/>
    <x v="2"/>
  </r>
  <r>
    <x v="3"/>
    <x v="1"/>
    <x v="6"/>
    <x v="1"/>
    <x v="12"/>
    <x v="1"/>
    <x v="1"/>
    <n v="1.59"/>
    <n v="4221.88"/>
    <n v="10188.41"/>
    <x v="2"/>
  </r>
  <r>
    <x v="3"/>
    <x v="1"/>
    <x v="6"/>
    <x v="1"/>
    <x v="13"/>
    <x v="1"/>
    <x v="1"/>
    <n v="12.01"/>
    <n v="31889.79"/>
    <n v="76602.210000000006"/>
    <x v="2"/>
  </r>
  <r>
    <x v="3"/>
    <x v="1"/>
    <x v="6"/>
    <x v="1"/>
    <x v="14"/>
    <x v="1"/>
    <x v="1"/>
    <n v="7.7"/>
    <n v="20445.580000000002"/>
    <n v="48187.27"/>
    <x v="2"/>
  </r>
  <r>
    <x v="3"/>
    <x v="1"/>
    <x v="6"/>
    <x v="1"/>
    <x v="15"/>
    <x v="1"/>
    <x v="1"/>
    <n v="1.65"/>
    <n v="4381.2"/>
    <n v="10709.94"/>
    <x v="2"/>
  </r>
  <r>
    <x v="3"/>
    <x v="1"/>
    <x v="6"/>
    <x v="1"/>
    <x v="16"/>
    <x v="1"/>
    <x v="1"/>
    <n v="8.39"/>
    <n v="22277.72"/>
    <n v="51705.55"/>
    <x v="2"/>
  </r>
  <r>
    <x v="3"/>
    <x v="1"/>
    <x v="6"/>
    <x v="1"/>
    <x v="17"/>
    <x v="1"/>
    <x v="1"/>
    <n v="3.44"/>
    <n v="9134.1299999999992"/>
    <n v="21406.31"/>
    <x v="2"/>
  </r>
  <r>
    <x v="3"/>
    <x v="1"/>
    <x v="6"/>
    <x v="1"/>
    <x v="18"/>
    <x v="1"/>
    <x v="1"/>
    <n v="18.920000000000002"/>
    <n v="50237.71"/>
    <n v="123195.23"/>
    <x v="2"/>
  </r>
  <r>
    <x v="3"/>
    <x v="1"/>
    <x v="6"/>
    <x v="1"/>
    <x v="19"/>
    <x v="1"/>
    <x v="1"/>
    <n v="14.06"/>
    <n v="37333.1"/>
    <n v="88753.76"/>
    <x v="2"/>
  </r>
  <r>
    <x v="3"/>
    <x v="1"/>
    <x v="6"/>
    <x v="1"/>
    <x v="20"/>
    <x v="1"/>
    <x v="1"/>
    <n v="21.55"/>
    <n v="57221.07"/>
    <n v="133855.46"/>
    <x v="2"/>
  </r>
  <r>
    <x v="3"/>
    <x v="1"/>
    <x v="6"/>
    <x v="2"/>
    <x v="21"/>
    <x v="1"/>
    <x v="1"/>
    <n v="1.81"/>
    <n v="4806.04"/>
    <n v="10347.68"/>
    <x v="2"/>
  </r>
  <r>
    <x v="3"/>
    <x v="1"/>
    <x v="6"/>
    <x v="2"/>
    <x v="22"/>
    <x v="1"/>
    <x v="1"/>
    <n v="10.06"/>
    <n v="26712.02"/>
    <n v="57402.33"/>
    <x v="2"/>
  </r>
  <r>
    <x v="3"/>
    <x v="1"/>
    <x v="6"/>
    <x v="2"/>
    <x v="29"/>
    <x v="1"/>
    <x v="1"/>
    <n v="2.48"/>
    <n v="6585.07"/>
    <n v="15027.52"/>
    <x v="2"/>
  </r>
  <r>
    <x v="3"/>
    <x v="1"/>
    <x v="6"/>
    <x v="2"/>
    <x v="23"/>
    <x v="1"/>
    <x v="1"/>
    <n v="1.69"/>
    <n v="4487.41"/>
    <n v="10031.91"/>
    <x v="2"/>
  </r>
  <r>
    <x v="3"/>
    <x v="1"/>
    <x v="6"/>
    <x v="2"/>
    <x v="24"/>
    <x v="1"/>
    <x v="1"/>
    <n v="1.28"/>
    <n v="3398.75"/>
    <n v="7406.18"/>
    <x v="2"/>
  </r>
  <r>
    <x v="3"/>
    <x v="1"/>
    <x v="6"/>
    <x v="3"/>
    <x v="25"/>
    <x v="1"/>
    <x v="1"/>
    <n v="7.99"/>
    <n v="21215.61"/>
    <n v="51260.62"/>
    <x v="2"/>
  </r>
  <r>
    <x v="3"/>
    <x v="1"/>
    <x v="6"/>
    <x v="3"/>
    <x v="26"/>
    <x v="1"/>
    <x v="1"/>
    <n v="13.54"/>
    <n v="35952.36"/>
    <n v="87489.47"/>
    <x v="2"/>
  </r>
  <r>
    <x v="3"/>
    <x v="1"/>
    <x v="6"/>
    <x v="3"/>
    <x v="27"/>
    <x v="1"/>
    <x v="1"/>
    <n v="27.19"/>
    <n v="72196.789999999994"/>
    <n v="172455.18"/>
    <x v="2"/>
  </r>
  <r>
    <x v="3"/>
    <x v="1"/>
    <x v="7"/>
    <x v="0"/>
    <x v="0"/>
    <x v="0"/>
    <x v="0"/>
    <n v="1.1000000000000001"/>
    <n v="5223.6099999999997"/>
    <n v="20405.47"/>
    <x v="2"/>
  </r>
  <r>
    <x v="3"/>
    <x v="1"/>
    <x v="7"/>
    <x v="0"/>
    <x v="1"/>
    <x v="0"/>
    <x v="0"/>
    <n v="3.15"/>
    <n v="14958.53"/>
    <n v="58423.03"/>
    <x v="2"/>
  </r>
  <r>
    <x v="3"/>
    <x v="1"/>
    <x v="7"/>
    <x v="0"/>
    <x v="2"/>
    <x v="0"/>
    <x v="0"/>
    <n v="0"/>
    <n v="0"/>
    <n v="0"/>
    <x v="2"/>
  </r>
  <r>
    <x v="3"/>
    <x v="1"/>
    <x v="7"/>
    <x v="0"/>
    <x v="3"/>
    <x v="0"/>
    <x v="0"/>
    <n v="1.57"/>
    <n v="7455.52"/>
    <n v="29022.959999999999"/>
    <x v="2"/>
  </r>
  <r>
    <x v="3"/>
    <x v="1"/>
    <x v="7"/>
    <x v="0"/>
    <x v="4"/>
    <x v="0"/>
    <x v="0"/>
    <n v="0"/>
    <n v="0"/>
    <n v="0"/>
    <x v="2"/>
  </r>
  <r>
    <x v="3"/>
    <x v="1"/>
    <x v="7"/>
    <x v="0"/>
    <x v="5"/>
    <x v="0"/>
    <x v="0"/>
    <n v="0"/>
    <n v="0"/>
    <n v="0"/>
    <x v="2"/>
  </r>
  <r>
    <x v="3"/>
    <x v="1"/>
    <x v="7"/>
    <x v="0"/>
    <x v="6"/>
    <x v="0"/>
    <x v="0"/>
    <n v="0"/>
    <n v="0"/>
    <n v="0"/>
    <x v="2"/>
  </r>
  <r>
    <x v="3"/>
    <x v="1"/>
    <x v="7"/>
    <x v="0"/>
    <x v="8"/>
    <x v="0"/>
    <x v="0"/>
    <n v="0"/>
    <n v="0"/>
    <n v="0"/>
    <x v="2"/>
  </r>
  <r>
    <x v="3"/>
    <x v="1"/>
    <x v="7"/>
    <x v="1"/>
    <x v="10"/>
    <x v="0"/>
    <x v="0"/>
    <n v="0.9"/>
    <n v="4273.87"/>
    <n v="16761.150000000001"/>
    <x v="2"/>
  </r>
  <r>
    <x v="3"/>
    <x v="1"/>
    <x v="7"/>
    <x v="1"/>
    <x v="11"/>
    <x v="0"/>
    <x v="0"/>
    <n v="0"/>
    <n v="0"/>
    <n v="0"/>
    <x v="2"/>
  </r>
  <r>
    <x v="3"/>
    <x v="1"/>
    <x v="7"/>
    <x v="1"/>
    <x v="13"/>
    <x v="0"/>
    <x v="0"/>
    <n v="0"/>
    <n v="0"/>
    <n v="0"/>
    <x v="2"/>
  </r>
  <r>
    <x v="3"/>
    <x v="1"/>
    <x v="7"/>
    <x v="1"/>
    <x v="14"/>
    <x v="0"/>
    <x v="0"/>
    <n v="0"/>
    <n v="0"/>
    <n v="0"/>
    <x v="2"/>
  </r>
  <r>
    <x v="3"/>
    <x v="1"/>
    <x v="7"/>
    <x v="1"/>
    <x v="16"/>
    <x v="0"/>
    <x v="0"/>
    <n v="0"/>
    <n v="0"/>
    <n v="0"/>
    <x v="2"/>
  </r>
  <r>
    <x v="3"/>
    <x v="1"/>
    <x v="7"/>
    <x v="1"/>
    <x v="17"/>
    <x v="0"/>
    <x v="0"/>
    <n v="0"/>
    <n v="0"/>
    <n v="0"/>
    <x v="2"/>
  </r>
  <r>
    <x v="3"/>
    <x v="1"/>
    <x v="7"/>
    <x v="1"/>
    <x v="18"/>
    <x v="0"/>
    <x v="0"/>
    <n v="0"/>
    <n v="0"/>
    <n v="0"/>
    <x v="2"/>
  </r>
  <r>
    <x v="3"/>
    <x v="1"/>
    <x v="7"/>
    <x v="1"/>
    <x v="19"/>
    <x v="0"/>
    <x v="0"/>
    <n v="0"/>
    <n v="0"/>
    <n v="0"/>
    <x v="2"/>
  </r>
  <r>
    <x v="3"/>
    <x v="1"/>
    <x v="7"/>
    <x v="1"/>
    <x v="20"/>
    <x v="0"/>
    <x v="0"/>
    <n v="1.48"/>
    <n v="7028.14"/>
    <n v="27351.24"/>
    <x v="2"/>
  </r>
  <r>
    <x v="3"/>
    <x v="1"/>
    <x v="7"/>
    <x v="2"/>
    <x v="21"/>
    <x v="0"/>
    <x v="0"/>
    <n v="1.1299999999999999"/>
    <n v="5366.08"/>
    <n v="20884.060000000001"/>
    <x v="2"/>
  </r>
  <r>
    <x v="3"/>
    <x v="1"/>
    <x v="7"/>
    <x v="2"/>
    <x v="22"/>
    <x v="0"/>
    <x v="0"/>
    <n v="0"/>
    <n v="0"/>
    <n v="0"/>
    <x v="2"/>
  </r>
  <r>
    <x v="3"/>
    <x v="1"/>
    <x v="7"/>
    <x v="2"/>
    <x v="29"/>
    <x v="0"/>
    <x v="0"/>
    <n v="0"/>
    <n v="0"/>
    <n v="0"/>
    <x v="2"/>
  </r>
  <r>
    <x v="3"/>
    <x v="1"/>
    <x v="7"/>
    <x v="2"/>
    <x v="24"/>
    <x v="0"/>
    <x v="0"/>
    <n v="0"/>
    <n v="0"/>
    <n v="0"/>
    <x v="2"/>
  </r>
  <r>
    <x v="3"/>
    <x v="1"/>
    <x v="7"/>
    <x v="3"/>
    <x v="25"/>
    <x v="0"/>
    <x v="0"/>
    <n v="0"/>
    <n v="0"/>
    <n v="0"/>
    <x v="2"/>
  </r>
  <r>
    <x v="3"/>
    <x v="1"/>
    <x v="7"/>
    <x v="3"/>
    <x v="26"/>
    <x v="0"/>
    <x v="0"/>
    <n v="1.66"/>
    <n v="7882.91"/>
    <n v="30823.23"/>
    <x v="2"/>
  </r>
  <r>
    <x v="3"/>
    <x v="1"/>
    <x v="7"/>
    <x v="3"/>
    <x v="27"/>
    <x v="0"/>
    <x v="0"/>
    <n v="2.37"/>
    <n v="11254.51"/>
    <n v="43942.51"/>
    <x v="2"/>
  </r>
  <r>
    <x v="3"/>
    <x v="1"/>
    <x v="7"/>
    <x v="0"/>
    <x v="0"/>
    <x v="0"/>
    <x v="1"/>
    <n v="1.1000000000000001"/>
    <n v="5223.6099999999997"/>
    <n v="20405.47"/>
    <x v="2"/>
  </r>
  <r>
    <x v="3"/>
    <x v="1"/>
    <x v="7"/>
    <x v="0"/>
    <x v="1"/>
    <x v="0"/>
    <x v="1"/>
    <n v="4.91"/>
    <n v="23316.31"/>
    <n v="90929.08"/>
    <x v="2"/>
  </r>
  <r>
    <x v="3"/>
    <x v="1"/>
    <x v="7"/>
    <x v="0"/>
    <x v="2"/>
    <x v="0"/>
    <x v="1"/>
    <n v="4.07"/>
    <n v="19327.37"/>
    <n v="75501.02"/>
    <x v="2"/>
  </r>
  <r>
    <x v="3"/>
    <x v="1"/>
    <x v="7"/>
    <x v="0"/>
    <x v="3"/>
    <x v="0"/>
    <x v="1"/>
    <n v="4.2300000000000004"/>
    <n v="20087.169999999998"/>
    <n v="78361.990000000005"/>
    <x v="2"/>
  </r>
  <r>
    <x v="3"/>
    <x v="1"/>
    <x v="7"/>
    <x v="0"/>
    <x v="4"/>
    <x v="0"/>
    <x v="1"/>
    <n v="2.36"/>
    <n v="11207.03"/>
    <n v="43754.68"/>
    <x v="2"/>
  </r>
  <r>
    <x v="3"/>
    <x v="1"/>
    <x v="7"/>
    <x v="0"/>
    <x v="5"/>
    <x v="0"/>
    <x v="1"/>
    <n v="3.04"/>
    <n v="14436.17"/>
    <n v="56432.52"/>
    <x v="2"/>
  </r>
  <r>
    <x v="3"/>
    <x v="1"/>
    <x v="7"/>
    <x v="0"/>
    <x v="6"/>
    <x v="0"/>
    <x v="1"/>
    <n v="1.71"/>
    <n v="8120.35"/>
    <n v="31726.86"/>
    <x v="2"/>
  </r>
  <r>
    <x v="3"/>
    <x v="1"/>
    <x v="7"/>
    <x v="0"/>
    <x v="8"/>
    <x v="0"/>
    <x v="1"/>
    <n v="2.4"/>
    <n v="11396.98"/>
    <n v="44501.93"/>
    <x v="2"/>
  </r>
  <r>
    <x v="3"/>
    <x v="1"/>
    <x v="7"/>
    <x v="1"/>
    <x v="10"/>
    <x v="0"/>
    <x v="1"/>
    <n v="3.89"/>
    <n v="18472.599999999999"/>
    <n v="72072.94"/>
    <x v="2"/>
  </r>
  <r>
    <x v="3"/>
    <x v="1"/>
    <x v="7"/>
    <x v="1"/>
    <x v="11"/>
    <x v="0"/>
    <x v="1"/>
    <n v="8.1"/>
    <n v="38464.79"/>
    <n v="150176.66"/>
    <x v="2"/>
  </r>
  <r>
    <x v="3"/>
    <x v="1"/>
    <x v="7"/>
    <x v="1"/>
    <x v="13"/>
    <x v="0"/>
    <x v="1"/>
    <n v="3.73"/>
    <n v="17712.8"/>
    <n v="69104.14"/>
    <x v="2"/>
  </r>
  <r>
    <x v="3"/>
    <x v="1"/>
    <x v="7"/>
    <x v="1"/>
    <x v="14"/>
    <x v="0"/>
    <x v="1"/>
    <n v="1.26"/>
    <n v="5983.41"/>
    <n v="23279.39"/>
    <x v="2"/>
  </r>
  <r>
    <x v="3"/>
    <x v="1"/>
    <x v="7"/>
    <x v="1"/>
    <x v="16"/>
    <x v="0"/>
    <x v="1"/>
    <n v="1.1399999999999999"/>
    <n v="5413.56"/>
    <n v="21105.86"/>
    <x v="2"/>
  </r>
  <r>
    <x v="3"/>
    <x v="1"/>
    <x v="7"/>
    <x v="1"/>
    <x v="17"/>
    <x v="0"/>
    <x v="1"/>
    <n v="2.09"/>
    <n v="9924.8700000000008"/>
    <n v="38779.11"/>
    <x v="2"/>
  </r>
  <r>
    <x v="3"/>
    <x v="1"/>
    <x v="7"/>
    <x v="1"/>
    <x v="18"/>
    <x v="0"/>
    <x v="1"/>
    <n v="9.42"/>
    <n v="44733.13"/>
    <n v="174647.82"/>
    <x v="2"/>
  </r>
  <r>
    <x v="3"/>
    <x v="1"/>
    <x v="7"/>
    <x v="1"/>
    <x v="19"/>
    <x v="0"/>
    <x v="1"/>
    <n v="3.13"/>
    <n v="14863.56"/>
    <n v="58022.62"/>
    <x v="2"/>
  </r>
  <r>
    <x v="3"/>
    <x v="1"/>
    <x v="7"/>
    <x v="1"/>
    <x v="20"/>
    <x v="0"/>
    <x v="1"/>
    <n v="9.1300000000000008"/>
    <n v="43356"/>
    <n v="169235.78"/>
    <x v="2"/>
  </r>
  <r>
    <x v="3"/>
    <x v="1"/>
    <x v="7"/>
    <x v="2"/>
    <x v="21"/>
    <x v="0"/>
    <x v="1"/>
    <n v="0"/>
    <n v="0"/>
    <n v="0"/>
    <x v="2"/>
  </r>
  <r>
    <x v="3"/>
    <x v="1"/>
    <x v="7"/>
    <x v="2"/>
    <x v="22"/>
    <x v="0"/>
    <x v="1"/>
    <n v="4.34"/>
    <n v="20609.53"/>
    <n v="80494.81"/>
    <x v="2"/>
  </r>
  <r>
    <x v="3"/>
    <x v="1"/>
    <x v="7"/>
    <x v="2"/>
    <x v="29"/>
    <x v="0"/>
    <x v="1"/>
    <n v="1.31"/>
    <n v="6220.85"/>
    <n v="24304.09"/>
    <x v="2"/>
  </r>
  <r>
    <x v="3"/>
    <x v="1"/>
    <x v="7"/>
    <x v="2"/>
    <x v="24"/>
    <x v="0"/>
    <x v="1"/>
    <n v="1.94"/>
    <n v="9212.56"/>
    <n v="36034.379999999997"/>
    <x v="2"/>
  </r>
  <r>
    <x v="3"/>
    <x v="1"/>
    <x v="7"/>
    <x v="3"/>
    <x v="25"/>
    <x v="0"/>
    <x v="1"/>
    <n v="2.35"/>
    <n v="11159.54"/>
    <n v="43498.82"/>
    <x v="2"/>
  </r>
  <r>
    <x v="3"/>
    <x v="1"/>
    <x v="7"/>
    <x v="3"/>
    <x v="26"/>
    <x v="0"/>
    <x v="1"/>
    <n v="1.75"/>
    <n v="8310.2999999999993"/>
    <n v="32445.5"/>
    <x v="2"/>
  </r>
  <r>
    <x v="3"/>
    <x v="1"/>
    <x v="7"/>
    <x v="3"/>
    <x v="27"/>
    <x v="0"/>
    <x v="1"/>
    <n v="5.84"/>
    <n v="27732.639999999999"/>
    <n v="108166.17"/>
    <x v="2"/>
  </r>
  <r>
    <x v="3"/>
    <x v="1"/>
    <x v="7"/>
    <x v="0"/>
    <x v="0"/>
    <x v="1"/>
    <x v="0"/>
    <n v="2.63"/>
    <n v="12489.19"/>
    <n v="31934.71"/>
    <x v="2"/>
  </r>
  <r>
    <x v="3"/>
    <x v="1"/>
    <x v="7"/>
    <x v="0"/>
    <x v="1"/>
    <x v="1"/>
    <x v="0"/>
    <n v="11.36"/>
    <n v="53945.69"/>
    <n v="135358.26"/>
    <x v="2"/>
  </r>
  <r>
    <x v="3"/>
    <x v="1"/>
    <x v="7"/>
    <x v="0"/>
    <x v="2"/>
    <x v="1"/>
    <x v="0"/>
    <n v="3.37"/>
    <n v="16003.25"/>
    <n v="38802.65"/>
    <x v="2"/>
  </r>
  <r>
    <x v="3"/>
    <x v="1"/>
    <x v="7"/>
    <x v="0"/>
    <x v="3"/>
    <x v="1"/>
    <x v="0"/>
    <n v="12.22"/>
    <n v="58029.599999999999"/>
    <n v="146299.60999999999"/>
    <x v="2"/>
  </r>
  <r>
    <x v="3"/>
    <x v="1"/>
    <x v="7"/>
    <x v="0"/>
    <x v="28"/>
    <x v="1"/>
    <x v="0"/>
    <n v="0"/>
    <n v="0"/>
    <n v="0"/>
    <x v="2"/>
  </r>
  <r>
    <x v="3"/>
    <x v="1"/>
    <x v="7"/>
    <x v="0"/>
    <x v="4"/>
    <x v="1"/>
    <x v="0"/>
    <n v="4.9400000000000004"/>
    <n v="23458.78"/>
    <n v="58585.919999999998"/>
    <x v="2"/>
  </r>
  <r>
    <x v="3"/>
    <x v="1"/>
    <x v="7"/>
    <x v="0"/>
    <x v="5"/>
    <x v="1"/>
    <x v="0"/>
    <n v="1.83"/>
    <n v="8690.19"/>
    <n v="22336.65"/>
    <x v="2"/>
  </r>
  <r>
    <x v="3"/>
    <x v="1"/>
    <x v="7"/>
    <x v="0"/>
    <x v="6"/>
    <x v="1"/>
    <x v="0"/>
    <n v="0"/>
    <n v="0"/>
    <n v="0"/>
    <x v="2"/>
  </r>
  <r>
    <x v="3"/>
    <x v="1"/>
    <x v="7"/>
    <x v="0"/>
    <x v="7"/>
    <x v="1"/>
    <x v="0"/>
    <n v="0"/>
    <n v="0"/>
    <n v="0"/>
    <x v="2"/>
  </r>
  <r>
    <x v="3"/>
    <x v="1"/>
    <x v="7"/>
    <x v="0"/>
    <x v="8"/>
    <x v="1"/>
    <x v="0"/>
    <n v="0"/>
    <n v="0"/>
    <n v="0"/>
    <x v="2"/>
  </r>
  <r>
    <x v="3"/>
    <x v="1"/>
    <x v="7"/>
    <x v="1"/>
    <x v="30"/>
    <x v="1"/>
    <x v="0"/>
    <n v="1.4"/>
    <n v="6648.24"/>
    <n v="17825"/>
    <x v="2"/>
  </r>
  <r>
    <x v="3"/>
    <x v="1"/>
    <x v="7"/>
    <x v="1"/>
    <x v="9"/>
    <x v="1"/>
    <x v="0"/>
    <n v="0"/>
    <n v="0"/>
    <n v="0"/>
    <x v="2"/>
  </r>
  <r>
    <x v="3"/>
    <x v="1"/>
    <x v="7"/>
    <x v="1"/>
    <x v="31"/>
    <x v="1"/>
    <x v="0"/>
    <n v="1.52"/>
    <n v="7218.08"/>
    <n v="19593.599999999999"/>
    <x v="2"/>
  </r>
  <r>
    <x v="3"/>
    <x v="1"/>
    <x v="7"/>
    <x v="1"/>
    <x v="10"/>
    <x v="1"/>
    <x v="0"/>
    <n v="4.84"/>
    <n v="22983.9"/>
    <n v="61206.39"/>
    <x v="2"/>
  </r>
  <r>
    <x v="3"/>
    <x v="1"/>
    <x v="7"/>
    <x v="1"/>
    <x v="11"/>
    <x v="1"/>
    <x v="0"/>
    <n v="7.42"/>
    <n v="35235.65"/>
    <n v="89374.37"/>
    <x v="2"/>
  </r>
  <r>
    <x v="3"/>
    <x v="1"/>
    <x v="7"/>
    <x v="1"/>
    <x v="12"/>
    <x v="1"/>
    <x v="0"/>
    <n v="2.3199999999999998"/>
    <n v="11017.08"/>
    <n v="29383.08"/>
    <x v="2"/>
  </r>
  <r>
    <x v="3"/>
    <x v="1"/>
    <x v="7"/>
    <x v="1"/>
    <x v="13"/>
    <x v="1"/>
    <x v="0"/>
    <n v="1.2"/>
    <n v="5698.49"/>
    <n v="15113.22"/>
    <x v="2"/>
  </r>
  <r>
    <x v="3"/>
    <x v="1"/>
    <x v="7"/>
    <x v="1"/>
    <x v="14"/>
    <x v="1"/>
    <x v="0"/>
    <n v="11.7"/>
    <n v="55560.26"/>
    <n v="144870.68"/>
    <x v="2"/>
  </r>
  <r>
    <x v="3"/>
    <x v="1"/>
    <x v="7"/>
    <x v="1"/>
    <x v="15"/>
    <x v="1"/>
    <x v="0"/>
    <n v="4.24"/>
    <n v="20134.66"/>
    <n v="54290.2"/>
    <x v="2"/>
  </r>
  <r>
    <x v="3"/>
    <x v="1"/>
    <x v="7"/>
    <x v="1"/>
    <x v="16"/>
    <x v="1"/>
    <x v="0"/>
    <n v="2.27"/>
    <n v="10779.64"/>
    <n v="27678.18"/>
    <x v="2"/>
  </r>
  <r>
    <x v="3"/>
    <x v="1"/>
    <x v="7"/>
    <x v="1"/>
    <x v="17"/>
    <x v="1"/>
    <x v="0"/>
    <n v="7.22"/>
    <n v="34285.9"/>
    <n v="88855.64"/>
    <x v="2"/>
  </r>
  <r>
    <x v="3"/>
    <x v="1"/>
    <x v="7"/>
    <x v="1"/>
    <x v="18"/>
    <x v="1"/>
    <x v="0"/>
    <n v="5.0599999999999996"/>
    <n v="24028.62"/>
    <n v="65168.44"/>
    <x v="2"/>
  </r>
  <r>
    <x v="3"/>
    <x v="1"/>
    <x v="7"/>
    <x v="1"/>
    <x v="19"/>
    <x v="1"/>
    <x v="0"/>
    <n v="7.17"/>
    <n v="34048.47"/>
    <n v="89633.99"/>
    <x v="2"/>
  </r>
  <r>
    <x v="3"/>
    <x v="1"/>
    <x v="7"/>
    <x v="1"/>
    <x v="20"/>
    <x v="1"/>
    <x v="0"/>
    <n v="12.15"/>
    <n v="57697.19"/>
    <n v="149375.82"/>
    <x v="2"/>
  </r>
  <r>
    <x v="3"/>
    <x v="1"/>
    <x v="7"/>
    <x v="2"/>
    <x v="21"/>
    <x v="1"/>
    <x v="0"/>
    <n v="0"/>
    <n v="0"/>
    <n v="0"/>
    <x v="2"/>
  </r>
  <r>
    <x v="3"/>
    <x v="1"/>
    <x v="7"/>
    <x v="2"/>
    <x v="22"/>
    <x v="1"/>
    <x v="0"/>
    <n v="3.8"/>
    <n v="18045.21"/>
    <n v="42840.28"/>
    <x v="2"/>
  </r>
  <r>
    <x v="3"/>
    <x v="1"/>
    <x v="7"/>
    <x v="2"/>
    <x v="29"/>
    <x v="1"/>
    <x v="0"/>
    <n v="0"/>
    <n v="0"/>
    <n v="0"/>
    <x v="2"/>
  </r>
  <r>
    <x v="3"/>
    <x v="1"/>
    <x v="7"/>
    <x v="2"/>
    <x v="23"/>
    <x v="1"/>
    <x v="0"/>
    <n v="0"/>
    <n v="0"/>
    <n v="0"/>
    <x v="2"/>
  </r>
  <r>
    <x v="3"/>
    <x v="1"/>
    <x v="7"/>
    <x v="2"/>
    <x v="24"/>
    <x v="1"/>
    <x v="0"/>
    <n v="2.0299999999999998"/>
    <n v="9639.94"/>
    <n v="23354.91"/>
    <x v="2"/>
  </r>
  <r>
    <x v="3"/>
    <x v="1"/>
    <x v="7"/>
    <x v="3"/>
    <x v="25"/>
    <x v="1"/>
    <x v="0"/>
    <n v="7.76"/>
    <n v="36850.22"/>
    <n v="98487.5"/>
    <x v="2"/>
  </r>
  <r>
    <x v="3"/>
    <x v="1"/>
    <x v="7"/>
    <x v="3"/>
    <x v="26"/>
    <x v="1"/>
    <x v="0"/>
    <n v="5.34"/>
    <n v="25358.27"/>
    <n v="68339.429999999993"/>
    <x v="2"/>
  </r>
  <r>
    <x v="3"/>
    <x v="1"/>
    <x v="7"/>
    <x v="3"/>
    <x v="27"/>
    <x v="1"/>
    <x v="0"/>
    <n v="9.75"/>
    <n v="46300.22"/>
    <n v="122327.09"/>
    <x v="2"/>
  </r>
  <r>
    <x v="3"/>
    <x v="1"/>
    <x v="7"/>
    <x v="0"/>
    <x v="0"/>
    <x v="1"/>
    <x v="1"/>
    <n v="4.4800000000000004"/>
    <n v="21274.36"/>
    <n v="54289"/>
    <x v="2"/>
  </r>
  <r>
    <x v="3"/>
    <x v="1"/>
    <x v="7"/>
    <x v="0"/>
    <x v="1"/>
    <x v="1"/>
    <x v="1"/>
    <n v="20.39"/>
    <n v="96826.81"/>
    <n v="243029.61"/>
    <x v="2"/>
  </r>
  <r>
    <x v="3"/>
    <x v="1"/>
    <x v="7"/>
    <x v="0"/>
    <x v="2"/>
    <x v="1"/>
    <x v="1"/>
    <n v="8.56"/>
    <n v="40649.21"/>
    <n v="98499.02"/>
    <x v="2"/>
  </r>
  <r>
    <x v="3"/>
    <x v="1"/>
    <x v="7"/>
    <x v="0"/>
    <x v="3"/>
    <x v="1"/>
    <x v="1"/>
    <n v="21.6"/>
    <n v="102572.78"/>
    <n v="258600.02"/>
    <x v="2"/>
  </r>
  <r>
    <x v="3"/>
    <x v="1"/>
    <x v="7"/>
    <x v="0"/>
    <x v="28"/>
    <x v="1"/>
    <x v="1"/>
    <n v="2.69"/>
    <n v="12774.11"/>
    <n v="32615.53"/>
    <x v="2"/>
  </r>
  <r>
    <x v="3"/>
    <x v="1"/>
    <x v="7"/>
    <x v="0"/>
    <x v="4"/>
    <x v="1"/>
    <x v="1"/>
    <n v="5.34"/>
    <n v="25358.27"/>
    <n v="63310.59"/>
    <x v="2"/>
  </r>
  <r>
    <x v="3"/>
    <x v="1"/>
    <x v="7"/>
    <x v="0"/>
    <x v="5"/>
    <x v="1"/>
    <x v="1"/>
    <n v="13.85"/>
    <n v="65770.05"/>
    <n v="169120.34"/>
    <x v="2"/>
  </r>
  <r>
    <x v="3"/>
    <x v="1"/>
    <x v="7"/>
    <x v="0"/>
    <x v="6"/>
    <x v="1"/>
    <x v="1"/>
    <n v="1.72"/>
    <n v="8167.83"/>
    <n v="20909.18"/>
    <x v="2"/>
  </r>
  <r>
    <x v="3"/>
    <x v="1"/>
    <x v="7"/>
    <x v="0"/>
    <x v="7"/>
    <x v="1"/>
    <x v="1"/>
    <n v="4.97"/>
    <n v="23601.24"/>
    <n v="61519.72"/>
    <x v="2"/>
  </r>
  <r>
    <x v="3"/>
    <x v="1"/>
    <x v="7"/>
    <x v="0"/>
    <x v="8"/>
    <x v="1"/>
    <x v="1"/>
    <n v="2.93"/>
    <n v="13913.81"/>
    <n v="34599.120000000003"/>
    <x v="2"/>
  </r>
  <r>
    <x v="3"/>
    <x v="1"/>
    <x v="7"/>
    <x v="1"/>
    <x v="30"/>
    <x v="1"/>
    <x v="1"/>
    <n v="0"/>
    <n v="0"/>
    <n v="0"/>
    <x v="2"/>
  </r>
  <r>
    <x v="3"/>
    <x v="1"/>
    <x v="7"/>
    <x v="1"/>
    <x v="9"/>
    <x v="1"/>
    <x v="1"/>
    <n v="3.08"/>
    <n v="14626.12"/>
    <n v="39239.26"/>
    <x v="2"/>
  </r>
  <r>
    <x v="3"/>
    <x v="1"/>
    <x v="7"/>
    <x v="1"/>
    <x v="31"/>
    <x v="1"/>
    <x v="1"/>
    <n v="0"/>
    <n v="0"/>
    <n v="0"/>
    <x v="2"/>
  </r>
  <r>
    <x v="3"/>
    <x v="1"/>
    <x v="7"/>
    <x v="1"/>
    <x v="10"/>
    <x v="1"/>
    <x v="1"/>
    <n v="27.95"/>
    <n v="132727.28"/>
    <n v="353278.96"/>
    <x v="2"/>
  </r>
  <r>
    <x v="3"/>
    <x v="1"/>
    <x v="7"/>
    <x v="1"/>
    <x v="11"/>
    <x v="1"/>
    <x v="1"/>
    <n v="23.97"/>
    <n v="113827.3"/>
    <n v="288747.95"/>
    <x v="2"/>
  </r>
  <r>
    <x v="3"/>
    <x v="1"/>
    <x v="7"/>
    <x v="1"/>
    <x v="12"/>
    <x v="1"/>
    <x v="1"/>
    <n v="2.58"/>
    <n v="12251.75"/>
    <n v="32647.87"/>
    <x v="2"/>
  </r>
  <r>
    <x v="3"/>
    <x v="1"/>
    <x v="7"/>
    <x v="1"/>
    <x v="13"/>
    <x v="1"/>
    <x v="1"/>
    <n v="10.01"/>
    <n v="47534.89"/>
    <n v="126303.36"/>
    <x v="2"/>
  </r>
  <r>
    <x v="3"/>
    <x v="1"/>
    <x v="7"/>
    <x v="1"/>
    <x v="14"/>
    <x v="1"/>
    <x v="1"/>
    <n v="7.92"/>
    <n v="37610.019999999997"/>
    <n v="98032.79"/>
    <x v="2"/>
  </r>
  <r>
    <x v="3"/>
    <x v="1"/>
    <x v="7"/>
    <x v="1"/>
    <x v="15"/>
    <x v="1"/>
    <x v="1"/>
    <n v="2.12"/>
    <n v="10067.33"/>
    <n v="27145.1"/>
    <x v="2"/>
  </r>
  <r>
    <x v="3"/>
    <x v="1"/>
    <x v="7"/>
    <x v="1"/>
    <x v="16"/>
    <x v="1"/>
    <x v="1"/>
    <n v="7.7"/>
    <n v="36565.300000000003"/>
    <n v="93908.12"/>
    <x v="2"/>
  </r>
  <r>
    <x v="3"/>
    <x v="1"/>
    <x v="7"/>
    <x v="1"/>
    <x v="17"/>
    <x v="1"/>
    <x v="1"/>
    <n v="5.96"/>
    <n v="28302.49"/>
    <n v="73357.56"/>
    <x v="2"/>
  </r>
  <r>
    <x v="3"/>
    <x v="1"/>
    <x v="7"/>
    <x v="1"/>
    <x v="18"/>
    <x v="1"/>
    <x v="1"/>
    <n v="16.899999999999999"/>
    <n v="80253.710000000006"/>
    <n v="217778.09"/>
    <x v="2"/>
  </r>
  <r>
    <x v="3"/>
    <x v="1"/>
    <x v="7"/>
    <x v="1"/>
    <x v="19"/>
    <x v="1"/>
    <x v="1"/>
    <n v="13.24"/>
    <n v="62873.32"/>
    <n v="165396.06"/>
    <x v="2"/>
  </r>
  <r>
    <x v="3"/>
    <x v="1"/>
    <x v="7"/>
    <x v="1"/>
    <x v="20"/>
    <x v="1"/>
    <x v="1"/>
    <n v="18.09"/>
    <n v="85904.71"/>
    <n v="222299.45"/>
    <x v="2"/>
  </r>
  <r>
    <x v="3"/>
    <x v="1"/>
    <x v="7"/>
    <x v="2"/>
    <x v="21"/>
    <x v="1"/>
    <x v="1"/>
    <n v="0.77"/>
    <n v="3656.53"/>
    <n v="8745.61"/>
    <x v="2"/>
  </r>
  <r>
    <x v="3"/>
    <x v="1"/>
    <x v="7"/>
    <x v="2"/>
    <x v="22"/>
    <x v="1"/>
    <x v="1"/>
    <n v="9"/>
    <n v="42738.66"/>
    <n v="101608.37"/>
    <x v="2"/>
  </r>
  <r>
    <x v="3"/>
    <x v="1"/>
    <x v="7"/>
    <x v="2"/>
    <x v="29"/>
    <x v="1"/>
    <x v="1"/>
    <n v="0.86"/>
    <n v="4083.92"/>
    <n v="10328"/>
    <x v="2"/>
  </r>
  <r>
    <x v="3"/>
    <x v="1"/>
    <x v="7"/>
    <x v="2"/>
    <x v="23"/>
    <x v="1"/>
    <x v="1"/>
    <n v="2.87"/>
    <n v="13628.88"/>
    <n v="33766.39"/>
    <x v="2"/>
  </r>
  <r>
    <x v="3"/>
    <x v="1"/>
    <x v="7"/>
    <x v="2"/>
    <x v="24"/>
    <x v="1"/>
    <x v="1"/>
    <n v="3.81"/>
    <n v="18092.7"/>
    <n v="43790.46"/>
    <x v="2"/>
  </r>
  <r>
    <x v="3"/>
    <x v="1"/>
    <x v="7"/>
    <x v="3"/>
    <x v="25"/>
    <x v="1"/>
    <x v="1"/>
    <n v="6.99"/>
    <n v="33193.69"/>
    <n v="88760.34"/>
    <x v="2"/>
  </r>
  <r>
    <x v="3"/>
    <x v="1"/>
    <x v="7"/>
    <x v="3"/>
    <x v="26"/>
    <x v="1"/>
    <x v="1"/>
    <n v="16.63"/>
    <n v="78971.55"/>
    <n v="212734.04"/>
    <x v="2"/>
  </r>
  <r>
    <x v="3"/>
    <x v="1"/>
    <x v="7"/>
    <x v="3"/>
    <x v="27"/>
    <x v="1"/>
    <x v="1"/>
    <n v="27.95"/>
    <n v="132727.28"/>
    <n v="350743.16"/>
    <x v="2"/>
  </r>
  <r>
    <x v="3"/>
    <x v="1"/>
    <x v="8"/>
    <x v="0"/>
    <x v="0"/>
    <x v="0"/>
    <x v="0"/>
    <n v="2.2999999999999998"/>
    <n v="7742.17"/>
    <n v="27778.44"/>
    <x v="2"/>
  </r>
  <r>
    <x v="3"/>
    <x v="1"/>
    <x v="8"/>
    <x v="0"/>
    <x v="1"/>
    <x v="0"/>
    <x v="0"/>
    <n v="7.5"/>
    <n v="25246.2"/>
    <n v="90570.92"/>
    <x v="2"/>
  </r>
  <r>
    <x v="3"/>
    <x v="1"/>
    <x v="8"/>
    <x v="0"/>
    <x v="2"/>
    <x v="0"/>
    <x v="0"/>
    <n v="0"/>
    <n v="0"/>
    <n v="0"/>
    <x v="2"/>
  </r>
  <r>
    <x v="3"/>
    <x v="1"/>
    <x v="8"/>
    <x v="0"/>
    <x v="3"/>
    <x v="0"/>
    <x v="0"/>
    <n v="2.77"/>
    <n v="9324.26"/>
    <n v="33445.97"/>
    <x v="2"/>
  </r>
  <r>
    <x v="3"/>
    <x v="1"/>
    <x v="8"/>
    <x v="0"/>
    <x v="4"/>
    <x v="0"/>
    <x v="0"/>
    <n v="0"/>
    <n v="0"/>
    <n v="0"/>
    <x v="2"/>
  </r>
  <r>
    <x v="3"/>
    <x v="1"/>
    <x v="8"/>
    <x v="0"/>
    <x v="5"/>
    <x v="0"/>
    <x v="0"/>
    <n v="0"/>
    <n v="0"/>
    <n v="0"/>
    <x v="2"/>
  </r>
  <r>
    <x v="3"/>
    <x v="1"/>
    <x v="8"/>
    <x v="0"/>
    <x v="6"/>
    <x v="0"/>
    <x v="0"/>
    <n v="0"/>
    <n v="0"/>
    <n v="0"/>
    <x v="2"/>
  </r>
  <r>
    <x v="3"/>
    <x v="1"/>
    <x v="8"/>
    <x v="0"/>
    <x v="8"/>
    <x v="0"/>
    <x v="0"/>
    <n v="0"/>
    <n v="0"/>
    <n v="0"/>
    <x v="2"/>
  </r>
  <r>
    <x v="3"/>
    <x v="1"/>
    <x v="8"/>
    <x v="1"/>
    <x v="10"/>
    <x v="0"/>
    <x v="0"/>
    <n v="1.63"/>
    <n v="5486.84"/>
    <n v="19685.23"/>
    <x v="2"/>
  </r>
  <r>
    <x v="3"/>
    <x v="1"/>
    <x v="8"/>
    <x v="1"/>
    <x v="11"/>
    <x v="0"/>
    <x v="0"/>
    <n v="0"/>
    <n v="0"/>
    <n v="0"/>
    <x v="2"/>
  </r>
  <r>
    <x v="3"/>
    <x v="1"/>
    <x v="8"/>
    <x v="1"/>
    <x v="13"/>
    <x v="0"/>
    <x v="0"/>
    <n v="0"/>
    <n v="0"/>
    <n v="0"/>
    <x v="2"/>
  </r>
  <r>
    <x v="3"/>
    <x v="1"/>
    <x v="8"/>
    <x v="1"/>
    <x v="14"/>
    <x v="0"/>
    <x v="0"/>
    <n v="0"/>
    <n v="0"/>
    <n v="0"/>
    <x v="2"/>
  </r>
  <r>
    <x v="3"/>
    <x v="1"/>
    <x v="8"/>
    <x v="1"/>
    <x v="16"/>
    <x v="0"/>
    <x v="0"/>
    <n v="0"/>
    <n v="0"/>
    <n v="0"/>
    <x v="2"/>
  </r>
  <r>
    <x v="3"/>
    <x v="1"/>
    <x v="8"/>
    <x v="1"/>
    <x v="17"/>
    <x v="0"/>
    <x v="0"/>
    <n v="0"/>
    <n v="0"/>
    <n v="0"/>
    <x v="2"/>
  </r>
  <r>
    <x v="3"/>
    <x v="1"/>
    <x v="8"/>
    <x v="1"/>
    <x v="18"/>
    <x v="0"/>
    <x v="0"/>
    <n v="0"/>
    <n v="0"/>
    <n v="0"/>
    <x v="2"/>
  </r>
  <r>
    <x v="3"/>
    <x v="1"/>
    <x v="8"/>
    <x v="1"/>
    <x v="19"/>
    <x v="0"/>
    <x v="0"/>
    <n v="0"/>
    <n v="0"/>
    <n v="0"/>
    <x v="2"/>
  </r>
  <r>
    <x v="3"/>
    <x v="1"/>
    <x v="8"/>
    <x v="1"/>
    <x v="20"/>
    <x v="0"/>
    <x v="0"/>
    <n v="3.33"/>
    <n v="11209.31"/>
    <n v="40210.32"/>
    <x v="2"/>
  </r>
  <r>
    <x v="3"/>
    <x v="1"/>
    <x v="8"/>
    <x v="2"/>
    <x v="21"/>
    <x v="0"/>
    <x v="0"/>
    <n v="2.82"/>
    <n v="9492.57"/>
    <n v="34059"/>
    <x v="2"/>
  </r>
  <r>
    <x v="3"/>
    <x v="1"/>
    <x v="8"/>
    <x v="2"/>
    <x v="22"/>
    <x v="0"/>
    <x v="0"/>
    <n v="0"/>
    <n v="0"/>
    <n v="0"/>
    <x v="2"/>
  </r>
  <r>
    <x v="3"/>
    <x v="1"/>
    <x v="8"/>
    <x v="2"/>
    <x v="29"/>
    <x v="0"/>
    <x v="0"/>
    <n v="0"/>
    <n v="0"/>
    <n v="0"/>
    <x v="2"/>
  </r>
  <r>
    <x v="3"/>
    <x v="1"/>
    <x v="8"/>
    <x v="2"/>
    <x v="24"/>
    <x v="0"/>
    <x v="0"/>
    <n v="0"/>
    <n v="0"/>
    <n v="0"/>
    <x v="2"/>
  </r>
  <r>
    <x v="3"/>
    <x v="1"/>
    <x v="8"/>
    <x v="3"/>
    <x v="25"/>
    <x v="0"/>
    <x v="0"/>
    <n v="0"/>
    <n v="0"/>
    <n v="0"/>
    <x v="2"/>
  </r>
  <r>
    <x v="3"/>
    <x v="1"/>
    <x v="8"/>
    <x v="3"/>
    <x v="26"/>
    <x v="0"/>
    <x v="0"/>
    <n v="3.29"/>
    <n v="11074.67"/>
    <n v="39755.15"/>
    <x v="2"/>
  </r>
  <r>
    <x v="3"/>
    <x v="1"/>
    <x v="8"/>
    <x v="3"/>
    <x v="27"/>
    <x v="0"/>
    <x v="0"/>
    <n v="2.79"/>
    <n v="9391.59"/>
    <n v="33734.400000000001"/>
    <x v="2"/>
  </r>
  <r>
    <x v="3"/>
    <x v="1"/>
    <x v="8"/>
    <x v="0"/>
    <x v="0"/>
    <x v="0"/>
    <x v="1"/>
    <n v="2.0299999999999998"/>
    <n v="6833.3"/>
    <n v="24573.24"/>
    <x v="2"/>
  </r>
  <r>
    <x v="3"/>
    <x v="1"/>
    <x v="8"/>
    <x v="0"/>
    <x v="1"/>
    <x v="0"/>
    <x v="1"/>
    <n v="8.67"/>
    <n v="29184.61"/>
    <n v="104671.78"/>
    <x v="2"/>
  </r>
  <r>
    <x v="3"/>
    <x v="1"/>
    <x v="8"/>
    <x v="0"/>
    <x v="2"/>
    <x v="0"/>
    <x v="1"/>
    <n v="4.82"/>
    <n v="16224.89"/>
    <n v="58206.9"/>
    <x v="2"/>
  </r>
  <r>
    <x v="3"/>
    <x v="1"/>
    <x v="8"/>
    <x v="0"/>
    <x v="3"/>
    <x v="0"/>
    <x v="1"/>
    <n v="8.93"/>
    <n v="30059.81"/>
    <n v="107890.21"/>
    <x v="2"/>
  </r>
  <r>
    <x v="3"/>
    <x v="1"/>
    <x v="8"/>
    <x v="0"/>
    <x v="4"/>
    <x v="0"/>
    <x v="1"/>
    <n v="2.5099999999999998"/>
    <n v="8449.06"/>
    <n v="30259.13"/>
    <x v="2"/>
  </r>
  <r>
    <x v="3"/>
    <x v="1"/>
    <x v="8"/>
    <x v="0"/>
    <x v="5"/>
    <x v="0"/>
    <x v="1"/>
    <n v="4.88"/>
    <n v="16426.86"/>
    <n v="58963.519999999997"/>
    <x v="2"/>
  </r>
  <r>
    <x v="3"/>
    <x v="1"/>
    <x v="8"/>
    <x v="0"/>
    <x v="6"/>
    <x v="0"/>
    <x v="1"/>
    <n v="4.01"/>
    <n v="13498.3"/>
    <n v="48411.51"/>
    <x v="2"/>
  </r>
  <r>
    <x v="3"/>
    <x v="1"/>
    <x v="8"/>
    <x v="0"/>
    <x v="8"/>
    <x v="0"/>
    <x v="1"/>
    <n v="4.12"/>
    <n v="13868.58"/>
    <n v="49798.68"/>
    <x v="2"/>
  </r>
  <r>
    <x v="3"/>
    <x v="1"/>
    <x v="8"/>
    <x v="1"/>
    <x v="10"/>
    <x v="0"/>
    <x v="1"/>
    <n v="5.52"/>
    <n v="18581.2"/>
    <n v="66711.05"/>
    <x v="2"/>
  </r>
  <r>
    <x v="3"/>
    <x v="1"/>
    <x v="8"/>
    <x v="1"/>
    <x v="11"/>
    <x v="0"/>
    <x v="1"/>
    <n v="13.33"/>
    <n v="44870.91"/>
    <n v="160979.67000000001"/>
    <x v="2"/>
  </r>
  <r>
    <x v="3"/>
    <x v="1"/>
    <x v="8"/>
    <x v="1"/>
    <x v="13"/>
    <x v="0"/>
    <x v="1"/>
    <n v="5.94"/>
    <n v="19994.990000000002"/>
    <n v="71781.38"/>
    <x v="2"/>
  </r>
  <r>
    <x v="3"/>
    <x v="1"/>
    <x v="8"/>
    <x v="1"/>
    <x v="14"/>
    <x v="0"/>
    <x v="1"/>
    <n v="2.87"/>
    <n v="9660.8799999999992"/>
    <n v="34624.75"/>
    <x v="2"/>
  </r>
  <r>
    <x v="3"/>
    <x v="1"/>
    <x v="8"/>
    <x v="1"/>
    <x v="16"/>
    <x v="0"/>
    <x v="1"/>
    <n v="2.71"/>
    <n v="9122.2900000000009"/>
    <n v="32716.41"/>
    <x v="2"/>
  </r>
  <r>
    <x v="3"/>
    <x v="1"/>
    <x v="8"/>
    <x v="1"/>
    <x v="17"/>
    <x v="0"/>
    <x v="1"/>
    <n v="2.42"/>
    <n v="8146.11"/>
    <n v="29179.23"/>
    <x v="2"/>
  </r>
  <r>
    <x v="3"/>
    <x v="1"/>
    <x v="8"/>
    <x v="1"/>
    <x v="18"/>
    <x v="0"/>
    <x v="1"/>
    <n v="16.510000000000002"/>
    <n v="55575.3"/>
    <n v="199439.84"/>
    <x v="2"/>
  </r>
  <r>
    <x v="3"/>
    <x v="1"/>
    <x v="8"/>
    <x v="1"/>
    <x v="19"/>
    <x v="0"/>
    <x v="1"/>
    <n v="4.5"/>
    <n v="15147.72"/>
    <n v="54328.62"/>
    <x v="2"/>
  </r>
  <r>
    <x v="3"/>
    <x v="1"/>
    <x v="8"/>
    <x v="1"/>
    <x v="20"/>
    <x v="0"/>
    <x v="1"/>
    <n v="14.58"/>
    <n v="49078.61"/>
    <n v="176055.99"/>
    <x v="2"/>
  </r>
  <r>
    <x v="3"/>
    <x v="1"/>
    <x v="8"/>
    <x v="2"/>
    <x v="21"/>
    <x v="0"/>
    <x v="1"/>
    <n v="0"/>
    <n v="0"/>
    <n v="0"/>
    <x v="2"/>
  </r>
  <r>
    <x v="3"/>
    <x v="1"/>
    <x v="8"/>
    <x v="2"/>
    <x v="22"/>
    <x v="0"/>
    <x v="1"/>
    <n v="5.79"/>
    <n v="19490.07"/>
    <n v="69968.91"/>
    <x v="2"/>
  </r>
  <r>
    <x v="3"/>
    <x v="1"/>
    <x v="8"/>
    <x v="2"/>
    <x v="29"/>
    <x v="0"/>
    <x v="1"/>
    <n v="2.21"/>
    <n v="7439.21"/>
    <n v="26697.56"/>
    <x v="2"/>
  </r>
  <r>
    <x v="3"/>
    <x v="1"/>
    <x v="8"/>
    <x v="2"/>
    <x v="24"/>
    <x v="0"/>
    <x v="1"/>
    <n v="3.98"/>
    <n v="13397.32"/>
    <n v="48082.3"/>
    <x v="2"/>
  </r>
  <r>
    <x v="3"/>
    <x v="1"/>
    <x v="8"/>
    <x v="3"/>
    <x v="25"/>
    <x v="0"/>
    <x v="1"/>
    <n v="3.58"/>
    <n v="12050.85"/>
    <n v="43224.39"/>
    <x v="2"/>
  </r>
  <r>
    <x v="3"/>
    <x v="1"/>
    <x v="8"/>
    <x v="3"/>
    <x v="26"/>
    <x v="0"/>
    <x v="1"/>
    <n v="3.2"/>
    <n v="10771.71"/>
    <n v="38585.879999999997"/>
    <x v="2"/>
  </r>
  <r>
    <x v="3"/>
    <x v="1"/>
    <x v="8"/>
    <x v="3"/>
    <x v="27"/>
    <x v="0"/>
    <x v="1"/>
    <n v="10"/>
    <n v="33661.599999999999"/>
    <n v="120790.91"/>
    <x v="2"/>
  </r>
  <r>
    <x v="3"/>
    <x v="1"/>
    <x v="8"/>
    <x v="0"/>
    <x v="0"/>
    <x v="1"/>
    <x v="0"/>
    <n v="5.62"/>
    <n v="18917.82"/>
    <n v="44362.52"/>
    <x v="2"/>
  </r>
  <r>
    <x v="3"/>
    <x v="1"/>
    <x v="8"/>
    <x v="0"/>
    <x v="1"/>
    <x v="1"/>
    <x v="0"/>
    <n v="17.149999999999999"/>
    <n v="57729.64"/>
    <n v="133154.31"/>
    <x v="2"/>
  </r>
  <r>
    <x v="3"/>
    <x v="1"/>
    <x v="8"/>
    <x v="0"/>
    <x v="2"/>
    <x v="1"/>
    <x v="0"/>
    <n v="7.81"/>
    <n v="26289.71"/>
    <n v="58586.05"/>
    <x v="2"/>
  </r>
  <r>
    <x v="3"/>
    <x v="1"/>
    <x v="8"/>
    <x v="0"/>
    <x v="3"/>
    <x v="1"/>
    <x v="0"/>
    <n v="14.87"/>
    <n v="50054.8"/>
    <n v="116000.71"/>
    <x v="2"/>
  </r>
  <r>
    <x v="3"/>
    <x v="1"/>
    <x v="8"/>
    <x v="0"/>
    <x v="28"/>
    <x v="1"/>
    <x v="0"/>
    <n v="0"/>
    <n v="0"/>
    <n v="0"/>
    <x v="2"/>
  </r>
  <r>
    <x v="3"/>
    <x v="1"/>
    <x v="8"/>
    <x v="0"/>
    <x v="4"/>
    <x v="1"/>
    <x v="0"/>
    <n v="10.26"/>
    <n v="34536.800000000003"/>
    <n v="79325.570000000007"/>
    <x v="2"/>
  </r>
  <r>
    <x v="3"/>
    <x v="1"/>
    <x v="8"/>
    <x v="0"/>
    <x v="5"/>
    <x v="1"/>
    <x v="0"/>
    <n v="2.7"/>
    <n v="9088.6299999999992"/>
    <n v="21505.1"/>
    <x v="2"/>
  </r>
  <r>
    <x v="3"/>
    <x v="1"/>
    <x v="8"/>
    <x v="0"/>
    <x v="6"/>
    <x v="1"/>
    <x v="0"/>
    <n v="0"/>
    <n v="0"/>
    <n v="0"/>
    <x v="2"/>
  </r>
  <r>
    <x v="3"/>
    <x v="1"/>
    <x v="8"/>
    <x v="0"/>
    <x v="7"/>
    <x v="1"/>
    <x v="0"/>
    <n v="0"/>
    <n v="0"/>
    <n v="0"/>
    <x v="2"/>
  </r>
  <r>
    <x v="3"/>
    <x v="1"/>
    <x v="8"/>
    <x v="0"/>
    <x v="8"/>
    <x v="1"/>
    <x v="0"/>
    <n v="0"/>
    <n v="0"/>
    <n v="0"/>
    <x v="2"/>
  </r>
  <r>
    <x v="3"/>
    <x v="1"/>
    <x v="8"/>
    <x v="1"/>
    <x v="30"/>
    <x v="1"/>
    <x v="0"/>
    <n v="3.8"/>
    <n v="12791.41"/>
    <n v="31600.799999999999"/>
    <x v="2"/>
  </r>
  <r>
    <x v="3"/>
    <x v="1"/>
    <x v="8"/>
    <x v="1"/>
    <x v="9"/>
    <x v="1"/>
    <x v="0"/>
    <n v="0"/>
    <n v="0"/>
    <n v="0"/>
    <x v="2"/>
  </r>
  <r>
    <x v="3"/>
    <x v="1"/>
    <x v="8"/>
    <x v="1"/>
    <x v="31"/>
    <x v="1"/>
    <x v="0"/>
    <n v="3.95"/>
    <n v="13296.33"/>
    <n v="33149.24"/>
    <x v="2"/>
  </r>
  <r>
    <x v="3"/>
    <x v="1"/>
    <x v="8"/>
    <x v="1"/>
    <x v="10"/>
    <x v="1"/>
    <x v="0"/>
    <n v="12.92"/>
    <n v="43490.79"/>
    <n v="106425.85"/>
    <x v="2"/>
  </r>
  <r>
    <x v="3"/>
    <x v="1"/>
    <x v="8"/>
    <x v="1"/>
    <x v="11"/>
    <x v="1"/>
    <x v="0"/>
    <n v="7.71"/>
    <n v="25953.09"/>
    <n v="60524.94"/>
    <x v="2"/>
  </r>
  <r>
    <x v="3"/>
    <x v="1"/>
    <x v="8"/>
    <x v="1"/>
    <x v="12"/>
    <x v="1"/>
    <x v="0"/>
    <n v="2.1800000000000002"/>
    <n v="7338.23"/>
    <n v="17993.580000000002"/>
    <x v="2"/>
  </r>
  <r>
    <x v="3"/>
    <x v="1"/>
    <x v="8"/>
    <x v="1"/>
    <x v="13"/>
    <x v="1"/>
    <x v="0"/>
    <n v="3.87"/>
    <n v="13027.04"/>
    <n v="31787.73"/>
    <x v="2"/>
  </r>
  <r>
    <x v="3"/>
    <x v="1"/>
    <x v="8"/>
    <x v="1"/>
    <x v="14"/>
    <x v="1"/>
    <x v="0"/>
    <n v="14.29"/>
    <n v="48102.43"/>
    <n v="115239.5"/>
    <x v="2"/>
  </r>
  <r>
    <x v="3"/>
    <x v="1"/>
    <x v="8"/>
    <x v="1"/>
    <x v="15"/>
    <x v="1"/>
    <x v="0"/>
    <n v="2.62"/>
    <n v="8819.34"/>
    <n v="21838.58"/>
    <x v="2"/>
  </r>
  <r>
    <x v="3"/>
    <x v="1"/>
    <x v="8"/>
    <x v="1"/>
    <x v="16"/>
    <x v="1"/>
    <x v="0"/>
    <n v="8.75"/>
    <n v="29453.9"/>
    <n v="69553.83"/>
    <x v="2"/>
  </r>
  <r>
    <x v="3"/>
    <x v="1"/>
    <x v="8"/>
    <x v="1"/>
    <x v="17"/>
    <x v="1"/>
    <x v="0"/>
    <n v="8.2200000000000006"/>
    <n v="27669.84"/>
    <n v="65923.740000000005"/>
    <x v="2"/>
  </r>
  <r>
    <x v="3"/>
    <x v="1"/>
    <x v="8"/>
    <x v="1"/>
    <x v="18"/>
    <x v="1"/>
    <x v="0"/>
    <n v="6.69"/>
    <n v="22519.61"/>
    <n v="56120.02"/>
    <x v="2"/>
  </r>
  <r>
    <x v="3"/>
    <x v="1"/>
    <x v="8"/>
    <x v="1"/>
    <x v="19"/>
    <x v="1"/>
    <x v="0"/>
    <n v="9.86"/>
    <n v="33190.339999999997"/>
    <n v="80234.429999999993"/>
    <x v="2"/>
  </r>
  <r>
    <x v="3"/>
    <x v="1"/>
    <x v="8"/>
    <x v="1"/>
    <x v="20"/>
    <x v="1"/>
    <x v="0"/>
    <n v="14.08"/>
    <n v="47395.53"/>
    <n v="112730.11"/>
    <x v="2"/>
  </r>
  <r>
    <x v="3"/>
    <x v="1"/>
    <x v="8"/>
    <x v="2"/>
    <x v="21"/>
    <x v="1"/>
    <x v="0"/>
    <n v="0"/>
    <n v="0"/>
    <n v="0"/>
    <x v="2"/>
  </r>
  <r>
    <x v="3"/>
    <x v="1"/>
    <x v="8"/>
    <x v="2"/>
    <x v="22"/>
    <x v="1"/>
    <x v="0"/>
    <n v="5.9"/>
    <n v="19860.34"/>
    <n v="43421.66"/>
    <x v="2"/>
  </r>
  <r>
    <x v="3"/>
    <x v="1"/>
    <x v="8"/>
    <x v="2"/>
    <x v="29"/>
    <x v="1"/>
    <x v="0"/>
    <n v="0"/>
    <n v="0"/>
    <n v="0"/>
    <x v="2"/>
  </r>
  <r>
    <x v="3"/>
    <x v="1"/>
    <x v="8"/>
    <x v="2"/>
    <x v="23"/>
    <x v="1"/>
    <x v="0"/>
    <n v="0"/>
    <n v="0"/>
    <n v="0"/>
    <x v="2"/>
  </r>
  <r>
    <x v="3"/>
    <x v="1"/>
    <x v="8"/>
    <x v="2"/>
    <x v="24"/>
    <x v="1"/>
    <x v="0"/>
    <n v="2.19"/>
    <n v="7371.89"/>
    <n v="16399.12"/>
    <x v="2"/>
  </r>
  <r>
    <x v="3"/>
    <x v="1"/>
    <x v="8"/>
    <x v="3"/>
    <x v="25"/>
    <x v="1"/>
    <x v="0"/>
    <n v="9.6"/>
    <n v="32315.14"/>
    <n v="79434.33"/>
    <x v="2"/>
  </r>
  <r>
    <x v="3"/>
    <x v="1"/>
    <x v="8"/>
    <x v="3"/>
    <x v="26"/>
    <x v="1"/>
    <x v="0"/>
    <n v="6.73"/>
    <n v="22654.26"/>
    <n v="56063.34"/>
    <x v="2"/>
  </r>
  <r>
    <x v="3"/>
    <x v="1"/>
    <x v="8"/>
    <x v="3"/>
    <x v="27"/>
    <x v="1"/>
    <x v="0"/>
    <n v="13.77"/>
    <n v="46352.02"/>
    <n v="112607.37"/>
    <x v="2"/>
  </r>
  <r>
    <x v="3"/>
    <x v="1"/>
    <x v="8"/>
    <x v="0"/>
    <x v="0"/>
    <x v="1"/>
    <x v="1"/>
    <n v="9.33"/>
    <n v="31406.27"/>
    <n v="73710.039999999994"/>
    <x v="2"/>
  </r>
  <r>
    <x v="3"/>
    <x v="1"/>
    <x v="8"/>
    <x v="0"/>
    <x v="1"/>
    <x v="1"/>
    <x v="1"/>
    <n v="22.81"/>
    <n v="76782.11"/>
    <n v="177108.16"/>
    <x v="2"/>
  </r>
  <r>
    <x v="3"/>
    <x v="1"/>
    <x v="8"/>
    <x v="0"/>
    <x v="2"/>
    <x v="1"/>
    <x v="1"/>
    <n v="15.45"/>
    <n v="52007.17"/>
    <n v="115870.19"/>
    <x v="2"/>
  </r>
  <r>
    <x v="3"/>
    <x v="1"/>
    <x v="8"/>
    <x v="0"/>
    <x v="3"/>
    <x v="1"/>
    <x v="1"/>
    <n v="35.479999999999997"/>
    <n v="119431.36"/>
    <n v="276819.89"/>
    <x v="2"/>
  </r>
  <r>
    <x v="3"/>
    <x v="1"/>
    <x v="8"/>
    <x v="0"/>
    <x v="28"/>
    <x v="1"/>
    <x v="1"/>
    <n v="1.81"/>
    <n v="6092.75"/>
    <n v="14316.57"/>
    <x v="2"/>
  </r>
  <r>
    <x v="3"/>
    <x v="1"/>
    <x v="8"/>
    <x v="0"/>
    <x v="4"/>
    <x v="1"/>
    <x v="1"/>
    <n v="10.26"/>
    <n v="34536.800000000003"/>
    <n v="79325.570000000007"/>
    <x v="2"/>
  </r>
  <r>
    <x v="3"/>
    <x v="1"/>
    <x v="8"/>
    <x v="0"/>
    <x v="5"/>
    <x v="1"/>
    <x v="1"/>
    <n v="29.35"/>
    <n v="98796.800000000003"/>
    <n v="233589.86"/>
    <x v="2"/>
  </r>
  <r>
    <x v="3"/>
    <x v="1"/>
    <x v="8"/>
    <x v="0"/>
    <x v="6"/>
    <x v="1"/>
    <x v="1"/>
    <n v="2.83"/>
    <n v="9526.23"/>
    <n v="22417.95"/>
    <x v="2"/>
  </r>
  <r>
    <x v="3"/>
    <x v="1"/>
    <x v="8"/>
    <x v="0"/>
    <x v="7"/>
    <x v="1"/>
    <x v="1"/>
    <n v="3.91"/>
    <n v="13161.69"/>
    <n v="31508.04"/>
    <x v="2"/>
  </r>
  <r>
    <x v="3"/>
    <x v="1"/>
    <x v="8"/>
    <x v="0"/>
    <x v="8"/>
    <x v="1"/>
    <x v="1"/>
    <n v="5.5"/>
    <n v="18513.88"/>
    <n v="42295.55"/>
    <x v="2"/>
  </r>
  <r>
    <x v="3"/>
    <x v="1"/>
    <x v="8"/>
    <x v="1"/>
    <x v="30"/>
    <x v="1"/>
    <x v="1"/>
    <n v="0"/>
    <n v="0"/>
    <n v="0"/>
    <x v="2"/>
  </r>
  <r>
    <x v="3"/>
    <x v="1"/>
    <x v="8"/>
    <x v="1"/>
    <x v="9"/>
    <x v="1"/>
    <x v="1"/>
    <n v="5"/>
    <n v="16830.8"/>
    <n v="41572.06"/>
    <x v="2"/>
  </r>
  <r>
    <x v="3"/>
    <x v="1"/>
    <x v="8"/>
    <x v="1"/>
    <x v="31"/>
    <x v="1"/>
    <x v="1"/>
    <n v="0"/>
    <n v="0"/>
    <n v="0"/>
    <x v="2"/>
  </r>
  <r>
    <x v="3"/>
    <x v="1"/>
    <x v="8"/>
    <x v="1"/>
    <x v="10"/>
    <x v="1"/>
    <x v="1"/>
    <n v="28.75"/>
    <n v="96777.1"/>
    <n v="236826.74"/>
    <x v="2"/>
  </r>
  <r>
    <x v="3"/>
    <x v="1"/>
    <x v="8"/>
    <x v="1"/>
    <x v="11"/>
    <x v="1"/>
    <x v="1"/>
    <n v="32.64"/>
    <n v="109871.46"/>
    <n v="256222.23"/>
    <x v="2"/>
  </r>
  <r>
    <x v="3"/>
    <x v="1"/>
    <x v="8"/>
    <x v="1"/>
    <x v="12"/>
    <x v="1"/>
    <x v="1"/>
    <n v="3.92"/>
    <n v="13195.35"/>
    <n v="32388.44"/>
    <x v="2"/>
  </r>
  <r>
    <x v="3"/>
    <x v="1"/>
    <x v="8"/>
    <x v="1"/>
    <x v="13"/>
    <x v="1"/>
    <x v="1"/>
    <n v="17.39"/>
    <n v="58537.52"/>
    <n v="143044.79"/>
    <x v="2"/>
  </r>
  <r>
    <x v="3"/>
    <x v="1"/>
    <x v="8"/>
    <x v="1"/>
    <x v="14"/>
    <x v="1"/>
    <x v="1"/>
    <n v="8"/>
    <n v="26929.279999999999"/>
    <n v="64509.07"/>
    <x v="2"/>
  </r>
  <r>
    <x v="3"/>
    <x v="1"/>
    <x v="8"/>
    <x v="1"/>
    <x v="15"/>
    <x v="1"/>
    <x v="1"/>
    <n v="2.52"/>
    <n v="8482.7199999999993"/>
    <n v="21058.639999999999"/>
    <x v="2"/>
  </r>
  <r>
    <x v="3"/>
    <x v="1"/>
    <x v="8"/>
    <x v="1"/>
    <x v="16"/>
    <x v="1"/>
    <x v="1"/>
    <n v="10.47"/>
    <n v="35243.699999999997"/>
    <n v="83191.839999999997"/>
    <x v="2"/>
  </r>
  <r>
    <x v="3"/>
    <x v="1"/>
    <x v="8"/>
    <x v="1"/>
    <x v="17"/>
    <x v="1"/>
    <x v="1"/>
    <n v="7.29"/>
    <n v="24539.31"/>
    <n v="58447.85"/>
    <x v="2"/>
  </r>
  <r>
    <x v="3"/>
    <x v="1"/>
    <x v="8"/>
    <x v="1"/>
    <x v="18"/>
    <x v="1"/>
    <x v="1"/>
    <n v="25.83"/>
    <n v="86947.91"/>
    <n v="216800.51"/>
    <x v="2"/>
  </r>
  <r>
    <x v="3"/>
    <x v="1"/>
    <x v="8"/>
    <x v="1"/>
    <x v="19"/>
    <x v="1"/>
    <x v="1"/>
    <n v="15.69"/>
    <n v="52815.05"/>
    <n v="127677.4"/>
    <x v="2"/>
  </r>
  <r>
    <x v="3"/>
    <x v="1"/>
    <x v="8"/>
    <x v="1"/>
    <x v="20"/>
    <x v="1"/>
    <x v="1"/>
    <n v="26.21"/>
    <n v="88227.05"/>
    <n v="209840.99"/>
    <x v="2"/>
  </r>
  <r>
    <x v="3"/>
    <x v="1"/>
    <x v="8"/>
    <x v="2"/>
    <x v="21"/>
    <x v="1"/>
    <x v="1"/>
    <n v="3.33"/>
    <n v="11209.31"/>
    <n v="24489.54"/>
    <x v="2"/>
  </r>
  <r>
    <x v="3"/>
    <x v="1"/>
    <x v="8"/>
    <x v="2"/>
    <x v="22"/>
    <x v="1"/>
    <x v="1"/>
    <n v="11.86"/>
    <n v="39922.660000000003"/>
    <n v="87234.5"/>
    <x v="2"/>
  </r>
  <r>
    <x v="3"/>
    <x v="1"/>
    <x v="8"/>
    <x v="2"/>
    <x v="29"/>
    <x v="1"/>
    <x v="1"/>
    <n v="2.75"/>
    <n v="9256.94"/>
    <n v="21481.62"/>
    <x v="2"/>
  </r>
  <r>
    <x v="3"/>
    <x v="1"/>
    <x v="8"/>
    <x v="2"/>
    <x v="23"/>
    <x v="1"/>
    <x v="1"/>
    <n v="2.02"/>
    <n v="6799.64"/>
    <n v="15464.69"/>
    <x v="2"/>
  </r>
  <r>
    <x v="3"/>
    <x v="1"/>
    <x v="8"/>
    <x v="2"/>
    <x v="24"/>
    <x v="1"/>
    <x v="1"/>
    <n v="3.54"/>
    <n v="11916.21"/>
    <n v="26490.880000000001"/>
    <x v="2"/>
  </r>
  <r>
    <x v="3"/>
    <x v="1"/>
    <x v="8"/>
    <x v="3"/>
    <x v="25"/>
    <x v="1"/>
    <x v="1"/>
    <n v="9.77"/>
    <n v="32887.379999999997"/>
    <n v="80840.25"/>
    <x v="2"/>
  </r>
  <r>
    <x v="3"/>
    <x v="1"/>
    <x v="8"/>
    <x v="3"/>
    <x v="26"/>
    <x v="1"/>
    <x v="1"/>
    <n v="17.36"/>
    <n v="58436.54"/>
    <n v="144696.81"/>
    <x v="2"/>
  </r>
  <r>
    <x v="3"/>
    <x v="1"/>
    <x v="8"/>
    <x v="3"/>
    <x v="27"/>
    <x v="1"/>
    <x v="1"/>
    <n v="43.8"/>
    <n v="147437.81"/>
    <n v="358105.42"/>
    <x v="2"/>
  </r>
  <r>
    <x v="3"/>
    <x v="1"/>
    <x v="9"/>
    <x v="0"/>
    <x v="0"/>
    <x v="0"/>
    <x v="0"/>
    <n v="1.27"/>
    <n v="3428.76"/>
    <n v="11943.81"/>
    <x v="2"/>
  </r>
  <r>
    <x v="3"/>
    <x v="1"/>
    <x v="9"/>
    <x v="0"/>
    <x v="1"/>
    <x v="0"/>
    <x v="0"/>
    <n v="3.83"/>
    <n v="10340.27"/>
    <n v="35878.44"/>
    <x v="2"/>
  </r>
  <r>
    <x v="3"/>
    <x v="1"/>
    <x v="9"/>
    <x v="0"/>
    <x v="2"/>
    <x v="0"/>
    <x v="0"/>
    <n v="0"/>
    <n v="0"/>
    <n v="0"/>
    <x v="2"/>
  </r>
  <r>
    <x v="3"/>
    <x v="1"/>
    <x v="9"/>
    <x v="0"/>
    <x v="3"/>
    <x v="0"/>
    <x v="0"/>
    <n v="2.0499999999999998"/>
    <n v="5534.61"/>
    <n v="19227.88"/>
    <x v="2"/>
  </r>
  <r>
    <x v="3"/>
    <x v="1"/>
    <x v="9"/>
    <x v="0"/>
    <x v="4"/>
    <x v="0"/>
    <x v="0"/>
    <n v="0"/>
    <n v="0"/>
    <n v="0"/>
    <x v="2"/>
  </r>
  <r>
    <x v="3"/>
    <x v="1"/>
    <x v="9"/>
    <x v="0"/>
    <x v="5"/>
    <x v="0"/>
    <x v="0"/>
    <n v="0"/>
    <n v="0"/>
    <n v="0"/>
    <x v="2"/>
  </r>
  <r>
    <x v="3"/>
    <x v="1"/>
    <x v="9"/>
    <x v="0"/>
    <x v="6"/>
    <x v="0"/>
    <x v="0"/>
    <n v="0"/>
    <n v="0"/>
    <n v="0"/>
    <x v="2"/>
  </r>
  <r>
    <x v="3"/>
    <x v="1"/>
    <x v="9"/>
    <x v="0"/>
    <x v="8"/>
    <x v="0"/>
    <x v="0"/>
    <n v="0"/>
    <n v="0"/>
    <n v="0"/>
    <x v="2"/>
  </r>
  <r>
    <x v="3"/>
    <x v="1"/>
    <x v="9"/>
    <x v="1"/>
    <x v="10"/>
    <x v="0"/>
    <x v="0"/>
    <n v="1.6"/>
    <n v="4319.7"/>
    <n v="14975.15"/>
    <x v="2"/>
  </r>
  <r>
    <x v="3"/>
    <x v="1"/>
    <x v="9"/>
    <x v="1"/>
    <x v="11"/>
    <x v="0"/>
    <x v="0"/>
    <n v="0"/>
    <n v="0"/>
    <n v="0"/>
    <x v="2"/>
  </r>
  <r>
    <x v="3"/>
    <x v="1"/>
    <x v="9"/>
    <x v="1"/>
    <x v="13"/>
    <x v="0"/>
    <x v="0"/>
    <n v="0"/>
    <n v="0"/>
    <n v="0"/>
    <x v="2"/>
  </r>
  <r>
    <x v="3"/>
    <x v="1"/>
    <x v="9"/>
    <x v="1"/>
    <x v="14"/>
    <x v="0"/>
    <x v="0"/>
    <n v="0"/>
    <n v="0"/>
    <n v="0"/>
    <x v="2"/>
  </r>
  <r>
    <x v="3"/>
    <x v="1"/>
    <x v="9"/>
    <x v="1"/>
    <x v="16"/>
    <x v="0"/>
    <x v="0"/>
    <n v="0"/>
    <n v="0"/>
    <n v="0"/>
    <x v="2"/>
  </r>
  <r>
    <x v="3"/>
    <x v="1"/>
    <x v="9"/>
    <x v="1"/>
    <x v="17"/>
    <x v="0"/>
    <x v="0"/>
    <n v="0"/>
    <n v="0"/>
    <n v="0"/>
    <x v="2"/>
  </r>
  <r>
    <x v="3"/>
    <x v="1"/>
    <x v="9"/>
    <x v="1"/>
    <x v="18"/>
    <x v="0"/>
    <x v="0"/>
    <n v="0"/>
    <n v="0"/>
    <n v="0"/>
    <x v="2"/>
  </r>
  <r>
    <x v="3"/>
    <x v="1"/>
    <x v="9"/>
    <x v="1"/>
    <x v="19"/>
    <x v="0"/>
    <x v="0"/>
    <n v="0"/>
    <n v="0"/>
    <n v="0"/>
    <x v="2"/>
  </r>
  <r>
    <x v="3"/>
    <x v="1"/>
    <x v="9"/>
    <x v="1"/>
    <x v="20"/>
    <x v="0"/>
    <x v="0"/>
    <n v="1.79"/>
    <n v="4832.66"/>
    <n v="16790.830000000002"/>
    <x v="2"/>
  </r>
  <r>
    <x v="3"/>
    <x v="1"/>
    <x v="9"/>
    <x v="2"/>
    <x v="21"/>
    <x v="0"/>
    <x v="0"/>
    <n v="2.2999999999999998"/>
    <n v="6209.56"/>
    <n v="21598.51"/>
    <x v="2"/>
  </r>
  <r>
    <x v="3"/>
    <x v="1"/>
    <x v="9"/>
    <x v="2"/>
    <x v="22"/>
    <x v="0"/>
    <x v="0"/>
    <n v="0"/>
    <n v="0"/>
    <n v="0"/>
    <x v="2"/>
  </r>
  <r>
    <x v="3"/>
    <x v="1"/>
    <x v="9"/>
    <x v="2"/>
    <x v="29"/>
    <x v="0"/>
    <x v="0"/>
    <n v="0"/>
    <n v="0"/>
    <n v="0"/>
    <x v="2"/>
  </r>
  <r>
    <x v="3"/>
    <x v="1"/>
    <x v="9"/>
    <x v="2"/>
    <x v="24"/>
    <x v="0"/>
    <x v="0"/>
    <n v="0"/>
    <n v="0"/>
    <n v="0"/>
    <x v="2"/>
  </r>
  <r>
    <x v="3"/>
    <x v="1"/>
    <x v="9"/>
    <x v="3"/>
    <x v="25"/>
    <x v="0"/>
    <x v="0"/>
    <n v="0"/>
    <n v="0"/>
    <n v="0"/>
    <x v="2"/>
  </r>
  <r>
    <x v="3"/>
    <x v="1"/>
    <x v="9"/>
    <x v="3"/>
    <x v="26"/>
    <x v="0"/>
    <x v="0"/>
    <n v="1.33"/>
    <n v="3590.75"/>
    <n v="12491.23"/>
    <x v="2"/>
  </r>
  <r>
    <x v="3"/>
    <x v="1"/>
    <x v="9"/>
    <x v="3"/>
    <x v="27"/>
    <x v="0"/>
    <x v="0"/>
    <n v="2.88"/>
    <n v="7775.45"/>
    <n v="27051.599999999999"/>
    <x v="2"/>
  </r>
  <r>
    <x v="3"/>
    <x v="1"/>
    <x v="9"/>
    <x v="0"/>
    <x v="0"/>
    <x v="0"/>
    <x v="1"/>
    <n v="1.73"/>
    <n v="4670.67"/>
    <n v="16209.45"/>
    <x v="2"/>
  </r>
  <r>
    <x v="3"/>
    <x v="1"/>
    <x v="9"/>
    <x v="0"/>
    <x v="1"/>
    <x v="0"/>
    <x v="1"/>
    <n v="7.94"/>
    <n v="21436.49"/>
    <n v="74516.77"/>
    <x v="2"/>
  </r>
  <r>
    <x v="3"/>
    <x v="1"/>
    <x v="9"/>
    <x v="0"/>
    <x v="2"/>
    <x v="0"/>
    <x v="1"/>
    <n v="3.5"/>
    <n v="9449.34"/>
    <n v="32854.49"/>
    <x v="2"/>
  </r>
  <r>
    <x v="3"/>
    <x v="1"/>
    <x v="9"/>
    <x v="0"/>
    <x v="3"/>
    <x v="0"/>
    <x v="1"/>
    <n v="6.62"/>
    <n v="17872.740000000002"/>
    <n v="62053.599999999999"/>
    <x v="2"/>
  </r>
  <r>
    <x v="3"/>
    <x v="1"/>
    <x v="9"/>
    <x v="0"/>
    <x v="4"/>
    <x v="0"/>
    <x v="1"/>
    <n v="1.55"/>
    <n v="4184.71"/>
    <n v="14583.36"/>
    <x v="2"/>
  </r>
  <r>
    <x v="3"/>
    <x v="1"/>
    <x v="9"/>
    <x v="0"/>
    <x v="5"/>
    <x v="0"/>
    <x v="1"/>
    <n v="1.47"/>
    <n v="3968.72"/>
    <n v="13806.37"/>
    <x v="2"/>
  </r>
  <r>
    <x v="3"/>
    <x v="1"/>
    <x v="9"/>
    <x v="0"/>
    <x v="6"/>
    <x v="0"/>
    <x v="1"/>
    <n v="1.98"/>
    <n v="5345.62"/>
    <n v="18562.75"/>
    <x v="2"/>
  </r>
  <r>
    <x v="3"/>
    <x v="1"/>
    <x v="9"/>
    <x v="0"/>
    <x v="8"/>
    <x v="0"/>
    <x v="1"/>
    <n v="3.41"/>
    <n v="9206.35"/>
    <n v="31951.34"/>
    <x v="2"/>
  </r>
  <r>
    <x v="3"/>
    <x v="1"/>
    <x v="9"/>
    <x v="1"/>
    <x v="10"/>
    <x v="0"/>
    <x v="1"/>
    <n v="4.79"/>
    <n v="12932.09"/>
    <n v="44925.440000000002"/>
    <x v="2"/>
  </r>
  <r>
    <x v="3"/>
    <x v="1"/>
    <x v="9"/>
    <x v="1"/>
    <x v="11"/>
    <x v="0"/>
    <x v="1"/>
    <n v="10.3"/>
    <n v="27808.04"/>
    <n v="96568.66"/>
    <x v="2"/>
  </r>
  <r>
    <x v="3"/>
    <x v="1"/>
    <x v="9"/>
    <x v="1"/>
    <x v="13"/>
    <x v="0"/>
    <x v="1"/>
    <n v="1.03"/>
    <n v="2780.8"/>
    <n v="9707.4"/>
    <x v="2"/>
  </r>
  <r>
    <x v="3"/>
    <x v="1"/>
    <x v="9"/>
    <x v="1"/>
    <x v="14"/>
    <x v="0"/>
    <x v="1"/>
    <n v="1.87"/>
    <n v="5048.6400000000003"/>
    <n v="17528.349999999999"/>
    <x v="2"/>
  </r>
  <r>
    <x v="3"/>
    <x v="1"/>
    <x v="9"/>
    <x v="1"/>
    <x v="16"/>
    <x v="0"/>
    <x v="1"/>
    <n v="1.65"/>
    <n v="4454.6899999999996"/>
    <n v="15467.7"/>
    <x v="2"/>
  </r>
  <r>
    <x v="3"/>
    <x v="1"/>
    <x v="9"/>
    <x v="1"/>
    <x v="17"/>
    <x v="0"/>
    <x v="1"/>
    <n v="2.25"/>
    <n v="6074.57"/>
    <n v="21114.45"/>
    <x v="2"/>
  </r>
  <r>
    <x v="3"/>
    <x v="1"/>
    <x v="9"/>
    <x v="1"/>
    <x v="18"/>
    <x v="0"/>
    <x v="1"/>
    <n v="11.08"/>
    <n v="29913.89"/>
    <n v="103947.02"/>
    <x v="2"/>
  </r>
  <r>
    <x v="3"/>
    <x v="1"/>
    <x v="9"/>
    <x v="1"/>
    <x v="19"/>
    <x v="0"/>
    <x v="1"/>
    <n v="4.09"/>
    <n v="11042.22"/>
    <n v="38392.400000000001"/>
    <x v="2"/>
  </r>
  <r>
    <x v="3"/>
    <x v="1"/>
    <x v="9"/>
    <x v="1"/>
    <x v="20"/>
    <x v="0"/>
    <x v="1"/>
    <n v="10.11"/>
    <n v="27295.08"/>
    <n v="94868.17"/>
    <x v="2"/>
  </r>
  <r>
    <x v="3"/>
    <x v="1"/>
    <x v="9"/>
    <x v="2"/>
    <x v="21"/>
    <x v="0"/>
    <x v="1"/>
    <n v="0"/>
    <n v="0"/>
    <n v="0"/>
    <x v="2"/>
  </r>
  <r>
    <x v="3"/>
    <x v="1"/>
    <x v="9"/>
    <x v="2"/>
    <x v="22"/>
    <x v="0"/>
    <x v="1"/>
    <n v="3.39"/>
    <n v="9152.36"/>
    <n v="31777.040000000001"/>
    <x v="2"/>
  </r>
  <r>
    <x v="3"/>
    <x v="1"/>
    <x v="9"/>
    <x v="2"/>
    <x v="29"/>
    <x v="0"/>
    <x v="1"/>
    <n v="2.2599999999999998"/>
    <n v="6101.57"/>
    <n v="21226.29"/>
    <x v="2"/>
  </r>
  <r>
    <x v="3"/>
    <x v="1"/>
    <x v="9"/>
    <x v="2"/>
    <x v="24"/>
    <x v="0"/>
    <x v="1"/>
    <n v="2.04"/>
    <n v="5507.61"/>
    <n v="19150.330000000002"/>
    <x v="2"/>
  </r>
  <r>
    <x v="3"/>
    <x v="1"/>
    <x v="9"/>
    <x v="3"/>
    <x v="25"/>
    <x v="0"/>
    <x v="1"/>
    <n v="0.42"/>
    <n v="1133.92"/>
    <n v="3934.62"/>
    <x v="2"/>
  </r>
  <r>
    <x v="3"/>
    <x v="1"/>
    <x v="9"/>
    <x v="3"/>
    <x v="26"/>
    <x v="0"/>
    <x v="1"/>
    <n v="1.07"/>
    <n v="2888.8"/>
    <n v="9992.99"/>
    <x v="2"/>
  </r>
  <r>
    <x v="3"/>
    <x v="1"/>
    <x v="9"/>
    <x v="3"/>
    <x v="27"/>
    <x v="0"/>
    <x v="1"/>
    <n v="7.93"/>
    <n v="21409.49"/>
    <n v="74391.899999999994"/>
    <x v="2"/>
  </r>
  <r>
    <x v="3"/>
    <x v="1"/>
    <x v="9"/>
    <x v="0"/>
    <x v="0"/>
    <x v="1"/>
    <x v="0"/>
    <n v="4.2300000000000004"/>
    <n v="11420.2"/>
    <n v="25951.5"/>
    <x v="2"/>
  </r>
  <r>
    <x v="3"/>
    <x v="1"/>
    <x v="9"/>
    <x v="0"/>
    <x v="1"/>
    <x v="1"/>
    <x v="0"/>
    <n v="13.42"/>
    <n v="36231.449999999997"/>
    <n v="80960.240000000005"/>
    <x v="2"/>
  </r>
  <r>
    <x v="3"/>
    <x v="1"/>
    <x v="9"/>
    <x v="0"/>
    <x v="2"/>
    <x v="1"/>
    <x v="0"/>
    <n v="6.75"/>
    <n v="18223.72"/>
    <n v="39307.08"/>
    <x v="2"/>
  </r>
  <r>
    <x v="3"/>
    <x v="1"/>
    <x v="9"/>
    <x v="0"/>
    <x v="3"/>
    <x v="1"/>
    <x v="0"/>
    <n v="12.44"/>
    <n v="33585.64"/>
    <n v="75358.23"/>
    <x v="2"/>
  </r>
  <r>
    <x v="3"/>
    <x v="1"/>
    <x v="9"/>
    <x v="0"/>
    <x v="28"/>
    <x v="1"/>
    <x v="0"/>
    <n v="0"/>
    <n v="0"/>
    <n v="0"/>
    <x v="2"/>
  </r>
  <r>
    <x v="3"/>
    <x v="1"/>
    <x v="9"/>
    <x v="0"/>
    <x v="4"/>
    <x v="1"/>
    <x v="0"/>
    <n v="8.34"/>
    <n v="22516.42"/>
    <n v="50054.34"/>
    <x v="2"/>
  </r>
  <r>
    <x v="3"/>
    <x v="1"/>
    <x v="9"/>
    <x v="0"/>
    <x v="5"/>
    <x v="1"/>
    <x v="0"/>
    <n v="2.66"/>
    <n v="7181.49"/>
    <n v="16411.25"/>
    <x v="2"/>
  </r>
  <r>
    <x v="3"/>
    <x v="1"/>
    <x v="9"/>
    <x v="0"/>
    <x v="6"/>
    <x v="1"/>
    <x v="0"/>
    <n v="0"/>
    <n v="0"/>
    <n v="0"/>
    <x v="2"/>
  </r>
  <r>
    <x v="3"/>
    <x v="1"/>
    <x v="9"/>
    <x v="0"/>
    <x v="7"/>
    <x v="1"/>
    <x v="0"/>
    <n v="0"/>
    <n v="0"/>
    <n v="0"/>
    <x v="2"/>
  </r>
  <r>
    <x v="3"/>
    <x v="1"/>
    <x v="9"/>
    <x v="0"/>
    <x v="8"/>
    <x v="1"/>
    <x v="0"/>
    <n v="0"/>
    <n v="0"/>
    <n v="0"/>
    <x v="2"/>
  </r>
  <r>
    <x v="3"/>
    <x v="1"/>
    <x v="9"/>
    <x v="1"/>
    <x v="30"/>
    <x v="1"/>
    <x v="0"/>
    <n v="1.66"/>
    <n v="4481.68"/>
    <n v="10723.32"/>
    <x v="2"/>
  </r>
  <r>
    <x v="3"/>
    <x v="1"/>
    <x v="9"/>
    <x v="1"/>
    <x v="9"/>
    <x v="1"/>
    <x v="0"/>
    <n v="0"/>
    <n v="0"/>
    <n v="0"/>
    <x v="2"/>
  </r>
  <r>
    <x v="3"/>
    <x v="1"/>
    <x v="9"/>
    <x v="1"/>
    <x v="31"/>
    <x v="1"/>
    <x v="0"/>
    <n v="1.81"/>
    <n v="4886.66"/>
    <n v="11798.05"/>
    <x v="2"/>
  </r>
  <r>
    <x v="3"/>
    <x v="1"/>
    <x v="9"/>
    <x v="1"/>
    <x v="10"/>
    <x v="1"/>
    <x v="0"/>
    <n v="3.81"/>
    <n v="10286.280000000001"/>
    <n v="24394.43"/>
    <x v="2"/>
  </r>
  <r>
    <x v="3"/>
    <x v="1"/>
    <x v="9"/>
    <x v="1"/>
    <x v="11"/>
    <x v="1"/>
    <x v="0"/>
    <n v="7.54"/>
    <n v="20356.57"/>
    <n v="45964.28"/>
    <x v="2"/>
  </r>
  <r>
    <x v="3"/>
    <x v="1"/>
    <x v="9"/>
    <x v="1"/>
    <x v="12"/>
    <x v="1"/>
    <x v="0"/>
    <n v="1.96"/>
    <n v="5291.63"/>
    <n v="12582.93"/>
    <x v="2"/>
  </r>
  <r>
    <x v="3"/>
    <x v="1"/>
    <x v="9"/>
    <x v="1"/>
    <x v="13"/>
    <x v="1"/>
    <x v="0"/>
    <n v="2.8"/>
    <n v="7559.47"/>
    <n v="17866.05"/>
    <x v="2"/>
  </r>
  <r>
    <x v="3"/>
    <x v="1"/>
    <x v="9"/>
    <x v="1"/>
    <x v="14"/>
    <x v="1"/>
    <x v="0"/>
    <n v="12.57"/>
    <n v="33936.61"/>
    <n v="78736.97"/>
    <x v="2"/>
  </r>
  <r>
    <x v="3"/>
    <x v="1"/>
    <x v="9"/>
    <x v="1"/>
    <x v="15"/>
    <x v="1"/>
    <x v="0"/>
    <n v="1.96"/>
    <n v="5291.63"/>
    <n v="12690.48"/>
    <x v="2"/>
  </r>
  <r>
    <x v="3"/>
    <x v="1"/>
    <x v="9"/>
    <x v="1"/>
    <x v="16"/>
    <x v="1"/>
    <x v="0"/>
    <n v="6.17"/>
    <n v="16657.830000000002"/>
    <n v="38104.61"/>
    <x v="2"/>
  </r>
  <r>
    <x v="3"/>
    <x v="1"/>
    <x v="9"/>
    <x v="1"/>
    <x v="17"/>
    <x v="1"/>
    <x v="0"/>
    <n v="6.41"/>
    <n v="17305.78"/>
    <n v="39935.47"/>
    <x v="2"/>
  </r>
  <r>
    <x v="3"/>
    <x v="1"/>
    <x v="9"/>
    <x v="1"/>
    <x v="18"/>
    <x v="1"/>
    <x v="0"/>
    <n v="7.71"/>
    <n v="20815.54"/>
    <n v="50266.5"/>
    <x v="2"/>
  </r>
  <r>
    <x v="3"/>
    <x v="1"/>
    <x v="9"/>
    <x v="1"/>
    <x v="19"/>
    <x v="1"/>
    <x v="0"/>
    <n v="8.89"/>
    <n v="24001.31"/>
    <n v="56220.6"/>
    <x v="2"/>
  </r>
  <r>
    <x v="3"/>
    <x v="1"/>
    <x v="9"/>
    <x v="1"/>
    <x v="20"/>
    <x v="1"/>
    <x v="0"/>
    <n v="12.09"/>
    <n v="32640.7"/>
    <n v="75187.17"/>
    <x v="2"/>
  </r>
  <r>
    <x v="3"/>
    <x v="1"/>
    <x v="9"/>
    <x v="2"/>
    <x v="21"/>
    <x v="1"/>
    <x v="0"/>
    <n v="0"/>
    <n v="0"/>
    <n v="0"/>
    <x v="2"/>
  </r>
  <r>
    <x v="3"/>
    <x v="1"/>
    <x v="9"/>
    <x v="2"/>
    <x v="22"/>
    <x v="1"/>
    <x v="0"/>
    <n v="8.09"/>
    <n v="21841.46"/>
    <n v="46185.75"/>
    <x v="2"/>
  </r>
  <r>
    <x v="3"/>
    <x v="1"/>
    <x v="9"/>
    <x v="2"/>
    <x v="29"/>
    <x v="1"/>
    <x v="0"/>
    <n v="0"/>
    <n v="0"/>
    <n v="0"/>
    <x v="2"/>
  </r>
  <r>
    <x v="3"/>
    <x v="1"/>
    <x v="9"/>
    <x v="2"/>
    <x v="23"/>
    <x v="1"/>
    <x v="0"/>
    <n v="0"/>
    <n v="0"/>
    <n v="0"/>
    <x v="2"/>
  </r>
  <r>
    <x v="3"/>
    <x v="1"/>
    <x v="9"/>
    <x v="2"/>
    <x v="24"/>
    <x v="1"/>
    <x v="0"/>
    <n v="1.23"/>
    <n v="3320.77"/>
    <n v="7164.25"/>
    <x v="2"/>
  </r>
  <r>
    <x v="3"/>
    <x v="1"/>
    <x v="9"/>
    <x v="3"/>
    <x v="25"/>
    <x v="1"/>
    <x v="0"/>
    <n v="5"/>
    <n v="13499.05"/>
    <n v="32096.1"/>
    <x v="2"/>
  </r>
  <r>
    <x v="3"/>
    <x v="1"/>
    <x v="9"/>
    <x v="3"/>
    <x v="26"/>
    <x v="1"/>
    <x v="0"/>
    <n v="5.14"/>
    <n v="13877.02"/>
    <n v="33284.870000000003"/>
    <x v="2"/>
  </r>
  <r>
    <x v="3"/>
    <x v="1"/>
    <x v="9"/>
    <x v="3"/>
    <x v="27"/>
    <x v="1"/>
    <x v="0"/>
    <n v="4.24"/>
    <n v="11447.19"/>
    <n v="26935.13"/>
    <x v="2"/>
  </r>
  <r>
    <x v="3"/>
    <x v="1"/>
    <x v="9"/>
    <x v="0"/>
    <x v="0"/>
    <x v="1"/>
    <x v="1"/>
    <n v="11.05"/>
    <n v="29832.9"/>
    <n v="67791.67"/>
    <x v="2"/>
  </r>
  <r>
    <x v="3"/>
    <x v="1"/>
    <x v="9"/>
    <x v="0"/>
    <x v="1"/>
    <x v="1"/>
    <x v="1"/>
    <n v="23.67"/>
    <n v="63904.5"/>
    <n v="142774.48000000001"/>
    <x v="2"/>
  </r>
  <r>
    <x v="3"/>
    <x v="1"/>
    <x v="9"/>
    <x v="0"/>
    <x v="2"/>
    <x v="1"/>
    <x v="1"/>
    <n v="12.65"/>
    <n v="34152.6"/>
    <n v="73700.78"/>
    <x v="2"/>
  </r>
  <r>
    <x v="3"/>
    <x v="1"/>
    <x v="9"/>
    <x v="0"/>
    <x v="3"/>
    <x v="1"/>
    <x v="1"/>
    <n v="25.3"/>
    <n v="68305.19"/>
    <n v="153315.01999999999"/>
    <x v="2"/>
  </r>
  <r>
    <x v="3"/>
    <x v="1"/>
    <x v="9"/>
    <x v="0"/>
    <x v="28"/>
    <x v="1"/>
    <x v="1"/>
    <n v="1.0900000000000001"/>
    <n v="2942.79"/>
    <n v="6665.17"/>
    <x v="2"/>
  </r>
  <r>
    <x v="3"/>
    <x v="1"/>
    <x v="9"/>
    <x v="0"/>
    <x v="4"/>
    <x v="1"/>
    <x v="1"/>
    <n v="7.92"/>
    <n v="21382.5"/>
    <n v="47526.34"/>
    <x v="2"/>
  </r>
  <r>
    <x v="3"/>
    <x v="1"/>
    <x v="9"/>
    <x v="0"/>
    <x v="5"/>
    <x v="1"/>
    <x v="1"/>
    <n v="20.64"/>
    <n v="55724.08"/>
    <n v="127584.23"/>
    <x v="2"/>
  </r>
  <r>
    <x v="3"/>
    <x v="1"/>
    <x v="9"/>
    <x v="0"/>
    <x v="6"/>
    <x v="1"/>
    <x v="1"/>
    <n v="2.35"/>
    <n v="6344.55"/>
    <n v="14456.96"/>
    <x v="2"/>
  </r>
  <r>
    <x v="3"/>
    <x v="1"/>
    <x v="9"/>
    <x v="0"/>
    <x v="7"/>
    <x v="1"/>
    <x v="1"/>
    <n v="4.22"/>
    <n v="11393.2"/>
    <n v="26458.06"/>
    <x v="2"/>
  </r>
  <r>
    <x v="3"/>
    <x v="1"/>
    <x v="9"/>
    <x v="0"/>
    <x v="8"/>
    <x v="1"/>
    <x v="1"/>
    <n v="2.68"/>
    <n v="7235.49"/>
    <n v="16019.75"/>
    <x v="2"/>
  </r>
  <r>
    <x v="3"/>
    <x v="1"/>
    <x v="9"/>
    <x v="1"/>
    <x v="30"/>
    <x v="1"/>
    <x v="1"/>
    <n v="0"/>
    <n v="0"/>
    <n v="0"/>
    <x v="2"/>
  </r>
  <r>
    <x v="3"/>
    <x v="1"/>
    <x v="9"/>
    <x v="1"/>
    <x v="9"/>
    <x v="1"/>
    <x v="1"/>
    <n v="3.93"/>
    <n v="10610.25"/>
    <n v="25349.45"/>
    <x v="2"/>
  </r>
  <r>
    <x v="3"/>
    <x v="1"/>
    <x v="9"/>
    <x v="1"/>
    <x v="31"/>
    <x v="1"/>
    <x v="1"/>
    <n v="0"/>
    <n v="0"/>
    <n v="0"/>
    <x v="2"/>
  </r>
  <r>
    <x v="3"/>
    <x v="1"/>
    <x v="9"/>
    <x v="1"/>
    <x v="10"/>
    <x v="1"/>
    <x v="1"/>
    <n v="22.11"/>
    <n v="59692.800000000003"/>
    <n v="141405.01"/>
    <x v="2"/>
  </r>
  <r>
    <x v="3"/>
    <x v="1"/>
    <x v="9"/>
    <x v="1"/>
    <x v="11"/>
    <x v="1"/>
    <x v="1"/>
    <n v="30.07"/>
    <n v="81183.289999999994"/>
    <n v="183340.65"/>
    <x v="2"/>
  </r>
  <r>
    <x v="3"/>
    <x v="1"/>
    <x v="9"/>
    <x v="1"/>
    <x v="12"/>
    <x v="1"/>
    <x v="1"/>
    <n v="2.98"/>
    <n v="8045.43"/>
    <n v="19147.93"/>
    <x v="2"/>
  </r>
  <r>
    <x v="3"/>
    <x v="1"/>
    <x v="9"/>
    <x v="1"/>
    <x v="13"/>
    <x v="1"/>
    <x v="1"/>
    <n v="10.93"/>
    <n v="29508.92"/>
    <n v="69840.02"/>
    <x v="2"/>
  </r>
  <r>
    <x v="3"/>
    <x v="1"/>
    <x v="9"/>
    <x v="1"/>
    <x v="14"/>
    <x v="1"/>
    <x v="1"/>
    <n v="5.42"/>
    <n v="14632.97"/>
    <n v="33975.54"/>
    <x v="2"/>
  </r>
  <r>
    <x v="3"/>
    <x v="1"/>
    <x v="9"/>
    <x v="1"/>
    <x v="15"/>
    <x v="1"/>
    <x v="1"/>
    <n v="2.4"/>
    <n v="6479.54"/>
    <n v="15574.68"/>
    <x v="2"/>
  </r>
  <r>
    <x v="3"/>
    <x v="1"/>
    <x v="9"/>
    <x v="1"/>
    <x v="16"/>
    <x v="1"/>
    <x v="1"/>
    <n v="9.2200000000000006"/>
    <n v="24892.25"/>
    <n v="56895.92"/>
    <x v="2"/>
  </r>
  <r>
    <x v="3"/>
    <x v="1"/>
    <x v="9"/>
    <x v="1"/>
    <x v="17"/>
    <x v="1"/>
    <x v="1"/>
    <n v="4.22"/>
    <n v="11393.2"/>
    <n v="26258.94"/>
    <x v="2"/>
  </r>
  <r>
    <x v="3"/>
    <x v="1"/>
    <x v="9"/>
    <x v="1"/>
    <x v="18"/>
    <x v="1"/>
    <x v="1"/>
    <n v="26.35"/>
    <n v="71139.990000000005"/>
    <n v="171789.9"/>
    <x v="2"/>
  </r>
  <r>
    <x v="3"/>
    <x v="1"/>
    <x v="9"/>
    <x v="1"/>
    <x v="19"/>
    <x v="1"/>
    <x v="1"/>
    <n v="12.45"/>
    <n v="33612.629999999997"/>
    <n v="78708.84"/>
    <x v="2"/>
  </r>
  <r>
    <x v="3"/>
    <x v="1"/>
    <x v="9"/>
    <x v="1"/>
    <x v="20"/>
    <x v="1"/>
    <x v="1"/>
    <n v="20"/>
    <n v="53996.2"/>
    <n v="124348.02"/>
    <x v="2"/>
  </r>
  <r>
    <x v="3"/>
    <x v="1"/>
    <x v="9"/>
    <x v="2"/>
    <x v="21"/>
    <x v="1"/>
    <x v="1"/>
    <n v="1.79"/>
    <n v="4832.66"/>
    <n v="10206.469999999999"/>
    <x v="2"/>
  </r>
  <r>
    <x v="3"/>
    <x v="1"/>
    <x v="9"/>
    <x v="2"/>
    <x v="22"/>
    <x v="1"/>
    <x v="1"/>
    <n v="10.89"/>
    <n v="29400.93"/>
    <n v="62229.23"/>
    <x v="2"/>
  </r>
  <r>
    <x v="3"/>
    <x v="1"/>
    <x v="9"/>
    <x v="2"/>
    <x v="29"/>
    <x v="1"/>
    <x v="1"/>
    <n v="3.09"/>
    <n v="8342.41"/>
    <n v="18760.91"/>
    <x v="2"/>
  </r>
  <r>
    <x v="3"/>
    <x v="1"/>
    <x v="9"/>
    <x v="2"/>
    <x v="23"/>
    <x v="1"/>
    <x v="1"/>
    <n v="3.63"/>
    <n v="9800.31"/>
    <n v="21602.53"/>
    <x v="2"/>
  </r>
  <r>
    <x v="3"/>
    <x v="1"/>
    <x v="9"/>
    <x v="2"/>
    <x v="24"/>
    <x v="1"/>
    <x v="1"/>
    <n v="2.29"/>
    <n v="6182.56"/>
    <n v="13305.04"/>
    <x v="2"/>
  </r>
  <r>
    <x v="3"/>
    <x v="1"/>
    <x v="9"/>
    <x v="3"/>
    <x v="25"/>
    <x v="1"/>
    <x v="1"/>
    <n v="8.44"/>
    <n v="22786.400000000001"/>
    <n v="54231.34"/>
    <x v="2"/>
  </r>
  <r>
    <x v="3"/>
    <x v="1"/>
    <x v="9"/>
    <x v="3"/>
    <x v="26"/>
    <x v="1"/>
    <x v="1"/>
    <n v="16.46"/>
    <n v="44438.87"/>
    <n v="106511.59"/>
    <x v="2"/>
  </r>
  <r>
    <x v="3"/>
    <x v="1"/>
    <x v="9"/>
    <x v="3"/>
    <x v="27"/>
    <x v="1"/>
    <x v="1"/>
    <n v="14.64"/>
    <n v="39525.22"/>
    <n v="92977.98"/>
    <x v="2"/>
  </r>
  <r>
    <x v="4"/>
    <x v="1"/>
    <x v="0"/>
    <x v="0"/>
    <x v="0"/>
    <x v="0"/>
    <x v="0"/>
    <n v="3.56"/>
    <n v="23624.37"/>
    <n v="103745.78"/>
    <x v="2"/>
  </r>
  <r>
    <x v="4"/>
    <x v="1"/>
    <x v="0"/>
    <x v="0"/>
    <x v="1"/>
    <x v="0"/>
    <x v="0"/>
    <n v="7.1"/>
    <n v="47116.03"/>
    <n v="206602.41"/>
    <x v="2"/>
  </r>
  <r>
    <x v="4"/>
    <x v="1"/>
    <x v="0"/>
    <x v="0"/>
    <x v="2"/>
    <x v="0"/>
    <x v="0"/>
    <n v="0"/>
    <n v="0"/>
    <n v="0"/>
    <x v="2"/>
  </r>
  <r>
    <x v="4"/>
    <x v="1"/>
    <x v="0"/>
    <x v="0"/>
    <x v="3"/>
    <x v="0"/>
    <x v="0"/>
    <n v="2.17"/>
    <n v="14400.25"/>
    <n v="63178.85"/>
    <x v="2"/>
  </r>
  <r>
    <x v="4"/>
    <x v="1"/>
    <x v="0"/>
    <x v="0"/>
    <x v="4"/>
    <x v="0"/>
    <x v="0"/>
    <n v="0"/>
    <n v="0"/>
    <n v="0"/>
    <x v="2"/>
  </r>
  <r>
    <x v="4"/>
    <x v="1"/>
    <x v="0"/>
    <x v="0"/>
    <x v="5"/>
    <x v="0"/>
    <x v="0"/>
    <n v="0"/>
    <n v="0"/>
    <n v="0"/>
    <x v="2"/>
  </r>
  <r>
    <x v="4"/>
    <x v="1"/>
    <x v="0"/>
    <x v="0"/>
    <x v="6"/>
    <x v="0"/>
    <x v="0"/>
    <n v="0"/>
    <n v="0"/>
    <n v="0"/>
    <x v="2"/>
  </r>
  <r>
    <x v="4"/>
    <x v="1"/>
    <x v="0"/>
    <x v="0"/>
    <x v="8"/>
    <x v="0"/>
    <x v="0"/>
    <n v="0"/>
    <n v="0"/>
    <n v="0"/>
    <x v="2"/>
  </r>
  <r>
    <x v="4"/>
    <x v="1"/>
    <x v="0"/>
    <x v="1"/>
    <x v="10"/>
    <x v="0"/>
    <x v="0"/>
    <n v="2.2599999999999998"/>
    <n v="14997.5"/>
    <n v="65651.62"/>
    <x v="2"/>
  </r>
  <r>
    <x v="4"/>
    <x v="1"/>
    <x v="0"/>
    <x v="1"/>
    <x v="11"/>
    <x v="0"/>
    <x v="0"/>
    <n v="0"/>
    <n v="0"/>
    <n v="0"/>
    <x v="2"/>
  </r>
  <r>
    <x v="4"/>
    <x v="1"/>
    <x v="0"/>
    <x v="1"/>
    <x v="13"/>
    <x v="0"/>
    <x v="0"/>
    <n v="0"/>
    <n v="0"/>
    <n v="0"/>
    <x v="2"/>
  </r>
  <r>
    <x v="4"/>
    <x v="1"/>
    <x v="0"/>
    <x v="1"/>
    <x v="14"/>
    <x v="0"/>
    <x v="0"/>
    <n v="0"/>
    <n v="0"/>
    <n v="0"/>
    <x v="2"/>
  </r>
  <r>
    <x v="4"/>
    <x v="1"/>
    <x v="0"/>
    <x v="1"/>
    <x v="16"/>
    <x v="0"/>
    <x v="0"/>
    <n v="0"/>
    <n v="0"/>
    <n v="0"/>
    <x v="2"/>
  </r>
  <r>
    <x v="4"/>
    <x v="1"/>
    <x v="0"/>
    <x v="1"/>
    <x v="17"/>
    <x v="0"/>
    <x v="0"/>
    <n v="0"/>
    <n v="0"/>
    <n v="0"/>
    <x v="2"/>
  </r>
  <r>
    <x v="4"/>
    <x v="1"/>
    <x v="0"/>
    <x v="1"/>
    <x v="18"/>
    <x v="0"/>
    <x v="0"/>
    <n v="0"/>
    <n v="0"/>
    <n v="0"/>
    <x v="2"/>
  </r>
  <r>
    <x v="4"/>
    <x v="1"/>
    <x v="0"/>
    <x v="1"/>
    <x v="19"/>
    <x v="0"/>
    <x v="0"/>
    <n v="0"/>
    <n v="0"/>
    <n v="0"/>
    <x v="2"/>
  </r>
  <r>
    <x v="4"/>
    <x v="1"/>
    <x v="0"/>
    <x v="1"/>
    <x v="20"/>
    <x v="0"/>
    <x v="0"/>
    <n v="2.92"/>
    <n v="19377.3"/>
    <n v="84924.08"/>
    <x v="2"/>
  </r>
  <r>
    <x v="4"/>
    <x v="1"/>
    <x v="0"/>
    <x v="2"/>
    <x v="21"/>
    <x v="0"/>
    <x v="0"/>
    <n v="2.25"/>
    <n v="14931.14"/>
    <n v="65626.039999999994"/>
    <x v="2"/>
  </r>
  <r>
    <x v="4"/>
    <x v="1"/>
    <x v="0"/>
    <x v="2"/>
    <x v="22"/>
    <x v="0"/>
    <x v="0"/>
    <n v="0"/>
    <n v="0"/>
    <n v="0"/>
    <x v="2"/>
  </r>
  <r>
    <x v="4"/>
    <x v="1"/>
    <x v="0"/>
    <x v="2"/>
    <x v="29"/>
    <x v="0"/>
    <x v="0"/>
    <n v="0"/>
    <n v="0"/>
    <n v="0"/>
    <x v="2"/>
  </r>
  <r>
    <x v="4"/>
    <x v="1"/>
    <x v="0"/>
    <x v="2"/>
    <x v="24"/>
    <x v="0"/>
    <x v="0"/>
    <n v="0"/>
    <n v="0"/>
    <n v="0"/>
    <x v="2"/>
  </r>
  <r>
    <x v="4"/>
    <x v="1"/>
    <x v="0"/>
    <x v="3"/>
    <x v="25"/>
    <x v="0"/>
    <x v="0"/>
    <n v="0"/>
    <n v="0"/>
    <n v="0"/>
    <x v="2"/>
  </r>
  <r>
    <x v="4"/>
    <x v="1"/>
    <x v="0"/>
    <x v="3"/>
    <x v="26"/>
    <x v="0"/>
    <x v="0"/>
    <n v="2.63"/>
    <n v="17452.84"/>
    <n v="76431.539999999994"/>
    <x v="2"/>
  </r>
  <r>
    <x v="4"/>
    <x v="1"/>
    <x v="0"/>
    <x v="3"/>
    <x v="27"/>
    <x v="0"/>
    <x v="0"/>
    <n v="3.23"/>
    <n v="21434.47"/>
    <n v="94071.79"/>
    <x v="2"/>
  </r>
  <r>
    <x v="4"/>
    <x v="1"/>
    <x v="0"/>
    <x v="0"/>
    <x v="0"/>
    <x v="0"/>
    <x v="1"/>
    <n v="2.76"/>
    <n v="18315.53"/>
    <n v="80402.98"/>
    <x v="2"/>
  </r>
  <r>
    <x v="4"/>
    <x v="1"/>
    <x v="0"/>
    <x v="0"/>
    <x v="1"/>
    <x v="0"/>
    <x v="1"/>
    <n v="6.84"/>
    <n v="45390.65"/>
    <n v="199252.29"/>
    <x v="2"/>
  </r>
  <r>
    <x v="4"/>
    <x v="1"/>
    <x v="0"/>
    <x v="0"/>
    <x v="2"/>
    <x v="0"/>
    <x v="1"/>
    <n v="6.37"/>
    <n v="42271.7"/>
    <n v="185331.61"/>
    <x v="2"/>
  </r>
  <r>
    <x v="4"/>
    <x v="1"/>
    <x v="0"/>
    <x v="0"/>
    <x v="3"/>
    <x v="0"/>
    <x v="1"/>
    <n v="7.32"/>
    <n v="48575.96"/>
    <n v="213228.63"/>
    <x v="2"/>
  </r>
  <r>
    <x v="4"/>
    <x v="1"/>
    <x v="0"/>
    <x v="0"/>
    <x v="4"/>
    <x v="0"/>
    <x v="1"/>
    <n v="2.12"/>
    <n v="14068.45"/>
    <n v="61806.46"/>
    <x v="2"/>
  </r>
  <r>
    <x v="4"/>
    <x v="1"/>
    <x v="0"/>
    <x v="0"/>
    <x v="5"/>
    <x v="0"/>
    <x v="1"/>
    <n v="4.82"/>
    <n v="31985.81"/>
    <n v="140339.63"/>
    <x v="2"/>
  </r>
  <r>
    <x v="4"/>
    <x v="1"/>
    <x v="0"/>
    <x v="0"/>
    <x v="6"/>
    <x v="0"/>
    <x v="1"/>
    <n v="3"/>
    <n v="19908.18"/>
    <n v="87373.53"/>
    <x v="2"/>
  </r>
  <r>
    <x v="4"/>
    <x v="1"/>
    <x v="0"/>
    <x v="0"/>
    <x v="8"/>
    <x v="0"/>
    <x v="1"/>
    <n v="4.71"/>
    <n v="31255.84"/>
    <n v="137092.62"/>
    <x v="2"/>
  </r>
  <r>
    <x v="4"/>
    <x v="1"/>
    <x v="0"/>
    <x v="1"/>
    <x v="10"/>
    <x v="0"/>
    <x v="1"/>
    <n v="4.6900000000000004"/>
    <n v="31123.119999999999"/>
    <n v="136555.37"/>
    <x v="2"/>
  </r>
  <r>
    <x v="4"/>
    <x v="1"/>
    <x v="0"/>
    <x v="1"/>
    <x v="11"/>
    <x v="0"/>
    <x v="1"/>
    <n v="12.61"/>
    <n v="83680.72"/>
    <n v="367215.72"/>
    <x v="2"/>
  </r>
  <r>
    <x v="4"/>
    <x v="1"/>
    <x v="0"/>
    <x v="1"/>
    <x v="13"/>
    <x v="0"/>
    <x v="1"/>
    <n v="5.79"/>
    <n v="38422.79"/>
    <n v="168520.19"/>
    <x v="2"/>
  </r>
  <r>
    <x v="4"/>
    <x v="1"/>
    <x v="0"/>
    <x v="1"/>
    <x v="14"/>
    <x v="0"/>
    <x v="1"/>
    <n v="1.75"/>
    <n v="11613.11"/>
    <n v="51013.54"/>
    <x v="2"/>
  </r>
  <r>
    <x v="4"/>
    <x v="1"/>
    <x v="0"/>
    <x v="1"/>
    <x v="16"/>
    <x v="0"/>
    <x v="1"/>
    <n v="2.64"/>
    <n v="17519.2"/>
    <n v="76965.3"/>
    <x v="2"/>
  </r>
  <r>
    <x v="4"/>
    <x v="1"/>
    <x v="0"/>
    <x v="1"/>
    <x v="17"/>
    <x v="0"/>
    <x v="1"/>
    <n v="2.56"/>
    <n v="16988.310000000001"/>
    <n v="74628.55"/>
    <x v="2"/>
  </r>
  <r>
    <x v="4"/>
    <x v="1"/>
    <x v="0"/>
    <x v="1"/>
    <x v="18"/>
    <x v="0"/>
    <x v="1"/>
    <n v="17.64"/>
    <n v="117060.1"/>
    <n v="513530.07"/>
    <x v="2"/>
  </r>
  <r>
    <x v="4"/>
    <x v="1"/>
    <x v="0"/>
    <x v="1"/>
    <x v="19"/>
    <x v="0"/>
    <x v="1"/>
    <n v="6.59"/>
    <n v="43731.64"/>
    <n v="191777.18"/>
    <x v="2"/>
  </r>
  <r>
    <x v="4"/>
    <x v="1"/>
    <x v="0"/>
    <x v="1"/>
    <x v="20"/>
    <x v="0"/>
    <x v="1"/>
    <n v="12.58"/>
    <n v="83481.63"/>
    <n v="366235.08"/>
    <x v="2"/>
  </r>
  <r>
    <x v="4"/>
    <x v="1"/>
    <x v="0"/>
    <x v="2"/>
    <x v="21"/>
    <x v="0"/>
    <x v="1"/>
    <n v="0"/>
    <n v="0"/>
    <n v="0"/>
    <x v="2"/>
  </r>
  <r>
    <x v="4"/>
    <x v="1"/>
    <x v="0"/>
    <x v="2"/>
    <x v="22"/>
    <x v="0"/>
    <x v="1"/>
    <n v="5.16"/>
    <n v="34242.07"/>
    <n v="150352.16"/>
    <x v="2"/>
  </r>
  <r>
    <x v="4"/>
    <x v="1"/>
    <x v="0"/>
    <x v="2"/>
    <x v="29"/>
    <x v="0"/>
    <x v="1"/>
    <n v="3.4"/>
    <n v="22562.6"/>
    <n v="98876.58"/>
    <x v="2"/>
  </r>
  <r>
    <x v="4"/>
    <x v="1"/>
    <x v="0"/>
    <x v="2"/>
    <x v="24"/>
    <x v="0"/>
    <x v="1"/>
    <n v="4.01"/>
    <n v="26610.6"/>
    <n v="116873.67"/>
    <x v="2"/>
  </r>
  <r>
    <x v="4"/>
    <x v="1"/>
    <x v="0"/>
    <x v="3"/>
    <x v="25"/>
    <x v="0"/>
    <x v="1"/>
    <n v="2.08"/>
    <n v="13803"/>
    <n v="60484.37"/>
    <x v="2"/>
  </r>
  <r>
    <x v="4"/>
    <x v="1"/>
    <x v="0"/>
    <x v="3"/>
    <x v="26"/>
    <x v="0"/>
    <x v="1"/>
    <n v="1.72"/>
    <n v="11414.02"/>
    <n v="50075.839999999997"/>
    <x v="2"/>
  </r>
  <r>
    <x v="4"/>
    <x v="1"/>
    <x v="0"/>
    <x v="3"/>
    <x v="27"/>
    <x v="0"/>
    <x v="1"/>
    <n v="11.85"/>
    <n v="78637.31"/>
    <n v="344929.89"/>
    <x v="2"/>
  </r>
  <r>
    <x v="4"/>
    <x v="1"/>
    <x v="0"/>
    <x v="0"/>
    <x v="0"/>
    <x v="1"/>
    <x v="0"/>
    <n v="6.59"/>
    <n v="43731.64"/>
    <n v="125570.06"/>
    <x v="2"/>
  </r>
  <r>
    <x v="4"/>
    <x v="1"/>
    <x v="0"/>
    <x v="0"/>
    <x v="1"/>
    <x v="1"/>
    <x v="0"/>
    <n v="12.72"/>
    <n v="84410.68"/>
    <n v="238199.55"/>
    <x v="2"/>
  </r>
  <r>
    <x v="4"/>
    <x v="1"/>
    <x v="0"/>
    <x v="0"/>
    <x v="2"/>
    <x v="1"/>
    <x v="0"/>
    <n v="4.8099999999999996"/>
    <n v="31919.45"/>
    <n v="86946.33"/>
    <x v="2"/>
  </r>
  <r>
    <x v="4"/>
    <x v="1"/>
    <x v="0"/>
    <x v="0"/>
    <x v="3"/>
    <x v="1"/>
    <x v="0"/>
    <n v="10.69"/>
    <n v="70939.48"/>
    <n v="201082.45"/>
    <x v="2"/>
  </r>
  <r>
    <x v="4"/>
    <x v="1"/>
    <x v="0"/>
    <x v="0"/>
    <x v="28"/>
    <x v="1"/>
    <x v="0"/>
    <n v="0"/>
    <n v="0"/>
    <n v="0"/>
    <x v="2"/>
  </r>
  <r>
    <x v="4"/>
    <x v="1"/>
    <x v="0"/>
    <x v="0"/>
    <x v="4"/>
    <x v="1"/>
    <x v="0"/>
    <n v="6.68"/>
    <n v="44328.88"/>
    <n v="124528.19"/>
    <x v="2"/>
  </r>
  <r>
    <x v="4"/>
    <x v="1"/>
    <x v="0"/>
    <x v="0"/>
    <x v="5"/>
    <x v="1"/>
    <x v="0"/>
    <n v="1.45"/>
    <n v="9622.2900000000009"/>
    <n v="27880.46"/>
    <x v="2"/>
  </r>
  <r>
    <x v="4"/>
    <x v="1"/>
    <x v="0"/>
    <x v="0"/>
    <x v="6"/>
    <x v="1"/>
    <x v="0"/>
    <n v="0"/>
    <n v="0"/>
    <n v="0"/>
    <x v="2"/>
  </r>
  <r>
    <x v="4"/>
    <x v="1"/>
    <x v="0"/>
    <x v="0"/>
    <x v="7"/>
    <x v="1"/>
    <x v="0"/>
    <n v="0"/>
    <n v="0"/>
    <n v="0"/>
    <x v="2"/>
  </r>
  <r>
    <x v="4"/>
    <x v="1"/>
    <x v="0"/>
    <x v="0"/>
    <x v="8"/>
    <x v="1"/>
    <x v="0"/>
    <n v="0"/>
    <n v="0"/>
    <n v="0"/>
    <x v="2"/>
  </r>
  <r>
    <x v="4"/>
    <x v="1"/>
    <x v="0"/>
    <x v="1"/>
    <x v="30"/>
    <x v="1"/>
    <x v="0"/>
    <n v="2.98"/>
    <n v="19775.46"/>
    <n v="59696"/>
    <x v="2"/>
  </r>
  <r>
    <x v="4"/>
    <x v="1"/>
    <x v="0"/>
    <x v="1"/>
    <x v="9"/>
    <x v="1"/>
    <x v="0"/>
    <n v="0"/>
    <n v="0"/>
    <n v="0"/>
    <x v="2"/>
  </r>
  <r>
    <x v="4"/>
    <x v="1"/>
    <x v="0"/>
    <x v="1"/>
    <x v="31"/>
    <x v="1"/>
    <x v="0"/>
    <n v="3.57"/>
    <n v="23690.73"/>
    <n v="72145.460000000006"/>
    <x v="2"/>
  </r>
  <r>
    <x v="4"/>
    <x v="1"/>
    <x v="0"/>
    <x v="1"/>
    <x v="10"/>
    <x v="1"/>
    <x v="0"/>
    <n v="9.51"/>
    <n v="63108.93"/>
    <n v="188861.87"/>
    <x v="2"/>
  </r>
  <r>
    <x v="4"/>
    <x v="1"/>
    <x v="0"/>
    <x v="1"/>
    <x v="11"/>
    <x v="1"/>
    <x v="0"/>
    <n v="9.7100000000000009"/>
    <n v="64436.14"/>
    <n v="183717.03"/>
    <x v="2"/>
  </r>
  <r>
    <x v="4"/>
    <x v="1"/>
    <x v="0"/>
    <x v="1"/>
    <x v="12"/>
    <x v="1"/>
    <x v="0"/>
    <n v="2.41"/>
    <n v="15992.9"/>
    <n v="48078.34"/>
    <x v="2"/>
  </r>
  <r>
    <x v="4"/>
    <x v="1"/>
    <x v="0"/>
    <x v="1"/>
    <x v="13"/>
    <x v="1"/>
    <x v="0"/>
    <n v="2.66"/>
    <n v="17651.919999999998"/>
    <n v="52641.29"/>
    <x v="2"/>
  </r>
  <r>
    <x v="4"/>
    <x v="1"/>
    <x v="0"/>
    <x v="1"/>
    <x v="14"/>
    <x v="1"/>
    <x v="0"/>
    <n v="13.55"/>
    <n v="89918.61"/>
    <n v="263427.37"/>
    <x v="2"/>
  </r>
  <r>
    <x v="4"/>
    <x v="1"/>
    <x v="0"/>
    <x v="1"/>
    <x v="15"/>
    <x v="1"/>
    <x v="0"/>
    <n v="3.14"/>
    <n v="20837.23"/>
    <n v="63245.3"/>
    <x v="2"/>
  </r>
  <r>
    <x v="4"/>
    <x v="1"/>
    <x v="0"/>
    <x v="1"/>
    <x v="16"/>
    <x v="1"/>
    <x v="0"/>
    <n v="4.18"/>
    <n v="27738.73"/>
    <n v="80028.44"/>
    <x v="2"/>
  </r>
  <r>
    <x v="4"/>
    <x v="1"/>
    <x v="0"/>
    <x v="1"/>
    <x v="17"/>
    <x v="1"/>
    <x v="0"/>
    <n v="8.83"/>
    <n v="58596.41"/>
    <n v="170735.16"/>
    <x v="2"/>
  </r>
  <r>
    <x v="4"/>
    <x v="1"/>
    <x v="0"/>
    <x v="1"/>
    <x v="18"/>
    <x v="1"/>
    <x v="0"/>
    <n v="8.6999999999999993"/>
    <n v="57733.72"/>
    <n v="176049.94"/>
    <x v="2"/>
  </r>
  <r>
    <x v="4"/>
    <x v="1"/>
    <x v="0"/>
    <x v="1"/>
    <x v="19"/>
    <x v="1"/>
    <x v="0"/>
    <n v="14.81"/>
    <n v="98280.05"/>
    <n v="290605.65999999997"/>
    <x v="2"/>
  </r>
  <r>
    <x v="4"/>
    <x v="1"/>
    <x v="0"/>
    <x v="1"/>
    <x v="20"/>
    <x v="1"/>
    <x v="0"/>
    <n v="7.15"/>
    <n v="47447.83"/>
    <n v="138054.49"/>
    <x v="2"/>
  </r>
  <r>
    <x v="4"/>
    <x v="1"/>
    <x v="0"/>
    <x v="2"/>
    <x v="21"/>
    <x v="1"/>
    <x v="0"/>
    <n v="0"/>
    <n v="0"/>
    <n v="0"/>
    <x v="2"/>
  </r>
  <r>
    <x v="4"/>
    <x v="1"/>
    <x v="0"/>
    <x v="2"/>
    <x v="22"/>
    <x v="1"/>
    <x v="0"/>
    <n v="7.36"/>
    <n v="48841.4"/>
    <n v="130461.24"/>
    <x v="2"/>
  </r>
  <r>
    <x v="4"/>
    <x v="1"/>
    <x v="0"/>
    <x v="2"/>
    <x v="29"/>
    <x v="1"/>
    <x v="0"/>
    <n v="0"/>
    <n v="0"/>
    <n v="0"/>
    <x v="2"/>
  </r>
  <r>
    <x v="4"/>
    <x v="1"/>
    <x v="0"/>
    <x v="2"/>
    <x v="23"/>
    <x v="1"/>
    <x v="0"/>
    <n v="0"/>
    <n v="0"/>
    <n v="0"/>
    <x v="2"/>
  </r>
  <r>
    <x v="4"/>
    <x v="1"/>
    <x v="0"/>
    <x v="2"/>
    <x v="24"/>
    <x v="1"/>
    <x v="0"/>
    <n v="2.13"/>
    <n v="14134.81"/>
    <n v="38527.65"/>
    <x v="2"/>
  </r>
  <r>
    <x v="4"/>
    <x v="1"/>
    <x v="0"/>
    <x v="3"/>
    <x v="25"/>
    <x v="1"/>
    <x v="0"/>
    <n v="8.4"/>
    <n v="55742.9"/>
    <n v="167448.46"/>
    <x v="2"/>
  </r>
  <r>
    <x v="4"/>
    <x v="1"/>
    <x v="0"/>
    <x v="3"/>
    <x v="26"/>
    <x v="1"/>
    <x v="0"/>
    <n v="5.82"/>
    <n v="38621.870000000003"/>
    <n v="116818.27"/>
    <x v="2"/>
  </r>
  <r>
    <x v="4"/>
    <x v="1"/>
    <x v="0"/>
    <x v="3"/>
    <x v="27"/>
    <x v="1"/>
    <x v="0"/>
    <n v="15.02"/>
    <n v="99673.62"/>
    <n v="296035.07"/>
    <x v="2"/>
  </r>
  <r>
    <x v="4"/>
    <x v="1"/>
    <x v="0"/>
    <x v="0"/>
    <x v="0"/>
    <x v="1"/>
    <x v="1"/>
    <n v="11.13"/>
    <n v="73859.350000000006"/>
    <n v="212001.4"/>
    <x v="2"/>
  </r>
  <r>
    <x v="4"/>
    <x v="1"/>
    <x v="0"/>
    <x v="0"/>
    <x v="1"/>
    <x v="1"/>
    <x v="1"/>
    <n v="23.84"/>
    <n v="158203.67000000001"/>
    <n v="446227.16"/>
    <x v="2"/>
  </r>
  <r>
    <x v="4"/>
    <x v="1"/>
    <x v="0"/>
    <x v="0"/>
    <x v="2"/>
    <x v="1"/>
    <x v="1"/>
    <n v="14.51"/>
    <n v="96289.23"/>
    <n v="262391.59000000003"/>
    <x v="2"/>
  </r>
  <r>
    <x v="4"/>
    <x v="1"/>
    <x v="0"/>
    <x v="0"/>
    <x v="3"/>
    <x v="1"/>
    <x v="1"/>
    <n v="30.74"/>
    <n v="203992.48"/>
    <n v="578112.05000000005"/>
    <x v="2"/>
  </r>
  <r>
    <x v="4"/>
    <x v="1"/>
    <x v="0"/>
    <x v="0"/>
    <x v="28"/>
    <x v="1"/>
    <x v="1"/>
    <n v="2.41"/>
    <n v="15992.9"/>
    <n v="45972.36"/>
    <x v="2"/>
  </r>
  <r>
    <x v="4"/>
    <x v="1"/>
    <x v="0"/>
    <x v="0"/>
    <x v="4"/>
    <x v="1"/>
    <x v="1"/>
    <n v="9.34"/>
    <n v="61980.800000000003"/>
    <n v="174020.17"/>
    <x v="2"/>
  </r>
  <r>
    <x v="4"/>
    <x v="1"/>
    <x v="0"/>
    <x v="0"/>
    <x v="5"/>
    <x v="1"/>
    <x v="1"/>
    <n v="25.82"/>
    <n v="171343.07"/>
    <n v="495288.21"/>
    <x v="2"/>
  </r>
  <r>
    <x v="4"/>
    <x v="1"/>
    <x v="0"/>
    <x v="0"/>
    <x v="6"/>
    <x v="1"/>
    <x v="1"/>
    <n v="2.82"/>
    <n v="18713.689999999999"/>
    <n v="53864.480000000003"/>
    <x v="2"/>
  </r>
  <r>
    <x v="4"/>
    <x v="1"/>
    <x v="0"/>
    <x v="0"/>
    <x v="7"/>
    <x v="1"/>
    <x v="1"/>
    <n v="5.05"/>
    <n v="33512.1"/>
    <n v="98263.87"/>
    <x v="2"/>
  </r>
  <r>
    <x v="4"/>
    <x v="1"/>
    <x v="0"/>
    <x v="0"/>
    <x v="8"/>
    <x v="1"/>
    <x v="1"/>
    <n v="4.24"/>
    <n v="28136.89"/>
    <n v="78638.710000000006"/>
    <x v="2"/>
  </r>
  <r>
    <x v="4"/>
    <x v="1"/>
    <x v="0"/>
    <x v="1"/>
    <x v="30"/>
    <x v="1"/>
    <x v="1"/>
    <n v="0"/>
    <n v="0"/>
    <n v="0"/>
    <x v="2"/>
  </r>
  <r>
    <x v="4"/>
    <x v="1"/>
    <x v="0"/>
    <x v="1"/>
    <x v="9"/>
    <x v="1"/>
    <x v="1"/>
    <n v="4.8099999999999996"/>
    <n v="31919.45"/>
    <n v="96314.35"/>
    <x v="2"/>
  </r>
  <r>
    <x v="4"/>
    <x v="1"/>
    <x v="0"/>
    <x v="1"/>
    <x v="31"/>
    <x v="1"/>
    <x v="1"/>
    <n v="0"/>
    <n v="0"/>
    <n v="0"/>
    <x v="2"/>
  </r>
  <r>
    <x v="4"/>
    <x v="1"/>
    <x v="0"/>
    <x v="1"/>
    <x v="10"/>
    <x v="1"/>
    <x v="1"/>
    <n v="30.93"/>
    <n v="205253.34"/>
    <n v="614226.43000000005"/>
    <x v="2"/>
  </r>
  <r>
    <x v="4"/>
    <x v="1"/>
    <x v="0"/>
    <x v="1"/>
    <x v="11"/>
    <x v="1"/>
    <x v="1"/>
    <n v="31.17"/>
    <n v="206845.99"/>
    <n v="589828.37"/>
    <x v="2"/>
  </r>
  <r>
    <x v="4"/>
    <x v="1"/>
    <x v="0"/>
    <x v="1"/>
    <x v="12"/>
    <x v="1"/>
    <x v="1"/>
    <n v="2.5"/>
    <n v="16590.150000000001"/>
    <n v="49795.42"/>
    <x v="2"/>
  </r>
  <r>
    <x v="4"/>
    <x v="1"/>
    <x v="0"/>
    <x v="1"/>
    <x v="13"/>
    <x v="1"/>
    <x v="1"/>
    <n v="11.99"/>
    <n v="79566.36"/>
    <n v="237734.85"/>
    <x v="2"/>
  </r>
  <r>
    <x v="4"/>
    <x v="1"/>
    <x v="0"/>
    <x v="1"/>
    <x v="14"/>
    <x v="1"/>
    <x v="1"/>
    <n v="7.94"/>
    <n v="52690.32"/>
    <n v="154365.07999999999"/>
    <x v="2"/>
  </r>
  <r>
    <x v="4"/>
    <x v="1"/>
    <x v="0"/>
    <x v="1"/>
    <x v="15"/>
    <x v="1"/>
    <x v="1"/>
    <n v="1.75"/>
    <n v="11613.11"/>
    <n v="35136.28"/>
    <x v="2"/>
  </r>
  <r>
    <x v="4"/>
    <x v="1"/>
    <x v="0"/>
    <x v="1"/>
    <x v="16"/>
    <x v="1"/>
    <x v="1"/>
    <n v="8.65"/>
    <n v="57401.919999999998"/>
    <n v="165672.91"/>
    <x v="2"/>
  </r>
  <r>
    <x v="4"/>
    <x v="1"/>
    <x v="0"/>
    <x v="1"/>
    <x v="17"/>
    <x v="1"/>
    <x v="1"/>
    <n v="5.83"/>
    <n v="38688.230000000003"/>
    <n v="112718.36"/>
    <x v="2"/>
  </r>
  <r>
    <x v="4"/>
    <x v="1"/>
    <x v="0"/>
    <x v="1"/>
    <x v="18"/>
    <x v="1"/>
    <x v="1"/>
    <n v="24.11"/>
    <n v="159995.41"/>
    <n v="487909.83"/>
    <x v="2"/>
  </r>
  <r>
    <x v="4"/>
    <x v="1"/>
    <x v="0"/>
    <x v="1"/>
    <x v="19"/>
    <x v="1"/>
    <x v="1"/>
    <n v="15.31"/>
    <n v="101598.08"/>
    <n v="300490.2"/>
    <x v="2"/>
  </r>
  <r>
    <x v="4"/>
    <x v="1"/>
    <x v="0"/>
    <x v="1"/>
    <x v="20"/>
    <x v="1"/>
    <x v="1"/>
    <n v="26.57"/>
    <n v="176320.11"/>
    <n v="512773.82"/>
    <x v="2"/>
  </r>
  <r>
    <x v="4"/>
    <x v="1"/>
    <x v="0"/>
    <x v="2"/>
    <x v="21"/>
    <x v="1"/>
    <x v="1"/>
    <n v="1.0900000000000001"/>
    <n v="7233.31"/>
    <n v="19344.98"/>
    <x v="2"/>
  </r>
  <r>
    <x v="4"/>
    <x v="1"/>
    <x v="0"/>
    <x v="2"/>
    <x v="22"/>
    <x v="1"/>
    <x v="1"/>
    <n v="17.48"/>
    <n v="115998.33"/>
    <n v="309845.46000000002"/>
    <x v="2"/>
  </r>
  <r>
    <x v="4"/>
    <x v="1"/>
    <x v="0"/>
    <x v="2"/>
    <x v="29"/>
    <x v="1"/>
    <x v="1"/>
    <n v="2.59"/>
    <n v="17187.400000000001"/>
    <n v="48703.18"/>
    <x v="2"/>
  </r>
  <r>
    <x v="4"/>
    <x v="1"/>
    <x v="0"/>
    <x v="2"/>
    <x v="23"/>
    <x v="1"/>
    <x v="1"/>
    <n v="3.06"/>
    <n v="20306.34"/>
    <n v="56557.96"/>
    <x v="2"/>
  </r>
  <r>
    <x v="4"/>
    <x v="1"/>
    <x v="0"/>
    <x v="2"/>
    <x v="24"/>
    <x v="1"/>
    <x v="1"/>
    <n v="1.96"/>
    <n v="13006.68"/>
    <n v="35445.440000000002"/>
    <x v="2"/>
  </r>
  <r>
    <x v="4"/>
    <x v="1"/>
    <x v="0"/>
    <x v="3"/>
    <x v="25"/>
    <x v="1"/>
    <x v="1"/>
    <n v="11.57"/>
    <n v="76779.210000000006"/>
    <n v="230668.79999999999"/>
    <x v="2"/>
  </r>
  <r>
    <x v="4"/>
    <x v="1"/>
    <x v="0"/>
    <x v="3"/>
    <x v="26"/>
    <x v="1"/>
    <x v="1"/>
    <n v="24.89"/>
    <n v="165171.53"/>
    <n v="499913.49"/>
    <x v="2"/>
  </r>
  <r>
    <x v="4"/>
    <x v="1"/>
    <x v="0"/>
    <x v="3"/>
    <x v="27"/>
    <x v="1"/>
    <x v="1"/>
    <n v="35.96"/>
    <n v="238632.72"/>
    <n v="708792.55"/>
    <x v="2"/>
  </r>
  <r>
    <x v="4"/>
    <x v="1"/>
    <x v="1"/>
    <x v="0"/>
    <x v="0"/>
    <x v="0"/>
    <x v="0"/>
    <n v="1.64"/>
    <n v="4465.3599999999997"/>
    <n v="15778.27"/>
    <x v="2"/>
  </r>
  <r>
    <x v="4"/>
    <x v="1"/>
    <x v="1"/>
    <x v="0"/>
    <x v="1"/>
    <x v="0"/>
    <x v="0"/>
    <n v="2.38"/>
    <n v="6480.22"/>
    <n v="22873.25"/>
    <x v="2"/>
  </r>
  <r>
    <x v="4"/>
    <x v="1"/>
    <x v="1"/>
    <x v="0"/>
    <x v="2"/>
    <x v="0"/>
    <x v="0"/>
    <n v="0"/>
    <n v="0"/>
    <n v="0"/>
    <x v="2"/>
  </r>
  <r>
    <x v="4"/>
    <x v="1"/>
    <x v="1"/>
    <x v="0"/>
    <x v="3"/>
    <x v="0"/>
    <x v="0"/>
    <n v="0.79"/>
    <n v="2151"/>
    <n v="7588"/>
    <x v="2"/>
  </r>
  <r>
    <x v="4"/>
    <x v="1"/>
    <x v="1"/>
    <x v="0"/>
    <x v="4"/>
    <x v="0"/>
    <x v="0"/>
    <n v="0"/>
    <n v="0"/>
    <n v="0"/>
    <x v="2"/>
  </r>
  <r>
    <x v="4"/>
    <x v="1"/>
    <x v="1"/>
    <x v="0"/>
    <x v="5"/>
    <x v="0"/>
    <x v="0"/>
    <n v="0"/>
    <n v="0"/>
    <n v="0"/>
    <x v="2"/>
  </r>
  <r>
    <x v="4"/>
    <x v="1"/>
    <x v="1"/>
    <x v="0"/>
    <x v="6"/>
    <x v="0"/>
    <x v="0"/>
    <n v="0"/>
    <n v="0"/>
    <n v="0"/>
    <x v="2"/>
  </r>
  <r>
    <x v="4"/>
    <x v="1"/>
    <x v="1"/>
    <x v="0"/>
    <x v="8"/>
    <x v="0"/>
    <x v="0"/>
    <n v="0"/>
    <n v="0"/>
    <n v="0"/>
    <x v="2"/>
  </r>
  <r>
    <x v="4"/>
    <x v="1"/>
    <x v="1"/>
    <x v="1"/>
    <x v="10"/>
    <x v="0"/>
    <x v="0"/>
    <n v="0.9"/>
    <n v="2450.5"/>
    <n v="8616.5499999999993"/>
    <x v="2"/>
  </r>
  <r>
    <x v="4"/>
    <x v="1"/>
    <x v="1"/>
    <x v="1"/>
    <x v="11"/>
    <x v="0"/>
    <x v="0"/>
    <n v="0"/>
    <n v="0"/>
    <n v="0"/>
    <x v="2"/>
  </r>
  <r>
    <x v="4"/>
    <x v="1"/>
    <x v="1"/>
    <x v="1"/>
    <x v="13"/>
    <x v="0"/>
    <x v="0"/>
    <n v="0"/>
    <n v="0"/>
    <n v="0"/>
    <x v="2"/>
  </r>
  <r>
    <x v="4"/>
    <x v="1"/>
    <x v="1"/>
    <x v="1"/>
    <x v="14"/>
    <x v="0"/>
    <x v="0"/>
    <n v="0"/>
    <n v="0"/>
    <n v="0"/>
    <x v="2"/>
  </r>
  <r>
    <x v="4"/>
    <x v="1"/>
    <x v="1"/>
    <x v="1"/>
    <x v="16"/>
    <x v="0"/>
    <x v="0"/>
    <n v="0"/>
    <n v="0"/>
    <n v="0"/>
    <x v="2"/>
  </r>
  <r>
    <x v="4"/>
    <x v="1"/>
    <x v="1"/>
    <x v="1"/>
    <x v="17"/>
    <x v="0"/>
    <x v="0"/>
    <n v="0"/>
    <n v="0"/>
    <n v="0"/>
    <x v="2"/>
  </r>
  <r>
    <x v="4"/>
    <x v="1"/>
    <x v="1"/>
    <x v="1"/>
    <x v="18"/>
    <x v="0"/>
    <x v="0"/>
    <n v="0"/>
    <n v="0"/>
    <n v="0"/>
    <x v="2"/>
  </r>
  <r>
    <x v="4"/>
    <x v="1"/>
    <x v="1"/>
    <x v="1"/>
    <x v="19"/>
    <x v="0"/>
    <x v="0"/>
    <n v="0"/>
    <n v="0"/>
    <n v="0"/>
    <x v="2"/>
  </r>
  <r>
    <x v="4"/>
    <x v="1"/>
    <x v="1"/>
    <x v="1"/>
    <x v="20"/>
    <x v="0"/>
    <x v="0"/>
    <n v="1.0900000000000001"/>
    <n v="2967.83"/>
    <n v="10493.03"/>
    <x v="2"/>
  </r>
  <r>
    <x v="4"/>
    <x v="1"/>
    <x v="1"/>
    <x v="2"/>
    <x v="21"/>
    <x v="0"/>
    <x v="0"/>
    <n v="1.05"/>
    <n v="2858.92"/>
    <n v="10132.969999999999"/>
    <x v="2"/>
  </r>
  <r>
    <x v="4"/>
    <x v="1"/>
    <x v="1"/>
    <x v="2"/>
    <x v="22"/>
    <x v="0"/>
    <x v="0"/>
    <n v="0"/>
    <n v="0"/>
    <n v="0"/>
    <x v="2"/>
  </r>
  <r>
    <x v="4"/>
    <x v="1"/>
    <x v="1"/>
    <x v="2"/>
    <x v="29"/>
    <x v="0"/>
    <x v="0"/>
    <n v="0"/>
    <n v="0"/>
    <n v="0"/>
    <x v="2"/>
  </r>
  <r>
    <x v="4"/>
    <x v="1"/>
    <x v="1"/>
    <x v="2"/>
    <x v="24"/>
    <x v="0"/>
    <x v="0"/>
    <n v="0"/>
    <n v="0"/>
    <n v="0"/>
    <x v="2"/>
  </r>
  <r>
    <x v="4"/>
    <x v="1"/>
    <x v="1"/>
    <x v="3"/>
    <x v="25"/>
    <x v="0"/>
    <x v="0"/>
    <n v="0"/>
    <n v="0"/>
    <n v="0"/>
    <x v="2"/>
  </r>
  <r>
    <x v="4"/>
    <x v="1"/>
    <x v="1"/>
    <x v="3"/>
    <x v="26"/>
    <x v="0"/>
    <x v="0"/>
    <n v="1.65"/>
    <n v="4492.59"/>
    <n v="15921.67"/>
    <x v="2"/>
  </r>
  <r>
    <x v="4"/>
    <x v="1"/>
    <x v="1"/>
    <x v="3"/>
    <x v="27"/>
    <x v="0"/>
    <x v="0"/>
    <n v="1.42"/>
    <n v="3866.35"/>
    <n v="13624.07"/>
    <x v="2"/>
  </r>
  <r>
    <x v="4"/>
    <x v="1"/>
    <x v="1"/>
    <x v="0"/>
    <x v="0"/>
    <x v="0"/>
    <x v="1"/>
    <n v="1.27"/>
    <n v="3457.93"/>
    <n v="12271.99"/>
    <x v="2"/>
  </r>
  <r>
    <x v="4"/>
    <x v="1"/>
    <x v="1"/>
    <x v="0"/>
    <x v="1"/>
    <x v="0"/>
    <x v="1"/>
    <n v="4.08"/>
    <n v="11108.94"/>
    <n v="39251.629999999997"/>
    <x v="2"/>
  </r>
  <r>
    <x v="4"/>
    <x v="1"/>
    <x v="1"/>
    <x v="0"/>
    <x v="2"/>
    <x v="0"/>
    <x v="1"/>
    <n v="2.08"/>
    <n v="5663.38"/>
    <n v="20033.16"/>
    <x v="2"/>
  </r>
  <r>
    <x v="4"/>
    <x v="1"/>
    <x v="1"/>
    <x v="0"/>
    <x v="3"/>
    <x v="0"/>
    <x v="1"/>
    <n v="2.25"/>
    <n v="6126.26"/>
    <n v="21679.99"/>
    <x v="2"/>
  </r>
  <r>
    <x v="4"/>
    <x v="1"/>
    <x v="1"/>
    <x v="0"/>
    <x v="4"/>
    <x v="0"/>
    <x v="1"/>
    <n v="1.32"/>
    <n v="3594.07"/>
    <n v="12739.75"/>
    <x v="2"/>
  </r>
  <r>
    <x v="4"/>
    <x v="1"/>
    <x v="1"/>
    <x v="0"/>
    <x v="5"/>
    <x v="0"/>
    <x v="1"/>
    <n v="3.02"/>
    <n v="8222.7999999999993"/>
    <n v="29079.360000000001"/>
    <x v="2"/>
  </r>
  <r>
    <x v="4"/>
    <x v="1"/>
    <x v="1"/>
    <x v="0"/>
    <x v="6"/>
    <x v="0"/>
    <x v="1"/>
    <n v="1.46"/>
    <n v="3975.26"/>
    <n v="14095.26"/>
    <x v="2"/>
  </r>
  <r>
    <x v="4"/>
    <x v="1"/>
    <x v="1"/>
    <x v="0"/>
    <x v="8"/>
    <x v="0"/>
    <x v="1"/>
    <n v="2.1"/>
    <n v="5717.84"/>
    <n v="20231.34"/>
    <x v="2"/>
  </r>
  <r>
    <x v="4"/>
    <x v="1"/>
    <x v="1"/>
    <x v="1"/>
    <x v="10"/>
    <x v="0"/>
    <x v="1"/>
    <n v="2.6"/>
    <n v="7079.23"/>
    <n v="24987.99"/>
    <x v="2"/>
  </r>
  <r>
    <x v="4"/>
    <x v="1"/>
    <x v="1"/>
    <x v="1"/>
    <x v="11"/>
    <x v="0"/>
    <x v="1"/>
    <n v="5.36"/>
    <n v="14594.1"/>
    <n v="51594.17"/>
    <x v="2"/>
  </r>
  <r>
    <x v="4"/>
    <x v="1"/>
    <x v="1"/>
    <x v="1"/>
    <x v="13"/>
    <x v="0"/>
    <x v="1"/>
    <n v="2.2000000000000002"/>
    <n v="5990.12"/>
    <n v="21149.46"/>
    <x v="2"/>
  </r>
  <r>
    <x v="4"/>
    <x v="1"/>
    <x v="1"/>
    <x v="1"/>
    <x v="14"/>
    <x v="0"/>
    <x v="1"/>
    <n v="1.45"/>
    <n v="3948.03"/>
    <n v="13927.32"/>
    <x v="2"/>
  </r>
  <r>
    <x v="4"/>
    <x v="1"/>
    <x v="1"/>
    <x v="1"/>
    <x v="16"/>
    <x v="0"/>
    <x v="1"/>
    <n v="1.28"/>
    <n v="3485.16"/>
    <n v="12345.15"/>
    <x v="2"/>
  </r>
  <r>
    <x v="4"/>
    <x v="1"/>
    <x v="1"/>
    <x v="1"/>
    <x v="17"/>
    <x v="0"/>
    <x v="1"/>
    <n v="1.04"/>
    <n v="2831.69"/>
    <n v="9986.43"/>
    <x v="2"/>
  </r>
  <r>
    <x v="4"/>
    <x v="1"/>
    <x v="1"/>
    <x v="1"/>
    <x v="18"/>
    <x v="0"/>
    <x v="1"/>
    <n v="7.84"/>
    <n v="21346.6"/>
    <n v="75426.33"/>
    <x v="2"/>
  </r>
  <r>
    <x v="4"/>
    <x v="1"/>
    <x v="1"/>
    <x v="1"/>
    <x v="19"/>
    <x v="0"/>
    <x v="1"/>
    <n v="4.51"/>
    <n v="12279.74"/>
    <n v="43440.37"/>
    <x v="2"/>
  </r>
  <r>
    <x v="4"/>
    <x v="1"/>
    <x v="1"/>
    <x v="1"/>
    <x v="20"/>
    <x v="0"/>
    <x v="1"/>
    <n v="8.27"/>
    <n v="22517.39"/>
    <n v="79572.17"/>
    <x v="2"/>
  </r>
  <r>
    <x v="4"/>
    <x v="1"/>
    <x v="1"/>
    <x v="2"/>
    <x v="21"/>
    <x v="0"/>
    <x v="1"/>
    <n v="0"/>
    <n v="0"/>
    <n v="0"/>
    <x v="2"/>
  </r>
  <r>
    <x v="4"/>
    <x v="1"/>
    <x v="1"/>
    <x v="2"/>
    <x v="22"/>
    <x v="0"/>
    <x v="1"/>
    <n v="2.82"/>
    <n v="7678.24"/>
    <n v="27117.57"/>
    <x v="2"/>
  </r>
  <r>
    <x v="4"/>
    <x v="1"/>
    <x v="1"/>
    <x v="2"/>
    <x v="29"/>
    <x v="0"/>
    <x v="1"/>
    <n v="1.71"/>
    <n v="4655.95"/>
    <n v="16471.53"/>
    <x v="2"/>
  </r>
  <r>
    <x v="4"/>
    <x v="1"/>
    <x v="1"/>
    <x v="2"/>
    <x v="24"/>
    <x v="0"/>
    <x v="1"/>
    <n v="2.0699999999999998"/>
    <n v="5636.15"/>
    <n v="19895.72"/>
    <x v="2"/>
  </r>
  <r>
    <x v="4"/>
    <x v="1"/>
    <x v="1"/>
    <x v="3"/>
    <x v="25"/>
    <x v="0"/>
    <x v="1"/>
    <n v="1.35"/>
    <n v="3675.75"/>
    <n v="12978.65"/>
    <x v="2"/>
  </r>
  <r>
    <x v="4"/>
    <x v="1"/>
    <x v="1"/>
    <x v="3"/>
    <x v="26"/>
    <x v="0"/>
    <x v="1"/>
    <n v="0.79"/>
    <n v="2151"/>
    <n v="7581.75"/>
    <x v="2"/>
  </r>
  <r>
    <x v="4"/>
    <x v="1"/>
    <x v="1"/>
    <x v="3"/>
    <x v="27"/>
    <x v="0"/>
    <x v="1"/>
    <n v="5.57"/>
    <n v="15165.88"/>
    <n v="53644.78"/>
    <x v="2"/>
  </r>
  <r>
    <x v="4"/>
    <x v="1"/>
    <x v="1"/>
    <x v="0"/>
    <x v="0"/>
    <x v="1"/>
    <x v="0"/>
    <n v="3.91"/>
    <n v="10646.07"/>
    <n v="24597.69"/>
    <x v="2"/>
  </r>
  <r>
    <x v="4"/>
    <x v="1"/>
    <x v="1"/>
    <x v="0"/>
    <x v="1"/>
    <x v="1"/>
    <x v="0"/>
    <n v="12.11"/>
    <n v="32972.870000000003"/>
    <n v="74957.42"/>
    <x v="2"/>
  </r>
  <r>
    <x v="4"/>
    <x v="1"/>
    <x v="1"/>
    <x v="0"/>
    <x v="2"/>
    <x v="1"/>
    <x v="0"/>
    <n v="0.91"/>
    <n v="2477.73"/>
    <n v="5457.52"/>
    <x v="2"/>
  </r>
  <r>
    <x v="4"/>
    <x v="1"/>
    <x v="1"/>
    <x v="0"/>
    <x v="3"/>
    <x v="1"/>
    <x v="0"/>
    <n v="5.0999999999999996"/>
    <n v="13886.18"/>
    <n v="31695.05"/>
    <x v="2"/>
  </r>
  <r>
    <x v="4"/>
    <x v="1"/>
    <x v="1"/>
    <x v="0"/>
    <x v="28"/>
    <x v="1"/>
    <x v="0"/>
    <n v="0"/>
    <n v="0"/>
    <n v="0"/>
    <x v="2"/>
  </r>
  <r>
    <x v="4"/>
    <x v="1"/>
    <x v="1"/>
    <x v="0"/>
    <x v="4"/>
    <x v="1"/>
    <x v="0"/>
    <n v="7.01"/>
    <n v="19086.689999999999"/>
    <n v="43170.38"/>
    <x v="2"/>
  </r>
  <r>
    <x v="4"/>
    <x v="1"/>
    <x v="1"/>
    <x v="0"/>
    <x v="5"/>
    <x v="1"/>
    <x v="0"/>
    <n v="0.8"/>
    <n v="2178.2199999999998"/>
    <n v="5093.16"/>
    <x v="2"/>
  </r>
  <r>
    <x v="4"/>
    <x v="1"/>
    <x v="1"/>
    <x v="0"/>
    <x v="6"/>
    <x v="1"/>
    <x v="0"/>
    <n v="0"/>
    <n v="0"/>
    <n v="0"/>
    <x v="2"/>
  </r>
  <r>
    <x v="4"/>
    <x v="1"/>
    <x v="1"/>
    <x v="0"/>
    <x v="7"/>
    <x v="1"/>
    <x v="0"/>
    <n v="0"/>
    <n v="0"/>
    <n v="0"/>
    <x v="2"/>
  </r>
  <r>
    <x v="4"/>
    <x v="1"/>
    <x v="1"/>
    <x v="0"/>
    <x v="8"/>
    <x v="1"/>
    <x v="0"/>
    <n v="0"/>
    <n v="0"/>
    <n v="0"/>
    <x v="2"/>
  </r>
  <r>
    <x v="4"/>
    <x v="1"/>
    <x v="1"/>
    <x v="1"/>
    <x v="30"/>
    <x v="1"/>
    <x v="0"/>
    <n v="0.49"/>
    <n v="1334.16"/>
    <n v="3241.49"/>
    <x v="2"/>
  </r>
  <r>
    <x v="4"/>
    <x v="1"/>
    <x v="1"/>
    <x v="1"/>
    <x v="9"/>
    <x v="1"/>
    <x v="0"/>
    <n v="0"/>
    <n v="0"/>
    <n v="0"/>
    <x v="2"/>
  </r>
  <r>
    <x v="4"/>
    <x v="1"/>
    <x v="1"/>
    <x v="1"/>
    <x v="31"/>
    <x v="1"/>
    <x v="0"/>
    <n v="2.23"/>
    <n v="6071.8"/>
    <n v="14919.76"/>
    <x v="2"/>
  </r>
  <r>
    <x v="4"/>
    <x v="1"/>
    <x v="1"/>
    <x v="1"/>
    <x v="10"/>
    <x v="1"/>
    <x v="0"/>
    <n v="6.12"/>
    <n v="16663.41"/>
    <n v="40174.93"/>
    <x v="2"/>
  </r>
  <r>
    <x v="4"/>
    <x v="1"/>
    <x v="1"/>
    <x v="1"/>
    <x v="11"/>
    <x v="1"/>
    <x v="0"/>
    <n v="4.3"/>
    <n v="11707.95"/>
    <n v="26917.97"/>
    <x v="2"/>
  </r>
  <r>
    <x v="4"/>
    <x v="1"/>
    <x v="1"/>
    <x v="1"/>
    <x v="12"/>
    <x v="1"/>
    <x v="0"/>
    <n v="1.66"/>
    <n v="4519.8100000000004"/>
    <n v="10951.56"/>
    <x v="2"/>
  </r>
  <r>
    <x v="4"/>
    <x v="1"/>
    <x v="1"/>
    <x v="1"/>
    <x v="13"/>
    <x v="1"/>
    <x v="0"/>
    <n v="1.21"/>
    <n v="3294.56"/>
    <n v="7906.61"/>
    <x v="2"/>
  </r>
  <r>
    <x v="4"/>
    <x v="1"/>
    <x v="1"/>
    <x v="1"/>
    <x v="14"/>
    <x v="1"/>
    <x v="0"/>
    <n v="9.33"/>
    <n v="25403.54"/>
    <n v="60012.07"/>
    <x v="2"/>
  </r>
  <r>
    <x v="4"/>
    <x v="1"/>
    <x v="1"/>
    <x v="1"/>
    <x v="15"/>
    <x v="1"/>
    <x v="0"/>
    <n v="1"/>
    <n v="2722.78"/>
    <n v="6630.53"/>
    <x v="2"/>
  </r>
  <r>
    <x v="4"/>
    <x v="1"/>
    <x v="1"/>
    <x v="1"/>
    <x v="16"/>
    <x v="1"/>
    <x v="0"/>
    <n v="2.19"/>
    <n v="5962.89"/>
    <n v="13855.29"/>
    <x v="2"/>
  </r>
  <r>
    <x v="4"/>
    <x v="1"/>
    <x v="1"/>
    <x v="1"/>
    <x v="17"/>
    <x v="1"/>
    <x v="0"/>
    <n v="5.61"/>
    <n v="15274.8"/>
    <n v="35851.760000000002"/>
    <x v="2"/>
  </r>
  <r>
    <x v="4"/>
    <x v="1"/>
    <x v="1"/>
    <x v="1"/>
    <x v="18"/>
    <x v="1"/>
    <x v="0"/>
    <n v="3.89"/>
    <n v="10591.61"/>
    <n v="26032.2"/>
    <x v="2"/>
  </r>
  <r>
    <x v="4"/>
    <x v="1"/>
    <x v="1"/>
    <x v="1"/>
    <x v="19"/>
    <x v="1"/>
    <x v="0"/>
    <n v="5.61"/>
    <n v="15274.8"/>
    <n v="36424.36"/>
    <x v="2"/>
  </r>
  <r>
    <x v="4"/>
    <x v="1"/>
    <x v="1"/>
    <x v="1"/>
    <x v="20"/>
    <x v="1"/>
    <x v="0"/>
    <n v="6.36"/>
    <n v="17316.88"/>
    <n v="40571.199999999997"/>
    <x v="2"/>
  </r>
  <r>
    <x v="4"/>
    <x v="1"/>
    <x v="1"/>
    <x v="2"/>
    <x v="21"/>
    <x v="1"/>
    <x v="0"/>
    <n v="0"/>
    <n v="0"/>
    <n v="0"/>
    <x v="2"/>
  </r>
  <r>
    <x v="4"/>
    <x v="1"/>
    <x v="1"/>
    <x v="2"/>
    <x v="22"/>
    <x v="1"/>
    <x v="0"/>
    <n v="2.66"/>
    <n v="7242.59"/>
    <n v="15615.94"/>
    <x v="2"/>
  </r>
  <r>
    <x v="4"/>
    <x v="1"/>
    <x v="1"/>
    <x v="2"/>
    <x v="29"/>
    <x v="1"/>
    <x v="0"/>
    <n v="0"/>
    <n v="0"/>
    <n v="0"/>
    <x v="2"/>
  </r>
  <r>
    <x v="4"/>
    <x v="1"/>
    <x v="1"/>
    <x v="2"/>
    <x v="23"/>
    <x v="1"/>
    <x v="0"/>
    <n v="0"/>
    <n v="0"/>
    <n v="0"/>
    <x v="2"/>
  </r>
  <r>
    <x v="4"/>
    <x v="1"/>
    <x v="1"/>
    <x v="2"/>
    <x v="24"/>
    <x v="1"/>
    <x v="0"/>
    <n v="2.11"/>
    <n v="5745.07"/>
    <n v="12598.13"/>
    <x v="2"/>
  </r>
  <r>
    <x v="4"/>
    <x v="1"/>
    <x v="1"/>
    <x v="3"/>
    <x v="25"/>
    <x v="1"/>
    <x v="0"/>
    <n v="4.01"/>
    <n v="10918.35"/>
    <n v="26420.959999999999"/>
    <x v="2"/>
  </r>
  <r>
    <x v="4"/>
    <x v="1"/>
    <x v="1"/>
    <x v="3"/>
    <x v="26"/>
    <x v="1"/>
    <x v="0"/>
    <n v="2.2000000000000002"/>
    <n v="5990.12"/>
    <n v="14582.44"/>
    <x v="2"/>
  </r>
  <r>
    <x v="4"/>
    <x v="1"/>
    <x v="1"/>
    <x v="3"/>
    <x v="27"/>
    <x v="1"/>
    <x v="0"/>
    <n v="6.22"/>
    <n v="16935.689999999999"/>
    <n v="40518.61"/>
    <x v="2"/>
  </r>
  <r>
    <x v="4"/>
    <x v="1"/>
    <x v="1"/>
    <x v="0"/>
    <x v="0"/>
    <x v="1"/>
    <x v="1"/>
    <n v="7.56"/>
    <n v="20584.22"/>
    <n v="47591.19"/>
    <x v="2"/>
  </r>
  <r>
    <x v="4"/>
    <x v="1"/>
    <x v="1"/>
    <x v="0"/>
    <x v="1"/>
    <x v="1"/>
    <x v="1"/>
    <n v="17.32"/>
    <n v="47158.55"/>
    <n v="107182.1"/>
    <x v="2"/>
  </r>
  <r>
    <x v="4"/>
    <x v="1"/>
    <x v="1"/>
    <x v="0"/>
    <x v="2"/>
    <x v="1"/>
    <x v="1"/>
    <n v="4.49"/>
    <n v="12225.28"/>
    <n v="26832.79"/>
    <x v="2"/>
  </r>
  <r>
    <x v="4"/>
    <x v="1"/>
    <x v="1"/>
    <x v="0"/>
    <x v="3"/>
    <x v="1"/>
    <x v="1"/>
    <n v="17.54"/>
    <n v="47757.56"/>
    <n v="109052.46"/>
    <x v="2"/>
  </r>
  <r>
    <x v="4"/>
    <x v="1"/>
    <x v="1"/>
    <x v="0"/>
    <x v="28"/>
    <x v="1"/>
    <x v="1"/>
    <n v="2.2000000000000002"/>
    <n v="5990.12"/>
    <n v="13820.71"/>
    <x v="2"/>
  </r>
  <r>
    <x v="4"/>
    <x v="1"/>
    <x v="1"/>
    <x v="0"/>
    <x v="4"/>
    <x v="1"/>
    <x v="1"/>
    <n v="8.0299999999999994"/>
    <n v="21863.919999999998"/>
    <n v="49449.71"/>
    <x v="2"/>
  </r>
  <r>
    <x v="4"/>
    <x v="1"/>
    <x v="1"/>
    <x v="0"/>
    <x v="5"/>
    <x v="1"/>
    <x v="1"/>
    <n v="15.15"/>
    <n v="41250.120000000003"/>
    <n v="96133.440000000002"/>
    <x v="2"/>
  </r>
  <r>
    <x v="4"/>
    <x v="1"/>
    <x v="1"/>
    <x v="0"/>
    <x v="6"/>
    <x v="1"/>
    <x v="1"/>
    <n v="2.66"/>
    <n v="7242.59"/>
    <n v="16837.560000000001"/>
    <x v="2"/>
  </r>
  <r>
    <x v="4"/>
    <x v="1"/>
    <x v="1"/>
    <x v="0"/>
    <x v="7"/>
    <x v="1"/>
    <x v="1"/>
    <n v="2.75"/>
    <n v="7487.65"/>
    <n v="17667.52"/>
    <x v="2"/>
  </r>
  <r>
    <x v="4"/>
    <x v="1"/>
    <x v="1"/>
    <x v="0"/>
    <x v="8"/>
    <x v="1"/>
    <x v="1"/>
    <n v="2.25"/>
    <n v="6126.26"/>
    <n v="13825.24"/>
    <x v="2"/>
  </r>
  <r>
    <x v="4"/>
    <x v="1"/>
    <x v="1"/>
    <x v="1"/>
    <x v="30"/>
    <x v="1"/>
    <x v="1"/>
    <n v="0"/>
    <n v="0"/>
    <n v="0"/>
    <x v="2"/>
  </r>
  <r>
    <x v="4"/>
    <x v="1"/>
    <x v="1"/>
    <x v="1"/>
    <x v="9"/>
    <x v="1"/>
    <x v="1"/>
    <n v="0.59"/>
    <n v="1606.44"/>
    <n v="3892.01"/>
    <x v="2"/>
  </r>
  <r>
    <x v="4"/>
    <x v="1"/>
    <x v="1"/>
    <x v="1"/>
    <x v="31"/>
    <x v="1"/>
    <x v="1"/>
    <n v="0"/>
    <n v="0"/>
    <n v="0"/>
    <x v="2"/>
  </r>
  <r>
    <x v="4"/>
    <x v="1"/>
    <x v="1"/>
    <x v="1"/>
    <x v="10"/>
    <x v="1"/>
    <x v="1"/>
    <n v="16.63"/>
    <n v="45279.83"/>
    <n v="109207.92"/>
    <x v="2"/>
  </r>
  <r>
    <x v="4"/>
    <x v="1"/>
    <x v="1"/>
    <x v="1"/>
    <x v="11"/>
    <x v="1"/>
    <x v="1"/>
    <n v="14.28"/>
    <n v="38881.300000000003"/>
    <n v="89367.66"/>
    <x v="2"/>
  </r>
  <r>
    <x v="4"/>
    <x v="1"/>
    <x v="1"/>
    <x v="1"/>
    <x v="12"/>
    <x v="1"/>
    <x v="1"/>
    <n v="0.79"/>
    <n v="2151"/>
    <n v="5187.58"/>
    <x v="2"/>
  </r>
  <r>
    <x v="4"/>
    <x v="1"/>
    <x v="1"/>
    <x v="1"/>
    <x v="13"/>
    <x v="1"/>
    <x v="1"/>
    <n v="5.69"/>
    <n v="15492.62"/>
    <n v="37274"/>
    <x v="2"/>
  </r>
  <r>
    <x v="4"/>
    <x v="1"/>
    <x v="1"/>
    <x v="1"/>
    <x v="14"/>
    <x v="1"/>
    <x v="1"/>
    <n v="4.3600000000000003"/>
    <n v="11871.32"/>
    <n v="28043.02"/>
    <x v="2"/>
  </r>
  <r>
    <x v="4"/>
    <x v="1"/>
    <x v="1"/>
    <x v="1"/>
    <x v="15"/>
    <x v="1"/>
    <x v="1"/>
    <n v="2.4500000000000002"/>
    <n v="6670.81"/>
    <n v="16274.93"/>
    <x v="2"/>
  </r>
  <r>
    <x v="4"/>
    <x v="1"/>
    <x v="1"/>
    <x v="1"/>
    <x v="16"/>
    <x v="1"/>
    <x v="1"/>
    <n v="6.42"/>
    <n v="17480.25"/>
    <n v="40671.980000000003"/>
    <x v="2"/>
  </r>
  <r>
    <x v="4"/>
    <x v="1"/>
    <x v="1"/>
    <x v="1"/>
    <x v="17"/>
    <x v="1"/>
    <x v="1"/>
    <n v="1.98"/>
    <n v="5391.1"/>
    <n v="12686.01"/>
    <x v="2"/>
  </r>
  <r>
    <x v="4"/>
    <x v="1"/>
    <x v="1"/>
    <x v="1"/>
    <x v="18"/>
    <x v="1"/>
    <x v="1"/>
    <n v="16.16"/>
    <n v="44000.12"/>
    <n v="108133.74"/>
    <x v="2"/>
  </r>
  <r>
    <x v="4"/>
    <x v="1"/>
    <x v="1"/>
    <x v="1"/>
    <x v="19"/>
    <x v="1"/>
    <x v="1"/>
    <n v="9.67"/>
    <n v="26329.279999999999"/>
    <n v="62761.98"/>
    <x v="2"/>
  </r>
  <r>
    <x v="4"/>
    <x v="1"/>
    <x v="1"/>
    <x v="1"/>
    <x v="20"/>
    <x v="1"/>
    <x v="1"/>
    <n v="14.44"/>
    <n v="39316.94"/>
    <n v="92154.59"/>
    <x v="2"/>
  </r>
  <r>
    <x v="4"/>
    <x v="1"/>
    <x v="1"/>
    <x v="2"/>
    <x v="21"/>
    <x v="1"/>
    <x v="1"/>
    <n v="2.16"/>
    <n v="5881.2"/>
    <n v="12672.35"/>
    <x v="2"/>
  </r>
  <r>
    <x v="4"/>
    <x v="1"/>
    <x v="1"/>
    <x v="2"/>
    <x v="22"/>
    <x v="1"/>
    <x v="1"/>
    <n v="9.16"/>
    <n v="24940.66"/>
    <n v="53679.8"/>
    <x v="2"/>
  </r>
  <r>
    <x v="4"/>
    <x v="1"/>
    <x v="1"/>
    <x v="2"/>
    <x v="29"/>
    <x v="1"/>
    <x v="1"/>
    <n v="2.6"/>
    <n v="7079.23"/>
    <n v="16179"/>
    <x v="2"/>
  </r>
  <r>
    <x v="4"/>
    <x v="1"/>
    <x v="1"/>
    <x v="2"/>
    <x v="23"/>
    <x v="1"/>
    <x v="1"/>
    <n v="1.48"/>
    <n v="4029.71"/>
    <n v="9022.8700000000008"/>
    <x v="2"/>
  </r>
  <r>
    <x v="4"/>
    <x v="1"/>
    <x v="1"/>
    <x v="2"/>
    <x v="24"/>
    <x v="1"/>
    <x v="1"/>
    <n v="1.86"/>
    <n v="5064.37"/>
    <n v="11086.35"/>
    <x v="2"/>
  </r>
  <r>
    <x v="4"/>
    <x v="1"/>
    <x v="1"/>
    <x v="3"/>
    <x v="25"/>
    <x v="1"/>
    <x v="1"/>
    <n v="5.4"/>
    <n v="14703.01"/>
    <n v="35610.86"/>
    <x v="2"/>
  </r>
  <r>
    <x v="4"/>
    <x v="1"/>
    <x v="1"/>
    <x v="3"/>
    <x v="26"/>
    <x v="1"/>
    <x v="1"/>
    <n v="17.68"/>
    <n v="48138.75"/>
    <n v="117426.99"/>
    <x v="2"/>
  </r>
  <r>
    <x v="4"/>
    <x v="1"/>
    <x v="1"/>
    <x v="3"/>
    <x v="27"/>
    <x v="1"/>
    <x v="1"/>
    <n v="18.82"/>
    <n v="51242.720000000001"/>
    <n v="122665.94"/>
    <x v="2"/>
  </r>
  <r>
    <x v="4"/>
    <x v="1"/>
    <x v="2"/>
    <x v="0"/>
    <x v="0"/>
    <x v="0"/>
    <x v="0"/>
    <n v="2.25"/>
    <n v="12194.37"/>
    <n v="52678.87"/>
    <x v="2"/>
  </r>
  <r>
    <x v="4"/>
    <x v="1"/>
    <x v="2"/>
    <x v="0"/>
    <x v="1"/>
    <x v="0"/>
    <x v="0"/>
    <n v="3.8"/>
    <n v="20594.939999999999"/>
    <n v="89011.99"/>
    <x v="2"/>
  </r>
  <r>
    <x v="4"/>
    <x v="1"/>
    <x v="2"/>
    <x v="0"/>
    <x v="2"/>
    <x v="0"/>
    <x v="0"/>
    <n v="0"/>
    <n v="0"/>
    <n v="0"/>
    <x v="2"/>
  </r>
  <r>
    <x v="4"/>
    <x v="1"/>
    <x v="2"/>
    <x v="0"/>
    <x v="3"/>
    <x v="0"/>
    <x v="0"/>
    <n v="2.33"/>
    <n v="12627.95"/>
    <n v="54505.98"/>
    <x v="2"/>
  </r>
  <r>
    <x v="4"/>
    <x v="1"/>
    <x v="2"/>
    <x v="0"/>
    <x v="4"/>
    <x v="0"/>
    <x v="0"/>
    <n v="0"/>
    <n v="0"/>
    <n v="0"/>
    <x v="2"/>
  </r>
  <r>
    <x v="4"/>
    <x v="1"/>
    <x v="2"/>
    <x v="0"/>
    <x v="5"/>
    <x v="0"/>
    <x v="0"/>
    <n v="0"/>
    <n v="0"/>
    <n v="0"/>
    <x v="2"/>
  </r>
  <r>
    <x v="4"/>
    <x v="1"/>
    <x v="2"/>
    <x v="0"/>
    <x v="6"/>
    <x v="0"/>
    <x v="0"/>
    <n v="0"/>
    <n v="0"/>
    <n v="0"/>
    <x v="2"/>
  </r>
  <r>
    <x v="4"/>
    <x v="1"/>
    <x v="2"/>
    <x v="0"/>
    <x v="8"/>
    <x v="0"/>
    <x v="0"/>
    <n v="0"/>
    <n v="0"/>
    <n v="0"/>
    <x v="2"/>
  </r>
  <r>
    <x v="4"/>
    <x v="1"/>
    <x v="2"/>
    <x v="1"/>
    <x v="10"/>
    <x v="0"/>
    <x v="0"/>
    <n v="1.53"/>
    <n v="8292.17"/>
    <n v="35787.19"/>
    <x v="2"/>
  </r>
  <r>
    <x v="4"/>
    <x v="1"/>
    <x v="2"/>
    <x v="1"/>
    <x v="11"/>
    <x v="0"/>
    <x v="0"/>
    <n v="0"/>
    <n v="0"/>
    <n v="0"/>
    <x v="2"/>
  </r>
  <r>
    <x v="4"/>
    <x v="1"/>
    <x v="2"/>
    <x v="1"/>
    <x v="13"/>
    <x v="0"/>
    <x v="0"/>
    <n v="0"/>
    <n v="0"/>
    <n v="0"/>
    <x v="2"/>
  </r>
  <r>
    <x v="4"/>
    <x v="1"/>
    <x v="2"/>
    <x v="1"/>
    <x v="14"/>
    <x v="0"/>
    <x v="0"/>
    <n v="0"/>
    <n v="0"/>
    <n v="0"/>
    <x v="2"/>
  </r>
  <r>
    <x v="4"/>
    <x v="1"/>
    <x v="2"/>
    <x v="1"/>
    <x v="16"/>
    <x v="0"/>
    <x v="0"/>
    <n v="0"/>
    <n v="0"/>
    <n v="0"/>
    <x v="2"/>
  </r>
  <r>
    <x v="4"/>
    <x v="1"/>
    <x v="2"/>
    <x v="1"/>
    <x v="17"/>
    <x v="0"/>
    <x v="0"/>
    <n v="0"/>
    <n v="0"/>
    <n v="0"/>
    <x v="2"/>
  </r>
  <r>
    <x v="4"/>
    <x v="1"/>
    <x v="2"/>
    <x v="1"/>
    <x v="18"/>
    <x v="0"/>
    <x v="0"/>
    <n v="0"/>
    <n v="0"/>
    <n v="0"/>
    <x v="2"/>
  </r>
  <r>
    <x v="4"/>
    <x v="1"/>
    <x v="2"/>
    <x v="1"/>
    <x v="19"/>
    <x v="0"/>
    <x v="0"/>
    <n v="0"/>
    <n v="0"/>
    <n v="0"/>
    <x v="2"/>
  </r>
  <r>
    <x v="4"/>
    <x v="1"/>
    <x v="2"/>
    <x v="1"/>
    <x v="20"/>
    <x v="0"/>
    <x v="0"/>
    <n v="1.89"/>
    <n v="10243.27"/>
    <n v="44271.09"/>
    <x v="2"/>
  </r>
  <r>
    <x v="4"/>
    <x v="1"/>
    <x v="2"/>
    <x v="2"/>
    <x v="21"/>
    <x v="0"/>
    <x v="0"/>
    <n v="2.36"/>
    <n v="12790.54"/>
    <n v="55313.56"/>
    <x v="2"/>
  </r>
  <r>
    <x v="4"/>
    <x v="1"/>
    <x v="2"/>
    <x v="2"/>
    <x v="22"/>
    <x v="0"/>
    <x v="0"/>
    <n v="0"/>
    <n v="0"/>
    <n v="0"/>
    <x v="2"/>
  </r>
  <r>
    <x v="4"/>
    <x v="1"/>
    <x v="2"/>
    <x v="2"/>
    <x v="29"/>
    <x v="0"/>
    <x v="0"/>
    <n v="0"/>
    <n v="0"/>
    <n v="0"/>
    <x v="2"/>
  </r>
  <r>
    <x v="4"/>
    <x v="1"/>
    <x v="2"/>
    <x v="2"/>
    <x v="24"/>
    <x v="0"/>
    <x v="0"/>
    <n v="0"/>
    <n v="0"/>
    <n v="0"/>
    <x v="2"/>
  </r>
  <r>
    <x v="4"/>
    <x v="1"/>
    <x v="2"/>
    <x v="3"/>
    <x v="25"/>
    <x v="0"/>
    <x v="0"/>
    <n v="0"/>
    <n v="0"/>
    <n v="0"/>
    <x v="2"/>
  </r>
  <r>
    <x v="4"/>
    <x v="1"/>
    <x v="2"/>
    <x v="3"/>
    <x v="26"/>
    <x v="0"/>
    <x v="0"/>
    <n v="1.87"/>
    <n v="10134.879999999999"/>
    <n v="43906.25"/>
    <x v="2"/>
  </r>
  <r>
    <x v="4"/>
    <x v="1"/>
    <x v="2"/>
    <x v="3"/>
    <x v="27"/>
    <x v="0"/>
    <x v="0"/>
    <n v="1.63"/>
    <n v="8834.14"/>
    <n v="38174.239999999998"/>
    <x v="2"/>
  </r>
  <r>
    <x v="4"/>
    <x v="1"/>
    <x v="2"/>
    <x v="0"/>
    <x v="0"/>
    <x v="0"/>
    <x v="1"/>
    <n v="2.34"/>
    <n v="12682.14"/>
    <n v="54786.03"/>
    <x v="2"/>
  </r>
  <r>
    <x v="4"/>
    <x v="1"/>
    <x v="2"/>
    <x v="0"/>
    <x v="1"/>
    <x v="0"/>
    <x v="1"/>
    <n v="6.45"/>
    <n v="34957.19"/>
    <n v="151265.76999999999"/>
    <x v="2"/>
  </r>
  <r>
    <x v="4"/>
    <x v="1"/>
    <x v="2"/>
    <x v="0"/>
    <x v="2"/>
    <x v="0"/>
    <x v="1"/>
    <n v="5.46"/>
    <n v="29591.67"/>
    <n v="127934.11"/>
    <x v="2"/>
  </r>
  <r>
    <x v="4"/>
    <x v="1"/>
    <x v="2"/>
    <x v="0"/>
    <x v="3"/>
    <x v="0"/>
    <x v="1"/>
    <n v="6.34"/>
    <n v="34361.019999999997"/>
    <n v="148652.66"/>
    <x v="2"/>
  </r>
  <r>
    <x v="4"/>
    <x v="1"/>
    <x v="2"/>
    <x v="0"/>
    <x v="4"/>
    <x v="0"/>
    <x v="1"/>
    <n v="2.15"/>
    <n v="11652.4"/>
    <n v="50284.66"/>
    <x v="2"/>
  </r>
  <r>
    <x v="4"/>
    <x v="1"/>
    <x v="2"/>
    <x v="0"/>
    <x v="5"/>
    <x v="0"/>
    <x v="1"/>
    <n v="4.9800000000000004"/>
    <n v="26990.21"/>
    <n v="116625.05"/>
    <x v="2"/>
  </r>
  <r>
    <x v="4"/>
    <x v="1"/>
    <x v="2"/>
    <x v="0"/>
    <x v="6"/>
    <x v="0"/>
    <x v="1"/>
    <n v="2.42"/>
    <n v="13115.72"/>
    <n v="56818.94"/>
    <x v="2"/>
  </r>
  <r>
    <x v="4"/>
    <x v="1"/>
    <x v="2"/>
    <x v="0"/>
    <x v="8"/>
    <x v="0"/>
    <x v="1"/>
    <n v="4.2300000000000004"/>
    <n v="22925.42"/>
    <n v="99096.97"/>
    <x v="2"/>
  </r>
  <r>
    <x v="4"/>
    <x v="1"/>
    <x v="2"/>
    <x v="1"/>
    <x v="10"/>
    <x v="0"/>
    <x v="1"/>
    <n v="5.12"/>
    <n v="27748.97"/>
    <n v="119992.35"/>
    <x v="2"/>
  </r>
  <r>
    <x v="4"/>
    <x v="1"/>
    <x v="2"/>
    <x v="1"/>
    <x v="11"/>
    <x v="0"/>
    <x v="1"/>
    <n v="10.41"/>
    <n v="56419.29"/>
    <n v="243907.91"/>
    <x v="2"/>
  </r>
  <r>
    <x v="4"/>
    <x v="1"/>
    <x v="2"/>
    <x v="1"/>
    <x v="13"/>
    <x v="0"/>
    <x v="1"/>
    <n v="3.29"/>
    <n v="17830.88"/>
    <n v="77079.39"/>
    <x v="2"/>
  </r>
  <r>
    <x v="4"/>
    <x v="1"/>
    <x v="2"/>
    <x v="1"/>
    <x v="14"/>
    <x v="0"/>
    <x v="1"/>
    <n v="1.64"/>
    <n v="8888.34"/>
    <n v="38431.440000000002"/>
    <x v="2"/>
  </r>
  <r>
    <x v="4"/>
    <x v="1"/>
    <x v="2"/>
    <x v="1"/>
    <x v="16"/>
    <x v="0"/>
    <x v="1"/>
    <n v="2.06"/>
    <n v="11164.62"/>
    <n v="48287.9"/>
    <x v="2"/>
  </r>
  <r>
    <x v="4"/>
    <x v="1"/>
    <x v="2"/>
    <x v="1"/>
    <x v="17"/>
    <x v="0"/>
    <x v="1"/>
    <n v="1.22"/>
    <n v="6612.06"/>
    <n v="28502.29"/>
    <x v="2"/>
  </r>
  <r>
    <x v="4"/>
    <x v="1"/>
    <x v="2"/>
    <x v="1"/>
    <x v="18"/>
    <x v="0"/>
    <x v="1"/>
    <n v="12.67"/>
    <n v="68667.850000000006"/>
    <n v="296846.8"/>
    <x v="2"/>
  </r>
  <r>
    <x v="4"/>
    <x v="1"/>
    <x v="2"/>
    <x v="1"/>
    <x v="19"/>
    <x v="0"/>
    <x v="1"/>
    <n v="4.2"/>
    <n v="22762.82"/>
    <n v="98522.3"/>
    <x v="2"/>
  </r>
  <r>
    <x v="4"/>
    <x v="1"/>
    <x v="2"/>
    <x v="1"/>
    <x v="20"/>
    <x v="0"/>
    <x v="1"/>
    <n v="11.87"/>
    <n v="64332.08"/>
    <n v="278275.45"/>
    <x v="2"/>
  </r>
  <r>
    <x v="4"/>
    <x v="1"/>
    <x v="2"/>
    <x v="2"/>
    <x v="21"/>
    <x v="0"/>
    <x v="1"/>
    <n v="0"/>
    <n v="0"/>
    <n v="0"/>
    <x v="2"/>
  </r>
  <r>
    <x v="4"/>
    <x v="1"/>
    <x v="2"/>
    <x v="2"/>
    <x v="22"/>
    <x v="0"/>
    <x v="1"/>
    <n v="5.38"/>
    <n v="29158.09"/>
    <n v="126198.33"/>
    <x v="2"/>
  </r>
  <r>
    <x v="4"/>
    <x v="1"/>
    <x v="2"/>
    <x v="2"/>
    <x v="29"/>
    <x v="0"/>
    <x v="1"/>
    <n v="2.4"/>
    <n v="13007.33"/>
    <n v="56194.89"/>
    <x v="2"/>
  </r>
  <r>
    <x v="4"/>
    <x v="1"/>
    <x v="2"/>
    <x v="2"/>
    <x v="24"/>
    <x v="0"/>
    <x v="1"/>
    <n v="2.2400000000000002"/>
    <n v="12140.17"/>
    <n v="52594.85"/>
    <x v="2"/>
  </r>
  <r>
    <x v="4"/>
    <x v="1"/>
    <x v="2"/>
    <x v="3"/>
    <x v="25"/>
    <x v="0"/>
    <x v="1"/>
    <n v="2.6"/>
    <n v="14091.27"/>
    <n v="60983.18"/>
    <x v="2"/>
  </r>
  <r>
    <x v="4"/>
    <x v="1"/>
    <x v="2"/>
    <x v="3"/>
    <x v="26"/>
    <x v="0"/>
    <x v="1"/>
    <n v="1.52"/>
    <n v="8237.9699999999993"/>
    <n v="35543.15"/>
    <x v="2"/>
  </r>
  <r>
    <x v="4"/>
    <x v="1"/>
    <x v="2"/>
    <x v="3"/>
    <x v="27"/>
    <x v="0"/>
    <x v="1"/>
    <n v="8.33"/>
    <n v="45146.27"/>
    <n v="195112.77"/>
    <x v="2"/>
  </r>
  <r>
    <x v="4"/>
    <x v="1"/>
    <x v="2"/>
    <x v="0"/>
    <x v="0"/>
    <x v="1"/>
    <x v="0"/>
    <n v="3.91"/>
    <n v="21191.11"/>
    <n v="59904.23"/>
    <x v="2"/>
  </r>
  <r>
    <x v="4"/>
    <x v="1"/>
    <x v="2"/>
    <x v="0"/>
    <x v="1"/>
    <x v="1"/>
    <x v="0"/>
    <n v="14.94"/>
    <n v="80970.62"/>
    <n v="225138.19"/>
    <x v="2"/>
  </r>
  <r>
    <x v="4"/>
    <x v="1"/>
    <x v="2"/>
    <x v="0"/>
    <x v="2"/>
    <x v="1"/>
    <x v="0"/>
    <n v="6.23"/>
    <n v="33764.86"/>
    <n v="90610.36"/>
    <x v="2"/>
  </r>
  <r>
    <x v="4"/>
    <x v="1"/>
    <x v="2"/>
    <x v="0"/>
    <x v="3"/>
    <x v="1"/>
    <x v="0"/>
    <n v="7.32"/>
    <n v="39672.35"/>
    <n v="110758.35"/>
    <x v="2"/>
  </r>
  <r>
    <x v="4"/>
    <x v="1"/>
    <x v="2"/>
    <x v="0"/>
    <x v="28"/>
    <x v="1"/>
    <x v="0"/>
    <n v="0"/>
    <n v="0"/>
    <n v="0"/>
    <x v="2"/>
  </r>
  <r>
    <x v="4"/>
    <x v="1"/>
    <x v="2"/>
    <x v="0"/>
    <x v="4"/>
    <x v="1"/>
    <x v="0"/>
    <n v="7.31"/>
    <n v="39618.15"/>
    <n v="109578.02"/>
    <x v="2"/>
  </r>
  <r>
    <x v="4"/>
    <x v="1"/>
    <x v="2"/>
    <x v="0"/>
    <x v="5"/>
    <x v="1"/>
    <x v="0"/>
    <n v="2.42"/>
    <n v="13115.72"/>
    <n v="37397.269999999997"/>
    <x v="2"/>
  </r>
  <r>
    <x v="4"/>
    <x v="1"/>
    <x v="2"/>
    <x v="0"/>
    <x v="6"/>
    <x v="1"/>
    <x v="0"/>
    <n v="0"/>
    <n v="0"/>
    <n v="0"/>
    <x v="2"/>
  </r>
  <r>
    <x v="4"/>
    <x v="1"/>
    <x v="2"/>
    <x v="0"/>
    <x v="7"/>
    <x v="1"/>
    <x v="0"/>
    <n v="0"/>
    <n v="0"/>
    <n v="0"/>
    <x v="2"/>
  </r>
  <r>
    <x v="4"/>
    <x v="1"/>
    <x v="2"/>
    <x v="0"/>
    <x v="8"/>
    <x v="1"/>
    <x v="0"/>
    <n v="0"/>
    <n v="0"/>
    <n v="0"/>
    <x v="2"/>
  </r>
  <r>
    <x v="4"/>
    <x v="1"/>
    <x v="2"/>
    <x v="1"/>
    <x v="30"/>
    <x v="1"/>
    <x v="0"/>
    <n v="3.64"/>
    <n v="19727.78"/>
    <n v="58703.519999999997"/>
    <x v="2"/>
  </r>
  <r>
    <x v="4"/>
    <x v="1"/>
    <x v="2"/>
    <x v="1"/>
    <x v="9"/>
    <x v="1"/>
    <x v="0"/>
    <n v="0"/>
    <n v="0"/>
    <n v="0"/>
    <x v="2"/>
  </r>
  <r>
    <x v="4"/>
    <x v="1"/>
    <x v="2"/>
    <x v="1"/>
    <x v="31"/>
    <x v="1"/>
    <x v="0"/>
    <n v="1.21"/>
    <n v="6557.86"/>
    <n v="19744.18"/>
    <x v="2"/>
  </r>
  <r>
    <x v="4"/>
    <x v="1"/>
    <x v="2"/>
    <x v="1"/>
    <x v="10"/>
    <x v="1"/>
    <x v="0"/>
    <n v="7.8"/>
    <n v="42273.82"/>
    <n v="124650.25"/>
    <x v="2"/>
  </r>
  <r>
    <x v="4"/>
    <x v="1"/>
    <x v="2"/>
    <x v="1"/>
    <x v="11"/>
    <x v="1"/>
    <x v="0"/>
    <n v="10.77"/>
    <n v="58370.38"/>
    <n v="164006.44"/>
    <x v="2"/>
  </r>
  <r>
    <x v="4"/>
    <x v="1"/>
    <x v="2"/>
    <x v="1"/>
    <x v="12"/>
    <x v="1"/>
    <x v="0"/>
    <n v="0.68"/>
    <n v="3685.41"/>
    <n v="10927.49"/>
    <x v="2"/>
  </r>
  <r>
    <x v="4"/>
    <x v="1"/>
    <x v="2"/>
    <x v="1"/>
    <x v="13"/>
    <x v="1"/>
    <x v="0"/>
    <n v="2.23"/>
    <n v="12085.98"/>
    <n v="35524.589999999997"/>
    <x v="2"/>
  </r>
  <r>
    <x v="4"/>
    <x v="1"/>
    <x v="2"/>
    <x v="1"/>
    <x v="14"/>
    <x v="1"/>
    <x v="0"/>
    <n v="14.24"/>
    <n v="77176.81"/>
    <n v="223003.98"/>
    <x v="2"/>
  </r>
  <r>
    <x v="4"/>
    <x v="1"/>
    <x v="2"/>
    <x v="1"/>
    <x v="15"/>
    <x v="1"/>
    <x v="0"/>
    <n v="1.53"/>
    <n v="8292.17"/>
    <n v="24696.7"/>
    <x v="2"/>
  </r>
  <r>
    <x v="4"/>
    <x v="1"/>
    <x v="2"/>
    <x v="1"/>
    <x v="16"/>
    <x v="1"/>
    <x v="0"/>
    <n v="6.56"/>
    <n v="35553.360000000001"/>
    <n v="101139.95"/>
    <x v="2"/>
  </r>
  <r>
    <x v="4"/>
    <x v="1"/>
    <x v="2"/>
    <x v="1"/>
    <x v="17"/>
    <x v="1"/>
    <x v="0"/>
    <n v="10.52"/>
    <n v="57015.45"/>
    <n v="163764.09"/>
    <x v="2"/>
  </r>
  <r>
    <x v="4"/>
    <x v="1"/>
    <x v="2"/>
    <x v="1"/>
    <x v="18"/>
    <x v="1"/>
    <x v="0"/>
    <n v="9.85"/>
    <n v="53384.24"/>
    <n v="160499.19"/>
    <x v="2"/>
  </r>
  <r>
    <x v="4"/>
    <x v="1"/>
    <x v="2"/>
    <x v="1"/>
    <x v="19"/>
    <x v="1"/>
    <x v="0"/>
    <n v="11"/>
    <n v="59616.92"/>
    <n v="173754.69"/>
    <x v="2"/>
  </r>
  <r>
    <x v="4"/>
    <x v="1"/>
    <x v="2"/>
    <x v="1"/>
    <x v="20"/>
    <x v="1"/>
    <x v="0"/>
    <n v="15.68"/>
    <n v="84981.21"/>
    <n v="243704.18"/>
    <x v="2"/>
  </r>
  <r>
    <x v="4"/>
    <x v="1"/>
    <x v="2"/>
    <x v="2"/>
    <x v="21"/>
    <x v="1"/>
    <x v="0"/>
    <n v="0"/>
    <n v="0"/>
    <n v="0"/>
    <x v="2"/>
  </r>
  <r>
    <x v="4"/>
    <x v="1"/>
    <x v="2"/>
    <x v="2"/>
    <x v="22"/>
    <x v="1"/>
    <x v="0"/>
    <n v="9.49"/>
    <n v="51433.14"/>
    <n v="135502.82999999999"/>
    <x v="2"/>
  </r>
  <r>
    <x v="4"/>
    <x v="1"/>
    <x v="2"/>
    <x v="2"/>
    <x v="29"/>
    <x v="1"/>
    <x v="0"/>
    <n v="0"/>
    <n v="0"/>
    <n v="0"/>
    <x v="2"/>
  </r>
  <r>
    <x v="4"/>
    <x v="1"/>
    <x v="2"/>
    <x v="2"/>
    <x v="23"/>
    <x v="1"/>
    <x v="0"/>
    <n v="0"/>
    <n v="0"/>
    <n v="0"/>
    <x v="2"/>
  </r>
  <r>
    <x v="4"/>
    <x v="1"/>
    <x v="2"/>
    <x v="2"/>
    <x v="24"/>
    <x v="1"/>
    <x v="0"/>
    <n v="4.2699999999999996"/>
    <n v="23142.2"/>
    <n v="62083.45"/>
    <x v="2"/>
  </r>
  <r>
    <x v="4"/>
    <x v="1"/>
    <x v="2"/>
    <x v="3"/>
    <x v="25"/>
    <x v="1"/>
    <x v="0"/>
    <n v="7.79"/>
    <n v="42219.62"/>
    <n v="125028.74"/>
    <x v="2"/>
  </r>
  <r>
    <x v="4"/>
    <x v="1"/>
    <x v="2"/>
    <x v="3"/>
    <x v="26"/>
    <x v="1"/>
    <x v="0"/>
    <n v="2.92"/>
    <n v="15825.58"/>
    <n v="47145.88"/>
    <x v="2"/>
  </r>
  <r>
    <x v="4"/>
    <x v="1"/>
    <x v="2"/>
    <x v="3"/>
    <x v="27"/>
    <x v="1"/>
    <x v="0"/>
    <n v="13.93"/>
    <n v="75496.7"/>
    <n v="221002.35"/>
    <x v="2"/>
  </r>
  <r>
    <x v="4"/>
    <x v="1"/>
    <x v="2"/>
    <x v="0"/>
    <x v="0"/>
    <x v="1"/>
    <x v="1"/>
    <n v="13.34"/>
    <n v="72299.06"/>
    <n v="204455.74"/>
    <x v="2"/>
  </r>
  <r>
    <x v="4"/>
    <x v="1"/>
    <x v="2"/>
    <x v="0"/>
    <x v="1"/>
    <x v="1"/>
    <x v="1"/>
    <n v="20.440000000000001"/>
    <n v="110779.08"/>
    <n v="308018.73"/>
    <x v="2"/>
  </r>
  <r>
    <x v="4"/>
    <x v="1"/>
    <x v="2"/>
    <x v="0"/>
    <x v="2"/>
    <x v="1"/>
    <x v="1"/>
    <n v="17.48"/>
    <n v="94736.71"/>
    <n v="254453.76000000001"/>
    <x v="2"/>
  </r>
  <r>
    <x v="4"/>
    <x v="1"/>
    <x v="2"/>
    <x v="0"/>
    <x v="3"/>
    <x v="1"/>
    <x v="1"/>
    <n v="15.26"/>
    <n v="82704.929999999993"/>
    <n v="230971.67"/>
    <x v="2"/>
  </r>
  <r>
    <x v="4"/>
    <x v="1"/>
    <x v="2"/>
    <x v="0"/>
    <x v="28"/>
    <x v="1"/>
    <x v="1"/>
    <n v="1.49"/>
    <n v="8075.38"/>
    <n v="22861.02"/>
    <x v="2"/>
  </r>
  <r>
    <x v="4"/>
    <x v="1"/>
    <x v="2"/>
    <x v="0"/>
    <x v="4"/>
    <x v="1"/>
    <x v="1"/>
    <n v="6.53"/>
    <n v="35390.769999999997"/>
    <n v="97975.64"/>
    <x v="2"/>
  </r>
  <r>
    <x v="4"/>
    <x v="1"/>
    <x v="2"/>
    <x v="0"/>
    <x v="5"/>
    <x v="1"/>
    <x v="1"/>
    <n v="18.850000000000001"/>
    <n v="102161.72"/>
    <n v="291164.48"/>
    <x v="2"/>
  </r>
  <r>
    <x v="4"/>
    <x v="1"/>
    <x v="2"/>
    <x v="0"/>
    <x v="6"/>
    <x v="1"/>
    <x v="1"/>
    <n v="3.08"/>
    <n v="16692.740000000002"/>
    <n v="47373.14"/>
    <x v="2"/>
  </r>
  <r>
    <x v="4"/>
    <x v="1"/>
    <x v="2"/>
    <x v="0"/>
    <x v="7"/>
    <x v="1"/>
    <x v="1"/>
    <n v="4.45"/>
    <n v="24117.75"/>
    <n v="69645.850000000006"/>
    <x v="2"/>
  </r>
  <r>
    <x v="4"/>
    <x v="1"/>
    <x v="2"/>
    <x v="0"/>
    <x v="8"/>
    <x v="1"/>
    <x v="1"/>
    <n v="4.47"/>
    <n v="24226.15"/>
    <n v="66665.429999999993"/>
    <x v="2"/>
  </r>
  <r>
    <x v="4"/>
    <x v="1"/>
    <x v="2"/>
    <x v="1"/>
    <x v="30"/>
    <x v="1"/>
    <x v="1"/>
    <n v="0"/>
    <n v="0"/>
    <n v="0"/>
    <x v="2"/>
  </r>
  <r>
    <x v="4"/>
    <x v="1"/>
    <x v="2"/>
    <x v="1"/>
    <x v="9"/>
    <x v="1"/>
    <x v="1"/>
    <n v="7.94"/>
    <n v="43032.58"/>
    <n v="128066.41"/>
    <x v="2"/>
  </r>
  <r>
    <x v="4"/>
    <x v="1"/>
    <x v="2"/>
    <x v="1"/>
    <x v="31"/>
    <x v="1"/>
    <x v="1"/>
    <n v="0"/>
    <n v="0"/>
    <n v="0"/>
    <x v="2"/>
  </r>
  <r>
    <x v="4"/>
    <x v="1"/>
    <x v="2"/>
    <x v="1"/>
    <x v="10"/>
    <x v="1"/>
    <x v="1"/>
    <n v="35.049999999999997"/>
    <n v="189961.19"/>
    <n v="560241.22"/>
    <x v="2"/>
  </r>
  <r>
    <x v="4"/>
    <x v="1"/>
    <x v="2"/>
    <x v="1"/>
    <x v="11"/>
    <x v="1"/>
    <x v="1"/>
    <n v="31.62"/>
    <n v="171371.55"/>
    <n v="481688.22"/>
    <x v="2"/>
  </r>
  <r>
    <x v="4"/>
    <x v="1"/>
    <x v="2"/>
    <x v="1"/>
    <x v="12"/>
    <x v="1"/>
    <x v="1"/>
    <n v="3.24"/>
    <n v="17559.89"/>
    <n v="51905.57"/>
    <x v="2"/>
  </r>
  <r>
    <x v="4"/>
    <x v="1"/>
    <x v="2"/>
    <x v="1"/>
    <x v="13"/>
    <x v="1"/>
    <x v="1"/>
    <n v="14.47"/>
    <n v="78423.350000000006"/>
    <n v="230909.81"/>
    <x v="2"/>
  </r>
  <r>
    <x v="4"/>
    <x v="1"/>
    <x v="2"/>
    <x v="1"/>
    <x v="14"/>
    <x v="1"/>
    <x v="1"/>
    <n v="9.14"/>
    <n v="49536.24"/>
    <n v="143104.16"/>
    <x v="2"/>
  </r>
  <r>
    <x v="4"/>
    <x v="1"/>
    <x v="2"/>
    <x v="1"/>
    <x v="15"/>
    <x v="1"/>
    <x v="1"/>
    <n v="1.61"/>
    <n v="8725.75"/>
    <n v="26149.45"/>
    <x v="2"/>
  </r>
  <r>
    <x v="4"/>
    <x v="1"/>
    <x v="2"/>
    <x v="1"/>
    <x v="16"/>
    <x v="1"/>
    <x v="1"/>
    <n v="11.16"/>
    <n v="60484.08"/>
    <n v="172069.26"/>
    <x v="2"/>
  </r>
  <r>
    <x v="4"/>
    <x v="1"/>
    <x v="2"/>
    <x v="1"/>
    <x v="17"/>
    <x v="1"/>
    <x v="1"/>
    <n v="5.64"/>
    <n v="30567.22"/>
    <n v="87791.06"/>
    <x v="2"/>
  </r>
  <r>
    <x v="4"/>
    <x v="1"/>
    <x v="2"/>
    <x v="1"/>
    <x v="18"/>
    <x v="1"/>
    <x v="1"/>
    <n v="41.91"/>
    <n v="227140.47"/>
    <n v="682562.5"/>
    <x v="2"/>
  </r>
  <r>
    <x v="4"/>
    <x v="1"/>
    <x v="2"/>
    <x v="1"/>
    <x v="19"/>
    <x v="1"/>
    <x v="1"/>
    <n v="16.8"/>
    <n v="91051.3"/>
    <n v="265346.31"/>
    <x v="2"/>
  </r>
  <r>
    <x v="4"/>
    <x v="1"/>
    <x v="2"/>
    <x v="1"/>
    <x v="20"/>
    <x v="1"/>
    <x v="1"/>
    <n v="30.27"/>
    <n v="164054.92000000001"/>
    <n v="470283.21"/>
    <x v="2"/>
  </r>
  <r>
    <x v="4"/>
    <x v="1"/>
    <x v="2"/>
    <x v="2"/>
    <x v="21"/>
    <x v="1"/>
    <x v="1"/>
    <n v="3.2"/>
    <n v="17343.099999999999"/>
    <n v="45626.46"/>
    <x v="2"/>
  </r>
  <r>
    <x v="4"/>
    <x v="1"/>
    <x v="2"/>
    <x v="2"/>
    <x v="22"/>
    <x v="1"/>
    <x v="1"/>
    <n v="20.39"/>
    <n v="110508.09"/>
    <n v="291036.52"/>
    <x v="2"/>
  </r>
  <r>
    <x v="4"/>
    <x v="1"/>
    <x v="2"/>
    <x v="2"/>
    <x v="29"/>
    <x v="1"/>
    <x v="1"/>
    <n v="3.55"/>
    <n v="19240.009999999998"/>
    <n v="53895.22"/>
    <x v="2"/>
  </r>
  <r>
    <x v="4"/>
    <x v="1"/>
    <x v="2"/>
    <x v="2"/>
    <x v="23"/>
    <x v="1"/>
    <x v="1"/>
    <n v="2.29"/>
    <n v="12411.16"/>
    <n v="33954.54"/>
    <x v="2"/>
  </r>
  <r>
    <x v="4"/>
    <x v="1"/>
    <x v="2"/>
    <x v="2"/>
    <x v="24"/>
    <x v="1"/>
    <x v="1"/>
    <n v="2.99"/>
    <n v="16204.96"/>
    <n v="43458.41"/>
    <x v="2"/>
  </r>
  <r>
    <x v="4"/>
    <x v="1"/>
    <x v="2"/>
    <x v="3"/>
    <x v="25"/>
    <x v="1"/>
    <x v="1"/>
    <n v="10.53"/>
    <n v="57069.65"/>
    <n v="168994.88"/>
    <x v="2"/>
  </r>
  <r>
    <x v="4"/>
    <x v="1"/>
    <x v="2"/>
    <x v="3"/>
    <x v="26"/>
    <x v="1"/>
    <x v="1"/>
    <n v="27.91"/>
    <n v="151264.39000000001"/>
    <n v="451253.39"/>
    <x v="2"/>
  </r>
  <r>
    <x v="4"/>
    <x v="1"/>
    <x v="2"/>
    <x v="3"/>
    <x v="27"/>
    <x v="1"/>
    <x v="1"/>
    <n v="38.78"/>
    <n v="210176.74"/>
    <n v="615259.63"/>
    <x v="2"/>
  </r>
  <r>
    <x v="4"/>
    <x v="1"/>
    <x v="3"/>
    <x v="0"/>
    <x v="0"/>
    <x v="0"/>
    <x v="0"/>
    <n v="2.0299999999999998"/>
    <n v="12228.31"/>
    <n v="55858.38"/>
    <x v="2"/>
  </r>
  <r>
    <x v="4"/>
    <x v="1"/>
    <x v="3"/>
    <x v="0"/>
    <x v="1"/>
    <x v="0"/>
    <x v="0"/>
    <n v="4.71"/>
    <n v="28372.1"/>
    <n v="129387.8"/>
    <x v="2"/>
  </r>
  <r>
    <x v="4"/>
    <x v="1"/>
    <x v="3"/>
    <x v="0"/>
    <x v="2"/>
    <x v="0"/>
    <x v="0"/>
    <n v="0"/>
    <n v="0"/>
    <n v="0"/>
    <x v="2"/>
  </r>
  <r>
    <x v="4"/>
    <x v="1"/>
    <x v="3"/>
    <x v="0"/>
    <x v="3"/>
    <x v="0"/>
    <x v="0"/>
    <n v="1.98"/>
    <n v="11927.12"/>
    <n v="54397.02"/>
    <x v="2"/>
  </r>
  <r>
    <x v="4"/>
    <x v="1"/>
    <x v="3"/>
    <x v="0"/>
    <x v="4"/>
    <x v="0"/>
    <x v="0"/>
    <n v="0"/>
    <n v="0"/>
    <n v="0"/>
    <x v="2"/>
  </r>
  <r>
    <x v="4"/>
    <x v="1"/>
    <x v="3"/>
    <x v="0"/>
    <x v="5"/>
    <x v="0"/>
    <x v="0"/>
    <n v="0"/>
    <n v="0"/>
    <n v="0"/>
    <x v="2"/>
  </r>
  <r>
    <x v="4"/>
    <x v="1"/>
    <x v="3"/>
    <x v="0"/>
    <x v="6"/>
    <x v="0"/>
    <x v="0"/>
    <n v="0"/>
    <n v="0"/>
    <n v="0"/>
    <x v="2"/>
  </r>
  <r>
    <x v="4"/>
    <x v="1"/>
    <x v="3"/>
    <x v="0"/>
    <x v="8"/>
    <x v="0"/>
    <x v="0"/>
    <n v="0"/>
    <n v="0"/>
    <n v="0"/>
    <x v="2"/>
  </r>
  <r>
    <x v="4"/>
    <x v="1"/>
    <x v="3"/>
    <x v="1"/>
    <x v="10"/>
    <x v="0"/>
    <x v="0"/>
    <n v="1.3"/>
    <n v="7830.94"/>
    <n v="35727.25"/>
    <x v="2"/>
  </r>
  <r>
    <x v="4"/>
    <x v="1"/>
    <x v="3"/>
    <x v="1"/>
    <x v="11"/>
    <x v="0"/>
    <x v="0"/>
    <n v="0"/>
    <n v="0"/>
    <n v="0"/>
    <x v="2"/>
  </r>
  <r>
    <x v="4"/>
    <x v="1"/>
    <x v="3"/>
    <x v="1"/>
    <x v="13"/>
    <x v="0"/>
    <x v="0"/>
    <n v="0"/>
    <n v="0"/>
    <n v="0"/>
    <x v="2"/>
  </r>
  <r>
    <x v="4"/>
    <x v="1"/>
    <x v="3"/>
    <x v="1"/>
    <x v="14"/>
    <x v="0"/>
    <x v="0"/>
    <n v="0"/>
    <n v="0"/>
    <n v="0"/>
    <x v="2"/>
  </r>
  <r>
    <x v="4"/>
    <x v="1"/>
    <x v="3"/>
    <x v="1"/>
    <x v="16"/>
    <x v="0"/>
    <x v="0"/>
    <n v="0"/>
    <n v="0"/>
    <n v="0"/>
    <x v="2"/>
  </r>
  <r>
    <x v="4"/>
    <x v="1"/>
    <x v="3"/>
    <x v="1"/>
    <x v="17"/>
    <x v="0"/>
    <x v="0"/>
    <n v="0"/>
    <n v="0"/>
    <n v="0"/>
    <x v="2"/>
  </r>
  <r>
    <x v="4"/>
    <x v="1"/>
    <x v="3"/>
    <x v="1"/>
    <x v="18"/>
    <x v="0"/>
    <x v="0"/>
    <n v="0"/>
    <n v="0"/>
    <n v="0"/>
    <x v="2"/>
  </r>
  <r>
    <x v="4"/>
    <x v="1"/>
    <x v="3"/>
    <x v="1"/>
    <x v="19"/>
    <x v="0"/>
    <x v="0"/>
    <n v="0"/>
    <n v="0"/>
    <n v="0"/>
    <x v="2"/>
  </r>
  <r>
    <x v="4"/>
    <x v="1"/>
    <x v="3"/>
    <x v="1"/>
    <x v="20"/>
    <x v="0"/>
    <x v="0"/>
    <n v="2.35"/>
    <n v="14155.93"/>
    <n v="64640.21"/>
    <x v="2"/>
  </r>
  <r>
    <x v="4"/>
    <x v="1"/>
    <x v="3"/>
    <x v="2"/>
    <x v="21"/>
    <x v="0"/>
    <x v="0"/>
    <n v="3.16"/>
    <n v="19035.21"/>
    <n v="86756.64"/>
    <x v="2"/>
  </r>
  <r>
    <x v="4"/>
    <x v="1"/>
    <x v="3"/>
    <x v="2"/>
    <x v="22"/>
    <x v="0"/>
    <x v="0"/>
    <n v="0"/>
    <n v="0"/>
    <n v="0"/>
    <x v="2"/>
  </r>
  <r>
    <x v="4"/>
    <x v="1"/>
    <x v="3"/>
    <x v="2"/>
    <x v="29"/>
    <x v="0"/>
    <x v="0"/>
    <n v="0"/>
    <n v="0"/>
    <n v="0"/>
    <x v="2"/>
  </r>
  <r>
    <x v="4"/>
    <x v="1"/>
    <x v="3"/>
    <x v="2"/>
    <x v="24"/>
    <x v="0"/>
    <x v="0"/>
    <n v="0"/>
    <n v="0"/>
    <n v="0"/>
    <x v="2"/>
  </r>
  <r>
    <x v="4"/>
    <x v="1"/>
    <x v="3"/>
    <x v="3"/>
    <x v="25"/>
    <x v="0"/>
    <x v="0"/>
    <n v="0"/>
    <n v="0"/>
    <n v="0"/>
    <x v="2"/>
  </r>
  <r>
    <x v="4"/>
    <x v="1"/>
    <x v="3"/>
    <x v="3"/>
    <x v="26"/>
    <x v="0"/>
    <x v="0"/>
    <n v="2.94"/>
    <n v="17709.97"/>
    <n v="80833.14"/>
    <x v="2"/>
  </r>
  <r>
    <x v="4"/>
    <x v="1"/>
    <x v="3"/>
    <x v="3"/>
    <x v="27"/>
    <x v="0"/>
    <x v="0"/>
    <n v="2.23"/>
    <n v="13433.07"/>
    <n v="61186.239999999998"/>
    <x v="2"/>
  </r>
  <r>
    <x v="4"/>
    <x v="1"/>
    <x v="3"/>
    <x v="0"/>
    <x v="0"/>
    <x v="0"/>
    <x v="1"/>
    <n v="2.21"/>
    <n v="13312.6"/>
    <n v="60715.63"/>
    <x v="2"/>
  </r>
  <r>
    <x v="4"/>
    <x v="1"/>
    <x v="3"/>
    <x v="0"/>
    <x v="1"/>
    <x v="0"/>
    <x v="1"/>
    <n v="6.98"/>
    <n v="42046.12"/>
    <n v="191809.08"/>
    <x v="2"/>
  </r>
  <r>
    <x v="4"/>
    <x v="1"/>
    <x v="3"/>
    <x v="0"/>
    <x v="2"/>
    <x v="0"/>
    <x v="1"/>
    <n v="5.98"/>
    <n v="36022.32"/>
    <n v="164482.14000000001"/>
    <x v="2"/>
  </r>
  <r>
    <x v="4"/>
    <x v="1"/>
    <x v="3"/>
    <x v="0"/>
    <x v="3"/>
    <x v="0"/>
    <x v="1"/>
    <n v="8.82"/>
    <n v="53129.919999999998"/>
    <n v="242313.99"/>
    <x v="2"/>
  </r>
  <r>
    <x v="4"/>
    <x v="1"/>
    <x v="3"/>
    <x v="0"/>
    <x v="4"/>
    <x v="0"/>
    <x v="1"/>
    <n v="1.95"/>
    <n v="11746.41"/>
    <n v="53516.25"/>
    <x v="2"/>
  </r>
  <r>
    <x v="4"/>
    <x v="1"/>
    <x v="3"/>
    <x v="0"/>
    <x v="5"/>
    <x v="0"/>
    <x v="1"/>
    <n v="4.79"/>
    <n v="28854"/>
    <n v="131609.72"/>
    <x v="2"/>
  </r>
  <r>
    <x v="4"/>
    <x v="1"/>
    <x v="3"/>
    <x v="0"/>
    <x v="6"/>
    <x v="0"/>
    <x v="1"/>
    <n v="2.41"/>
    <n v="14517.36"/>
    <n v="66166.59"/>
    <x v="2"/>
  </r>
  <r>
    <x v="4"/>
    <x v="1"/>
    <x v="3"/>
    <x v="0"/>
    <x v="8"/>
    <x v="0"/>
    <x v="1"/>
    <n v="3"/>
    <n v="18071.400000000001"/>
    <n v="82552.37"/>
    <x v="2"/>
  </r>
  <r>
    <x v="4"/>
    <x v="1"/>
    <x v="3"/>
    <x v="1"/>
    <x v="10"/>
    <x v="0"/>
    <x v="1"/>
    <n v="3.22"/>
    <n v="19396.64"/>
    <n v="88467.49"/>
    <x v="2"/>
  </r>
  <r>
    <x v="4"/>
    <x v="1"/>
    <x v="3"/>
    <x v="1"/>
    <x v="11"/>
    <x v="0"/>
    <x v="1"/>
    <n v="13.63"/>
    <n v="82104.39"/>
    <n v="374551.63"/>
    <x v="2"/>
  </r>
  <r>
    <x v="4"/>
    <x v="1"/>
    <x v="3"/>
    <x v="1"/>
    <x v="13"/>
    <x v="0"/>
    <x v="1"/>
    <n v="5.52"/>
    <n v="33251.379999999997"/>
    <n v="151592.03"/>
    <x v="2"/>
  </r>
  <r>
    <x v="4"/>
    <x v="1"/>
    <x v="3"/>
    <x v="1"/>
    <x v="14"/>
    <x v="0"/>
    <x v="1"/>
    <n v="1.91"/>
    <n v="11505.46"/>
    <n v="52584.54"/>
    <x v="2"/>
  </r>
  <r>
    <x v="4"/>
    <x v="1"/>
    <x v="3"/>
    <x v="1"/>
    <x v="16"/>
    <x v="0"/>
    <x v="1"/>
    <n v="2.29"/>
    <n v="13794.5"/>
    <n v="62954.39"/>
    <x v="2"/>
  </r>
  <r>
    <x v="4"/>
    <x v="1"/>
    <x v="3"/>
    <x v="1"/>
    <x v="17"/>
    <x v="0"/>
    <x v="1"/>
    <n v="1.75"/>
    <n v="10541.65"/>
    <n v="48073.93"/>
    <x v="2"/>
  </r>
  <r>
    <x v="4"/>
    <x v="1"/>
    <x v="3"/>
    <x v="1"/>
    <x v="18"/>
    <x v="0"/>
    <x v="1"/>
    <n v="16.04"/>
    <n v="96621.75"/>
    <n v="440733.9"/>
    <x v="2"/>
  </r>
  <r>
    <x v="4"/>
    <x v="1"/>
    <x v="3"/>
    <x v="1"/>
    <x v="19"/>
    <x v="0"/>
    <x v="1"/>
    <n v="4.0999999999999996"/>
    <n v="24697.58"/>
    <n v="112623.01"/>
    <x v="2"/>
  </r>
  <r>
    <x v="4"/>
    <x v="1"/>
    <x v="3"/>
    <x v="1"/>
    <x v="20"/>
    <x v="0"/>
    <x v="1"/>
    <n v="12.3"/>
    <n v="74092.740000000005"/>
    <n v="338118.04"/>
    <x v="2"/>
  </r>
  <r>
    <x v="4"/>
    <x v="1"/>
    <x v="3"/>
    <x v="2"/>
    <x v="21"/>
    <x v="0"/>
    <x v="1"/>
    <n v="0"/>
    <n v="0"/>
    <n v="0"/>
    <x v="2"/>
  </r>
  <r>
    <x v="4"/>
    <x v="1"/>
    <x v="3"/>
    <x v="2"/>
    <x v="22"/>
    <x v="0"/>
    <x v="1"/>
    <n v="5.58"/>
    <n v="33612.800000000003"/>
    <n v="153388.68"/>
    <x v="2"/>
  </r>
  <r>
    <x v="4"/>
    <x v="1"/>
    <x v="3"/>
    <x v="2"/>
    <x v="29"/>
    <x v="0"/>
    <x v="1"/>
    <n v="3.27"/>
    <n v="19697.830000000002"/>
    <n v="89738.36"/>
    <x v="2"/>
  </r>
  <r>
    <x v="4"/>
    <x v="1"/>
    <x v="3"/>
    <x v="2"/>
    <x v="24"/>
    <x v="0"/>
    <x v="1"/>
    <n v="3.27"/>
    <n v="19697.830000000002"/>
    <n v="89867.14"/>
    <x v="2"/>
  </r>
  <r>
    <x v="4"/>
    <x v="1"/>
    <x v="3"/>
    <x v="3"/>
    <x v="25"/>
    <x v="0"/>
    <x v="1"/>
    <n v="2.69"/>
    <n v="16204.02"/>
    <n v="74003.98"/>
    <x v="2"/>
  </r>
  <r>
    <x v="4"/>
    <x v="1"/>
    <x v="3"/>
    <x v="3"/>
    <x v="26"/>
    <x v="0"/>
    <x v="1"/>
    <n v="2.85"/>
    <n v="17167.830000000002"/>
    <n v="78383.649999999994"/>
    <x v="2"/>
  </r>
  <r>
    <x v="4"/>
    <x v="1"/>
    <x v="3"/>
    <x v="3"/>
    <x v="27"/>
    <x v="0"/>
    <x v="1"/>
    <n v="9.5500000000000007"/>
    <n v="57527.29"/>
    <n v="262590.94"/>
    <x v="2"/>
  </r>
  <r>
    <x v="4"/>
    <x v="1"/>
    <x v="3"/>
    <x v="0"/>
    <x v="0"/>
    <x v="1"/>
    <x v="0"/>
    <n v="4.49"/>
    <n v="27046.86"/>
    <n v="80777.350000000006"/>
    <x v="2"/>
  </r>
  <r>
    <x v="4"/>
    <x v="1"/>
    <x v="3"/>
    <x v="0"/>
    <x v="1"/>
    <x v="1"/>
    <x v="0"/>
    <n v="12.78"/>
    <n v="76984.160000000003"/>
    <n v="225855.13"/>
    <x v="2"/>
  </r>
  <r>
    <x v="4"/>
    <x v="1"/>
    <x v="3"/>
    <x v="0"/>
    <x v="2"/>
    <x v="1"/>
    <x v="0"/>
    <n v="4.66"/>
    <n v="28070.91"/>
    <n v="79490.3"/>
    <x v="2"/>
  </r>
  <r>
    <x v="4"/>
    <x v="1"/>
    <x v="3"/>
    <x v="0"/>
    <x v="3"/>
    <x v="1"/>
    <x v="0"/>
    <n v="12.61"/>
    <n v="75960.12"/>
    <n v="223821.98"/>
    <x v="2"/>
  </r>
  <r>
    <x v="4"/>
    <x v="1"/>
    <x v="3"/>
    <x v="0"/>
    <x v="28"/>
    <x v="1"/>
    <x v="0"/>
    <n v="0"/>
    <n v="0"/>
    <n v="0"/>
    <x v="2"/>
  </r>
  <r>
    <x v="4"/>
    <x v="1"/>
    <x v="3"/>
    <x v="0"/>
    <x v="4"/>
    <x v="1"/>
    <x v="0"/>
    <n v="6.7"/>
    <n v="40359.46"/>
    <n v="117933.84"/>
    <x v="2"/>
  </r>
  <r>
    <x v="4"/>
    <x v="1"/>
    <x v="3"/>
    <x v="0"/>
    <x v="5"/>
    <x v="1"/>
    <x v="0"/>
    <n v="3.02"/>
    <n v="18191.88"/>
    <n v="54630.25"/>
    <x v="2"/>
  </r>
  <r>
    <x v="4"/>
    <x v="1"/>
    <x v="3"/>
    <x v="0"/>
    <x v="6"/>
    <x v="1"/>
    <x v="0"/>
    <n v="0"/>
    <n v="0"/>
    <n v="0"/>
    <x v="2"/>
  </r>
  <r>
    <x v="4"/>
    <x v="1"/>
    <x v="3"/>
    <x v="0"/>
    <x v="7"/>
    <x v="1"/>
    <x v="0"/>
    <n v="0"/>
    <n v="0"/>
    <n v="0"/>
    <x v="2"/>
  </r>
  <r>
    <x v="4"/>
    <x v="1"/>
    <x v="3"/>
    <x v="0"/>
    <x v="8"/>
    <x v="1"/>
    <x v="0"/>
    <n v="0"/>
    <n v="0"/>
    <n v="0"/>
    <x v="2"/>
  </r>
  <r>
    <x v="4"/>
    <x v="1"/>
    <x v="3"/>
    <x v="1"/>
    <x v="30"/>
    <x v="1"/>
    <x v="0"/>
    <n v="4.57"/>
    <n v="27528.77"/>
    <n v="86605.52"/>
    <x v="2"/>
  </r>
  <r>
    <x v="4"/>
    <x v="1"/>
    <x v="3"/>
    <x v="1"/>
    <x v="9"/>
    <x v="1"/>
    <x v="0"/>
    <n v="0"/>
    <n v="0"/>
    <n v="0"/>
    <x v="2"/>
  </r>
  <r>
    <x v="4"/>
    <x v="1"/>
    <x v="3"/>
    <x v="1"/>
    <x v="31"/>
    <x v="1"/>
    <x v="0"/>
    <n v="2.11"/>
    <n v="12710.22"/>
    <n v="40266.379999999997"/>
    <x v="2"/>
  </r>
  <r>
    <x v="4"/>
    <x v="1"/>
    <x v="3"/>
    <x v="1"/>
    <x v="10"/>
    <x v="1"/>
    <x v="0"/>
    <n v="11.14"/>
    <n v="67105.13"/>
    <n v="208842.3"/>
    <x v="2"/>
  </r>
  <r>
    <x v="4"/>
    <x v="1"/>
    <x v="3"/>
    <x v="1"/>
    <x v="11"/>
    <x v="1"/>
    <x v="0"/>
    <n v="8.2899999999999991"/>
    <n v="49937.3"/>
    <n v="148169.51999999999"/>
    <x v="2"/>
  </r>
  <r>
    <x v="4"/>
    <x v="1"/>
    <x v="3"/>
    <x v="1"/>
    <x v="12"/>
    <x v="1"/>
    <x v="0"/>
    <n v="1.56"/>
    <n v="9397.1299999999992"/>
    <n v="29297"/>
    <x v="2"/>
  </r>
  <r>
    <x v="4"/>
    <x v="1"/>
    <x v="3"/>
    <x v="1"/>
    <x v="13"/>
    <x v="1"/>
    <x v="0"/>
    <n v="2.21"/>
    <n v="13312.6"/>
    <n v="41274.089999999997"/>
    <x v="2"/>
  </r>
  <r>
    <x v="4"/>
    <x v="1"/>
    <x v="3"/>
    <x v="1"/>
    <x v="14"/>
    <x v="1"/>
    <x v="0"/>
    <n v="2.2400000000000002"/>
    <n v="13493.31"/>
    <n v="41103.269999999997"/>
    <x v="2"/>
  </r>
  <r>
    <x v="4"/>
    <x v="1"/>
    <x v="3"/>
    <x v="1"/>
    <x v="15"/>
    <x v="1"/>
    <x v="0"/>
    <n v="1.89"/>
    <n v="11384.98"/>
    <n v="35864.5"/>
    <x v="2"/>
  </r>
  <r>
    <x v="4"/>
    <x v="1"/>
    <x v="3"/>
    <x v="1"/>
    <x v="16"/>
    <x v="1"/>
    <x v="0"/>
    <n v="5.64"/>
    <n v="33974.230000000003"/>
    <n v="101965.11"/>
    <x v="2"/>
  </r>
  <r>
    <x v="4"/>
    <x v="1"/>
    <x v="3"/>
    <x v="1"/>
    <x v="17"/>
    <x v="1"/>
    <x v="0"/>
    <n v="6.49"/>
    <n v="39094.46"/>
    <n v="118470.89"/>
    <x v="2"/>
  </r>
  <r>
    <x v="4"/>
    <x v="1"/>
    <x v="3"/>
    <x v="1"/>
    <x v="18"/>
    <x v="1"/>
    <x v="0"/>
    <n v="5.69"/>
    <n v="34275.42"/>
    <n v="108731.89"/>
    <x v="2"/>
  </r>
  <r>
    <x v="4"/>
    <x v="1"/>
    <x v="3"/>
    <x v="1"/>
    <x v="19"/>
    <x v="1"/>
    <x v="0"/>
    <n v="10.87"/>
    <n v="65478.71"/>
    <n v="201381.89"/>
    <x v="2"/>
  </r>
  <r>
    <x v="4"/>
    <x v="1"/>
    <x v="3"/>
    <x v="1"/>
    <x v="20"/>
    <x v="1"/>
    <x v="0"/>
    <n v="13.67"/>
    <n v="82345.350000000006"/>
    <n v="249128.1"/>
    <x v="2"/>
  </r>
  <r>
    <x v="4"/>
    <x v="1"/>
    <x v="3"/>
    <x v="2"/>
    <x v="21"/>
    <x v="1"/>
    <x v="0"/>
    <n v="0"/>
    <n v="0"/>
    <n v="0"/>
    <x v="2"/>
  </r>
  <r>
    <x v="4"/>
    <x v="1"/>
    <x v="3"/>
    <x v="2"/>
    <x v="22"/>
    <x v="1"/>
    <x v="0"/>
    <n v="6.49"/>
    <n v="39094.46"/>
    <n v="108695.66"/>
    <x v="2"/>
  </r>
  <r>
    <x v="4"/>
    <x v="1"/>
    <x v="3"/>
    <x v="2"/>
    <x v="29"/>
    <x v="1"/>
    <x v="0"/>
    <n v="0"/>
    <n v="0"/>
    <n v="0"/>
    <x v="2"/>
  </r>
  <r>
    <x v="4"/>
    <x v="1"/>
    <x v="3"/>
    <x v="2"/>
    <x v="23"/>
    <x v="1"/>
    <x v="0"/>
    <n v="0"/>
    <n v="0"/>
    <n v="0"/>
    <x v="2"/>
  </r>
  <r>
    <x v="4"/>
    <x v="1"/>
    <x v="3"/>
    <x v="2"/>
    <x v="24"/>
    <x v="1"/>
    <x v="0"/>
    <n v="2.61"/>
    <n v="15722.12"/>
    <n v="44499.360000000001"/>
    <x v="2"/>
  </r>
  <r>
    <x v="4"/>
    <x v="1"/>
    <x v="3"/>
    <x v="3"/>
    <x v="25"/>
    <x v="1"/>
    <x v="0"/>
    <n v="7.91"/>
    <n v="47648.26"/>
    <n v="148998.57"/>
    <x v="2"/>
  </r>
  <r>
    <x v="4"/>
    <x v="1"/>
    <x v="3"/>
    <x v="3"/>
    <x v="26"/>
    <x v="1"/>
    <x v="0"/>
    <n v="5.67"/>
    <n v="34154.949999999997"/>
    <n v="107583.51"/>
    <x v="2"/>
  </r>
  <r>
    <x v="4"/>
    <x v="1"/>
    <x v="3"/>
    <x v="3"/>
    <x v="27"/>
    <x v="1"/>
    <x v="0"/>
    <n v="15.54"/>
    <n v="93609.85"/>
    <n v="289188.39"/>
    <x v="2"/>
  </r>
  <r>
    <x v="4"/>
    <x v="1"/>
    <x v="3"/>
    <x v="0"/>
    <x v="0"/>
    <x v="1"/>
    <x v="1"/>
    <n v="11.28"/>
    <n v="67948.460000000006"/>
    <n v="202705.43"/>
    <x v="2"/>
  </r>
  <r>
    <x v="4"/>
    <x v="1"/>
    <x v="3"/>
    <x v="0"/>
    <x v="1"/>
    <x v="1"/>
    <x v="1"/>
    <n v="16.690000000000001"/>
    <n v="100537.22"/>
    <n v="294906.38"/>
    <x v="2"/>
  </r>
  <r>
    <x v="4"/>
    <x v="1"/>
    <x v="3"/>
    <x v="0"/>
    <x v="2"/>
    <x v="1"/>
    <x v="1"/>
    <n v="17.36"/>
    <n v="104573.17"/>
    <n v="296282.03999999998"/>
    <x v="2"/>
  </r>
  <r>
    <x v="4"/>
    <x v="1"/>
    <x v="3"/>
    <x v="0"/>
    <x v="3"/>
    <x v="1"/>
    <x v="1"/>
    <n v="30.37"/>
    <n v="182942.81"/>
    <n v="539133.23"/>
    <x v="2"/>
  </r>
  <r>
    <x v="4"/>
    <x v="1"/>
    <x v="3"/>
    <x v="0"/>
    <x v="28"/>
    <x v="1"/>
    <x v="1"/>
    <n v="2.69"/>
    <n v="16204.02"/>
    <n v="48318.41"/>
    <x v="2"/>
  </r>
  <r>
    <x v="4"/>
    <x v="1"/>
    <x v="3"/>
    <x v="0"/>
    <x v="4"/>
    <x v="1"/>
    <x v="1"/>
    <n v="10.1"/>
    <n v="60840.38"/>
    <n v="177647.18"/>
    <x v="2"/>
  </r>
  <r>
    <x v="4"/>
    <x v="1"/>
    <x v="3"/>
    <x v="0"/>
    <x v="5"/>
    <x v="1"/>
    <x v="1"/>
    <n v="24.82"/>
    <n v="149510.72"/>
    <n v="449528.9"/>
    <x v="2"/>
  </r>
  <r>
    <x v="4"/>
    <x v="1"/>
    <x v="3"/>
    <x v="0"/>
    <x v="6"/>
    <x v="1"/>
    <x v="1"/>
    <n v="1.29"/>
    <n v="7770.7"/>
    <n v="23253.54"/>
    <x v="2"/>
  </r>
  <r>
    <x v="4"/>
    <x v="1"/>
    <x v="3"/>
    <x v="0"/>
    <x v="7"/>
    <x v="1"/>
    <x v="1"/>
    <n v="4.45"/>
    <n v="26805.91"/>
    <n v="81668.02"/>
    <x v="2"/>
  </r>
  <r>
    <x v="4"/>
    <x v="1"/>
    <x v="3"/>
    <x v="0"/>
    <x v="8"/>
    <x v="1"/>
    <x v="1"/>
    <n v="3.46"/>
    <n v="20842.349999999999"/>
    <n v="60492.46"/>
    <x v="2"/>
  </r>
  <r>
    <x v="4"/>
    <x v="1"/>
    <x v="3"/>
    <x v="1"/>
    <x v="30"/>
    <x v="1"/>
    <x v="1"/>
    <n v="0"/>
    <n v="0"/>
    <n v="0"/>
    <x v="2"/>
  </r>
  <r>
    <x v="4"/>
    <x v="1"/>
    <x v="3"/>
    <x v="1"/>
    <x v="9"/>
    <x v="1"/>
    <x v="1"/>
    <n v="4.6100000000000003"/>
    <n v="27769.72"/>
    <n v="87255.25"/>
    <x v="2"/>
  </r>
  <r>
    <x v="4"/>
    <x v="1"/>
    <x v="3"/>
    <x v="1"/>
    <x v="31"/>
    <x v="1"/>
    <x v="1"/>
    <n v="0"/>
    <n v="0"/>
    <n v="0"/>
    <x v="2"/>
  </r>
  <r>
    <x v="4"/>
    <x v="1"/>
    <x v="3"/>
    <x v="1"/>
    <x v="10"/>
    <x v="1"/>
    <x v="1"/>
    <n v="30.28"/>
    <n v="182400.66"/>
    <n v="567540.92000000004"/>
    <x v="2"/>
  </r>
  <r>
    <x v="4"/>
    <x v="1"/>
    <x v="3"/>
    <x v="1"/>
    <x v="11"/>
    <x v="1"/>
    <x v="1"/>
    <n v="29.79"/>
    <n v="179449"/>
    <n v="532200.73"/>
    <x v="2"/>
  </r>
  <r>
    <x v="4"/>
    <x v="1"/>
    <x v="3"/>
    <x v="1"/>
    <x v="12"/>
    <x v="1"/>
    <x v="1"/>
    <n v="3.81"/>
    <n v="22950.68"/>
    <n v="71614.899999999994"/>
    <x v="2"/>
  </r>
  <r>
    <x v="4"/>
    <x v="1"/>
    <x v="3"/>
    <x v="1"/>
    <x v="13"/>
    <x v="1"/>
    <x v="1"/>
    <n v="11.37"/>
    <n v="68490.61"/>
    <n v="212720.3"/>
    <x v="2"/>
  </r>
  <r>
    <x v="4"/>
    <x v="1"/>
    <x v="3"/>
    <x v="1"/>
    <x v="14"/>
    <x v="1"/>
    <x v="1"/>
    <n v="1.17"/>
    <n v="7047.85"/>
    <n v="21456.42"/>
    <x v="2"/>
  </r>
  <r>
    <x v="4"/>
    <x v="1"/>
    <x v="3"/>
    <x v="1"/>
    <x v="15"/>
    <x v="1"/>
    <x v="1"/>
    <n v="2.34"/>
    <n v="14095.69"/>
    <n v="44403.66"/>
    <x v="2"/>
  </r>
  <r>
    <x v="4"/>
    <x v="1"/>
    <x v="3"/>
    <x v="1"/>
    <x v="16"/>
    <x v="1"/>
    <x v="1"/>
    <n v="11.28"/>
    <n v="67948.460000000006"/>
    <n v="203930.22"/>
    <x v="2"/>
  </r>
  <r>
    <x v="4"/>
    <x v="1"/>
    <x v="3"/>
    <x v="1"/>
    <x v="17"/>
    <x v="1"/>
    <x v="1"/>
    <n v="3.86"/>
    <n v="23251.87"/>
    <n v="70442.149999999994"/>
    <x v="2"/>
  </r>
  <r>
    <x v="4"/>
    <x v="1"/>
    <x v="3"/>
    <x v="1"/>
    <x v="18"/>
    <x v="1"/>
    <x v="1"/>
    <n v="25.1"/>
    <n v="151197.38"/>
    <n v="479408.81"/>
    <x v="2"/>
  </r>
  <r>
    <x v="4"/>
    <x v="1"/>
    <x v="3"/>
    <x v="1"/>
    <x v="19"/>
    <x v="1"/>
    <x v="1"/>
    <n v="14.21"/>
    <n v="85598.2"/>
    <n v="263223.57"/>
    <x v="2"/>
  </r>
  <r>
    <x v="4"/>
    <x v="1"/>
    <x v="3"/>
    <x v="1"/>
    <x v="20"/>
    <x v="1"/>
    <x v="1"/>
    <n v="25.39"/>
    <n v="152944.28"/>
    <n v="462666.47"/>
    <x v="2"/>
  </r>
  <r>
    <x v="4"/>
    <x v="1"/>
    <x v="3"/>
    <x v="2"/>
    <x v="21"/>
    <x v="1"/>
    <x v="1"/>
    <n v="2.4500000000000002"/>
    <n v="14758.31"/>
    <n v="41009.599999999999"/>
    <x v="2"/>
  </r>
  <r>
    <x v="4"/>
    <x v="1"/>
    <x v="3"/>
    <x v="2"/>
    <x v="22"/>
    <x v="1"/>
    <x v="1"/>
    <n v="13.07"/>
    <n v="78731.070000000007"/>
    <n v="218784.86"/>
    <x v="2"/>
  </r>
  <r>
    <x v="4"/>
    <x v="1"/>
    <x v="3"/>
    <x v="2"/>
    <x v="29"/>
    <x v="1"/>
    <x v="1"/>
    <n v="3.72"/>
    <n v="22408.54"/>
    <n v="66131"/>
    <x v="2"/>
  </r>
  <r>
    <x v="4"/>
    <x v="1"/>
    <x v="3"/>
    <x v="2"/>
    <x v="23"/>
    <x v="1"/>
    <x v="1"/>
    <n v="6.48"/>
    <n v="39034.22"/>
    <n v="112883.3"/>
    <x v="2"/>
  </r>
  <r>
    <x v="4"/>
    <x v="1"/>
    <x v="3"/>
    <x v="2"/>
    <x v="24"/>
    <x v="1"/>
    <x v="1"/>
    <n v="2.7"/>
    <n v="16264.26"/>
    <n v="45934.82"/>
    <x v="2"/>
  </r>
  <r>
    <x v="4"/>
    <x v="1"/>
    <x v="3"/>
    <x v="3"/>
    <x v="25"/>
    <x v="1"/>
    <x v="1"/>
    <n v="9.5299999999999994"/>
    <n v="57406.81"/>
    <n v="179439.14"/>
    <x v="2"/>
  </r>
  <r>
    <x v="4"/>
    <x v="1"/>
    <x v="3"/>
    <x v="3"/>
    <x v="26"/>
    <x v="1"/>
    <x v="1"/>
    <n v="23.62"/>
    <n v="142282.16"/>
    <n v="447997.01"/>
    <x v="2"/>
  </r>
  <r>
    <x v="4"/>
    <x v="1"/>
    <x v="3"/>
    <x v="3"/>
    <x v="27"/>
    <x v="1"/>
    <x v="1"/>
    <n v="30.91"/>
    <n v="186195.66"/>
    <n v="575198.89"/>
    <x v="2"/>
  </r>
  <r>
    <x v="4"/>
    <x v="1"/>
    <x v="4"/>
    <x v="0"/>
    <x v="0"/>
    <x v="0"/>
    <x v="0"/>
    <n v="1.54"/>
    <n v="8119.08"/>
    <n v="37742.080000000002"/>
    <x v="2"/>
  </r>
  <r>
    <x v="4"/>
    <x v="1"/>
    <x v="4"/>
    <x v="0"/>
    <x v="1"/>
    <x v="0"/>
    <x v="0"/>
    <n v="2.79"/>
    <n v="14709.24"/>
    <n v="68434.31"/>
    <x v="2"/>
  </r>
  <r>
    <x v="4"/>
    <x v="1"/>
    <x v="4"/>
    <x v="0"/>
    <x v="2"/>
    <x v="0"/>
    <x v="0"/>
    <n v="0"/>
    <n v="0"/>
    <n v="0"/>
    <x v="2"/>
  </r>
  <r>
    <x v="4"/>
    <x v="1"/>
    <x v="4"/>
    <x v="0"/>
    <x v="3"/>
    <x v="0"/>
    <x v="0"/>
    <n v="1.84"/>
    <n v="9700.7199999999993"/>
    <n v="45208.61"/>
    <x v="2"/>
  </r>
  <r>
    <x v="4"/>
    <x v="1"/>
    <x v="4"/>
    <x v="0"/>
    <x v="4"/>
    <x v="0"/>
    <x v="0"/>
    <n v="0"/>
    <n v="0"/>
    <n v="0"/>
    <x v="2"/>
  </r>
  <r>
    <x v="4"/>
    <x v="1"/>
    <x v="4"/>
    <x v="0"/>
    <x v="5"/>
    <x v="0"/>
    <x v="0"/>
    <n v="0"/>
    <n v="0"/>
    <n v="0"/>
    <x v="2"/>
  </r>
  <r>
    <x v="4"/>
    <x v="1"/>
    <x v="4"/>
    <x v="0"/>
    <x v="6"/>
    <x v="0"/>
    <x v="0"/>
    <n v="0"/>
    <n v="0"/>
    <n v="0"/>
    <x v="2"/>
  </r>
  <r>
    <x v="4"/>
    <x v="1"/>
    <x v="4"/>
    <x v="0"/>
    <x v="8"/>
    <x v="0"/>
    <x v="0"/>
    <n v="0"/>
    <n v="0"/>
    <n v="0"/>
    <x v="2"/>
  </r>
  <r>
    <x v="4"/>
    <x v="1"/>
    <x v="4"/>
    <x v="1"/>
    <x v="10"/>
    <x v="0"/>
    <x v="0"/>
    <n v="0.93"/>
    <n v="4903.08"/>
    <n v="22748.04"/>
    <x v="2"/>
  </r>
  <r>
    <x v="4"/>
    <x v="1"/>
    <x v="4"/>
    <x v="1"/>
    <x v="11"/>
    <x v="0"/>
    <x v="0"/>
    <n v="0"/>
    <n v="0"/>
    <n v="0"/>
    <x v="2"/>
  </r>
  <r>
    <x v="4"/>
    <x v="1"/>
    <x v="4"/>
    <x v="1"/>
    <x v="13"/>
    <x v="0"/>
    <x v="0"/>
    <n v="0"/>
    <n v="0"/>
    <n v="0"/>
    <x v="2"/>
  </r>
  <r>
    <x v="4"/>
    <x v="1"/>
    <x v="4"/>
    <x v="1"/>
    <x v="14"/>
    <x v="0"/>
    <x v="0"/>
    <n v="0"/>
    <n v="0"/>
    <n v="0"/>
    <x v="2"/>
  </r>
  <r>
    <x v="4"/>
    <x v="1"/>
    <x v="4"/>
    <x v="1"/>
    <x v="16"/>
    <x v="0"/>
    <x v="0"/>
    <n v="0"/>
    <n v="0"/>
    <n v="0"/>
    <x v="2"/>
  </r>
  <r>
    <x v="4"/>
    <x v="1"/>
    <x v="4"/>
    <x v="1"/>
    <x v="17"/>
    <x v="0"/>
    <x v="0"/>
    <n v="0"/>
    <n v="0"/>
    <n v="0"/>
    <x v="2"/>
  </r>
  <r>
    <x v="4"/>
    <x v="1"/>
    <x v="4"/>
    <x v="1"/>
    <x v="18"/>
    <x v="0"/>
    <x v="0"/>
    <n v="0"/>
    <n v="0"/>
    <n v="0"/>
    <x v="2"/>
  </r>
  <r>
    <x v="4"/>
    <x v="1"/>
    <x v="4"/>
    <x v="1"/>
    <x v="19"/>
    <x v="0"/>
    <x v="0"/>
    <n v="0"/>
    <n v="0"/>
    <n v="0"/>
    <x v="2"/>
  </r>
  <r>
    <x v="4"/>
    <x v="1"/>
    <x v="4"/>
    <x v="1"/>
    <x v="20"/>
    <x v="0"/>
    <x v="0"/>
    <n v="1.58"/>
    <n v="8329.9699999999993"/>
    <n v="38607.68"/>
    <x v="2"/>
  </r>
  <r>
    <x v="4"/>
    <x v="1"/>
    <x v="4"/>
    <x v="2"/>
    <x v="21"/>
    <x v="0"/>
    <x v="0"/>
    <n v="1.42"/>
    <n v="7486.42"/>
    <n v="34771.040000000001"/>
    <x v="2"/>
  </r>
  <r>
    <x v="4"/>
    <x v="1"/>
    <x v="4"/>
    <x v="2"/>
    <x v="22"/>
    <x v="0"/>
    <x v="0"/>
    <n v="0"/>
    <n v="0"/>
    <n v="0"/>
    <x v="2"/>
  </r>
  <r>
    <x v="4"/>
    <x v="1"/>
    <x v="4"/>
    <x v="2"/>
    <x v="29"/>
    <x v="0"/>
    <x v="0"/>
    <n v="0"/>
    <n v="0"/>
    <n v="0"/>
    <x v="2"/>
  </r>
  <r>
    <x v="4"/>
    <x v="1"/>
    <x v="4"/>
    <x v="2"/>
    <x v="24"/>
    <x v="0"/>
    <x v="0"/>
    <n v="0"/>
    <n v="0"/>
    <n v="0"/>
    <x v="2"/>
  </r>
  <r>
    <x v="4"/>
    <x v="1"/>
    <x v="4"/>
    <x v="3"/>
    <x v="25"/>
    <x v="0"/>
    <x v="0"/>
    <n v="0"/>
    <n v="0"/>
    <n v="0"/>
    <x v="2"/>
  </r>
  <r>
    <x v="4"/>
    <x v="1"/>
    <x v="4"/>
    <x v="3"/>
    <x v="26"/>
    <x v="0"/>
    <x v="0"/>
    <n v="0.86"/>
    <n v="4534.03"/>
    <n v="21082.18"/>
    <x v="2"/>
  </r>
  <r>
    <x v="4"/>
    <x v="1"/>
    <x v="4"/>
    <x v="3"/>
    <x v="27"/>
    <x v="0"/>
    <x v="0"/>
    <n v="1.17"/>
    <n v="6168.39"/>
    <n v="28790.15"/>
    <x v="2"/>
  </r>
  <r>
    <x v="4"/>
    <x v="1"/>
    <x v="4"/>
    <x v="0"/>
    <x v="0"/>
    <x v="0"/>
    <x v="1"/>
    <n v="0.91"/>
    <n v="4797.6400000000003"/>
    <n v="22201.23"/>
    <x v="2"/>
  </r>
  <r>
    <x v="4"/>
    <x v="1"/>
    <x v="4"/>
    <x v="0"/>
    <x v="1"/>
    <x v="0"/>
    <x v="1"/>
    <n v="4.29"/>
    <n v="22617.439999999999"/>
    <n v="105061.13"/>
    <x v="2"/>
  </r>
  <r>
    <x v="4"/>
    <x v="1"/>
    <x v="4"/>
    <x v="0"/>
    <x v="2"/>
    <x v="0"/>
    <x v="1"/>
    <n v="2.92"/>
    <n v="15394.62"/>
    <n v="71600.97"/>
    <x v="2"/>
  </r>
  <r>
    <x v="4"/>
    <x v="1"/>
    <x v="4"/>
    <x v="0"/>
    <x v="3"/>
    <x v="0"/>
    <x v="1"/>
    <n v="3.14"/>
    <n v="16554.490000000002"/>
    <n v="76854.64"/>
    <x v="2"/>
  </r>
  <r>
    <x v="4"/>
    <x v="1"/>
    <x v="4"/>
    <x v="0"/>
    <x v="4"/>
    <x v="0"/>
    <x v="1"/>
    <n v="1.77"/>
    <n v="9331.67"/>
    <n v="43259.53"/>
    <x v="2"/>
  </r>
  <r>
    <x v="4"/>
    <x v="1"/>
    <x v="4"/>
    <x v="0"/>
    <x v="5"/>
    <x v="0"/>
    <x v="1"/>
    <n v="1.62"/>
    <n v="8540.85"/>
    <n v="39776.25"/>
    <x v="2"/>
  </r>
  <r>
    <x v="4"/>
    <x v="1"/>
    <x v="4"/>
    <x v="0"/>
    <x v="6"/>
    <x v="0"/>
    <x v="1"/>
    <n v="1.97"/>
    <n v="10386.1"/>
    <n v="48391.07"/>
    <x v="2"/>
  </r>
  <r>
    <x v="4"/>
    <x v="1"/>
    <x v="4"/>
    <x v="0"/>
    <x v="8"/>
    <x v="0"/>
    <x v="1"/>
    <n v="2.59"/>
    <n v="13654.82"/>
    <n v="63553.8"/>
    <x v="2"/>
  </r>
  <r>
    <x v="4"/>
    <x v="1"/>
    <x v="4"/>
    <x v="1"/>
    <x v="10"/>
    <x v="0"/>
    <x v="1"/>
    <n v="1.3"/>
    <n v="6853.77"/>
    <n v="31847.25"/>
    <x v="2"/>
  </r>
  <r>
    <x v="4"/>
    <x v="1"/>
    <x v="4"/>
    <x v="1"/>
    <x v="11"/>
    <x v="0"/>
    <x v="1"/>
    <n v="7.78"/>
    <n v="41017.17"/>
    <n v="190541.94"/>
    <x v="2"/>
  </r>
  <r>
    <x v="4"/>
    <x v="1"/>
    <x v="4"/>
    <x v="1"/>
    <x v="13"/>
    <x v="0"/>
    <x v="1"/>
    <n v="4.2"/>
    <n v="22142.95"/>
    <n v="102940.56"/>
    <x v="2"/>
  </r>
  <r>
    <x v="4"/>
    <x v="1"/>
    <x v="4"/>
    <x v="1"/>
    <x v="14"/>
    <x v="0"/>
    <x v="1"/>
    <n v="1.53"/>
    <n v="8066.36"/>
    <n v="37419.699999999997"/>
    <x v="2"/>
  </r>
  <r>
    <x v="4"/>
    <x v="1"/>
    <x v="4"/>
    <x v="1"/>
    <x v="16"/>
    <x v="0"/>
    <x v="1"/>
    <n v="0.83"/>
    <n v="4375.87"/>
    <n v="20411.36"/>
    <x v="2"/>
  </r>
  <r>
    <x v="4"/>
    <x v="1"/>
    <x v="4"/>
    <x v="1"/>
    <x v="17"/>
    <x v="0"/>
    <x v="1"/>
    <n v="0.63"/>
    <n v="3321.44"/>
    <n v="15518.17"/>
    <x v="2"/>
  </r>
  <r>
    <x v="4"/>
    <x v="1"/>
    <x v="4"/>
    <x v="1"/>
    <x v="18"/>
    <x v="0"/>
    <x v="1"/>
    <n v="7.98"/>
    <n v="42071.6"/>
    <n v="195471.71"/>
    <x v="2"/>
  </r>
  <r>
    <x v="4"/>
    <x v="1"/>
    <x v="4"/>
    <x v="1"/>
    <x v="19"/>
    <x v="0"/>
    <x v="1"/>
    <n v="3.14"/>
    <n v="16554.490000000002"/>
    <n v="76955.929999999993"/>
    <x v="2"/>
  </r>
  <r>
    <x v="4"/>
    <x v="1"/>
    <x v="4"/>
    <x v="1"/>
    <x v="20"/>
    <x v="0"/>
    <x v="1"/>
    <n v="5.65"/>
    <n v="29787.53"/>
    <n v="138533.44"/>
    <x v="2"/>
  </r>
  <r>
    <x v="4"/>
    <x v="1"/>
    <x v="4"/>
    <x v="2"/>
    <x v="21"/>
    <x v="0"/>
    <x v="1"/>
    <n v="0"/>
    <n v="0"/>
    <n v="0"/>
    <x v="2"/>
  </r>
  <r>
    <x v="4"/>
    <x v="1"/>
    <x v="4"/>
    <x v="2"/>
    <x v="22"/>
    <x v="0"/>
    <x v="1"/>
    <n v="3.34"/>
    <n v="17608.91"/>
    <n v="81766.34"/>
    <x v="2"/>
  </r>
  <r>
    <x v="4"/>
    <x v="1"/>
    <x v="4"/>
    <x v="2"/>
    <x v="29"/>
    <x v="0"/>
    <x v="1"/>
    <n v="1.44"/>
    <n v="7591.87"/>
    <n v="35290.71"/>
    <x v="2"/>
  </r>
  <r>
    <x v="4"/>
    <x v="1"/>
    <x v="4"/>
    <x v="2"/>
    <x v="24"/>
    <x v="0"/>
    <x v="1"/>
    <n v="1.99"/>
    <n v="10491.54"/>
    <n v="48850.64"/>
    <x v="2"/>
  </r>
  <r>
    <x v="4"/>
    <x v="1"/>
    <x v="4"/>
    <x v="3"/>
    <x v="25"/>
    <x v="0"/>
    <x v="1"/>
    <n v="1.44"/>
    <n v="7591.87"/>
    <n v="35206.160000000003"/>
    <x v="2"/>
  </r>
  <r>
    <x v="4"/>
    <x v="1"/>
    <x v="4"/>
    <x v="3"/>
    <x v="26"/>
    <x v="0"/>
    <x v="1"/>
    <n v="1.02"/>
    <n v="5377.57"/>
    <n v="24915.31"/>
    <x v="2"/>
  </r>
  <r>
    <x v="4"/>
    <x v="1"/>
    <x v="4"/>
    <x v="3"/>
    <x v="27"/>
    <x v="0"/>
    <x v="1"/>
    <n v="4.78"/>
    <n v="25200.78"/>
    <n v="117217.06"/>
    <x v="2"/>
  </r>
  <r>
    <x v="4"/>
    <x v="1"/>
    <x v="4"/>
    <x v="0"/>
    <x v="0"/>
    <x v="1"/>
    <x v="0"/>
    <n v="2.2599999999999998"/>
    <n v="11915.01"/>
    <n v="36167.75"/>
    <x v="2"/>
  </r>
  <r>
    <x v="4"/>
    <x v="1"/>
    <x v="4"/>
    <x v="0"/>
    <x v="1"/>
    <x v="1"/>
    <x v="0"/>
    <n v="15.32"/>
    <n v="80769.03"/>
    <n v="241417.76"/>
    <x v="2"/>
  </r>
  <r>
    <x v="4"/>
    <x v="1"/>
    <x v="4"/>
    <x v="0"/>
    <x v="2"/>
    <x v="1"/>
    <x v="0"/>
    <n v="6.41"/>
    <n v="33794.35"/>
    <n v="97575.7"/>
    <x v="2"/>
  </r>
  <r>
    <x v="4"/>
    <x v="1"/>
    <x v="4"/>
    <x v="0"/>
    <x v="3"/>
    <x v="1"/>
    <x v="0"/>
    <n v="8.06"/>
    <n v="42493.37"/>
    <n v="127523.51"/>
    <x v="2"/>
  </r>
  <r>
    <x v="4"/>
    <x v="1"/>
    <x v="4"/>
    <x v="0"/>
    <x v="28"/>
    <x v="1"/>
    <x v="0"/>
    <n v="0"/>
    <n v="0"/>
    <n v="0"/>
    <x v="2"/>
  </r>
  <r>
    <x v="4"/>
    <x v="1"/>
    <x v="4"/>
    <x v="0"/>
    <x v="4"/>
    <x v="1"/>
    <x v="0"/>
    <n v="7.55"/>
    <n v="39804.58"/>
    <n v="118413.03"/>
    <x v="2"/>
  </r>
  <r>
    <x v="4"/>
    <x v="1"/>
    <x v="4"/>
    <x v="0"/>
    <x v="5"/>
    <x v="1"/>
    <x v="0"/>
    <n v="3.02"/>
    <n v="15921.83"/>
    <n v="48831.62"/>
    <x v="2"/>
  </r>
  <r>
    <x v="4"/>
    <x v="1"/>
    <x v="4"/>
    <x v="0"/>
    <x v="6"/>
    <x v="1"/>
    <x v="0"/>
    <n v="0"/>
    <n v="0"/>
    <n v="0"/>
    <x v="2"/>
  </r>
  <r>
    <x v="4"/>
    <x v="1"/>
    <x v="4"/>
    <x v="0"/>
    <x v="7"/>
    <x v="1"/>
    <x v="0"/>
    <n v="0"/>
    <n v="0"/>
    <n v="0"/>
    <x v="2"/>
  </r>
  <r>
    <x v="4"/>
    <x v="1"/>
    <x v="4"/>
    <x v="0"/>
    <x v="8"/>
    <x v="1"/>
    <x v="0"/>
    <n v="0"/>
    <n v="0"/>
    <n v="0"/>
    <x v="2"/>
  </r>
  <r>
    <x v="4"/>
    <x v="1"/>
    <x v="4"/>
    <x v="1"/>
    <x v="30"/>
    <x v="1"/>
    <x v="0"/>
    <n v="1.3"/>
    <n v="6853.77"/>
    <n v="21998.99"/>
    <x v="2"/>
  </r>
  <r>
    <x v="4"/>
    <x v="1"/>
    <x v="4"/>
    <x v="1"/>
    <x v="9"/>
    <x v="1"/>
    <x v="0"/>
    <n v="0"/>
    <n v="0"/>
    <n v="0"/>
    <x v="2"/>
  </r>
  <r>
    <x v="4"/>
    <x v="1"/>
    <x v="4"/>
    <x v="1"/>
    <x v="31"/>
    <x v="1"/>
    <x v="0"/>
    <n v="1.76"/>
    <n v="9278.9500000000007"/>
    <n v="29900.43"/>
    <x v="2"/>
  </r>
  <r>
    <x v="4"/>
    <x v="1"/>
    <x v="4"/>
    <x v="1"/>
    <x v="10"/>
    <x v="1"/>
    <x v="0"/>
    <n v="10.68"/>
    <n v="56306.35"/>
    <n v="178426.52"/>
    <x v="2"/>
  </r>
  <r>
    <x v="4"/>
    <x v="1"/>
    <x v="4"/>
    <x v="1"/>
    <x v="11"/>
    <x v="1"/>
    <x v="0"/>
    <n v="7.52"/>
    <n v="39646.42"/>
    <n v="119719.48"/>
    <x v="2"/>
  </r>
  <r>
    <x v="4"/>
    <x v="1"/>
    <x v="4"/>
    <x v="1"/>
    <x v="12"/>
    <x v="1"/>
    <x v="0"/>
    <n v="2.64"/>
    <n v="13918.42"/>
    <n v="44310.84"/>
    <x v="2"/>
  </r>
  <r>
    <x v="4"/>
    <x v="1"/>
    <x v="4"/>
    <x v="1"/>
    <x v="13"/>
    <x v="1"/>
    <x v="0"/>
    <n v="4.46"/>
    <n v="23513.7"/>
    <n v="74488.17"/>
    <x v="2"/>
  </r>
  <r>
    <x v="4"/>
    <x v="1"/>
    <x v="4"/>
    <x v="1"/>
    <x v="14"/>
    <x v="1"/>
    <x v="0"/>
    <n v="15.29"/>
    <n v="80610.87"/>
    <n v="250331.46"/>
    <x v="2"/>
  </r>
  <r>
    <x v="4"/>
    <x v="1"/>
    <x v="4"/>
    <x v="1"/>
    <x v="15"/>
    <x v="1"/>
    <x v="0"/>
    <n v="5.32"/>
    <n v="28047.73"/>
    <n v="90091.36"/>
    <x v="2"/>
  </r>
  <r>
    <x v="4"/>
    <x v="1"/>
    <x v="4"/>
    <x v="1"/>
    <x v="16"/>
    <x v="1"/>
    <x v="0"/>
    <n v="6.42"/>
    <n v="33847.07"/>
    <n v="103559.03"/>
    <x v="2"/>
  </r>
  <r>
    <x v="4"/>
    <x v="1"/>
    <x v="4"/>
    <x v="1"/>
    <x v="17"/>
    <x v="1"/>
    <x v="0"/>
    <n v="6.12"/>
    <n v="32265.439999999999"/>
    <n v="99644.85"/>
    <x v="2"/>
  </r>
  <r>
    <x v="4"/>
    <x v="1"/>
    <x v="4"/>
    <x v="1"/>
    <x v="18"/>
    <x v="1"/>
    <x v="0"/>
    <n v="5.22"/>
    <n v="27520.52"/>
    <n v="88929.27"/>
    <x v="2"/>
  </r>
  <r>
    <x v="4"/>
    <x v="1"/>
    <x v="4"/>
    <x v="1"/>
    <x v="19"/>
    <x v="1"/>
    <x v="0"/>
    <n v="12.86"/>
    <n v="67799.59"/>
    <n v="212473.31"/>
    <x v="2"/>
  </r>
  <r>
    <x v="4"/>
    <x v="1"/>
    <x v="4"/>
    <x v="1"/>
    <x v="20"/>
    <x v="1"/>
    <x v="0"/>
    <n v="13.96"/>
    <n v="73598.929999999993"/>
    <n v="226828.99"/>
    <x v="2"/>
  </r>
  <r>
    <x v="4"/>
    <x v="1"/>
    <x v="4"/>
    <x v="2"/>
    <x v="21"/>
    <x v="1"/>
    <x v="0"/>
    <n v="0"/>
    <n v="0"/>
    <n v="0"/>
    <x v="2"/>
  </r>
  <r>
    <x v="4"/>
    <x v="1"/>
    <x v="4"/>
    <x v="2"/>
    <x v="22"/>
    <x v="1"/>
    <x v="0"/>
    <n v="8.83"/>
    <n v="46552.91"/>
    <n v="131727.06"/>
    <x v="2"/>
  </r>
  <r>
    <x v="4"/>
    <x v="1"/>
    <x v="4"/>
    <x v="2"/>
    <x v="29"/>
    <x v="1"/>
    <x v="0"/>
    <n v="0"/>
    <n v="0"/>
    <n v="0"/>
    <x v="2"/>
  </r>
  <r>
    <x v="4"/>
    <x v="1"/>
    <x v="4"/>
    <x v="2"/>
    <x v="23"/>
    <x v="1"/>
    <x v="0"/>
    <n v="0"/>
    <n v="0"/>
    <n v="0"/>
    <x v="2"/>
  </r>
  <r>
    <x v="4"/>
    <x v="1"/>
    <x v="4"/>
    <x v="2"/>
    <x v="24"/>
    <x v="1"/>
    <x v="0"/>
    <n v="2.39"/>
    <n v="12600.39"/>
    <n v="36234.959999999999"/>
    <x v="2"/>
  </r>
  <r>
    <x v="4"/>
    <x v="1"/>
    <x v="4"/>
    <x v="3"/>
    <x v="25"/>
    <x v="1"/>
    <x v="0"/>
    <n v="8.8000000000000007"/>
    <n v="46394.74"/>
    <n v="147667.44"/>
    <x v="2"/>
  </r>
  <r>
    <x v="4"/>
    <x v="1"/>
    <x v="4"/>
    <x v="3"/>
    <x v="26"/>
    <x v="1"/>
    <x v="0"/>
    <n v="7.19"/>
    <n v="37906.61"/>
    <n v="121536.8"/>
    <x v="2"/>
  </r>
  <r>
    <x v="4"/>
    <x v="1"/>
    <x v="4"/>
    <x v="3"/>
    <x v="27"/>
    <x v="1"/>
    <x v="0"/>
    <n v="10.220000000000001"/>
    <n v="53881.17"/>
    <n v="169623.14"/>
    <x v="2"/>
  </r>
  <r>
    <x v="4"/>
    <x v="1"/>
    <x v="4"/>
    <x v="0"/>
    <x v="0"/>
    <x v="1"/>
    <x v="1"/>
    <n v="5.56"/>
    <n v="29313.040000000001"/>
    <n v="89028.31"/>
    <x v="2"/>
  </r>
  <r>
    <x v="4"/>
    <x v="1"/>
    <x v="4"/>
    <x v="0"/>
    <x v="1"/>
    <x v="1"/>
    <x v="1"/>
    <n v="24.16"/>
    <n v="127374.66"/>
    <n v="380640.27"/>
    <x v="2"/>
  </r>
  <r>
    <x v="4"/>
    <x v="1"/>
    <x v="4"/>
    <x v="0"/>
    <x v="2"/>
    <x v="1"/>
    <x v="1"/>
    <n v="20.5"/>
    <n v="108078.67"/>
    <n v="311946.56"/>
    <x v="2"/>
  </r>
  <r>
    <x v="4"/>
    <x v="1"/>
    <x v="4"/>
    <x v="0"/>
    <x v="3"/>
    <x v="1"/>
    <x v="1"/>
    <n v="27.33"/>
    <n v="144087.31"/>
    <n v="432579.74"/>
    <x v="2"/>
  </r>
  <r>
    <x v="4"/>
    <x v="1"/>
    <x v="4"/>
    <x v="0"/>
    <x v="28"/>
    <x v="1"/>
    <x v="1"/>
    <n v="2.6"/>
    <n v="13707.54"/>
    <n v="41617.14"/>
    <x v="2"/>
  </r>
  <r>
    <x v="4"/>
    <x v="1"/>
    <x v="4"/>
    <x v="0"/>
    <x v="4"/>
    <x v="1"/>
    <x v="1"/>
    <n v="7.46"/>
    <n v="39330.089999999997"/>
    <n v="117051.96"/>
    <x v="2"/>
  </r>
  <r>
    <x v="4"/>
    <x v="1"/>
    <x v="4"/>
    <x v="0"/>
    <x v="5"/>
    <x v="1"/>
    <x v="1"/>
    <n v="23.85"/>
    <n v="125740.3"/>
    <n v="385072.19"/>
    <x v="2"/>
  </r>
  <r>
    <x v="4"/>
    <x v="1"/>
    <x v="4"/>
    <x v="0"/>
    <x v="6"/>
    <x v="1"/>
    <x v="1"/>
    <n v="4.43"/>
    <n v="23355.54"/>
    <n v="71347.3"/>
    <x v="2"/>
  </r>
  <r>
    <x v="4"/>
    <x v="1"/>
    <x v="4"/>
    <x v="0"/>
    <x v="7"/>
    <x v="1"/>
    <x v="1"/>
    <n v="3.68"/>
    <n v="19401.439999999999"/>
    <n v="60242.3"/>
    <x v="2"/>
  </r>
  <r>
    <x v="4"/>
    <x v="1"/>
    <x v="4"/>
    <x v="0"/>
    <x v="8"/>
    <x v="1"/>
    <x v="1"/>
    <n v="3.71"/>
    <n v="19559.599999999999"/>
    <n v="57890.8"/>
    <x v="2"/>
  </r>
  <r>
    <x v="4"/>
    <x v="1"/>
    <x v="4"/>
    <x v="1"/>
    <x v="30"/>
    <x v="1"/>
    <x v="1"/>
    <n v="0"/>
    <n v="0"/>
    <n v="0"/>
    <x v="2"/>
  </r>
  <r>
    <x v="4"/>
    <x v="1"/>
    <x v="4"/>
    <x v="1"/>
    <x v="9"/>
    <x v="1"/>
    <x v="1"/>
    <n v="5.44"/>
    <n v="28680.39"/>
    <n v="91724.22"/>
    <x v="2"/>
  </r>
  <r>
    <x v="4"/>
    <x v="1"/>
    <x v="4"/>
    <x v="1"/>
    <x v="31"/>
    <x v="1"/>
    <x v="1"/>
    <n v="0"/>
    <n v="0"/>
    <n v="0"/>
    <x v="2"/>
  </r>
  <r>
    <x v="4"/>
    <x v="1"/>
    <x v="4"/>
    <x v="1"/>
    <x v="10"/>
    <x v="1"/>
    <x v="1"/>
    <n v="29.43"/>
    <n v="155158.79"/>
    <n v="491760.89"/>
    <x v="2"/>
  </r>
  <r>
    <x v="4"/>
    <x v="1"/>
    <x v="4"/>
    <x v="1"/>
    <x v="11"/>
    <x v="1"/>
    <x v="1"/>
    <n v="28.33"/>
    <n v="149359.44"/>
    <n v="451153.4"/>
    <x v="2"/>
  </r>
  <r>
    <x v="4"/>
    <x v="1"/>
    <x v="4"/>
    <x v="1"/>
    <x v="12"/>
    <x v="1"/>
    <x v="1"/>
    <n v="3.07"/>
    <n v="16185.44"/>
    <n v="51457.75"/>
    <x v="2"/>
  </r>
  <r>
    <x v="4"/>
    <x v="1"/>
    <x v="4"/>
    <x v="1"/>
    <x v="13"/>
    <x v="1"/>
    <x v="1"/>
    <n v="12.69"/>
    <n v="66903.33"/>
    <n v="211780.1"/>
    <x v="2"/>
  </r>
  <r>
    <x v="4"/>
    <x v="1"/>
    <x v="4"/>
    <x v="1"/>
    <x v="14"/>
    <x v="1"/>
    <x v="1"/>
    <n v="7.13"/>
    <n v="37590.29"/>
    <n v="116631.7"/>
    <x v="2"/>
  </r>
  <r>
    <x v="4"/>
    <x v="1"/>
    <x v="4"/>
    <x v="1"/>
    <x v="15"/>
    <x v="1"/>
    <x v="1"/>
    <n v="1.54"/>
    <n v="8119.08"/>
    <n v="26079.08"/>
    <x v="2"/>
  </r>
  <r>
    <x v="4"/>
    <x v="1"/>
    <x v="4"/>
    <x v="1"/>
    <x v="16"/>
    <x v="1"/>
    <x v="1"/>
    <n v="8.68"/>
    <n v="45762.09"/>
    <n v="139944.64000000001"/>
    <x v="2"/>
  </r>
  <r>
    <x v="4"/>
    <x v="1"/>
    <x v="4"/>
    <x v="1"/>
    <x v="17"/>
    <x v="1"/>
    <x v="1"/>
    <n v="5.0599999999999996"/>
    <n v="26676.98"/>
    <n v="82315.31"/>
    <x v="2"/>
  </r>
  <r>
    <x v="4"/>
    <x v="1"/>
    <x v="4"/>
    <x v="1"/>
    <x v="18"/>
    <x v="1"/>
    <x v="1"/>
    <n v="23.85"/>
    <n v="125740.3"/>
    <n v="406220.12"/>
    <x v="2"/>
  </r>
  <r>
    <x v="4"/>
    <x v="1"/>
    <x v="4"/>
    <x v="1"/>
    <x v="19"/>
    <x v="1"/>
    <x v="1"/>
    <n v="14.42"/>
    <n v="76024.11"/>
    <n v="238141.23"/>
    <x v="2"/>
  </r>
  <r>
    <x v="4"/>
    <x v="1"/>
    <x v="4"/>
    <x v="1"/>
    <x v="20"/>
    <x v="1"/>
    <x v="1"/>
    <n v="22.96"/>
    <n v="121048.1"/>
    <n v="372945.83"/>
    <x v="2"/>
  </r>
  <r>
    <x v="4"/>
    <x v="1"/>
    <x v="4"/>
    <x v="2"/>
    <x v="21"/>
    <x v="1"/>
    <x v="1"/>
    <n v="1.42"/>
    <n v="7486.42"/>
    <n v="21210.57"/>
    <x v="2"/>
  </r>
  <r>
    <x v="4"/>
    <x v="1"/>
    <x v="4"/>
    <x v="2"/>
    <x v="22"/>
    <x v="1"/>
    <x v="1"/>
    <n v="13.49"/>
    <n v="71121.03"/>
    <n v="201318.71"/>
    <x v="2"/>
  </r>
  <r>
    <x v="4"/>
    <x v="1"/>
    <x v="4"/>
    <x v="2"/>
    <x v="29"/>
    <x v="1"/>
    <x v="1"/>
    <n v="2.1"/>
    <n v="11071.47"/>
    <n v="33256.61"/>
    <x v="2"/>
  </r>
  <r>
    <x v="4"/>
    <x v="1"/>
    <x v="4"/>
    <x v="2"/>
    <x v="23"/>
    <x v="1"/>
    <x v="1"/>
    <n v="2.2400000000000002"/>
    <n v="11809.57"/>
    <n v="34759.11"/>
    <x v="2"/>
  </r>
  <r>
    <x v="4"/>
    <x v="1"/>
    <x v="4"/>
    <x v="2"/>
    <x v="24"/>
    <x v="1"/>
    <x v="1"/>
    <n v="3.58"/>
    <n v="18874.23"/>
    <n v="54352.44"/>
    <x v="2"/>
  </r>
  <r>
    <x v="4"/>
    <x v="1"/>
    <x v="4"/>
    <x v="3"/>
    <x v="25"/>
    <x v="1"/>
    <x v="1"/>
    <n v="8.2899999999999991"/>
    <n v="43705.96"/>
    <n v="139065.45000000001"/>
    <x v="2"/>
  </r>
  <r>
    <x v="4"/>
    <x v="1"/>
    <x v="4"/>
    <x v="3"/>
    <x v="26"/>
    <x v="1"/>
    <x v="1"/>
    <n v="19.350000000000001"/>
    <n v="102015.72"/>
    <n v="327214.45"/>
    <x v="2"/>
  </r>
  <r>
    <x v="4"/>
    <x v="1"/>
    <x v="4"/>
    <x v="3"/>
    <x v="27"/>
    <x v="1"/>
    <x v="1"/>
    <n v="23.34"/>
    <n v="123051.51"/>
    <n v="387139.87"/>
    <x v="2"/>
  </r>
  <r>
    <x v="4"/>
    <x v="1"/>
    <x v="5"/>
    <x v="0"/>
    <x v="0"/>
    <x v="0"/>
    <x v="0"/>
    <n v="2.0699999999999998"/>
    <n v="11585.6"/>
    <n v="47626.12"/>
    <x v="2"/>
  </r>
  <r>
    <x v="4"/>
    <x v="1"/>
    <x v="5"/>
    <x v="0"/>
    <x v="1"/>
    <x v="0"/>
    <x v="0"/>
    <n v="3.7"/>
    <n v="20708.57"/>
    <n v="84865.62"/>
    <x v="2"/>
  </r>
  <r>
    <x v="4"/>
    <x v="1"/>
    <x v="5"/>
    <x v="0"/>
    <x v="2"/>
    <x v="0"/>
    <x v="0"/>
    <n v="0"/>
    <n v="0"/>
    <n v="0"/>
    <x v="2"/>
  </r>
  <r>
    <x v="4"/>
    <x v="1"/>
    <x v="5"/>
    <x v="0"/>
    <x v="3"/>
    <x v="0"/>
    <x v="0"/>
    <n v="1.55"/>
    <n v="8675.2099999999991"/>
    <n v="35682.879999999997"/>
    <x v="2"/>
  </r>
  <r>
    <x v="4"/>
    <x v="1"/>
    <x v="5"/>
    <x v="0"/>
    <x v="4"/>
    <x v="0"/>
    <x v="0"/>
    <n v="0"/>
    <n v="0"/>
    <n v="0"/>
    <x v="2"/>
  </r>
  <r>
    <x v="4"/>
    <x v="1"/>
    <x v="5"/>
    <x v="0"/>
    <x v="5"/>
    <x v="0"/>
    <x v="0"/>
    <n v="0"/>
    <n v="0"/>
    <n v="0"/>
    <x v="2"/>
  </r>
  <r>
    <x v="4"/>
    <x v="1"/>
    <x v="5"/>
    <x v="0"/>
    <x v="6"/>
    <x v="0"/>
    <x v="0"/>
    <n v="0"/>
    <n v="0"/>
    <n v="0"/>
    <x v="2"/>
  </r>
  <r>
    <x v="4"/>
    <x v="1"/>
    <x v="5"/>
    <x v="0"/>
    <x v="8"/>
    <x v="0"/>
    <x v="0"/>
    <n v="0"/>
    <n v="0"/>
    <n v="0"/>
    <x v="2"/>
  </r>
  <r>
    <x v="4"/>
    <x v="1"/>
    <x v="5"/>
    <x v="1"/>
    <x v="10"/>
    <x v="0"/>
    <x v="0"/>
    <n v="1.45"/>
    <n v="8115.52"/>
    <n v="33267.65"/>
    <x v="2"/>
  </r>
  <r>
    <x v="4"/>
    <x v="1"/>
    <x v="5"/>
    <x v="1"/>
    <x v="11"/>
    <x v="0"/>
    <x v="0"/>
    <n v="0"/>
    <n v="0"/>
    <n v="0"/>
    <x v="2"/>
  </r>
  <r>
    <x v="4"/>
    <x v="1"/>
    <x v="5"/>
    <x v="1"/>
    <x v="13"/>
    <x v="0"/>
    <x v="0"/>
    <n v="0"/>
    <n v="0"/>
    <n v="0"/>
    <x v="2"/>
  </r>
  <r>
    <x v="4"/>
    <x v="1"/>
    <x v="5"/>
    <x v="1"/>
    <x v="14"/>
    <x v="0"/>
    <x v="0"/>
    <n v="0"/>
    <n v="0"/>
    <n v="0"/>
    <x v="2"/>
  </r>
  <r>
    <x v="4"/>
    <x v="1"/>
    <x v="5"/>
    <x v="1"/>
    <x v="16"/>
    <x v="0"/>
    <x v="0"/>
    <n v="0"/>
    <n v="0"/>
    <n v="0"/>
    <x v="2"/>
  </r>
  <r>
    <x v="4"/>
    <x v="1"/>
    <x v="5"/>
    <x v="1"/>
    <x v="17"/>
    <x v="0"/>
    <x v="0"/>
    <n v="0"/>
    <n v="0"/>
    <n v="0"/>
    <x v="2"/>
  </r>
  <r>
    <x v="4"/>
    <x v="1"/>
    <x v="5"/>
    <x v="1"/>
    <x v="18"/>
    <x v="0"/>
    <x v="0"/>
    <n v="0"/>
    <n v="0"/>
    <n v="0"/>
    <x v="2"/>
  </r>
  <r>
    <x v="4"/>
    <x v="1"/>
    <x v="5"/>
    <x v="1"/>
    <x v="19"/>
    <x v="0"/>
    <x v="0"/>
    <n v="0"/>
    <n v="0"/>
    <n v="0"/>
    <x v="2"/>
  </r>
  <r>
    <x v="4"/>
    <x v="1"/>
    <x v="5"/>
    <x v="1"/>
    <x v="20"/>
    <x v="0"/>
    <x v="0"/>
    <n v="1.74"/>
    <n v="9738.6200000000008"/>
    <n v="40001.65"/>
    <x v="2"/>
  </r>
  <r>
    <x v="4"/>
    <x v="1"/>
    <x v="5"/>
    <x v="2"/>
    <x v="21"/>
    <x v="0"/>
    <x v="0"/>
    <n v="2.0299999999999998"/>
    <n v="11361.73"/>
    <n v="46525.7"/>
    <x v="2"/>
  </r>
  <r>
    <x v="4"/>
    <x v="1"/>
    <x v="5"/>
    <x v="2"/>
    <x v="22"/>
    <x v="0"/>
    <x v="0"/>
    <n v="0"/>
    <n v="0"/>
    <n v="0"/>
    <x v="2"/>
  </r>
  <r>
    <x v="4"/>
    <x v="1"/>
    <x v="5"/>
    <x v="2"/>
    <x v="29"/>
    <x v="0"/>
    <x v="0"/>
    <n v="0"/>
    <n v="0"/>
    <n v="0"/>
    <x v="2"/>
  </r>
  <r>
    <x v="4"/>
    <x v="1"/>
    <x v="5"/>
    <x v="2"/>
    <x v="24"/>
    <x v="0"/>
    <x v="0"/>
    <n v="0"/>
    <n v="0"/>
    <n v="0"/>
    <x v="2"/>
  </r>
  <r>
    <x v="4"/>
    <x v="1"/>
    <x v="5"/>
    <x v="3"/>
    <x v="25"/>
    <x v="0"/>
    <x v="0"/>
    <n v="0"/>
    <n v="0"/>
    <n v="0"/>
    <x v="2"/>
  </r>
  <r>
    <x v="4"/>
    <x v="1"/>
    <x v="5"/>
    <x v="3"/>
    <x v="26"/>
    <x v="0"/>
    <x v="0"/>
    <n v="1.71"/>
    <n v="9570.7199999999993"/>
    <n v="39294.9"/>
    <x v="2"/>
  </r>
  <r>
    <x v="4"/>
    <x v="1"/>
    <x v="5"/>
    <x v="3"/>
    <x v="27"/>
    <x v="0"/>
    <x v="0"/>
    <n v="1.31"/>
    <n v="7331.95"/>
    <n v="30188.65"/>
    <x v="2"/>
  </r>
  <r>
    <x v="4"/>
    <x v="1"/>
    <x v="5"/>
    <x v="0"/>
    <x v="0"/>
    <x v="0"/>
    <x v="1"/>
    <n v="1.71"/>
    <n v="9570.7199999999993"/>
    <n v="39343.32"/>
    <x v="2"/>
  </r>
  <r>
    <x v="4"/>
    <x v="1"/>
    <x v="5"/>
    <x v="0"/>
    <x v="1"/>
    <x v="0"/>
    <x v="1"/>
    <n v="4.26"/>
    <n v="23842.84"/>
    <n v="97921.87"/>
    <x v="2"/>
  </r>
  <r>
    <x v="4"/>
    <x v="1"/>
    <x v="5"/>
    <x v="0"/>
    <x v="2"/>
    <x v="0"/>
    <x v="1"/>
    <n v="4.5199999999999996"/>
    <n v="25298.03"/>
    <n v="103801.64"/>
    <x v="2"/>
  </r>
  <r>
    <x v="4"/>
    <x v="1"/>
    <x v="5"/>
    <x v="0"/>
    <x v="3"/>
    <x v="0"/>
    <x v="1"/>
    <n v="5.67"/>
    <n v="31734.48"/>
    <n v="130137.55"/>
    <x v="2"/>
  </r>
  <r>
    <x v="4"/>
    <x v="1"/>
    <x v="5"/>
    <x v="0"/>
    <x v="4"/>
    <x v="0"/>
    <x v="1"/>
    <n v="0.44"/>
    <n v="2462.64"/>
    <n v="10128.74"/>
    <x v="2"/>
  </r>
  <r>
    <x v="4"/>
    <x v="1"/>
    <x v="5"/>
    <x v="0"/>
    <x v="5"/>
    <x v="0"/>
    <x v="1"/>
    <n v="3.34"/>
    <n v="18693.68"/>
    <n v="76701.77"/>
    <x v="2"/>
  </r>
  <r>
    <x v="4"/>
    <x v="1"/>
    <x v="5"/>
    <x v="0"/>
    <x v="6"/>
    <x v="0"/>
    <x v="1"/>
    <n v="1.39"/>
    <n v="7779.7"/>
    <n v="31937.37"/>
    <x v="2"/>
  </r>
  <r>
    <x v="4"/>
    <x v="1"/>
    <x v="5"/>
    <x v="0"/>
    <x v="8"/>
    <x v="0"/>
    <x v="1"/>
    <n v="2"/>
    <n v="11193.82"/>
    <n v="45998.3"/>
    <x v="2"/>
  </r>
  <r>
    <x v="4"/>
    <x v="1"/>
    <x v="5"/>
    <x v="1"/>
    <x v="10"/>
    <x v="0"/>
    <x v="1"/>
    <n v="3.17"/>
    <n v="17742.2"/>
    <n v="72772.990000000005"/>
    <x v="2"/>
  </r>
  <r>
    <x v="4"/>
    <x v="1"/>
    <x v="5"/>
    <x v="1"/>
    <x v="11"/>
    <x v="0"/>
    <x v="1"/>
    <n v="8.8800000000000008"/>
    <n v="49700.56"/>
    <n v="203860.35"/>
    <x v="2"/>
  </r>
  <r>
    <x v="4"/>
    <x v="1"/>
    <x v="5"/>
    <x v="1"/>
    <x v="13"/>
    <x v="0"/>
    <x v="1"/>
    <n v="2.06"/>
    <n v="11529.63"/>
    <n v="47224.92"/>
    <x v="2"/>
  </r>
  <r>
    <x v="4"/>
    <x v="1"/>
    <x v="5"/>
    <x v="1"/>
    <x v="14"/>
    <x v="0"/>
    <x v="1"/>
    <n v="1.22"/>
    <n v="6828.23"/>
    <n v="28011.97"/>
    <x v="2"/>
  </r>
  <r>
    <x v="4"/>
    <x v="1"/>
    <x v="5"/>
    <x v="1"/>
    <x v="16"/>
    <x v="0"/>
    <x v="1"/>
    <n v="2.29"/>
    <n v="12816.92"/>
    <n v="52656.43"/>
    <x v="2"/>
  </r>
  <r>
    <x v="4"/>
    <x v="1"/>
    <x v="5"/>
    <x v="1"/>
    <x v="17"/>
    <x v="0"/>
    <x v="1"/>
    <n v="1.76"/>
    <n v="9850.56"/>
    <n v="40441.15"/>
    <x v="2"/>
  </r>
  <r>
    <x v="4"/>
    <x v="1"/>
    <x v="5"/>
    <x v="1"/>
    <x v="18"/>
    <x v="0"/>
    <x v="1"/>
    <n v="10.5"/>
    <n v="58767.56"/>
    <n v="241180.81"/>
    <x v="2"/>
  </r>
  <r>
    <x v="4"/>
    <x v="1"/>
    <x v="5"/>
    <x v="1"/>
    <x v="19"/>
    <x v="0"/>
    <x v="1"/>
    <n v="4.3600000000000003"/>
    <n v="24402.53"/>
    <n v="100138.51"/>
    <x v="2"/>
  </r>
  <r>
    <x v="4"/>
    <x v="1"/>
    <x v="5"/>
    <x v="1"/>
    <x v="20"/>
    <x v="0"/>
    <x v="1"/>
    <n v="10.35"/>
    <n v="57928.02"/>
    <n v="237787.59"/>
    <x v="2"/>
  </r>
  <r>
    <x v="4"/>
    <x v="1"/>
    <x v="5"/>
    <x v="2"/>
    <x v="21"/>
    <x v="0"/>
    <x v="1"/>
    <n v="0"/>
    <n v="0"/>
    <n v="0"/>
    <x v="2"/>
  </r>
  <r>
    <x v="4"/>
    <x v="1"/>
    <x v="5"/>
    <x v="2"/>
    <x v="22"/>
    <x v="0"/>
    <x v="1"/>
    <n v="2.81"/>
    <n v="15727.32"/>
    <n v="64526.7"/>
    <x v="2"/>
  </r>
  <r>
    <x v="4"/>
    <x v="1"/>
    <x v="5"/>
    <x v="2"/>
    <x v="29"/>
    <x v="0"/>
    <x v="1"/>
    <n v="1.64"/>
    <n v="9178.93"/>
    <n v="37726.370000000003"/>
    <x v="2"/>
  </r>
  <r>
    <x v="4"/>
    <x v="1"/>
    <x v="5"/>
    <x v="2"/>
    <x v="24"/>
    <x v="0"/>
    <x v="1"/>
    <n v="2"/>
    <n v="11193.82"/>
    <n v="45882.58"/>
    <x v="2"/>
  </r>
  <r>
    <x v="4"/>
    <x v="1"/>
    <x v="5"/>
    <x v="3"/>
    <x v="25"/>
    <x v="0"/>
    <x v="1"/>
    <n v="1.38"/>
    <n v="7723.74"/>
    <n v="31751.27"/>
    <x v="2"/>
  </r>
  <r>
    <x v="4"/>
    <x v="1"/>
    <x v="5"/>
    <x v="3"/>
    <x v="26"/>
    <x v="0"/>
    <x v="1"/>
    <n v="1.44"/>
    <n v="8059.55"/>
    <n v="33090.449999999997"/>
    <x v="2"/>
  </r>
  <r>
    <x v="4"/>
    <x v="1"/>
    <x v="5"/>
    <x v="3"/>
    <x v="27"/>
    <x v="0"/>
    <x v="1"/>
    <n v="5.01"/>
    <n v="28040.52"/>
    <n v="115004.38"/>
    <x v="2"/>
  </r>
  <r>
    <x v="4"/>
    <x v="1"/>
    <x v="5"/>
    <x v="0"/>
    <x v="0"/>
    <x v="1"/>
    <x v="0"/>
    <n v="3.79"/>
    <n v="21212.29"/>
    <n v="56874.57"/>
    <x v="2"/>
  </r>
  <r>
    <x v="4"/>
    <x v="1"/>
    <x v="5"/>
    <x v="0"/>
    <x v="1"/>
    <x v="1"/>
    <x v="0"/>
    <n v="10.78"/>
    <n v="60334.69"/>
    <n v="159154.47"/>
    <x v="2"/>
  </r>
  <r>
    <x v="4"/>
    <x v="1"/>
    <x v="5"/>
    <x v="0"/>
    <x v="2"/>
    <x v="1"/>
    <x v="0"/>
    <n v="4.38"/>
    <n v="24514.47"/>
    <n v="62454.83"/>
    <x v="2"/>
  </r>
  <r>
    <x v="4"/>
    <x v="1"/>
    <x v="5"/>
    <x v="0"/>
    <x v="3"/>
    <x v="1"/>
    <x v="0"/>
    <n v="8.75"/>
    <n v="48972.959999999999"/>
    <n v="129766.11"/>
    <x v="2"/>
  </r>
  <r>
    <x v="4"/>
    <x v="1"/>
    <x v="5"/>
    <x v="0"/>
    <x v="28"/>
    <x v="1"/>
    <x v="0"/>
    <n v="0"/>
    <n v="0"/>
    <n v="0"/>
    <x v="2"/>
  </r>
  <r>
    <x v="4"/>
    <x v="1"/>
    <x v="5"/>
    <x v="0"/>
    <x v="4"/>
    <x v="1"/>
    <x v="0"/>
    <n v="3.9"/>
    <n v="21827.95"/>
    <n v="57331.22"/>
    <x v="2"/>
  </r>
  <r>
    <x v="4"/>
    <x v="1"/>
    <x v="5"/>
    <x v="0"/>
    <x v="5"/>
    <x v="1"/>
    <x v="0"/>
    <n v="2.69"/>
    <n v="15055.69"/>
    <n v="40704.11"/>
    <x v="2"/>
  </r>
  <r>
    <x v="4"/>
    <x v="1"/>
    <x v="5"/>
    <x v="0"/>
    <x v="6"/>
    <x v="1"/>
    <x v="0"/>
    <n v="0"/>
    <n v="0"/>
    <n v="0"/>
    <x v="2"/>
  </r>
  <r>
    <x v="4"/>
    <x v="1"/>
    <x v="5"/>
    <x v="0"/>
    <x v="7"/>
    <x v="1"/>
    <x v="0"/>
    <n v="0"/>
    <n v="0"/>
    <n v="0"/>
    <x v="2"/>
  </r>
  <r>
    <x v="4"/>
    <x v="1"/>
    <x v="5"/>
    <x v="0"/>
    <x v="8"/>
    <x v="1"/>
    <x v="0"/>
    <n v="0"/>
    <n v="0"/>
    <n v="0"/>
    <x v="2"/>
  </r>
  <r>
    <x v="4"/>
    <x v="1"/>
    <x v="5"/>
    <x v="1"/>
    <x v="30"/>
    <x v="1"/>
    <x v="0"/>
    <n v="1.64"/>
    <n v="9178.93"/>
    <n v="25877.73"/>
    <x v="2"/>
  </r>
  <r>
    <x v="4"/>
    <x v="1"/>
    <x v="5"/>
    <x v="1"/>
    <x v="9"/>
    <x v="1"/>
    <x v="0"/>
    <n v="0"/>
    <n v="0"/>
    <n v="0"/>
    <x v="2"/>
  </r>
  <r>
    <x v="4"/>
    <x v="1"/>
    <x v="5"/>
    <x v="1"/>
    <x v="31"/>
    <x v="1"/>
    <x v="0"/>
    <n v="3.17"/>
    <n v="17742.2"/>
    <n v="50667.1"/>
    <x v="2"/>
  </r>
  <r>
    <x v="4"/>
    <x v="1"/>
    <x v="5"/>
    <x v="1"/>
    <x v="10"/>
    <x v="1"/>
    <x v="0"/>
    <n v="6.2"/>
    <n v="34700.839999999997"/>
    <n v="97102.85"/>
    <x v="2"/>
  </r>
  <r>
    <x v="4"/>
    <x v="1"/>
    <x v="5"/>
    <x v="1"/>
    <x v="11"/>
    <x v="1"/>
    <x v="0"/>
    <n v="6.52"/>
    <n v="36491.85"/>
    <n v="97279.19"/>
    <x v="2"/>
  </r>
  <r>
    <x v="4"/>
    <x v="1"/>
    <x v="5"/>
    <x v="1"/>
    <x v="12"/>
    <x v="1"/>
    <x v="0"/>
    <n v="0.9"/>
    <n v="5037.22"/>
    <n v="14153.09"/>
    <x v="2"/>
  </r>
  <r>
    <x v="4"/>
    <x v="1"/>
    <x v="5"/>
    <x v="1"/>
    <x v="13"/>
    <x v="1"/>
    <x v="0"/>
    <n v="4.72"/>
    <n v="26417.42"/>
    <n v="73755.740000000005"/>
    <x v="2"/>
  </r>
  <r>
    <x v="4"/>
    <x v="1"/>
    <x v="5"/>
    <x v="1"/>
    <x v="14"/>
    <x v="1"/>
    <x v="0"/>
    <n v="10.83"/>
    <n v="60614.54"/>
    <n v="166060.04999999999"/>
    <x v="2"/>
  </r>
  <r>
    <x v="4"/>
    <x v="1"/>
    <x v="5"/>
    <x v="1"/>
    <x v="15"/>
    <x v="1"/>
    <x v="0"/>
    <n v="1.49"/>
    <n v="8339.4"/>
    <n v="23660.34"/>
    <x v="2"/>
  </r>
  <r>
    <x v="4"/>
    <x v="1"/>
    <x v="5"/>
    <x v="1"/>
    <x v="16"/>
    <x v="1"/>
    <x v="0"/>
    <n v="7.12"/>
    <n v="39850"/>
    <n v="107606.28"/>
    <x v="2"/>
  </r>
  <r>
    <x v="4"/>
    <x v="1"/>
    <x v="5"/>
    <x v="1"/>
    <x v="17"/>
    <x v="1"/>
    <x v="0"/>
    <n v="4.09"/>
    <n v="22891.360000000001"/>
    <n v="62372.41"/>
    <x v="2"/>
  </r>
  <r>
    <x v="4"/>
    <x v="1"/>
    <x v="5"/>
    <x v="1"/>
    <x v="18"/>
    <x v="1"/>
    <x v="0"/>
    <n v="6.21"/>
    <n v="34756.81"/>
    <n v="99070.82"/>
    <x v="2"/>
  </r>
  <r>
    <x v="4"/>
    <x v="1"/>
    <x v="5"/>
    <x v="1"/>
    <x v="19"/>
    <x v="1"/>
    <x v="0"/>
    <n v="11.01"/>
    <n v="61621.98"/>
    <n v="170445.17"/>
    <x v="2"/>
  </r>
  <r>
    <x v="4"/>
    <x v="1"/>
    <x v="5"/>
    <x v="1"/>
    <x v="20"/>
    <x v="1"/>
    <x v="0"/>
    <n v="9.1300000000000008"/>
    <n v="51099.79"/>
    <n v="138979.01"/>
    <x v="2"/>
  </r>
  <r>
    <x v="4"/>
    <x v="1"/>
    <x v="5"/>
    <x v="2"/>
    <x v="21"/>
    <x v="1"/>
    <x v="0"/>
    <n v="0"/>
    <n v="0"/>
    <n v="0"/>
    <x v="2"/>
  </r>
  <r>
    <x v="4"/>
    <x v="1"/>
    <x v="5"/>
    <x v="2"/>
    <x v="22"/>
    <x v="1"/>
    <x v="0"/>
    <n v="5.04"/>
    <n v="28208.43"/>
    <n v="70509.27"/>
    <x v="2"/>
  </r>
  <r>
    <x v="4"/>
    <x v="1"/>
    <x v="5"/>
    <x v="2"/>
    <x v="29"/>
    <x v="1"/>
    <x v="0"/>
    <n v="0"/>
    <n v="0"/>
    <n v="0"/>
    <x v="2"/>
  </r>
  <r>
    <x v="4"/>
    <x v="1"/>
    <x v="5"/>
    <x v="2"/>
    <x v="23"/>
    <x v="1"/>
    <x v="0"/>
    <n v="0"/>
    <n v="0"/>
    <n v="0"/>
    <x v="2"/>
  </r>
  <r>
    <x v="4"/>
    <x v="1"/>
    <x v="5"/>
    <x v="2"/>
    <x v="24"/>
    <x v="1"/>
    <x v="0"/>
    <n v="0.97"/>
    <n v="5429"/>
    <n v="13857.3"/>
    <x v="2"/>
  </r>
  <r>
    <x v="4"/>
    <x v="1"/>
    <x v="5"/>
    <x v="3"/>
    <x v="25"/>
    <x v="1"/>
    <x v="0"/>
    <n v="4.3"/>
    <n v="24066.71"/>
    <n v="67581.440000000002"/>
    <x v="2"/>
  </r>
  <r>
    <x v="4"/>
    <x v="1"/>
    <x v="5"/>
    <x v="3"/>
    <x v="26"/>
    <x v="1"/>
    <x v="0"/>
    <n v="4.62"/>
    <n v="25857.72"/>
    <n v="73139.850000000006"/>
    <x v="2"/>
  </r>
  <r>
    <x v="4"/>
    <x v="1"/>
    <x v="5"/>
    <x v="3"/>
    <x v="27"/>
    <x v="1"/>
    <x v="0"/>
    <n v="10.45"/>
    <n v="58487.71"/>
    <n v="162445.97"/>
    <x v="2"/>
  </r>
  <r>
    <x v="4"/>
    <x v="1"/>
    <x v="5"/>
    <x v="0"/>
    <x v="0"/>
    <x v="1"/>
    <x v="1"/>
    <n v="6.02"/>
    <n v="33693.4"/>
    <n v="90482.27"/>
    <x v="2"/>
  </r>
  <r>
    <x v="4"/>
    <x v="1"/>
    <x v="5"/>
    <x v="0"/>
    <x v="1"/>
    <x v="1"/>
    <x v="1"/>
    <n v="11.92"/>
    <n v="66715.17"/>
    <n v="176034.49"/>
    <x v="2"/>
  </r>
  <r>
    <x v="4"/>
    <x v="1"/>
    <x v="5"/>
    <x v="0"/>
    <x v="2"/>
    <x v="1"/>
    <x v="1"/>
    <n v="9.4499999999999993"/>
    <n v="52890.8"/>
    <n v="134706.5"/>
    <x v="2"/>
  </r>
  <r>
    <x v="4"/>
    <x v="1"/>
    <x v="5"/>
    <x v="0"/>
    <x v="3"/>
    <x v="1"/>
    <x v="1"/>
    <n v="19.87"/>
    <n v="111210.6"/>
    <n v="294702.48"/>
    <x v="2"/>
  </r>
  <r>
    <x v="4"/>
    <x v="1"/>
    <x v="5"/>
    <x v="0"/>
    <x v="28"/>
    <x v="1"/>
    <x v="1"/>
    <n v="4.13"/>
    <n v="23115.24"/>
    <n v="61961.5"/>
    <x v="2"/>
  </r>
  <r>
    <x v="4"/>
    <x v="1"/>
    <x v="5"/>
    <x v="0"/>
    <x v="4"/>
    <x v="1"/>
    <x v="1"/>
    <n v="5.46"/>
    <n v="30559.13"/>
    <n v="80263.710000000006"/>
    <x v="2"/>
  </r>
  <r>
    <x v="4"/>
    <x v="1"/>
    <x v="5"/>
    <x v="0"/>
    <x v="5"/>
    <x v="1"/>
    <x v="1"/>
    <n v="22.12"/>
    <n v="123803.65"/>
    <n v="334678.26"/>
    <x v="2"/>
  </r>
  <r>
    <x v="4"/>
    <x v="1"/>
    <x v="5"/>
    <x v="0"/>
    <x v="6"/>
    <x v="1"/>
    <x v="1"/>
    <n v="0.93"/>
    <n v="5205.13"/>
    <n v="14058.98"/>
    <x v="2"/>
  </r>
  <r>
    <x v="4"/>
    <x v="1"/>
    <x v="5"/>
    <x v="0"/>
    <x v="7"/>
    <x v="1"/>
    <x v="1"/>
    <n v="3.06"/>
    <n v="17126.54"/>
    <n v="46902.93"/>
    <x v="2"/>
  </r>
  <r>
    <x v="4"/>
    <x v="1"/>
    <x v="5"/>
    <x v="0"/>
    <x v="8"/>
    <x v="1"/>
    <x v="1"/>
    <n v="1.56"/>
    <n v="8731.18"/>
    <n v="22828.03"/>
    <x v="2"/>
  </r>
  <r>
    <x v="4"/>
    <x v="1"/>
    <x v="5"/>
    <x v="1"/>
    <x v="30"/>
    <x v="1"/>
    <x v="1"/>
    <n v="0"/>
    <n v="0"/>
    <n v="0"/>
    <x v="2"/>
  </r>
  <r>
    <x v="4"/>
    <x v="1"/>
    <x v="5"/>
    <x v="1"/>
    <x v="9"/>
    <x v="1"/>
    <x v="1"/>
    <n v="3.66"/>
    <n v="20484.689999999999"/>
    <n v="57776.19"/>
    <x v="2"/>
  </r>
  <r>
    <x v="4"/>
    <x v="1"/>
    <x v="5"/>
    <x v="1"/>
    <x v="31"/>
    <x v="1"/>
    <x v="1"/>
    <n v="0"/>
    <n v="0"/>
    <n v="0"/>
    <x v="2"/>
  </r>
  <r>
    <x v="4"/>
    <x v="1"/>
    <x v="5"/>
    <x v="1"/>
    <x v="10"/>
    <x v="1"/>
    <x v="1"/>
    <n v="24.54"/>
    <n v="137348.17000000001"/>
    <n v="384365.46"/>
    <x v="2"/>
  </r>
  <r>
    <x v="4"/>
    <x v="1"/>
    <x v="5"/>
    <x v="1"/>
    <x v="11"/>
    <x v="1"/>
    <x v="1"/>
    <n v="20.69"/>
    <n v="115800.07"/>
    <n v="308755.69"/>
    <x v="2"/>
  </r>
  <r>
    <x v="4"/>
    <x v="1"/>
    <x v="5"/>
    <x v="1"/>
    <x v="12"/>
    <x v="1"/>
    <x v="1"/>
    <n v="2.61"/>
    <n v="14607.94"/>
    <n v="41043.97"/>
    <x v="2"/>
  </r>
  <r>
    <x v="4"/>
    <x v="1"/>
    <x v="5"/>
    <x v="1"/>
    <x v="13"/>
    <x v="1"/>
    <x v="1"/>
    <n v="8.1300000000000008"/>
    <n v="45502.879999999997"/>
    <n v="127086.81"/>
    <x v="2"/>
  </r>
  <r>
    <x v="4"/>
    <x v="1"/>
    <x v="5"/>
    <x v="1"/>
    <x v="14"/>
    <x v="1"/>
    <x v="1"/>
    <n v="5.24"/>
    <n v="29327.81"/>
    <n v="80351.64"/>
    <x v="2"/>
  </r>
  <r>
    <x v="4"/>
    <x v="1"/>
    <x v="5"/>
    <x v="1"/>
    <x v="15"/>
    <x v="1"/>
    <x v="1"/>
    <n v="1.49"/>
    <n v="8339.4"/>
    <n v="23660.34"/>
    <x v="2"/>
  </r>
  <r>
    <x v="4"/>
    <x v="1"/>
    <x v="5"/>
    <x v="1"/>
    <x v="16"/>
    <x v="1"/>
    <x v="1"/>
    <n v="13.74"/>
    <n v="76901.539999999994"/>
    <n v="207661.23"/>
    <x v="2"/>
  </r>
  <r>
    <x v="4"/>
    <x v="1"/>
    <x v="5"/>
    <x v="1"/>
    <x v="17"/>
    <x v="1"/>
    <x v="1"/>
    <n v="3.56"/>
    <n v="19925"/>
    <n v="54236.88"/>
    <x v="2"/>
  </r>
  <r>
    <x v="4"/>
    <x v="1"/>
    <x v="5"/>
    <x v="1"/>
    <x v="18"/>
    <x v="1"/>
    <x v="1"/>
    <n v="24.74"/>
    <n v="138467.54999999999"/>
    <n v="394926.15"/>
    <x v="2"/>
  </r>
  <r>
    <x v="4"/>
    <x v="1"/>
    <x v="5"/>
    <x v="1"/>
    <x v="19"/>
    <x v="1"/>
    <x v="1"/>
    <n v="16.39"/>
    <n v="91733.35"/>
    <n v="253730.88"/>
    <x v="2"/>
  </r>
  <r>
    <x v="4"/>
    <x v="1"/>
    <x v="5"/>
    <x v="1"/>
    <x v="20"/>
    <x v="1"/>
    <x v="1"/>
    <n v="17.75"/>
    <n v="99345.15"/>
    <n v="270236.96999999997"/>
    <x v="2"/>
  </r>
  <r>
    <x v="4"/>
    <x v="1"/>
    <x v="5"/>
    <x v="2"/>
    <x v="21"/>
    <x v="1"/>
    <x v="1"/>
    <n v="1.97"/>
    <n v="11025.91"/>
    <n v="27607.09"/>
    <x v="2"/>
  </r>
  <r>
    <x v="4"/>
    <x v="1"/>
    <x v="5"/>
    <x v="2"/>
    <x v="22"/>
    <x v="1"/>
    <x v="1"/>
    <n v="10.59"/>
    <n v="59271.28"/>
    <n v="148069.46"/>
    <x v="2"/>
  </r>
  <r>
    <x v="4"/>
    <x v="1"/>
    <x v="5"/>
    <x v="2"/>
    <x v="29"/>
    <x v="1"/>
    <x v="1"/>
    <n v="6"/>
    <n v="33581.46"/>
    <n v="89164.74"/>
    <x v="2"/>
  </r>
  <r>
    <x v="4"/>
    <x v="1"/>
    <x v="5"/>
    <x v="2"/>
    <x v="23"/>
    <x v="1"/>
    <x v="1"/>
    <n v="1.89"/>
    <n v="10578.16"/>
    <n v="27520.74"/>
    <x v="2"/>
  </r>
  <r>
    <x v="4"/>
    <x v="1"/>
    <x v="5"/>
    <x v="2"/>
    <x v="24"/>
    <x v="1"/>
    <x v="1"/>
    <n v="1.5"/>
    <n v="8395.3700000000008"/>
    <n v="21415.83"/>
    <x v="2"/>
  </r>
  <r>
    <x v="4"/>
    <x v="1"/>
    <x v="5"/>
    <x v="3"/>
    <x v="25"/>
    <x v="1"/>
    <x v="1"/>
    <n v="7.63"/>
    <n v="42704.42"/>
    <n v="119991.54"/>
    <x v="2"/>
  </r>
  <r>
    <x v="4"/>
    <x v="1"/>
    <x v="5"/>
    <x v="3"/>
    <x v="26"/>
    <x v="1"/>
    <x v="1"/>
    <n v="11.15"/>
    <n v="62405.55"/>
    <n v="176639.63"/>
    <x v="2"/>
  </r>
  <r>
    <x v="4"/>
    <x v="1"/>
    <x v="5"/>
    <x v="3"/>
    <x v="27"/>
    <x v="1"/>
    <x v="1"/>
    <n v="27.58"/>
    <n v="154362.78"/>
    <n v="428750.84"/>
    <x v="2"/>
  </r>
  <r>
    <x v="4"/>
    <x v="1"/>
    <x v="6"/>
    <x v="0"/>
    <x v="0"/>
    <x v="0"/>
    <x v="0"/>
    <n v="2.06"/>
    <n v="5469.86"/>
    <n v="19258.509999999998"/>
    <x v="2"/>
  </r>
  <r>
    <x v="4"/>
    <x v="1"/>
    <x v="6"/>
    <x v="0"/>
    <x v="1"/>
    <x v="0"/>
    <x v="0"/>
    <n v="2.84"/>
    <n v="7540.97"/>
    <n v="26568.3"/>
    <x v="2"/>
  </r>
  <r>
    <x v="4"/>
    <x v="1"/>
    <x v="6"/>
    <x v="0"/>
    <x v="2"/>
    <x v="0"/>
    <x v="0"/>
    <n v="0"/>
    <n v="0"/>
    <n v="0"/>
    <x v="2"/>
  </r>
  <r>
    <x v="4"/>
    <x v="1"/>
    <x v="6"/>
    <x v="0"/>
    <x v="3"/>
    <x v="0"/>
    <x v="0"/>
    <n v="1.36"/>
    <n v="3611.17"/>
    <n v="12743.58"/>
    <x v="2"/>
  </r>
  <r>
    <x v="4"/>
    <x v="1"/>
    <x v="6"/>
    <x v="0"/>
    <x v="4"/>
    <x v="0"/>
    <x v="0"/>
    <n v="0"/>
    <n v="0"/>
    <n v="0"/>
    <x v="2"/>
  </r>
  <r>
    <x v="4"/>
    <x v="1"/>
    <x v="6"/>
    <x v="0"/>
    <x v="5"/>
    <x v="0"/>
    <x v="0"/>
    <n v="0"/>
    <n v="0"/>
    <n v="0"/>
    <x v="2"/>
  </r>
  <r>
    <x v="4"/>
    <x v="1"/>
    <x v="6"/>
    <x v="0"/>
    <x v="6"/>
    <x v="0"/>
    <x v="0"/>
    <n v="0"/>
    <n v="0"/>
    <n v="0"/>
    <x v="2"/>
  </r>
  <r>
    <x v="4"/>
    <x v="1"/>
    <x v="6"/>
    <x v="0"/>
    <x v="8"/>
    <x v="0"/>
    <x v="0"/>
    <n v="0"/>
    <n v="0"/>
    <n v="0"/>
    <x v="2"/>
  </r>
  <r>
    <x v="4"/>
    <x v="1"/>
    <x v="6"/>
    <x v="1"/>
    <x v="10"/>
    <x v="0"/>
    <x v="0"/>
    <n v="2.4500000000000002"/>
    <n v="6505.41"/>
    <n v="22923.23"/>
    <x v="2"/>
  </r>
  <r>
    <x v="4"/>
    <x v="1"/>
    <x v="6"/>
    <x v="1"/>
    <x v="11"/>
    <x v="0"/>
    <x v="0"/>
    <n v="0"/>
    <n v="0"/>
    <n v="0"/>
    <x v="2"/>
  </r>
  <r>
    <x v="4"/>
    <x v="1"/>
    <x v="6"/>
    <x v="1"/>
    <x v="13"/>
    <x v="0"/>
    <x v="0"/>
    <n v="0"/>
    <n v="0"/>
    <n v="0"/>
    <x v="2"/>
  </r>
  <r>
    <x v="4"/>
    <x v="1"/>
    <x v="6"/>
    <x v="1"/>
    <x v="14"/>
    <x v="0"/>
    <x v="0"/>
    <n v="0"/>
    <n v="0"/>
    <n v="0"/>
    <x v="2"/>
  </r>
  <r>
    <x v="4"/>
    <x v="1"/>
    <x v="6"/>
    <x v="1"/>
    <x v="16"/>
    <x v="0"/>
    <x v="0"/>
    <n v="0"/>
    <n v="0"/>
    <n v="0"/>
    <x v="2"/>
  </r>
  <r>
    <x v="4"/>
    <x v="1"/>
    <x v="6"/>
    <x v="1"/>
    <x v="17"/>
    <x v="0"/>
    <x v="0"/>
    <n v="0"/>
    <n v="0"/>
    <n v="0"/>
    <x v="2"/>
  </r>
  <r>
    <x v="4"/>
    <x v="1"/>
    <x v="6"/>
    <x v="1"/>
    <x v="18"/>
    <x v="0"/>
    <x v="0"/>
    <n v="0"/>
    <n v="0"/>
    <n v="0"/>
    <x v="2"/>
  </r>
  <r>
    <x v="4"/>
    <x v="1"/>
    <x v="6"/>
    <x v="1"/>
    <x v="19"/>
    <x v="0"/>
    <x v="0"/>
    <n v="0"/>
    <n v="0"/>
    <n v="0"/>
    <x v="2"/>
  </r>
  <r>
    <x v="4"/>
    <x v="1"/>
    <x v="6"/>
    <x v="1"/>
    <x v="20"/>
    <x v="0"/>
    <x v="0"/>
    <n v="1.28"/>
    <n v="3398.75"/>
    <n v="11985.88"/>
    <x v="2"/>
  </r>
  <r>
    <x v="4"/>
    <x v="1"/>
    <x v="6"/>
    <x v="2"/>
    <x v="21"/>
    <x v="0"/>
    <x v="0"/>
    <n v="1.23"/>
    <n v="3265.98"/>
    <n v="11509.34"/>
    <x v="2"/>
  </r>
  <r>
    <x v="4"/>
    <x v="1"/>
    <x v="6"/>
    <x v="2"/>
    <x v="22"/>
    <x v="0"/>
    <x v="0"/>
    <n v="0"/>
    <n v="0"/>
    <n v="0"/>
    <x v="2"/>
  </r>
  <r>
    <x v="4"/>
    <x v="1"/>
    <x v="6"/>
    <x v="2"/>
    <x v="29"/>
    <x v="0"/>
    <x v="0"/>
    <n v="0"/>
    <n v="0"/>
    <n v="0"/>
    <x v="2"/>
  </r>
  <r>
    <x v="4"/>
    <x v="1"/>
    <x v="6"/>
    <x v="2"/>
    <x v="24"/>
    <x v="0"/>
    <x v="0"/>
    <n v="0"/>
    <n v="0"/>
    <n v="0"/>
    <x v="2"/>
  </r>
  <r>
    <x v="4"/>
    <x v="1"/>
    <x v="6"/>
    <x v="3"/>
    <x v="25"/>
    <x v="0"/>
    <x v="0"/>
    <n v="0"/>
    <n v="0"/>
    <n v="0"/>
    <x v="2"/>
  </r>
  <r>
    <x v="4"/>
    <x v="1"/>
    <x v="6"/>
    <x v="3"/>
    <x v="26"/>
    <x v="0"/>
    <x v="0"/>
    <n v="1.43"/>
    <n v="3797.04"/>
    <n v="13374.12"/>
    <x v="2"/>
  </r>
  <r>
    <x v="4"/>
    <x v="1"/>
    <x v="6"/>
    <x v="3"/>
    <x v="27"/>
    <x v="0"/>
    <x v="0"/>
    <n v="1.45"/>
    <n v="3850.14"/>
    <n v="13544.68"/>
    <x v="2"/>
  </r>
  <r>
    <x v="4"/>
    <x v="1"/>
    <x v="6"/>
    <x v="0"/>
    <x v="0"/>
    <x v="0"/>
    <x v="1"/>
    <n v="1.61"/>
    <n v="4274.9799999999996"/>
    <n v="15071.88"/>
    <x v="2"/>
  </r>
  <r>
    <x v="4"/>
    <x v="1"/>
    <x v="6"/>
    <x v="0"/>
    <x v="1"/>
    <x v="0"/>
    <x v="1"/>
    <n v="5.94"/>
    <n v="15772.3"/>
    <n v="55601.69"/>
    <x v="2"/>
  </r>
  <r>
    <x v="4"/>
    <x v="1"/>
    <x v="6"/>
    <x v="0"/>
    <x v="2"/>
    <x v="0"/>
    <x v="1"/>
    <n v="1.95"/>
    <n v="5177.78"/>
    <n v="18249.27"/>
    <x v="2"/>
  </r>
  <r>
    <x v="4"/>
    <x v="1"/>
    <x v="6"/>
    <x v="0"/>
    <x v="3"/>
    <x v="0"/>
    <x v="1"/>
    <n v="5.44"/>
    <n v="14444.67"/>
    <n v="50974.34"/>
    <x v="2"/>
  </r>
  <r>
    <x v="4"/>
    <x v="1"/>
    <x v="6"/>
    <x v="0"/>
    <x v="4"/>
    <x v="0"/>
    <x v="1"/>
    <n v="1.85"/>
    <n v="4912.25"/>
    <n v="17358.61"/>
    <x v="2"/>
  </r>
  <r>
    <x v="4"/>
    <x v="1"/>
    <x v="6"/>
    <x v="0"/>
    <x v="5"/>
    <x v="0"/>
    <x v="1"/>
    <n v="3.49"/>
    <n v="9266.89"/>
    <n v="32662.45"/>
    <x v="2"/>
  </r>
  <r>
    <x v="4"/>
    <x v="1"/>
    <x v="6"/>
    <x v="0"/>
    <x v="6"/>
    <x v="0"/>
    <x v="1"/>
    <n v="1.72"/>
    <n v="4567.0600000000004"/>
    <n v="16105.79"/>
    <x v="2"/>
  </r>
  <r>
    <x v="4"/>
    <x v="1"/>
    <x v="6"/>
    <x v="0"/>
    <x v="8"/>
    <x v="0"/>
    <x v="1"/>
    <n v="2.6"/>
    <n v="6903.7"/>
    <n v="24335.66"/>
    <x v="2"/>
  </r>
  <r>
    <x v="4"/>
    <x v="1"/>
    <x v="6"/>
    <x v="1"/>
    <x v="10"/>
    <x v="0"/>
    <x v="1"/>
    <n v="3.44"/>
    <n v="9134.1299999999992"/>
    <n v="32262.32"/>
    <x v="2"/>
  </r>
  <r>
    <x v="4"/>
    <x v="1"/>
    <x v="6"/>
    <x v="1"/>
    <x v="11"/>
    <x v="0"/>
    <x v="1"/>
    <n v="11.35"/>
    <n v="30137.31"/>
    <n v="106282.55"/>
    <x v="2"/>
  </r>
  <r>
    <x v="4"/>
    <x v="1"/>
    <x v="6"/>
    <x v="1"/>
    <x v="13"/>
    <x v="0"/>
    <x v="1"/>
    <n v="3.56"/>
    <n v="9452.76"/>
    <n v="33303.199999999997"/>
    <x v="2"/>
  </r>
  <r>
    <x v="4"/>
    <x v="1"/>
    <x v="6"/>
    <x v="1"/>
    <x v="14"/>
    <x v="0"/>
    <x v="1"/>
    <n v="2.75"/>
    <n v="7301.99"/>
    <n v="25790.87"/>
    <x v="2"/>
  </r>
  <r>
    <x v="4"/>
    <x v="1"/>
    <x v="6"/>
    <x v="1"/>
    <x v="16"/>
    <x v="0"/>
    <x v="1"/>
    <n v="1.65"/>
    <n v="4381.2"/>
    <n v="15437.69"/>
    <x v="2"/>
  </r>
  <r>
    <x v="4"/>
    <x v="1"/>
    <x v="6"/>
    <x v="1"/>
    <x v="17"/>
    <x v="0"/>
    <x v="1"/>
    <n v="1.81"/>
    <n v="4806.04"/>
    <n v="16949.82"/>
    <x v="2"/>
  </r>
  <r>
    <x v="4"/>
    <x v="1"/>
    <x v="6"/>
    <x v="1"/>
    <x v="18"/>
    <x v="0"/>
    <x v="1"/>
    <n v="9.5"/>
    <n v="25225.07"/>
    <n v="89008.05"/>
    <x v="2"/>
  </r>
  <r>
    <x v="4"/>
    <x v="1"/>
    <x v="6"/>
    <x v="1"/>
    <x v="19"/>
    <x v="0"/>
    <x v="1"/>
    <n v="3.21"/>
    <n v="8523.42"/>
    <n v="30115.67"/>
    <x v="2"/>
  </r>
  <r>
    <x v="4"/>
    <x v="1"/>
    <x v="6"/>
    <x v="1"/>
    <x v="20"/>
    <x v="0"/>
    <x v="1"/>
    <n v="8.0399999999999991"/>
    <n v="21348.37"/>
    <n v="75339.839999999997"/>
    <x v="2"/>
  </r>
  <r>
    <x v="4"/>
    <x v="1"/>
    <x v="6"/>
    <x v="2"/>
    <x v="21"/>
    <x v="0"/>
    <x v="1"/>
    <n v="0"/>
    <n v="0"/>
    <n v="0"/>
    <x v="2"/>
  </r>
  <r>
    <x v="4"/>
    <x v="1"/>
    <x v="6"/>
    <x v="2"/>
    <x v="22"/>
    <x v="0"/>
    <x v="1"/>
    <n v="2.62"/>
    <n v="6956.81"/>
    <n v="24528.82"/>
    <x v="2"/>
  </r>
  <r>
    <x v="4"/>
    <x v="1"/>
    <x v="6"/>
    <x v="2"/>
    <x v="29"/>
    <x v="0"/>
    <x v="1"/>
    <n v="1.1599999999999999"/>
    <n v="3080.11"/>
    <n v="10838.24"/>
    <x v="2"/>
  </r>
  <r>
    <x v="4"/>
    <x v="1"/>
    <x v="6"/>
    <x v="2"/>
    <x v="24"/>
    <x v="0"/>
    <x v="1"/>
    <n v="1.3"/>
    <n v="3451.85"/>
    <n v="12173.84"/>
    <x v="2"/>
  </r>
  <r>
    <x v="4"/>
    <x v="1"/>
    <x v="6"/>
    <x v="3"/>
    <x v="25"/>
    <x v="0"/>
    <x v="1"/>
    <n v="3.65"/>
    <n v="9691.74"/>
    <n v="34153.440000000002"/>
    <x v="2"/>
  </r>
  <r>
    <x v="4"/>
    <x v="1"/>
    <x v="6"/>
    <x v="3"/>
    <x v="26"/>
    <x v="0"/>
    <x v="1"/>
    <n v="0.98"/>
    <n v="2602.16"/>
    <n v="9194.7099999999991"/>
    <x v="2"/>
  </r>
  <r>
    <x v="4"/>
    <x v="1"/>
    <x v="6"/>
    <x v="3"/>
    <x v="27"/>
    <x v="0"/>
    <x v="1"/>
    <n v="7.14"/>
    <n v="18958.63"/>
    <n v="66876.84"/>
    <x v="2"/>
  </r>
  <r>
    <x v="4"/>
    <x v="1"/>
    <x v="6"/>
    <x v="0"/>
    <x v="0"/>
    <x v="1"/>
    <x v="0"/>
    <n v="4.0599999999999996"/>
    <n v="10780.4"/>
    <n v="24853.06"/>
    <x v="2"/>
  </r>
  <r>
    <x v="4"/>
    <x v="1"/>
    <x v="6"/>
    <x v="0"/>
    <x v="1"/>
    <x v="1"/>
    <x v="0"/>
    <n v="11"/>
    <n v="29207.97"/>
    <n v="66226.759999999995"/>
    <x v="2"/>
  </r>
  <r>
    <x v="4"/>
    <x v="1"/>
    <x v="6"/>
    <x v="0"/>
    <x v="2"/>
    <x v="1"/>
    <x v="0"/>
    <n v="2.85"/>
    <n v="7567.52"/>
    <n v="16588.34"/>
    <x v="2"/>
  </r>
  <r>
    <x v="4"/>
    <x v="1"/>
    <x v="6"/>
    <x v="0"/>
    <x v="3"/>
    <x v="1"/>
    <x v="0"/>
    <n v="9.94"/>
    <n v="26393.38"/>
    <n v="60120.959999999999"/>
    <x v="2"/>
  </r>
  <r>
    <x v="4"/>
    <x v="1"/>
    <x v="6"/>
    <x v="0"/>
    <x v="28"/>
    <x v="1"/>
    <x v="0"/>
    <n v="0"/>
    <n v="0"/>
    <n v="0"/>
    <x v="2"/>
  </r>
  <r>
    <x v="4"/>
    <x v="1"/>
    <x v="6"/>
    <x v="0"/>
    <x v="4"/>
    <x v="1"/>
    <x v="0"/>
    <n v="6.79"/>
    <n v="18029.28"/>
    <n v="40697.68"/>
    <x v="2"/>
  </r>
  <r>
    <x v="4"/>
    <x v="1"/>
    <x v="6"/>
    <x v="0"/>
    <x v="5"/>
    <x v="1"/>
    <x v="0"/>
    <n v="2.69"/>
    <n v="7142.68"/>
    <n v="16592.54"/>
    <x v="2"/>
  </r>
  <r>
    <x v="4"/>
    <x v="1"/>
    <x v="6"/>
    <x v="0"/>
    <x v="6"/>
    <x v="1"/>
    <x v="0"/>
    <n v="0"/>
    <n v="0"/>
    <n v="0"/>
    <x v="2"/>
  </r>
  <r>
    <x v="4"/>
    <x v="1"/>
    <x v="6"/>
    <x v="0"/>
    <x v="7"/>
    <x v="1"/>
    <x v="0"/>
    <n v="0"/>
    <n v="0"/>
    <n v="0"/>
    <x v="2"/>
  </r>
  <r>
    <x v="4"/>
    <x v="1"/>
    <x v="6"/>
    <x v="0"/>
    <x v="8"/>
    <x v="1"/>
    <x v="0"/>
    <n v="0"/>
    <n v="0"/>
    <n v="0"/>
    <x v="2"/>
  </r>
  <r>
    <x v="4"/>
    <x v="1"/>
    <x v="6"/>
    <x v="1"/>
    <x v="30"/>
    <x v="1"/>
    <x v="0"/>
    <n v="1.1299999999999999"/>
    <n v="3000.46"/>
    <n v="7261.21"/>
    <x v="2"/>
  </r>
  <r>
    <x v="4"/>
    <x v="1"/>
    <x v="6"/>
    <x v="1"/>
    <x v="9"/>
    <x v="1"/>
    <x v="0"/>
    <n v="0"/>
    <n v="0"/>
    <n v="0"/>
    <x v="2"/>
  </r>
  <r>
    <x v="4"/>
    <x v="1"/>
    <x v="6"/>
    <x v="1"/>
    <x v="31"/>
    <x v="1"/>
    <x v="0"/>
    <n v="0.83"/>
    <n v="2203.87"/>
    <n v="5410.33"/>
    <x v="2"/>
  </r>
  <r>
    <x v="4"/>
    <x v="1"/>
    <x v="6"/>
    <x v="1"/>
    <x v="10"/>
    <x v="1"/>
    <x v="0"/>
    <n v="9.32"/>
    <n v="24747.119999999999"/>
    <n v="59539.07"/>
    <x v="2"/>
  </r>
  <r>
    <x v="4"/>
    <x v="1"/>
    <x v="6"/>
    <x v="1"/>
    <x v="11"/>
    <x v="1"/>
    <x v="0"/>
    <n v="6.92"/>
    <n v="18374.47"/>
    <n v="42111.77"/>
    <x v="2"/>
  </r>
  <r>
    <x v="4"/>
    <x v="1"/>
    <x v="6"/>
    <x v="1"/>
    <x v="12"/>
    <x v="1"/>
    <x v="0"/>
    <n v="1.82"/>
    <n v="4832.59"/>
    <n v="11630.16"/>
    <x v="2"/>
  </r>
  <r>
    <x v="4"/>
    <x v="1"/>
    <x v="6"/>
    <x v="1"/>
    <x v="13"/>
    <x v="1"/>
    <x v="0"/>
    <n v="1.45"/>
    <n v="3850.14"/>
    <n v="9252.8799999999992"/>
    <x v="2"/>
  </r>
  <r>
    <x v="4"/>
    <x v="1"/>
    <x v="6"/>
    <x v="1"/>
    <x v="14"/>
    <x v="1"/>
    <x v="0"/>
    <n v="9.99"/>
    <n v="26526.15"/>
    <n v="62537.62"/>
    <x v="2"/>
  </r>
  <r>
    <x v="4"/>
    <x v="1"/>
    <x v="6"/>
    <x v="1"/>
    <x v="15"/>
    <x v="1"/>
    <x v="0"/>
    <n v="2.1"/>
    <n v="5576.07"/>
    <n v="13607.46"/>
    <x v="2"/>
  </r>
  <r>
    <x v="4"/>
    <x v="1"/>
    <x v="6"/>
    <x v="1"/>
    <x v="16"/>
    <x v="1"/>
    <x v="0"/>
    <n v="3.94"/>
    <n v="10461.76"/>
    <n v="24283.46"/>
    <x v="2"/>
  </r>
  <r>
    <x v="4"/>
    <x v="1"/>
    <x v="6"/>
    <x v="1"/>
    <x v="17"/>
    <x v="1"/>
    <x v="0"/>
    <n v="4.05"/>
    <n v="10753.84"/>
    <n v="25203"/>
    <x v="2"/>
  </r>
  <r>
    <x v="4"/>
    <x v="1"/>
    <x v="6"/>
    <x v="1"/>
    <x v="18"/>
    <x v="1"/>
    <x v="0"/>
    <n v="2.8"/>
    <n v="7434.76"/>
    <n v="18216.88"/>
    <x v="2"/>
  </r>
  <r>
    <x v="4"/>
    <x v="1"/>
    <x v="6"/>
    <x v="1"/>
    <x v="19"/>
    <x v="1"/>
    <x v="0"/>
    <n v="8.68"/>
    <n v="23047.74"/>
    <n v="54780.32"/>
    <x v="2"/>
  </r>
  <r>
    <x v="4"/>
    <x v="1"/>
    <x v="6"/>
    <x v="1"/>
    <x v="20"/>
    <x v="1"/>
    <x v="0"/>
    <n v="9.99"/>
    <n v="26526.15"/>
    <n v="62058.23"/>
    <x v="2"/>
  </r>
  <r>
    <x v="4"/>
    <x v="1"/>
    <x v="6"/>
    <x v="2"/>
    <x v="21"/>
    <x v="1"/>
    <x v="0"/>
    <n v="0"/>
    <n v="0"/>
    <n v="0"/>
    <x v="2"/>
  </r>
  <r>
    <x v="4"/>
    <x v="1"/>
    <x v="6"/>
    <x v="2"/>
    <x v="22"/>
    <x v="1"/>
    <x v="0"/>
    <n v="4.5"/>
    <n v="11948.72"/>
    <n v="25642.67"/>
    <x v="2"/>
  </r>
  <r>
    <x v="4"/>
    <x v="1"/>
    <x v="6"/>
    <x v="2"/>
    <x v="29"/>
    <x v="1"/>
    <x v="0"/>
    <n v="0"/>
    <n v="0"/>
    <n v="0"/>
    <x v="2"/>
  </r>
  <r>
    <x v="4"/>
    <x v="1"/>
    <x v="6"/>
    <x v="2"/>
    <x v="23"/>
    <x v="1"/>
    <x v="0"/>
    <n v="0"/>
    <n v="0"/>
    <n v="0"/>
    <x v="2"/>
  </r>
  <r>
    <x v="4"/>
    <x v="1"/>
    <x v="6"/>
    <x v="2"/>
    <x v="24"/>
    <x v="1"/>
    <x v="0"/>
    <n v="2.0499999999999998"/>
    <n v="5443.3"/>
    <n v="11900.86"/>
    <x v="2"/>
  </r>
  <r>
    <x v="4"/>
    <x v="1"/>
    <x v="6"/>
    <x v="3"/>
    <x v="25"/>
    <x v="1"/>
    <x v="0"/>
    <n v="4.17"/>
    <n v="11072.48"/>
    <n v="26729.01"/>
    <x v="2"/>
  </r>
  <r>
    <x v="4"/>
    <x v="1"/>
    <x v="6"/>
    <x v="3"/>
    <x v="26"/>
    <x v="1"/>
    <x v="0"/>
    <n v="2.71"/>
    <n v="7195.78"/>
    <n v="17535.93"/>
    <x v="2"/>
  </r>
  <r>
    <x v="4"/>
    <x v="1"/>
    <x v="6"/>
    <x v="3"/>
    <x v="27"/>
    <x v="1"/>
    <x v="0"/>
    <n v="9.19"/>
    <n v="24401.93"/>
    <n v="58306.14"/>
    <x v="2"/>
  </r>
  <r>
    <x v="4"/>
    <x v="1"/>
    <x v="6"/>
    <x v="0"/>
    <x v="0"/>
    <x v="1"/>
    <x v="1"/>
    <n v="5.83"/>
    <n v="15480.22"/>
    <n v="35726.28"/>
    <x v="2"/>
  </r>
  <r>
    <x v="4"/>
    <x v="1"/>
    <x v="6"/>
    <x v="0"/>
    <x v="1"/>
    <x v="1"/>
    <x v="1"/>
    <n v="19.649999999999999"/>
    <n v="52176.06"/>
    <n v="118331.63"/>
    <x v="2"/>
  </r>
  <r>
    <x v="4"/>
    <x v="1"/>
    <x v="6"/>
    <x v="0"/>
    <x v="2"/>
    <x v="1"/>
    <x v="1"/>
    <n v="11.67"/>
    <n v="30987"/>
    <n v="67861.39"/>
    <x v="2"/>
  </r>
  <r>
    <x v="4"/>
    <x v="1"/>
    <x v="6"/>
    <x v="0"/>
    <x v="3"/>
    <x v="1"/>
    <x v="1"/>
    <n v="21.93"/>
    <n v="58230.07"/>
    <n v="132680.74"/>
    <x v="2"/>
  </r>
  <r>
    <x v="4"/>
    <x v="1"/>
    <x v="6"/>
    <x v="0"/>
    <x v="28"/>
    <x v="1"/>
    <x v="1"/>
    <n v="5.04"/>
    <n v="13382.56"/>
    <n v="30881.58"/>
    <x v="2"/>
  </r>
  <r>
    <x v="4"/>
    <x v="1"/>
    <x v="6"/>
    <x v="0"/>
    <x v="4"/>
    <x v="1"/>
    <x v="1"/>
    <n v="13.33"/>
    <n v="35394.75"/>
    <n v="79888.03"/>
    <x v="2"/>
  </r>
  <r>
    <x v="4"/>
    <x v="1"/>
    <x v="6"/>
    <x v="0"/>
    <x v="5"/>
    <x v="1"/>
    <x v="1"/>
    <n v="14.65"/>
    <n v="38899.71"/>
    <n v="90456.11"/>
    <x v="2"/>
  </r>
  <r>
    <x v="4"/>
    <x v="1"/>
    <x v="6"/>
    <x v="0"/>
    <x v="6"/>
    <x v="1"/>
    <x v="1"/>
    <n v="2.09"/>
    <n v="5549.51"/>
    <n v="12854.54"/>
    <x v="2"/>
  </r>
  <r>
    <x v="4"/>
    <x v="1"/>
    <x v="6"/>
    <x v="0"/>
    <x v="7"/>
    <x v="1"/>
    <x v="1"/>
    <n v="2.2799999999999998"/>
    <n v="6054.02"/>
    <n v="14284.57"/>
    <x v="2"/>
  </r>
  <r>
    <x v="4"/>
    <x v="1"/>
    <x v="6"/>
    <x v="0"/>
    <x v="8"/>
    <x v="1"/>
    <x v="1"/>
    <n v="3.75"/>
    <n v="9957.26"/>
    <n v="22373.51"/>
    <x v="2"/>
  </r>
  <r>
    <x v="4"/>
    <x v="1"/>
    <x v="6"/>
    <x v="1"/>
    <x v="30"/>
    <x v="1"/>
    <x v="1"/>
    <n v="0"/>
    <n v="0"/>
    <n v="0"/>
    <x v="2"/>
  </r>
  <r>
    <x v="4"/>
    <x v="1"/>
    <x v="6"/>
    <x v="1"/>
    <x v="9"/>
    <x v="1"/>
    <x v="1"/>
    <n v="4.22"/>
    <n v="11205.24"/>
    <n v="27199.64"/>
    <x v="2"/>
  </r>
  <r>
    <x v="4"/>
    <x v="1"/>
    <x v="6"/>
    <x v="1"/>
    <x v="31"/>
    <x v="1"/>
    <x v="1"/>
    <n v="0"/>
    <n v="0"/>
    <n v="0"/>
    <x v="2"/>
  </r>
  <r>
    <x v="4"/>
    <x v="1"/>
    <x v="6"/>
    <x v="1"/>
    <x v="10"/>
    <x v="1"/>
    <x v="1"/>
    <n v="23.26"/>
    <n v="61761.58"/>
    <n v="148574.54999999999"/>
    <x v="2"/>
  </r>
  <r>
    <x v="4"/>
    <x v="1"/>
    <x v="6"/>
    <x v="1"/>
    <x v="11"/>
    <x v="1"/>
    <x v="1"/>
    <n v="23.57"/>
    <n v="62584.71"/>
    <n v="143491.97"/>
    <x v="2"/>
  </r>
  <r>
    <x v="4"/>
    <x v="1"/>
    <x v="6"/>
    <x v="1"/>
    <x v="12"/>
    <x v="1"/>
    <x v="1"/>
    <n v="1.72"/>
    <n v="4567.0600000000004"/>
    <n v="11018.05"/>
    <x v="2"/>
  </r>
  <r>
    <x v="4"/>
    <x v="1"/>
    <x v="6"/>
    <x v="1"/>
    <x v="13"/>
    <x v="1"/>
    <x v="1"/>
    <n v="12.12"/>
    <n v="32181.87"/>
    <n v="77288.77"/>
    <x v="2"/>
  </r>
  <r>
    <x v="4"/>
    <x v="1"/>
    <x v="6"/>
    <x v="1"/>
    <x v="14"/>
    <x v="1"/>
    <x v="1"/>
    <n v="7.75"/>
    <n v="20578.34"/>
    <n v="48520.57"/>
    <x v="2"/>
  </r>
  <r>
    <x v="4"/>
    <x v="1"/>
    <x v="6"/>
    <x v="1"/>
    <x v="15"/>
    <x v="1"/>
    <x v="1"/>
    <n v="1.66"/>
    <n v="4407.75"/>
    <n v="10772.57"/>
    <x v="2"/>
  </r>
  <r>
    <x v="4"/>
    <x v="1"/>
    <x v="6"/>
    <x v="1"/>
    <x v="16"/>
    <x v="1"/>
    <x v="1"/>
    <n v="8.48"/>
    <n v="22516.69"/>
    <n v="52262.23"/>
    <x v="2"/>
  </r>
  <r>
    <x v="4"/>
    <x v="1"/>
    <x v="6"/>
    <x v="1"/>
    <x v="17"/>
    <x v="1"/>
    <x v="1"/>
    <n v="3.45"/>
    <n v="9160.68"/>
    <n v="21449.360000000001"/>
    <x v="2"/>
  </r>
  <r>
    <x v="4"/>
    <x v="1"/>
    <x v="6"/>
    <x v="1"/>
    <x v="18"/>
    <x v="1"/>
    <x v="1"/>
    <n v="10.33"/>
    <n v="27428.94"/>
    <n v="67241.73"/>
    <x v="2"/>
  </r>
  <r>
    <x v="4"/>
    <x v="1"/>
    <x v="6"/>
    <x v="1"/>
    <x v="19"/>
    <x v="1"/>
    <x v="1"/>
    <n v="14.17"/>
    <n v="37625.18"/>
    <n v="89492.6"/>
    <x v="2"/>
  </r>
  <r>
    <x v="4"/>
    <x v="1"/>
    <x v="6"/>
    <x v="1"/>
    <x v="20"/>
    <x v="1"/>
    <x v="1"/>
    <n v="21.69"/>
    <n v="57592.81"/>
    <n v="134724.70000000001"/>
    <x v="2"/>
  </r>
  <r>
    <x v="4"/>
    <x v="1"/>
    <x v="6"/>
    <x v="2"/>
    <x v="21"/>
    <x v="1"/>
    <x v="1"/>
    <n v="1.87"/>
    <n v="4965.3500000000004"/>
    <n v="10648.44"/>
    <x v="2"/>
  </r>
  <r>
    <x v="4"/>
    <x v="1"/>
    <x v="6"/>
    <x v="2"/>
    <x v="22"/>
    <x v="1"/>
    <x v="1"/>
    <n v="9.7799999999999994"/>
    <n v="25968.54"/>
    <n v="55810.51"/>
    <x v="2"/>
  </r>
  <r>
    <x v="4"/>
    <x v="1"/>
    <x v="6"/>
    <x v="2"/>
    <x v="29"/>
    <x v="1"/>
    <x v="1"/>
    <n v="2.4900000000000002"/>
    <n v="6611.62"/>
    <n v="15062.01"/>
    <x v="2"/>
  </r>
  <r>
    <x v="4"/>
    <x v="1"/>
    <x v="6"/>
    <x v="2"/>
    <x v="23"/>
    <x v="1"/>
    <x v="1"/>
    <n v="1.44"/>
    <n v="3823.59"/>
    <n v="8540.49"/>
    <x v="2"/>
  </r>
  <r>
    <x v="4"/>
    <x v="1"/>
    <x v="6"/>
    <x v="2"/>
    <x v="24"/>
    <x v="1"/>
    <x v="1"/>
    <n v="1.28"/>
    <n v="3398.75"/>
    <n v="7438.04"/>
    <x v="2"/>
  </r>
  <r>
    <x v="4"/>
    <x v="1"/>
    <x v="6"/>
    <x v="3"/>
    <x v="25"/>
    <x v="1"/>
    <x v="1"/>
    <n v="7.89"/>
    <n v="20950.080000000002"/>
    <n v="50614.5"/>
    <x v="2"/>
  </r>
  <r>
    <x v="4"/>
    <x v="1"/>
    <x v="6"/>
    <x v="3"/>
    <x v="26"/>
    <x v="1"/>
    <x v="1"/>
    <n v="13.48"/>
    <n v="35793.040000000001"/>
    <n v="87113.96"/>
    <x v="2"/>
  </r>
  <r>
    <x v="4"/>
    <x v="1"/>
    <x v="6"/>
    <x v="3"/>
    <x v="27"/>
    <x v="1"/>
    <x v="1"/>
    <n v="27.15"/>
    <n v="72090.58"/>
    <n v="172168.12"/>
    <x v="2"/>
  </r>
  <r>
    <x v="4"/>
    <x v="1"/>
    <x v="7"/>
    <x v="0"/>
    <x v="0"/>
    <x v="0"/>
    <x v="0"/>
    <n v="1.95"/>
    <n v="9260.0400000000009"/>
    <n v="36114.410000000003"/>
    <x v="2"/>
  </r>
  <r>
    <x v="4"/>
    <x v="1"/>
    <x v="7"/>
    <x v="0"/>
    <x v="1"/>
    <x v="0"/>
    <x v="0"/>
    <n v="3.18"/>
    <n v="15100.99"/>
    <n v="58979.63"/>
    <x v="2"/>
  </r>
  <r>
    <x v="4"/>
    <x v="1"/>
    <x v="7"/>
    <x v="0"/>
    <x v="2"/>
    <x v="0"/>
    <x v="0"/>
    <n v="0"/>
    <n v="0"/>
    <n v="0"/>
    <x v="2"/>
  </r>
  <r>
    <x v="4"/>
    <x v="1"/>
    <x v="7"/>
    <x v="0"/>
    <x v="3"/>
    <x v="0"/>
    <x v="0"/>
    <n v="1.59"/>
    <n v="7550.5"/>
    <n v="29543.23"/>
    <x v="2"/>
  </r>
  <r>
    <x v="4"/>
    <x v="1"/>
    <x v="7"/>
    <x v="0"/>
    <x v="4"/>
    <x v="0"/>
    <x v="0"/>
    <n v="0"/>
    <n v="0"/>
    <n v="0"/>
    <x v="2"/>
  </r>
  <r>
    <x v="4"/>
    <x v="1"/>
    <x v="7"/>
    <x v="0"/>
    <x v="5"/>
    <x v="0"/>
    <x v="0"/>
    <n v="0"/>
    <n v="0"/>
    <n v="0"/>
    <x v="2"/>
  </r>
  <r>
    <x v="4"/>
    <x v="1"/>
    <x v="7"/>
    <x v="0"/>
    <x v="6"/>
    <x v="0"/>
    <x v="0"/>
    <n v="0"/>
    <n v="0"/>
    <n v="0"/>
    <x v="2"/>
  </r>
  <r>
    <x v="4"/>
    <x v="1"/>
    <x v="7"/>
    <x v="0"/>
    <x v="8"/>
    <x v="0"/>
    <x v="0"/>
    <n v="0"/>
    <n v="0"/>
    <n v="0"/>
    <x v="2"/>
  </r>
  <r>
    <x v="4"/>
    <x v="1"/>
    <x v="7"/>
    <x v="1"/>
    <x v="10"/>
    <x v="0"/>
    <x v="0"/>
    <n v="0.91"/>
    <n v="4321.3500000000004"/>
    <n v="16869.75"/>
    <x v="2"/>
  </r>
  <r>
    <x v="4"/>
    <x v="1"/>
    <x v="7"/>
    <x v="1"/>
    <x v="11"/>
    <x v="0"/>
    <x v="0"/>
    <n v="0"/>
    <n v="0"/>
    <n v="0"/>
    <x v="2"/>
  </r>
  <r>
    <x v="4"/>
    <x v="1"/>
    <x v="7"/>
    <x v="1"/>
    <x v="13"/>
    <x v="0"/>
    <x v="0"/>
    <n v="0"/>
    <n v="0"/>
    <n v="0"/>
    <x v="2"/>
  </r>
  <r>
    <x v="4"/>
    <x v="1"/>
    <x v="7"/>
    <x v="1"/>
    <x v="14"/>
    <x v="0"/>
    <x v="0"/>
    <n v="0"/>
    <n v="0"/>
    <n v="0"/>
    <x v="2"/>
  </r>
  <r>
    <x v="4"/>
    <x v="1"/>
    <x v="7"/>
    <x v="1"/>
    <x v="16"/>
    <x v="0"/>
    <x v="0"/>
    <n v="0"/>
    <n v="0"/>
    <n v="0"/>
    <x v="2"/>
  </r>
  <r>
    <x v="4"/>
    <x v="1"/>
    <x v="7"/>
    <x v="1"/>
    <x v="17"/>
    <x v="0"/>
    <x v="0"/>
    <n v="0"/>
    <n v="0"/>
    <n v="0"/>
    <x v="2"/>
  </r>
  <r>
    <x v="4"/>
    <x v="1"/>
    <x v="7"/>
    <x v="1"/>
    <x v="18"/>
    <x v="0"/>
    <x v="0"/>
    <n v="0"/>
    <n v="0"/>
    <n v="0"/>
    <x v="2"/>
  </r>
  <r>
    <x v="4"/>
    <x v="1"/>
    <x v="7"/>
    <x v="1"/>
    <x v="19"/>
    <x v="0"/>
    <x v="0"/>
    <n v="0"/>
    <n v="0"/>
    <n v="0"/>
    <x v="2"/>
  </r>
  <r>
    <x v="4"/>
    <x v="1"/>
    <x v="7"/>
    <x v="1"/>
    <x v="20"/>
    <x v="0"/>
    <x v="0"/>
    <n v="1.47"/>
    <n v="6980.65"/>
    <n v="27301.69"/>
    <x v="2"/>
  </r>
  <r>
    <x v="4"/>
    <x v="1"/>
    <x v="7"/>
    <x v="2"/>
    <x v="21"/>
    <x v="0"/>
    <x v="0"/>
    <n v="1.1499999999999999"/>
    <n v="5461.05"/>
    <n v="21360.81"/>
    <x v="2"/>
  </r>
  <r>
    <x v="4"/>
    <x v="1"/>
    <x v="7"/>
    <x v="2"/>
    <x v="22"/>
    <x v="0"/>
    <x v="0"/>
    <n v="0"/>
    <n v="0"/>
    <n v="0"/>
    <x v="2"/>
  </r>
  <r>
    <x v="4"/>
    <x v="1"/>
    <x v="7"/>
    <x v="2"/>
    <x v="29"/>
    <x v="0"/>
    <x v="0"/>
    <n v="0"/>
    <n v="0"/>
    <n v="0"/>
    <x v="2"/>
  </r>
  <r>
    <x v="4"/>
    <x v="1"/>
    <x v="7"/>
    <x v="2"/>
    <x v="24"/>
    <x v="0"/>
    <x v="0"/>
    <n v="0"/>
    <n v="0"/>
    <n v="0"/>
    <x v="2"/>
  </r>
  <r>
    <x v="4"/>
    <x v="1"/>
    <x v="7"/>
    <x v="3"/>
    <x v="25"/>
    <x v="0"/>
    <x v="0"/>
    <n v="0"/>
    <n v="0"/>
    <n v="0"/>
    <x v="2"/>
  </r>
  <r>
    <x v="4"/>
    <x v="1"/>
    <x v="7"/>
    <x v="3"/>
    <x v="26"/>
    <x v="0"/>
    <x v="0"/>
    <n v="1.7"/>
    <n v="8072.86"/>
    <n v="31450.400000000001"/>
    <x v="2"/>
  </r>
  <r>
    <x v="4"/>
    <x v="1"/>
    <x v="7"/>
    <x v="3"/>
    <x v="27"/>
    <x v="0"/>
    <x v="0"/>
    <n v="3.42"/>
    <n v="16240.69"/>
    <n v="63387.53"/>
    <x v="2"/>
  </r>
  <r>
    <x v="4"/>
    <x v="1"/>
    <x v="7"/>
    <x v="0"/>
    <x v="0"/>
    <x v="0"/>
    <x v="1"/>
    <n v="1.95"/>
    <n v="9260.0400000000009"/>
    <n v="36114.410000000003"/>
    <x v="2"/>
  </r>
  <r>
    <x v="4"/>
    <x v="1"/>
    <x v="7"/>
    <x v="0"/>
    <x v="1"/>
    <x v="0"/>
    <x v="1"/>
    <n v="4.95"/>
    <n v="23506.26"/>
    <n v="91795.36"/>
    <x v="2"/>
  </r>
  <r>
    <x v="4"/>
    <x v="1"/>
    <x v="7"/>
    <x v="0"/>
    <x v="2"/>
    <x v="0"/>
    <x v="1"/>
    <n v="4.13"/>
    <n v="19612.3"/>
    <n v="76594.12"/>
    <x v="2"/>
  </r>
  <r>
    <x v="4"/>
    <x v="1"/>
    <x v="7"/>
    <x v="0"/>
    <x v="3"/>
    <x v="0"/>
    <x v="1"/>
    <n v="4.3"/>
    <n v="20419.580000000002"/>
    <n v="79766.73"/>
    <x v="2"/>
  </r>
  <r>
    <x v="4"/>
    <x v="1"/>
    <x v="7"/>
    <x v="0"/>
    <x v="4"/>
    <x v="0"/>
    <x v="1"/>
    <n v="4.05"/>
    <n v="19232.400000000001"/>
    <n v="75154.44"/>
    <x v="2"/>
  </r>
  <r>
    <x v="4"/>
    <x v="1"/>
    <x v="7"/>
    <x v="0"/>
    <x v="5"/>
    <x v="0"/>
    <x v="1"/>
    <n v="1.88"/>
    <n v="8927.6299999999992"/>
    <n v="34792.519999999997"/>
    <x v="2"/>
  </r>
  <r>
    <x v="4"/>
    <x v="1"/>
    <x v="7"/>
    <x v="0"/>
    <x v="6"/>
    <x v="0"/>
    <x v="1"/>
    <n v="1.72"/>
    <n v="8167.83"/>
    <n v="31921.78"/>
    <x v="2"/>
  </r>
  <r>
    <x v="4"/>
    <x v="1"/>
    <x v="7"/>
    <x v="0"/>
    <x v="8"/>
    <x v="0"/>
    <x v="1"/>
    <n v="2.42"/>
    <n v="11491.95"/>
    <n v="44832.49"/>
    <x v="2"/>
  </r>
  <r>
    <x v="4"/>
    <x v="1"/>
    <x v="7"/>
    <x v="1"/>
    <x v="10"/>
    <x v="0"/>
    <x v="1"/>
    <n v="3.91"/>
    <n v="18567.57"/>
    <n v="72539.91"/>
    <x v="2"/>
  </r>
  <r>
    <x v="4"/>
    <x v="1"/>
    <x v="7"/>
    <x v="1"/>
    <x v="11"/>
    <x v="0"/>
    <x v="1"/>
    <n v="8.2100000000000009"/>
    <n v="38987.160000000003"/>
    <n v="152092.88"/>
    <x v="2"/>
  </r>
  <r>
    <x v="4"/>
    <x v="1"/>
    <x v="7"/>
    <x v="1"/>
    <x v="13"/>
    <x v="0"/>
    <x v="1"/>
    <n v="3.74"/>
    <n v="17760.29"/>
    <n v="69402.33"/>
    <x v="2"/>
  </r>
  <r>
    <x v="4"/>
    <x v="1"/>
    <x v="7"/>
    <x v="1"/>
    <x v="14"/>
    <x v="0"/>
    <x v="1"/>
    <n v="1.23"/>
    <n v="5840.95"/>
    <n v="22813.68"/>
    <x v="2"/>
  </r>
  <r>
    <x v="4"/>
    <x v="1"/>
    <x v="7"/>
    <x v="1"/>
    <x v="16"/>
    <x v="0"/>
    <x v="1"/>
    <n v="2.92"/>
    <n v="13866.32"/>
    <n v="54118.82"/>
    <x v="2"/>
  </r>
  <r>
    <x v="4"/>
    <x v="1"/>
    <x v="7"/>
    <x v="1"/>
    <x v="17"/>
    <x v="0"/>
    <x v="1"/>
    <n v="2.1"/>
    <n v="9972.35"/>
    <n v="38894.74"/>
    <x v="2"/>
  </r>
  <r>
    <x v="4"/>
    <x v="1"/>
    <x v="7"/>
    <x v="1"/>
    <x v="18"/>
    <x v="0"/>
    <x v="1"/>
    <n v="9.48"/>
    <n v="45018.06"/>
    <n v="175635.49"/>
    <x v="2"/>
  </r>
  <r>
    <x v="4"/>
    <x v="1"/>
    <x v="7"/>
    <x v="1"/>
    <x v="19"/>
    <x v="0"/>
    <x v="1"/>
    <n v="3.17"/>
    <n v="15053.51"/>
    <n v="58672.82"/>
    <x v="2"/>
  </r>
  <r>
    <x v="4"/>
    <x v="1"/>
    <x v="7"/>
    <x v="1"/>
    <x v="20"/>
    <x v="0"/>
    <x v="1"/>
    <n v="9.11"/>
    <n v="43261.02"/>
    <n v="168929.23"/>
    <x v="2"/>
  </r>
  <r>
    <x v="4"/>
    <x v="1"/>
    <x v="7"/>
    <x v="2"/>
    <x v="21"/>
    <x v="0"/>
    <x v="1"/>
    <n v="0"/>
    <n v="0"/>
    <n v="0"/>
    <x v="2"/>
  </r>
  <r>
    <x v="4"/>
    <x v="1"/>
    <x v="7"/>
    <x v="2"/>
    <x v="22"/>
    <x v="0"/>
    <x v="1"/>
    <n v="4.33"/>
    <n v="20562.04"/>
    <n v="80267.990000000005"/>
    <x v="2"/>
  </r>
  <r>
    <x v="4"/>
    <x v="1"/>
    <x v="7"/>
    <x v="2"/>
    <x v="29"/>
    <x v="0"/>
    <x v="1"/>
    <n v="1.34"/>
    <n v="6363.31"/>
    <n v="24854.52"/>
    <x v="2"/>
  </r>
  <r>
    <x v="4"/>
    <x v="1"/>
    <x v="7"/>
    <x v="2"/>
    <x v="24"/>
    <x v="0"/>
    <x v="1"/>
    <n v="1.94"/>
    <n v="9212.56"/>
    <n v="35925.82"/>
    <x v="2"/>
  </r>
  <r>
    <x v="4"/>
    <x v="1"/>
    <x v="7"/>
    <x v="3"/>
    <x v="25"/>
    <x v="0"/>
    <x v="1"/>
    <n v="2.36"/>
    <n v="11207.03"/>
    <n v="43832.55"/>
    <x v="2"/>
  </r>
  <r>
    <x v="4"/>
    <x v="1"/>
    <x v="7"/>
    <x v="3"/>
    <x v="26"/>
    <x v="0"/>
    <x v="1"/>
    <n v="1.79"/>
    <n v="8500.24"/>
    <n v="33105.69"/>
    <x v="2"/>
  </r>
  <r>
    <x v="4"/>
    <x v="1"/>
    <x v="7"/>
    <x v="3"/>
    <x v="27"/>
    <x v="0"/>
    <x v="1"/>
    <n v="8.42"/>
    <n v="39984.39"/>
    <n v="156030.84"/>
    <x v="2"/>
  </r>
  <r>
    <x v="4"/>
    <x v="1"/>
    <x v="7"/>
    <x v="0"/>
    <x v="0"/>
    <x v="1"/>
    <x v="0"/>
    <n v="2.23"/>
    <n v="10589.69"/>
    <n v="26984.78"/>
    <x v="2"/>
  </r>
  <r>
    <x v="4"/>
    <x v="1"/>
    <x v="7"/>
    <x v="0"/>
    <x v="1"/>
    <x v="1"/>
    <x v="0"/>
    <n v="12.02"/>
    <n v="57079.85"/>
    <n v="143313.63"/>
    <x v="2"/>
  </r>
  <r>
    <x v="4"/>
    <x v="1"/>
    <x v="7"/>
    <x v="0"/>
    <x v="2"/>
    <x v="1"/>
    <x v="0"/>
    <n v="3.36"/>
    <n v="15955.77"/>
    <n v="38711.519999999997"/>
    <x v="2"/>
  </r>
  <r>
    <x v="4"/>
    <x v="1"/>
    <x v="7"/>
    <x v="0"/>
    <x v="3"/>
    <x v="1"/>
    <x v="0"/>
    <n v="12.25"/>
    <n v="58172.07"/>
    <n v="146738.14000000001"/>
    <x v="2"/>
  </r>
  <r>
    <x v="4"/>
    <x v="1"/>
    <x v="7"/>
    <x v="0"/>
    <x v="28"/>
    <x v="1"/>
    <x v="0"/>
    <n v="0"/>
    <n v="0"/>
    <n v="0"/>
    <x v="2"/>
  </r>
  <r>
    <x v="4"/>
    <x v="1"/>
    <x v="7"/>
    <x v="0"/>
    <x v="4"/>
    <x v="1"/>
    <x v="0"/>
    <n v="2.2000000000000002"/>
    <n v="10447.23"/>
    <n v="26060.09"/>
    <x v="2"/>
  </r>
  <r>
    <x v="4"/>
    <x v="1"/>
    <x v="7"/>
    <x v="0"/>
    <x v="5"/>
    <x v="1"/>
    <x v="0"/>
    <n v="1.83"/>
    <n v="8690.19"/>
    <n v="22303.51"/>
    <x v="2"/>
  </r>
  <r>
    <x v="4"/>
    <x v="1"/>
    <x v="7"/>
    <x v="0"/>
    <x v="6"/>
    <x v="1"/>
    <x v="0"/>
    <n v="0"/>
    <n v="0"/>
    <n v="0"/>
    <x v="2"/>
  </r>
  <r>
    <x v="4"/>
    <x v="1"/>
    <x v="7"/>
    <x v="0"/>
    <x v="7"/>
    <x v="1"/>
    <x v="0"/>
    <n v="0"/>
    <n v="0"/>
    <n v="0"/>
    <x v="2"/>
  </r>
  <r>
    <x v="4"/>
    <x v="1"/>
    <x v="7"/>
    <x v="0"/>
    <x v="8"/>
    <x v="1"/>
    <x v="0"/>
    <n v="0"/>
    <n v="0"/>
    <n v="0"/>
    <x v="2"/>
  </r>
  <r>
    <x v="4"/>
    <x v="1"/>
    <x v="7"/>
    <x v="1"/>
    <x v="30"/>
    <x v="1"/>
    <x v="0"/>
    <n v="1.37"/>
    <n v="6505.77"/>
    <n v="17467.68"/>
    <x v="2"/>
  </r>
  <r>
    <x v="4"/>
    <x v="1"/>
    <x v="7"/>
    <x v="1"/>
    <x v="9"/>
    <x v="1"/>
    <x v="0"/>
    <n v="0"/>
    <n v="0"/>
    <n v="0"/>
    <x v="2"/>
  </r>
  <r>
    <x v="4"/>
    <x v="1"/>
    <x v="7"/>
    <x v="1"/>
    <x v="31"/>
    <x v="1"/>
    <x v="0"/>
    <n v="1.54"/>
    <n v="7313.06"/>
    <n v="19859.7"/>
    <x v="2"/>
  </r>
  <r>
    <x v="4"/>
    <x v="1"/>
    <x v="7"/>
    <x v="1"/>
    <x v="10"/>
    <x v="1"/>
    <x v="0"/>
    <n v="4.8899999999999997"/>
    <n v="23221.34"/>
    <n v="61774.55"/>
    <x v="2"/>
  </r>
  <r>
    <x v="4"/>
    <x v="1"/>
    <x v="7"/>
    <x v="1"/>
    <x v="11"/>
    <x v="1"/>
    <x v="0"/>
    <n v="6.87"/>
    <n v="32623.84"/>
    <n v="82779"/>
    <x v="2"/>
  </r>
  <r>
    <x v="4"/>
    <x v="1"/>
    <x v="7"/>
    <x v="1"/>
    <x v="12"/>
    <x v="1"/>
    <x v="0"/>
    <n v="2.34"/>
    <n v="11112.05"/>
    <n v="29675.79"/>
    <x v="2"/>
  </r>
  <r>
    <x v="4"/>
    <x v="1"/>
    <x v="7"/>
    <x v="1"/>
    <x v="13"/>
    <x v="1"/>
    <x v="0"/>
    <n v="1.2"/>
    <n v="5698.49"/>
    <n v="15158.76"/>
    <x v="2"/>
  </r>
  <r>
    <x v="4"/>
    <x v="1"/>
    <x v="7"/>
    <x v="1"/>
    <x v="14"/>
    <x v="1"/>
    <x v="0"/>
    <n v="11.66"/>
    <n v="55370.31"/>
    <n v="144331.01999999999"/>
    <x v="2"/>
  </r>
  <r>
    <x v="4"/>
    <x v="1"/>
    <x v="7"/>
    <x v="1"/>
    <x v="15"/>
    <x v="1"/>
    <x v="0"/>
    <n v="4.3099999999999996"/>
    <n v="20467.07"/>
    <n v="55208.53"/>
    <x v="2"/>
  </r>
  <r>
    <x v="4"/>
    <x v="1"/>
    <x v="7"/>
    <x v="1"/>
    <x v="16"/>
    <x v="1"/>
    <x v="0"/>
    <n v="3.22"/>
    <n v="15290.94"/>
    <n v="39224.629999999997"/>
    <x v="2"/>
  </r>
  <r>
    <x v="4"/>
    <x v="1"/>
    <x v="7"/>
    <x v="1"/>
    <x v="17"/>
    <x v="1"/>
    <x v="0"/>
    <n v="7.31"/>
    <n v="34713.29"/>
    <n v="89994.26"/>
    <x v="2"/>
  </r>
  <r>
    <x v="4"/>
    <x v="1"/>
    <x v="7"/>
    <x v="1"/>
    <x v="18"/>
    <x v="1"/>
    <x v="0"/>
    <n v="8.51"/>
    <n v="40411.78"/>
    <n v="109666.53"/>
    <x v="2"/>
  </r>
  <r>
    <x v="4"/>
    <x v="1"/>
    <x v="7"/>
    <x v="1"/>
    <x v="19"/>
    <x v="1"/>
    <x v="0"/>
    <n v="7.23"/>
    <n v="34333.39"/>
    <n v="90268.13"/>
    <x v="2"/>
  </r>
  <r>
    <x v="4"/>
    <x v="1"/>
    <x v="7"/>
    <x v="1"/>
    <x v="20"/>
    <x v="1"/>
    <x v="0"/>
    <n v="9.86"/>
    <n v="46822.58"/>
    <n v="121220.76"/>
    <x v="2"/>
  </r>
  <r>
    <x v="4"/>
    <x v="1"/>
    <x v="7"/>
    <x v="2"/>
    <x v="21"/>
    <x v="1"/>
    <x v="0"/>
    <n v="0"/>
    <n v="0"/>
    <n v="0"/>
    <x v="2"/>
  </r>
  <r>
    <x v="4"/>
    <x v="1"/>
    <x v="7"/>
    <x v="2"/>
    <x v="22"/>
    <x v="1"/>
    <x v="0"/>
    <n v="4.4800000000000004"/>
    <n v="21274.36"/>
    <n v="50624.78"/>
    <x v="2"/>
  </r>
  <r>
    <x v="4"/>
    <x v="1"/>
    <x v="7"/>
    <x v="2"/>
    <x v="29"/>
    <x v="1"/>
    <x v="0"/>
    <n v="0"/>
    <n v="0"/>
    <n v="0"/>
    <x v="2"/>
  </r>
  <r>
    <x v="4"/>
    <x v="1"/>
    <x v="7"/>
    <x v="2"/>
    <x v="23"/>
    <x v="1"/>
    <x v="0"/>
    <n v="0"/>
    <n v="0"/>
    <n v="0"/>
    <x v="2"/>
  </r>
  <r>
    <x v="4"/>
    <x v="1"/>
    <x v="7"/>
    <x v="2"/>
    <x v="24"/>
    <x v="1"/>
    <x v="0"/>
    <n v="2.0499999999999998"/>
    <n v="9734.92"/>
    <n v="23519.62"/>
    <x v="2"/>
  </r>
  <r>
    <x v="4"/>
    <x v="1"/>
    <x v="7"/>
    <x v="3"/>
    <x v="25"/>
    <x v="1"/>
    <x v="0"/>
    <n v="9.43"/>
    <n v="44780.62"/>
    <n v="119724.01"/>
    <x v="2"/>
  </r>
  <r>
    <x v="4"/>
    <x v="1"/>
    <x v="7"/>
    <x v="3"/>
    <x v="26"/>
    <x v="1"/>
    <x v="0"/>
    <n v="5.36"/>
    <n v="25453.25"/>
    <n v="68574.539999999994"/>
    <x v="2"/>
  </r>
  <r>
    <x v="4"/>
    <x v="1"/>
    <x v="7"/>
    <x v="3"/>
    <x v="27"/>
    <x v="1"/>
    <x v="0"/>
    <n v="9.76"/>
    <n v="46347.7"/>
    <n v="122522.97"/>
    <x v="2"/>
  </r>
  <r>
    <x v="4"/>
    <x v="1"/>
    <x v="7"/>
    <x v="0"/>
    <x v="0"/>
    <x v="1"/>
    <x v="1"/>
    <n v="3.78"/>
    <n v="17950.240000000002"/>
    <n v="45874.12"/>
    <x v="2"/>
  </r>
  <r>
    <x v="4"/>
    <x v="1"/>
    <x v="7"/>
    <x v="0"/>
    <x v="1"/>
    <x v="1"/>
    <x v="1"/>
    <n v="21.59"/>
    <n v="102525.3"/>
    <n v="257313.1"/>
    <x v="2"/>
  </r>
  <r>
    <x v="4"/>
    <x v="1"/>
    <x v="7"/>
    <x v="0"/>
    <x v="2"/>
    <x v="1"/>
    <x v="1"/>
    <n v="8.5399999999999991"/>
    <n v="40554.239999999998"/>
    <n v="98267.71"/>
    <x v="2"/>
  </r>
  <r>
    <x v="4"/>
    <x v="1"/>
    <x v="7"/>
    <x v="0"/>
    <x v="3"/>
    <x v="1"/>
    <x v="1"/>
    <n v="21.66"/>
    <n v="102857.71"/>
    <n v="259375.16"/>
    <x v="2"/>
  </r>
  <r>
    <x v="4"/>
    <x v="1"/>
    <x v="7"/>
    <x v="0"/>
    <x v="28"/>
    <x v="1"/>
    <x v="1"/>
    <n v="2.71"/>
    <n v="12869.09"/>
    <n v="32822.79"/>
    <x v="2"/>
  </r>
  <r>
    <x v="4"/>
    <x v="1"/>
    <x v="7"/>
    <x v="0"/>
    <x v="4"/>
    <x v="1"/>
    <x v="1"/>
    <n v="2.37"/>
    <n v="11254.51"/>
    <n v="28161.71"/>
    <x v="2"/>
  </r>
  <r>
    <x v="4"/>
    <x v="1"/>
    <x v="7"/>
    <x v="0"/>
    <x v="5"/>
    <x v="1"/>
    <x v="1"/>
    <n v="13.82"/>
    <n v="65627.59"/>
    <n v="168869.46"/>
    <x v="2"/>
  </r>
  <r>
    <x v="4"/>
    <x v="1"/>
    <x v="7"/>
    <x v="0"/>
    <x v="6"/>
    <x v="1"/>
    <x v="1"/>
    <n v="1.73"/>
    <n v="8215.32"/>
    <n v="21053.83"/>
    <x v="2"/>
  </r>
  <r>
    <x v="4"/>
    <x v="1"/>
    <x v="7"/>
    <x v="0"/>
    <x v="7"/>
    <x v="1"/>
    <x v="1"/>
    <n v="5"/>
    <n v="23743.7"/>
    <n v="61899.77"/>
    <x v="2"/>
  </r>
  <r>
    <x v="4"/>
    <x v="1"/>
    <x v="7"/>
    <x v="0"/>
    <x v="8"/>
    <x v="1"/>
    <x v="1"/>
    <n v="2.95"/>
    <n v="14008.78"/>
    <n v="34875.730000000003"/>
    <x v="2"/>
  </r>
  <r>
    <x v="4"/>
    <x v="1"/>
    <x v="7"/>
    <x v="1"/>
    <x v="30"/>
    <x v="1"/>
    <x v="1"/>
    <n v="0"/>
    <n v="0"/>
    <n v="0"/>
    <x v="2"/>
  </r>
  <r>
    <x v="4"/>
    <x v="1"/>
    <x v="7"/>
    <x v="1"/>
    <x v="9"/>
    <x v="1"/>
    <x v="1"/>
    <n v="1.1599999999999999"/>
    <n v="5508.54"/>
    <n v="14845.39"/>
    <x v="2"/>
  </r>
  <r>
    <x v="4"/>
    <x v="1"/>
    <x v="7"/>
    <x v="1"/>
    <x v="31"/>
    <x v="1"/>
    <x v="1"/>
    <n v="0"/>
    <n v="0"/>
    <n v="0"/>
    <x v="2"/>
  </r>
  <r>
    <x v="4"/>
    <x v="1"/>
    <x v="7"/>
    <x v="1"/>
    <x v="10"/>
    <x v="1"/>
    <x v="1"/>
    <n v="28.21"/>
    <n v="133961.96"/>
    <n v="356558.36"/>
    <x v="2"/>
  </r>
  <r>
    <x v="4"/>
    <x v="1"/>
    <x v="7"/>
    <x v="1"/>
    <x v="11"/>
    <x v="1"/>
    <x v="1"/>
    <n v="22.2"/>
    <n v="105422.03"/>
    <n v="267439.83"/>
    <x v="2"/>
  </r>
  <r>
    <x v="4"/>
    <x v="1"/>
    <x v="7"/>
    <x v="1"/>
    <x v="12"/>
    <x v="1"/>
    <x v="1"/>
    <n v="2.6"/>
    <n v="12346.72"/>
    <n v="32973.1"/>
    <x v="2"/>
  </r>
  <r>
    <x v="4"/>
    <x v="1"/>
    <x v="7"/>
    <x v="1"/>
    <x v="13"/>
    <x v="1"/>
    <x v="1"/>
    <n v="10.039999999999999"/>
    <n v="47677.35"/>
    <n v="126683.9"/>
    <x v="2"/>
  </r>
  <r>
    <x v="4"/>
    <x v="1"/>
    <x v="7"/>
    <x v="1"/>
    <x v="14"/>
    <x v="1"/>
    <x v="1"/>
    <n v="7.89"/>
    <n v="37467.56"/>
    <n v="97667.61"/>
    <x v="2"/>
  </r>
  <r>
    <x v="4"/>
    <x v="1"/>
    <x v="7"/>
    <x v="1"/>
    <x v="15"/>
    <x v="1"/>
    <x v="1"/>
    <n v="2.16"/>
    <n v="10257.280000000001"/>
    <n v="27604.26"/>
    <x v="2"/>
  </r>
  <r>
    <x v="4"/>
    <x v="1"/>
    <x v="7"/>
    <x v="1"/>
    <x v="16"/>
    <x v="1"/>
    <x v="1"/>
    <n v="10.91"/>
    <n v="51808.75"/>
    <n v="133083.56"/>
    <x v="2"/>
  </r>
  <r>
    <x v="4"/>
    <x v="1"/>
    <x v="7"/>
    <x v="1"/>
    <x v="17"/>
    <x v="1"/>
    <x v="1"/>
    <n v="6.04"/>
    <n v="28682.39"/>
    <n v="74297.58"/>
    <x v="2"/>
  </r>
  <r>
    <x v="4"/>
    <x v="1"/>
    <x v="7"/>
    <x v="1"/>
    <x v="18"/>
    <x v="1"/>
    <x v="1"/>
    <n v="28.45"/>
    <n v="135101.65"/>
    <n v="366480.54"/>
    <x v="2"/>
  </r>
  <r>
    <x v="4"/>
    <x v="1"/>
    <x v="7"/>
    <x v="1"/>
    <x v="19"/>
    <x v="1"/>
    <x v="1"/>
    <n v="13.33"/>
    <n v="63300.7"/>
    <n v="166566.20000000001"/>
    <x v="2"/>
  </r>
  <r>
    <x v="4"/>
    <x v="1"/>
    <x v="7"/>
    <x v="1"/>
    <x v="20"/>
    <x v="1"/>
    <x v="1"/>
    <n v="14.68"/>
    <n v="69711.5"/>
    <n v="180399.39"/>
    <x v="2"/>
  </r>
  <r>
    <x v="4"/>
    <x v="1"/>
    <x v="7"/>
    <x v="2"/>
    <x v="21"/>
    <x v="1"/>
    <x v="1"/>
    <n v="0.76"/>
    <n v="3609.04"/>
    <n v="8537.02"/>
    <x v="2"/>
  </r>
  <r>
    <x v="4"/>
    <x v="1"/>
    <x v="7"/>
    <x v="2"/>
    <x v="22"/>
    <x v="1"/>
    <x v="1"/>
    <n v="10.64"/>
    <n v="50526.59"/>
    <n v="120071.6"/>
    <x v="2"/>
  </r>
  <r>
    <x v="4"/>
    <x v="1"/>
    <x v="7"/>
    <x v="2"/>
    <x v="29"/>
    <x v="1"/>
    <x v="1"/>
    <n v="0.59"/>
    <n v="2801.76"/>
    <n v="7039.53"/>
    <x v="2"/>
  </r>
  <r>
    <x v="4"/>
    <x v="1"/>
    <x v="7"/>
    <x v="2"/>
    <x v="23"/>
    <x v="1"/>
    <x v="1"/>
    <n v="2.91"/>
    <n v="13818.83"/>
    <n v="34215.160000000003"/>
    <x v="2"/>
  </r>
  <r>
    <x v="4"/>
    <x v="1"/>
    <x v="7"/>
    <x v="2"/>
    <x v="24"/>
    <x v="1"/>
    <x v="1"/>
    <n v="3.84"/>
    <n v="18235.16"/>
    <n v="44099.29"/>
    <x v="2"/>
  </r>
  <r>
    <x v="4"/>
    <x v="1"/>
    <x v="7"/>
    <x v="3"/>
    <x v="25"/>
    <x v="1"/>
    <x v="1"/>
    <n v="8.5"/>
    <n v="40364.29"/>
    <n v="107899.42"/>
    <x v="2"/>
  </r>
  <r>
    <x v="4"/>
    <x v="1"/>
    <x v="7"/>
    <x v="3"/>
    <x v="26"/>
    <x v="1"/>
    <x v="1"/>
    <n v="16.690000000000001"/>
    <n v="79256.47"/>
    <n v="213465.91"/>
    <x v="2"/>
  </r>
  <r>
    <x v="4"/>
    <x v="1"/>
    <x v="7"/>
    <x v="3"/>
    <x v="27"/>
    <x v="1"/>
    <x v="1"/>
    <n v="27.99"/>
    <n v="132917.23000000001"/>
    <n v="351304.79"/>
    <x v="2"/>
  </r>
  <r>
    <x v="4"/>
    <x v="1"/>
    <x v="8"/>
    <x v="0"/>
    <x v="0"/>
    <x v="0"/>
    <x v="0"/>
    <n v="2.34"/>
    <n v="7876.81"/>
    <n v="28218.19"/>
    <x v="2"/>
  </r>
  <r>
    <x v="4"/>
    <x v="1"/>
    <x v="8"/>
    <x v="0"/>
    <x v="1"/>
    <x v="0"/>
    <x v="0"/>
    <n v="6.28"/>
    <n v="21139.48"/>
    <n v="75892.639999999999"/>
    <x v="2"/>
  </r>
  <r>
    <x v="4"/>
    <x v="1"/>
    <x v="8"/>
    <x v="0"/>
    <x v="2"/>
    <x v="0"/>
    <x v="0"/>
    <n v="0"/>
    <n v="0"/>
    <n v="0"/>
    <x v="2"/>
  </r>
  <r>
    <x v="4"/>
    <x v="1"/>
    <x v="8"/>
    <x v="0"/>
    <x v="3"/>
    <x v="0"/>
    <x v="0"/>
    <n v="2.8"/>
    <n v="9425.25"/>
    <n v="33827.22"/>
    <x v="2"/>
  </r>
  <r>
    <x v="4"/>
    <x v="1"/>
    <x v="8"/>
    <x v="0"/>
    <x v="4"/>
    <x v="0"/>
    <x v="0"/>
    <n v="0"/>
    <n v="0"/>
    <n v="0"/>
    <x v="2"/>
  </r>
  <r>
    <x v="4"/>
    <x v="1"/>
    <x v="8"/>
    <x v="0"/>
    <x v="5"/>
    <x v="0"/>
    <x v="0"/>
    <n v="0"/>
    <n v="0"/>
    <n v="0"/>
    <x v="2"/>
  </r>
  <r>
    <x v="4"/>
    <x v="1"/>
    <x v="8"/>
    <x v="0"/>
    <x v="6"/>
    <x v="0"/>
    <x v="0"/>
    <n v="0"/>
    <n v="0"/>
    <n v="0"/>
    <x v="2"/>
  </r>
  <r>
    <x v="4"/>
    <x v="1"/>
    <x v="8"/>
    <x v="0"/>
    <x v="8"/>
    <x v="0"/>
    <x v="0"/>
    <n v="0"/>
    <n v="0"/>
    <n v="0"/>
    <x v="2"/>
  </r>
  <r>
    <x v="4"/>
    <x v="1"/>
    <x v="8"/>
    <x v="1"/>
    <x v="10"/>
    <x v="0"/>
    <x v="0"/>
    <n v="1.64"/>
    <n v="5520.5"/>
    <n v="19800.98"/>
    <x v="2"/>
  </r>
  <r>
    <x v="4"/>
    <x v="1"/>
    <x v="8"/>
    <x v="1"/>
    <x v="11"/>
    <x v="0"/>
    <x v="0"/>
    <n v="0"/>
    <n v="0"/>
    <n v="0"/>
    <x v="2"/>
  </r>
  <r>
    <x v="4"/>
    <x v="1"/>
    <x v="8"/>
    <x v="1"/>
    <x v="13"/>
    <x v="0"/>
    <x v="0"/>
    <n v="0"/>
    <n v="0"/>
    <n v="0"/>
    <x v="2"/>
  </r>
  <r>
    <x v="4"/>
    <x v="1"/>
    <x v="8"/>
    <x v="1"/>
    <x v="14"/>
    <x v="0"/>
    <x v="0"/>
    <n v="0"/>
    <n v="0"/>
    <n v="0"/>
    <x v="2"/>
  </r>
  <r>
    <x v="4"/>
    <x v="1"/>
    <x v="8"/>
    <x v="1"/>
    <x v="16"/>
    <x v="0"/>
    <x v="0"/>
    <n v="0"/>
    <n v="0"/>
    <n v="0"/>
    <x v="2"/>
  </r>
  <r>
    <x v="4"/>
    <x v="1"/>
    <x v="8"/>
    <x v="1"/>
    <x v="17"/>
    <x v="0"/>
    <x v="0"/>
    <n v="0"/>
    <n v="0"/>
    <n v="0"/>
    <x v="2"/>
  </r>
  <r>
    <x v="4"/>
    <x v="1"/>
    <x v="8"/>
    <x v="1"/>
    <x v="18"/>
    <x v="0"/>
    <x v="0"/>
    <n v="0"/>
    <n v="0"/>
    <n v="0"/>
    <x v="2"/>
  </r>
  <r>
    <x v="4"/>
    <x v="1"/>
    <x v="8"/>
    <x v="1"/>
    <x v="19"/>
    <x v="0"/>
    <x v="0"/>
    <n v="0"/>
    <n v="0"/>
    <n v="0"/>
    <x v="2"/>
  </r>
  <r>
    <x v="4"/>
    <x v="1"/>
    <x v="8"/>
    <x v="1"/>
    <x v="20"/>
    <x v="0"/>
    <x v="0"/>
    <n v="3.36"/>
    <n v="11310.3"/>
    <n v="40534.769999999997"/>
    <x v="2"/>
  </r>
  <r>
    <x v="4"/>
    <x v="1"/>
    <x v="8"/>
    <x v="2"/>
    <x v="21"/>
    <x v="0"/>
    <x v="0"/>
    <n v="2.9"/>
    <n v="9761.86"/>
    <n v="35039.440000000002"/>
    <x v="2"/>
  </r>
  <r>
    <x v="4"/>
    <x v="1"/>
    <x v="8"/>
    <x v="2"/>
    <x v="22"/>
    <x v="0"/>
    <x v="0"/>
    <n v="0"/>
    <n v="0"/>
    <n v="0"/>
    <x v="2"/>
  </r>
  <r>
    <x v="4"/>
    <x v="1"/>
    <x v="8"/>
    <x v="2"/>
    <x v="29"/>
    <x v="0"/>
    <x v="0"/>
    <n v="0"/>
    <n v="0"/>
    <n v="0"/>
    <x v="2"/>
  </r>
  <r>
    <x v="4"/>
    <x v="1"/>
    <x v="8"/>
    <x v="2"/>
    <x v="24"/>
    <x v="0"/>
    <x v="0"/>
    <n v="0"/>
    <n v="0"/>
    <n v="0"/>
    <x v="2"/>
  </r>
  <r>
    <x v="4"/>
    <x v="1"/>
    <x v="8"/>
    <x v="3"/>
    <x v="25"/>
    <x v="0"/>
    <x v="0"/>
    <n v="0"/>
    <n v="0"/>
    <n v="0"/>
    <x v="2"/>
  </r>
  <r>
    <x v="4"/>
    <x v="1"/>
    <x v="8"/>
    <x v="3"/>
    <x v="26"/>
    <x v="0"/>
    <x v="0"/>
    <n v="2.79"/>
    <n v="9391.59"/>
    <n v="33636.14"/>
    <x v="2"/>
  </r>
  <r>
    <x v="4"/>
    <x v="1"/>
    <x v="8"/>
    <x v="3"/>
    <x v="27"/>
    <x v="0"/>
    <x v="0"/>
    <n v="2.82"/>
    <n v="9492.57"/>
    <n v="34000.699999999997"/>
    <x v="2"/>
  </r>
  <r>
    <x v="4"/>
    <x v="1"/>
    <x v="8"/>
    <x v="0"/>
    <x v="0"/>
    <x v="0"/>
    <x v="1"/>
    <n v="2.0699999999999998"/>
    <n v="6967.95"/>
    <n v="24962.240000000002"/>
    <x v="2"/>
  </r>
  <r>
    <x v="4"/>
    <x v="1"/>
    <x v="8"/>
    <x v="0"/>
    <x v="1"/>
    <x v="0"/>
    <x v="1"/>
    <n v="7.26"/>
    <n v="24438.32"/>
    <n v="87708.26"/>
    <x v="2"/>
  </r>
  <r>
    <x v="4"/>
    <x v="1"/>
    <x v="8"/>
    <x v="0"/>
    <x v="2"/>
    <x v="0"/>
    <x v="1"/>
    <n v="4.87"/>
    <n v="16393.2"/>
    <n v="58858.05"/>
    <x v="2"/>
  </r>
  <r>
    <x v="4"/>
    <x v="1"/>
    <x v="8"/>
    <x v="0"/>
    <x v="3"/>
    <x v="0"/>
    <x v="1"/>
    <n v="9.0399999999999991"/>
    <n v="30430.09"/>
    <n v="109120.08"/>
    <x v="2"/>
  </r>
  <r>
    <x v="4"/>
    <x v="1"/>
    <x v="8"/>
    <x v="0"/>
    <x v="4"/>
    <x v="0"/>
    <x v="1"/>
    <n v="2.57"/>
    <n v="8651.0300000000007"/>
    <n v="31027.3"/>
    <x v="2"/>
  </r>
  <r>
    <x v="4"/>
    <x v="1"/>
    <x v="8"/>
    <x v="0"/>
    <x v="5"/>
    <x v="0"/>
    <x v="1"/>
    <n v="4.88"/>
    <n v="16426.86"/>
    <n v="58888.56"/>
    <x v="2"/>
  </r>
  <r>
    <x v="4"/>
    <x v="1"/>
    <x v="8"/>
    <x v="0"/>
    <x v="6"/>
    <x v="0"/>
    <x v="1"/>
    <n v="4.0999999999999996"/>
    <n v="13801.26"/>
    <n v="49509"/>
    <x v="2"/>
  </r>
  <r>
    <x v="4"/>
    <x v="1"/>
    <x v="8"/>
    <x v="0"/>
    <x v="8"/>
    <x v="0"/>
    <x v="1"/>
    <n v="4.07"/>
    <n v="13700.27"/>
    <n v="49145.34"/>
    <x v="2"/>
  </r>
  <r>
    <x v="4"/>
    <x v="1"/>
    <x v="8"/>
    <x v="1"/>
    <x v="10"/>
    <x v="0"/>
    <x v="1"/>
    <n v="5.56"/>
    <n v="18715.849999999999"/>
    <n v="67103.31"/>
    <x v="2"/>
  </r>
  <r>
    <x v="4"/>
    <x v="1"/>
    <x v="8"/>
    <x v="1"/>
    <x v="11"/>
    <x v="0"/>
    <x v="1"/>
    <n v="13.51"/>
    <n v="45476.82"/>
    <n v="163156.98000000001"/>
    <x v="2"/>
  </r>
  <r>
    <x v="4"/>
    <x v="1"/>
    <x v="8"/>
    <x v="1"/>
    <x v="13"/>
    <x v="0"/>
    <x v="1"/>
    <n v="5.99"/>
    <n v="20163.3"/>
    <n v="72371.53"/>
    <x v="2"/>
  </r>
  <r>
    <x v="4"/>
    <x v="1"/>
    <x v="8"/>
    <x v="1"/>
    <x v="14"/>
    <x v="0"/>
    <x v="1"/>
    <n v="2.86"/>
    <n v="9627.2199999999993"/>
    <n v="34518.160000000003"/>
    <x v="2"/>
  </r>
  <r>
    <x v="4"/>
    <x v="1"/>
    <x v="8"/>
    <x v="1"/>
    <x v="16"/>
    <x v="0"/>
    <x v="1"/>
    <n v="2.73"/>
    <n v="9189.6200000000008"/>
    <n v="32953.129999999997"/>
    <x v="2"/>
  </r>
  <r>
    <x v="4"/>
    <x v="1"/>
    <x v="8"/>
    <x v="1"/>
    <x v="17"/>
    <x v="0"/>
    <x v="1"/>
    <n v="2.44"/>
    <n v="8213.43"/>
    <n v="29459.59"/>
    <x v="2"/>
  </r>
  <r>
    <x v="4"/>
    <x v="1"/>
    <x v="8"/>
    <x v="1"/>
    <x v="18"/>
    <x v="0"/>
    <x v="1"/>
    <n v="16.63"/>
    <n v="55979.24"/>
    <n v="200883.62"/>
    <x v="2"/>
  </r>
  <r>
    <x v="4"/>
    <x v="1"/>
    <x v="8"/>
    <x v="1"/>
    <x v="19"/>
    <x v="0"/>
    <x v="1"/>
    <n v="4.54"/>
    <n v="15282.37"/>
    <n v="54803.78"/>
    <x v="2"/>
  </r>
  <r>
    <x v="4"/>
    <x v="1"/>
    <x v="8"/>
    <x v="1"/>
    <x v="20"/>
    <x v="0"/>
    <x v="1"/>
    <n v="14.7"/>
    <n v="49482.55"/>
    <n v="177476.58"/>
    <x v="2"/>
  </r>
  <r>
    <x v="4"/>
    <x v="1"/>
    <x v="8"/>
    <x v="2"/>
    <x v="21"/>
    <x v="0"/>
    <x v="1"/>
    <n v="0"/>
    <n v="0"/>
    <n v="0"/>
    <x v="2"/>
  </r>
  <r>
    <x v="4"/>
    <x v="1"/>
    <x v="8"/>
    <x v="2"/>
    <x v="22"/>
    <x v="0"/>
    <x v="1"/>
    <n v="5.81"/>
    <n v="19557.39"/>
    <n v="70199.94"/>
    <x v="2"/>
  </r>
  <r>
    <x v="4"/>
    <x v="1"/>
    <x v="8"/>
    <x v="2"/>
    <x v="29"/>
    <x v="0"/>
    <x v="1"/>
    <n v="2.29"/>
    <n v="7708.51"/>
    <n v="27618.68"/>
    <x v="2"/>
  </r>
  <r>
    <x v="4"/>
    <x v="1"/>
    <x v="8"/>
    <x v="2"/>
    <x v="24"/>
    <x v="0"/>
    <x v="1"/>
    <n v="4.01"/>
    <n v="13498.3"/>
    <n v="48377.07"/>
    <x v="2"/>
  </r>
  <r>
    <x v="4"/>
    <x v="1"/>
    <x v="8"/>
    <x v="3"/>
    <x v="25"/>
    <x v="0"/>
    <x v="1"/>
    <n v="3.62"/>
    <n v="12185.5"/>
    <n v="43709.19"/>
    <x v="2"/>
  </r>
  <r>
    <x v="4"/>
    <x v="1"/>
    <x v="8"/>
    <x v="3"/>
    <x v="26"/>
    <x v="0"/>
    <x v="1"/>
    <n v="2.7"/>
    <n v="9088.6299999999992"/>
    <n v="32646.84"/>
    <x v="2"/>
  </r>
  <r>
    <x v="4"/>
    <x v="1"/>
    <x v="8"/>
    <x v="3"/>
    <x v="27"/>
    <x v="0"/>
    <x v="1"/>
    <n v="10.08"/>
    <n v="33930.89"/>
    <n v="121744.45"/>
    <x v="2"/>
  </r>
  <r>
    <x v="4"/>
    <x v="1"/>
    <x v="8"/>
    <x v="0"/>
    <x v="0"/>
    <x v="1"/>
    <x v="0"/>
    <n v="5.62"/>
    <n v="18917.82"/>
    <n v="44349.53"/>
    <x v="2"/>
  </r>
  <r>
    <x v="4"/>
    <x v="1"/>
    <x v="8"/>
    <x v="0"/>
    <x v="1"/>
    <x v="1"/>
    <x v="0"/>
    <n v="16.29"/>
    <n v="54834.75"/>
    <n v="126459.06"/>
    <x v="2"/>
  </r>
  <r>
    <x v="4"/>
    <x v="1"/>
    <x v="8"/>
    <x v="0"/>
    <x v="2"/>
    <x v="1"/>
    <x v="0"/>
    <n v="7.8"/>
    <n v="26256.05"/>
    <n v="58505.95"/>
    <x v="2"/>
  </r>
  <r>
    <x v="4"/>
    <x v="1"/>
    <x v="8"/>
    <x v="0"/>
    <x v="3"/>
    <x v="1"/>
    <x v="0"/>
    <n v="15.01"/>
    <n v="50526.06"/>
    <n v="117134.19"/>
    <x v="2"/>
  </r>
  <r>
    <x v="4"/>
    <x v="1"/>
    <x v="8"/>
    <x v="0"/>
    <x v="28"/>
    <x v="1"/>
    <x v="0"/>
    <n v="0"/>
    <n v="0"/>
    <n v="0"/>
    <x v="2"/>
  </r>
  <r>
    <x v="4"/>
    <x v="1"/>
    <x v="8"/>
    <x v="0"/>
    <x v="4"/>
    <x v="1"/>
    <x v="0"/>
    <n v="10.44"/>
    <n v="35142.71"/>
    <n v="80675.73"/>
    <x v="2"/>
  </r>
  <r>
    <x v="4"/>
    <x v="1"/>
    <x v="8"/>
    <x v="0"/>
    <x v="5"/>
    <x v="1"/>
    <x v="0"/>
    <n v="2.4"/>
    <n v="8078.78"/>
    <n v="19109.259999999998"/>
    <x v="2"/>
  </r>
  <r>
    <x v="4"/>
    <x v="1"/>
    <x v="8"/>
    <x v="0"/>
    <x v="6"/>
    <x v="1"/>
    <x v="0"/>
    <n v="0"/>
    <n v="0"/>
    <n v="0"/>
    <x v="2"/>
  </r>
  <r>
    <x v="4"/>
    <x v="1"/>
    <x v="8"/>
    <x v="0"/>
    <x v="7"/>
    <x v="1"/>
    <x v="0"/>
    <n v="0"/>
    <n v="0"/>
    <n v="0"/>
    <x v="2"/>
  </r>
  <r>
    <x v="4"/>
    <x v="1"/>
    <x v="8"/>
    <x v="0"/>
    <x v="8"/>
    <x v="1"/>
    <x v="0"/>
    <n v="0"/>
    <n v="0"/>
    <n v="0"/>
    <x v="2"/>
  </r>
  <r>
    <x v="4"/>
    <x v="1"/>
    <x v="8"/>
    <x v="1"/>
    <x v="30"/>
    <x v="1"/>
    <x v="0"/>
    <n v="3.8"/>
    <n v="12791.41"/>
    <n v="31609.63"/>
    <x v="2"/>
  </r>
  <r>
    <x v="4"/>
    <x v="1"/>
    <x v="8"/>
    <x v="1"/>
    <x v="9"/>
    <x v="1"/>
    <x v="0"/>
    <n v="0"/>
    <n v="0"/>
    <n v="0"/>
    <x v="2"/>
  </r>
  <r>
    <x v="4"/>
    <x v="1"/>
    <x v="8"/>
    <x v="1"/>
    <x v="31"/>
    <x v="1"/>
    <x v="0"/>
    <n v="2.6"/>
    <n v="8752.02"/>
    <n v="21843.7"/>
    <x v="2"/>
  </r>
  <r>
    <x v="4"/>
    <x v="1"/>
    <x v="8"/>
    <x v="1"/>
    <x v="10"/>
    <x v="1"/>
    <x v="0"/>
    <n v="15.05"/>
    <n v="50660.71"/>
    <n v="123967.52"/>
    <x v="2"/>
  </r>
  <r>
    <x v="4"/>
    <x v="1"/>
    <x v="8"/>
    <x v="1"/>
    <x v="11"/>
    <x v="1"/>
    <x v="0"/>
    <n v="7.73"/>
    <n v="26020.42"/>
    <n v="60646.94"/>
    <x v="2"/>
  </r>
  <r>
    <x v="4"/>
    <x v="1"/>
    <x v="8"/>
    <x v="1"/>
    <x v="12"/>
    <x v="1"/>
    <x v="0"/>
    <n v="2.19"/>
    <n v="7371.89"/>
    <n v="18062.900000000001"/>
    <x v="2"/>
  </r>
  <r>
    <x v="4"/>
    <x v="1"/>
    <x v="8"/>
    <x v="1"/>
    <x v="13"/>
    <x v="1"/>
    <x v="0"/>
    <n v="3.91"/>
    <n v="13161.69"/>
    <n v="32145.7"/>
    <x v="2"/>
  </r>
  <r>
    <x v="4"/>
    <x v="1"/>
    <x v="8"/>
    <x v="1"/>
    <x v="14"/>
    <x v="1"/>
    <x v="0"/>
    <n v="19.899999999999999"/>
    <n v="66986.58"/>
    <n v="160549.98000000001"/>
    <x v="2"/>
  </r>
  <r>
    <x v="4"/>
    <x v="1"/>
    <x v="8"/>
    <x v="1"/>
    <x v="15"/>
    <x v="1"/>
    <x v="0"/>
    <n v="2.56"/>
    <n v="8617.3700000000008"/>
    <n v="21361.26"/>
    <x v="2"/>
  </r>
  <r>
    <x v="4"/>
    <x v="1"/>
    <x v="8"/>
    <x v="1"/>
    <x v="16"/>
    <x v="1"/>
    <x v="0"/>
    <n v="8.8000000000000007"/>
    <n v="29622.21"/>
    <n v="69929.67"/>
    <x v="2"/>
  </r>
  <r>
    <x v="4"/>
    <x v="1"/>
    <x v="8"/>
    <x v="1"/>
    <x v="17"/>
    <x v="1"/>
    <x v="0"/>
    <n v="8.2899999999999991"/>
    <n v="27905.47"/>
    <n v="66507.649999999994"/>
    <x v="2"/>
  </r>
  <r>
    <x v="4"/>
    <x v="1"/>
    <x v="8"/>
    <x v="1"/>
    <x v="18"/>
    <x v="1"/>
    <x v="0"/>
    <n v="7.02"/>
    <n v="23630.44"/>
    <n v="58937.31"/>
    <x v="2"/>
  </r>
  <r>
    <x v="4"/>
    <x v="1"/>
    <x v="8"/>
    <x v="1"/>
    <x v="19"/>
    <x v="1"/>
    <x v="0"/>
    <n v="9.91"/>
    <n v="33358.65"/>
    <n v="80651.03"/>
    <x v="2"/>
  </r>
  <r>
    <x v="4"/>
    <x v="1"/>
    <x v="8"/>
    <x v="1"/>
    <x v="20"/>
    <x v="1"/>
    <x v="0"/>
    <n v="14.13"/>
    <n v="47563.839999999997"/>
    <n v="113148.16"/>
    <x v="2"/>
  </r>
  <r>
    <x v="4"/>
    <x v="1"/>
    <x v="8"/>
    <x v="2"/>
    <x v="21"/>
    <x v="1"/>
    <x v="0"/>
    <n v="0"/>
    <n v="0"/>
    <n v="0"/>
    <x v="2"/>
  </r>
  <r>
    <x v="4"/>
    <x v="1"/>
    <x v="8"/>
    <x v="2"/>
    <x v="22"/>
    <x v="1"/>
    <x v="0"/>
    <n v="10.49"/>
    <n v="35311.019999999997"/>
    <n v="77182.05"/>
    <x v="2"/>
  </r>
  <r>
    <x v="4"/>
    <x v="1"/>
    <x v="8"/>
    <x v="2"/>
    <x v="29"/>
    <x v="1"/>
    <x v="0"/>
    <n v="0"/>
    <n v="0"/>
    <n v="0"/>
    <x v="2"/>
  </r>
  <r>
    <x v="4"/>
    <x v="1"/>
    <x v="8"/>
    <x v="2"/>
    <x v="23"/>
    <x v="1"/>
    <x v="0"/>
    <n v="0"/>
    <n v="0"/>
    <n v="0"/>
    <x v="2"/>
  </r>
  <r>
    <x v="4"/>
    <x v="1"/>
    <x v="8"/>
    <x v="2"/>
    <x v="24"/>
    <x v="1"/>
    <x v="0"/>
    <n v="2.19"/>
    <n v="7371.89"/>
    <n v="16432.59"/>
    <x v="2"/>
  </r>
  <r>
    <x v="4"/>
    <x v="1"/>
    <x v="8"/>
    <x v="3"/>
    <x v="25"/>
    <x v="1"/>
    <x v="0"/>
    <n v="9.69"/>
    <n v="32618.09"/>
    <n v="80131.33"/>
    <x v="2"/>
  </r>
  <r>
    <x v="4"/>
    <x v="1"/>
    <x v="8"/>
    <x v="3"/>
    <x v="26"/>
    <x v="1"/>
    <x v="0"/>
    <n v="8.5399999999999991"/>
    <n v="28747.01"/>
    <n v="71145.119999999995"/>
    <x v="2"/>
  </r>
  <r>
    <x v="4"/>
    <x v="1"/>
    <x v="8"/>
    <x v="3"/>
    <x v="27"/>
    <x v="1"/>
    <x v="0"/>
    <n v="13.84"/>
    <n v="46587.65"/>
    <n v="113155.29"/>
    <x v="2"/>
  </r>
  <r>
    <x v="4"/>
    <x v="1"/>
    <x v="8"/>
    <x v="0"/>
    <x v="0"/>
    <x v="1"/>
    <x v="1"/>
    <n v="9.33"/>
    <n v="31406.27"/>
    <n v="73688.45"/>
    <x v="2"/>
  </r>
  <r>
    <x v="4"/>
    <x v="1"/>
    <x v="8"/>
    <x v="0"/>
    <x v="1"/>
    <x v="1"/>
    <x v="1"/>
    <n v="21.66"/>
    <n v="72911.03"/>
    <n v="168202.82"/>
    <x v="2"/>
  </r>
  <r>
    <x v="4"/>
    <x v="1"/>
    <x v="8"/>
    <x v="0"/>
    <x v="2"/>
    <x v="1"/>
    <x v="1"/>
    <n v="15.43"/>
    <n v="51939.85"/>
    <n v="115711.77"/>
    <x v="2"/>
  </r>
  <r>
    <x v="4"/>
    <x v="1"/>
    <x v="8"/>
    <x v="0"/>
    <x v="3"/>
    <x v="1"/>
    <x v="1"/>
    <n v="35.83"/>
    <n v="120609.51"/>
    <n v="279524.77"/>
    <x v="2"/>
  </r>
  <r>
    <x v="4"/>
    <x v="1"/>
    <x v="8"/>
    <x v="0"/>
    <x v="28"/>
    <x v="1"/>
    <x v="1"/>
    <n v="1.83"/>
    <n v="6160.07"/>
    <n v="14439.33"/>
    <x v="2"/>
  </r>
  <r>
    <x v="4"/>
    <x v="1"/>
    <x v="8"/>
    <x v="0"/>
    <x v="4"/>
    <x v="1"/>
    <x v="1"/>
    <n v="10.44"/>
    <n v="35142.71"/>
    <n v="80675.73"/>
    <x v="2"/>
  </r>
  <r>
    <x v="4"/>
    <x v="1"/>
    <x v="8"/>
    <x v="0"/>
    <x v="5"/>
    <x v="1"/>
    <x v="1"/>
    <n v="26.08"/>
    <n v="87789.45"/>
    <n v="207566.13"/>
    <x v="2"/>
  </r>
  <r>
    <x v="4"/>
    <x v="1"/>
    <x v="8"/>
    <x v="0"/>
    <x v="6"/>
    <x v="1"/>
    <x v="1"/>
    <n v="2.88"/>
    <n v="9694.5400000000009"/>
    <n v="22878.5"/>
    <x v="2"/>
  </r>
  <r>
    <x v="4"/>
    <x v="1"/>
    <x v="8"/>
    <x v="0"/>
    <x v="7"/>
    <x v="1"/>
    <x v="1"/>
    <n v="3.88"/>
    <n v="13060.7"/>
    <n v="31297.05"/>
    <x v="2"/>
  </r>
  <r>
    <x v="4"/>
    <x v="1"/>
    <x v="8"/>
    <x v="0"/>
    <x v="8"/>
    <x v="1"/>
    <x v="1"/>
    <n v="5.55"/>
    <n v="18682.189999999999"/>
    <n v="42666.36"/>
    <x v="2"/>
  </r>
  <r>
    <x v="4"/>
    <x v="1"/>
    <x v="8"/>
    <x v="1"/>
    <x v="30"/>
    <x v="1"/>
    <x v="1"/>
    <n v="0"/>
    <n v="0"/>
    <n v="0"/>
    <x v="2"/>
  </r>
  <r>
    <x v="4"/>
    <x v="1"/>
    <x v="8"/>
    <x v="1"/>
    <x v="9"/>
    <x v="1"/>
    <x v="1"/>
    <n v="10.59"/>
    <n v="35647.629999999997"/>
    <n v="87972.479999999996"/>
    <x v="2"/>
  </r>
  <r>
    <x v="4"/>
    <x v="1"/>
    <x v="8"/>
    <x v="1"/>
    <x v="31"/>
    <x v="1"/>
    <x v="1"/>
    <n v="0"/>
    <n v="0"/>
    <n v="0"/>
    <x v="2"/>
  </r>
  <r>
    <x v="4"/>
    <x v="1"/>
    <x v="8"/>
    <x v="1"/>
    <x v="10"/>
    <x v="1"/>
    <x v="1"/>
    <n v="33.49"/>
    <n v="112732.7"/>
    <n v="275861.8"/>
    <x v="2"/>
  </r>
  <r>
    <x v="4"/>
    <x v="1"/>
    <x v="8"/>
    <x v="1"/>
    <x v="11"/>
    <x v="1"/>
    <x v="1"/>
    <n v="32.71"/>
    <n v="110107.09"/>
    <n v="256738.7"/>
    <x v="2"/>
  </r>
  <r>
    <x v="4"/>
    <x v="1"/>
    <x v="8"/>
    <x v="1"/>
    <x v="12"/>
    <x v="1"/>
    <x v="1"/>
    <n v="3.94"/>
    <n v="13262.67"/>
    <n v="32513.23"/>
    <x v="2"/>
  </r>
  <r>
    <x v="4"/>
    <x v="1"/>
    <x v="8"/>
    <x v="1"/>
    <x v="13"/>
    <x v="1"/>
    <x v="1"/>
    <n v="17.59"/>
    <n v="59210.75"/>
    <n v="144655.65"/>
    <x v="2"/>
  </r>
  <r>
    <x v="4"/>
    <x v="1"/>
    <x v="8"/>
    <x v="1"/>
    <x v="14"/>
    <x v="1"/>
    <x v="1"/>
    <n v="11.14"/>
    <n v="37499.019999999997"/>
    <n v="89873.08"/>
    <x v="2"/>
  </r>
  <r>
    <x v="4"/>
    <x v="1"/>
    <x v="8"/>
    <x v="1"/>
    <x v="15"/>
    <x v="1"/>
    <x v="1"/>
    <n v="2.4700000000000002"/>
    <n v="8314.42"/>
    <n v="20598.36"/>
    <x v="2"/>
  </r>
  <r>
    <x v="4"/>
    <x v="1"/>
    <x v="8"/>
    <x v="1"/>
    <x v="16"/>
    <x v="1"/>
    <x v="1"/>
    <n v="10.53"/>
    <n v="35445.660000000003"/>
    <n v="83641.37"/>
    <x v="2"/>
  </r>
  <r>
    <x v="4"/>
    <x v="1"/>
    <x v="8"/>
    <x v="1"/>
    <x v="17"/>
    <x v="1"/>
    <x v="1"/>
    <n v="7.35"/>
    <n v="24741.279999999999"/>
    <n v="58965.54"/>
    <x v="2"/>
  </r>
  <r>
    <x v="4"/>
    <x v="1"/>
    <x v="8"/>
    <x v="1"/>
    <x v="18"/>
    <x v="1"/>
    <x v="1"/>
    <n v="27.13"/>
    <n v="91323.92"/>
    <n v="227684.12"/>
    <x v="2"/>
  </r>
  <r>
    <x v="4"/>
    <x v="1"/>
    <x v="8"/>
    <x v="1"/>
    <x v="19"/>
    <x v="1"/>
    <x v="1"/>
    <n v="15.77"/>
    <n v="53084.34"/>
    <n v="128340.33"/>
    <x v="2"/>
  </r>
  <r>
    <x v="4"/>
    <x v="1"/>
    <x v="8"/>
    <x v="1"/>
    <x v="20"/>
    <x v="1"/>
    <x v="1"/>
    <n v="26.31"/>
    <n v="88563.67"/>
    <n v="210619.16"/>
    <x v="2"/>
  </r>
  <r>
    <x v="4"/>
    <x v="1"/>
    <x v="8"/>
    <x v="2"/>
    <x v="21"/>
    <x v="1"/>
    <x v="1"/>
    <n v="3.34"/>
    <n v="11242.97"/>
    <n v="24537.29"/>
    <x v="2"/>
  </r>
  <r>
    <x v="4"/>
    <x v="1"/>
    <x v="8"/>
    <x v="2"/>
    <x v="22"/>
    <x v="1"/>
    <x v="1"/>
    <n v="21.08"/>
    <n v="70958.649999999994"/>
    <n v="155059.43"/>
    <x v="2"/>
  </r>
  <r>
    <x v="4"/>
    <x v="1"/>
    <x v="8"/>
    <x v="2"/>
    <x v="29"/>
    <x v="1"/>
    <x v="1"/>
    <n v="1.01"/>
    <n v="3399.82"/>
    <n v="7885.36"/>
    <x v="2"/>
  </r>
  <r>
    <x v="4"/>
    <x v="1"/>
    <x v="8"/>
    <x v="2"/>
    <x v="23"/>
    <x v="1"/>
    <x v="1"/>
    <n v="2.02"/>
    <n v="6799.64"/>
    <n v="15499.72"/>
    <x v="2"/>
  </r>
  <r>
    <x v="4"/>
    <x v="1"/>
    <x v="8"/>
    <x v="2"/>
    <x v="24"/>
    <x v="1"/>
    <x v="1"/>
    <n v="3.55"/>
    <n v="11949.87"/>
    <n v="26544.95"/>
    <x v="2"/>
  </r>
  <r>
    <x v="4"/>
    <x v="1"/>
    <x v="8"/>
    <x v="3"/>
    <x v="25"/>
    <x v="1"/>
    <x v="1"/>
    <n v="9.86"/>
    <n v="33190.339999999997"/>
    <n v="81549.58"/>
    <x v="2"/>
  </r>
  <r>
    <x v="4"/>
    <x v="1"/>
    <x v="8"/>
    <x v="3"/>
    <x v="26"/>
    <x v="1"/>
    <x v="1"/>
    <n v="22.04"/>
    <n v="74190.17"/>
    <n v="183622.15"/>
    <x v="2"/>
  </r>
  <r>
    <x v="4"/>
    <x v="1"/>
    <x v="8"/>
    <x v="3"/>
    <x v="27"/>
    <x v="1"/>
    <x v="1"/>
    <n v="44.01"/>
    <n v="148144.70000000001"/>
    <n v="359847.89"/>
    <x v="2"/>
  </r>
  <r>
    <x v="4"/>
    <x v="1"/>
    <x v="9"/>
    <x v="0"/>
    <x v="0"/>
    <x v="0"/>
    <x v="0"/>
    <n v="1.28"/>
    <n v="3455.76"/>
    <n v="11997.17"/>
    <x v="2"/>
  </r>
  <r>
    <x v="4"/>
    <x v="1"/>
    <x v="9"/>
    <x v="0"/>
    <x v="1"/>
    <x v="0"/>
    <x v="0"/>
    <n v="3.85"/>
    <n v="10394.27"/>
    <n v="36073.300000000003"/>
    <x v="2"/>
  </r>
  <r>
    <x v="4"/>
    <x v="1"/>
    <x v="9"/>
    <x v="0"/>
    <x v="2"/>
    <x v="0"/>
    <x v="0"/>
    <n v="0"/>
    <n v="0"/>
    <n v="0"/>
    <x v="2"/>
  </r>
  <r>
    <x v="4"/>
    <x v="1"/>
    <x v="9"/>
    <x v="0"/>
    <x v="3"/>
    <x v="0"/>
    <x v="0"/>
    <n v="2.78"/>
    <n v="7505.47"/>
    <n v="26042.77"/>
    <x v="2"/>
  </r>
  <r>
    <x v="4"/>
    <x v="1"/>
    <x v="9"/>
    <x v="0"/>
    <x v="4"/>
    <x v="0"/>
    <x v="0"/>
    <n v="0"/>
    <n v="0"/>
    <n v="0"/>
    <x v="2"/>
  </r>
  <r>
    <x v="4"/>
    <x v="1"/>
    <x v="9"/>
    <x v="0"/>
    <x v="5"/>
    <x v="0"/>
    <x v="0"/>
    <n v="0"/>
    <n v="0"/>
    <n v="0"/>
    <x v="2"/>
  </r>
  <r>
    <x v="4"/>
    <x v="1"/>
    <x v="9"/>
    <x v="0"/>
    <x v="6"/>
    <x v="0"/>
    <x v="0"/>
    <n v="0"/>
    <n v="0"/>
    <n v="0"/>
    <x v="2"/>
  </r>
  <r>
    <x v="4"/>
    <x v="1"/>
    <x v="9"/>
    <x v="0"/>
    <x v="8"/>
    <x v="0"/>
    <x v="0"/>
    <n v="0"/>
    <n v="0"/>
    <n v="0"/>
    <x v="2"/>
  </r>
  <r>
    <x v="4"/>
    <x v="1"/>
    <x v="9"/>
    <x v="1"/>
    <x v="10"/>
    <x v="0"/>
    <x v="0"/>
    <n v="1.62"/>
    <n v="4373.6899999999996"/>
    <n v="15190.72"/>
    <x v="2"/>
  </r>
  <r>
    <x v="4"/>
    <x v="1"/>
    <x v="9"/>
    <x v="1"/>
    <x v="11"/>
    <x v="0"/>
    <x v="0"/>
    <n v="0"/>
    <n v="0"/>
    <n v="0"/>
    <x v="2"/>
  </r>
  <r>
    <x v="4"/>
    <x v="1"/>
    <x v="9"/>
    <x v="1"/>
    <x v="13"/>
    <x v="0"/>
    <x v="0"/>
    <n v="0"/>
    <n v="0"/>
    <n v="0"/>
    <x v="2"/>
  </r>
  <r>
    <x v="4"/>
    <x v="1"/>
    <x v="9"/>
    <x v="1"/>
    <x v="14"/>
    <x v="0"/>
    <x v="0"/>
    <n v="0"/>
    <n v="0"/>
    <n v="0"/>
    <x v="2"/>
  </r>
  <r>
    <x v="4"/>
    <x v="1"/>
    <x v="9"/>
    <x v="1"/>
    <x v="16"/>
    <x v="0"/>
    <x v="0"/>
    <n v="0"/>
    <n v="0"/>
    <n v="0"/>
    <x v="2"/>
  </r>
  <r>
    <x v="4"/>
    <x v="1"/>
    <x v="9"/>
    <x v="1"/>
    <x v="17"/>
    <x v="0"/>
    <x v="0"/>
    <n v="0"/>
    <n v="0"/>
    <n v="0"/>
    <x v="2"/>
  </r>
  <r>
    <x v="4"/>
    <x v="1"/>
    <x v="9"/>
    <x v="1"/>
    <x v="18"/>
    <x v="0"/>
    <x v="0"/>
    <n v="0"/>
    <n v="0"/>
    <n v="0"/>
    <x v="2"/>
  </r>
  <r>
    <x v="4"/>
    <x v="1"/>
    <x v="9"/>
    <x v="1"/>
    <x v="19"/>
    <x v="0"/>
    <x v="0"/>
    <n v="0"/>
    <n v="0"/>
    <n v="0"/>
    <x v="2"/>
  </r>
  <r>
    <x v="4"/>
    <x v="1"/>
    <x v="9"/>
    <x v="1"/>
    <x v="20"/>
    <x v="0"/>
    <x v="0"/>
    <n v="1.81"/>
    <n v="4886.66"/>
    <n v="16963.349999999999"/>
    <x v="2"/>
  </r>
  <r>
    <x v="4"/>
    <x v="1"/>
    <x v="9"/>
    <x v="2"/>
    <x v="21"/>
    <x v="0"/>
    <x v="0"/>
    <n v="2.37"/>
    <n v="6398.55"/>
    <n v="22239.59"/>
    <x v="2"/>
  </r>
  <r>
    <x v="4"/>
    <x v="1"/>
    <x v="9"/>
    <x v="2"/>
    <x v="22"/>
    <x v="0"/>
    <x v="0"/>
    <n v="0"/>
    <n v="0"/>
    <n v="0"/>
    <x v="2"/>
  </r>
  <r>
    <x v="4"/>
    <x v="1"/>
    <x v="9"/>
    <x v="2"/>
    <x v="29"/>
    <x v="0"/>
    <x v="0"/>
    <n v="0"/>
    <n v="0"/>
    <n v="0"/>
    <x v="2"/>
  </r>
  <r>
    <x v="4"/>
    <x v="1"/>
    <x v="9"/>
    <x v="2"/>
    <x v="24"/>
    <x v="0"/>
    <x v="0"/>
    <n v="0"/>
    <n v="0"/>
    <n v="0"/>
    <x v="2"/>
  </r>
  <r>
    <x v="4"/>
    <x v="1"/>
    <x v="9"/>
    <x v="3"/>
    <x v="25"/>
    <x v="0"/>
    <x v="0"/>
    <n v="0"/>
    <n v="0"/>
    <n v="0"/>
    <x v="2"/>
  </r>
  <r>
    <x v="4"/>
    <x v="1"/>
    <x v="9"/>
    <x v="3"/>
    <x v="26"/>
    <x v="0"/>
    <x v="0"/>
    <n v="1.35"/>
    <n v="3644.74"/>
    <n v="12670.76"/>
    <x v="2"/>
  </r>
  <r>
    <x v="4"/>
    <x v="1"/>
    <x v="9"/>
    <x v="3"/>
    <x v="27"/>
    <x v="0"/>
    <x v="0"/>
    <n v="2.91"/>
    <n v="7856.45"/>
    <n v="27263.02"/>
    <x v="2"/>
  </r>
  <r>
    <x v="4"/>
    <x v="1"/>
    <x v="9"/>
    <x v="0"/>
    <x v="0"/>
    <x v="0"/>
    <x v="1"/>
    <n v="1.74"/>
    <n v="4697.67"/>
    <n v="16281.87"/>
    <x v="2"/>
  </r>
  <r>
    <x v="4"/>
    <x v="1"/>
    <x v="9"/>
    <x v="0"/>
    <x v="1"/>
    <x v="0"/>
    <x v="1"/>
    <n v="7.99"/>
    <n v="21571.48"/>
    <n v="74921.48"/>
    <x v="2"/>
  </r>
  <r>
    <x v="4"/>
    <x v="1"/>
    <x v="9"/>
    <x v="0"/>
    <x v="2"/>
    <x v="0"/>
    <x v="1"/>
    <n v="3.5"/>
    <n v="9449.34"/>
    <n v="32794.01"/>
    <x v="2"/>
  </r>
  <r>
    <x v="4"/>
    <x v="1"/>
    <x v="9"/>
    <x v="0"/>
    <x v="3"/>
    <x v="0"/>
    <x v="1"/>
    <n v="8.9600000000000009"/>
    <n v="24190.3"/>
    <n v="84047.13"/>
    <x v="2"/>
  </r>
  <r>
    <x v="4"/>
    <x v="1"/>
    <x v="9"/>
    <x v="0"/>
    <x v="4"/>
    <x v="0"/>
    <x v="1"/>
    <n v="1.59"/>
    <n v="4292.7"/>
    <n v="14955.31"/>
    <x v="2"/>
  </r>
  <r>
    <x v="4"/>
    <x v="1"/>
    <x v="9"/>
    <x v="0"/>
    <x v="5"/>
    <x v="0"/>
    <x v="1"/>
    <n v="1.47"/>
    <n v="3968.72"/>
    <n v="13803.8"/>
    <x v="2"/>
  </r>
  <r>
    <x v="4"/>
    <x v="1"/>
    <x v="9"/>
    <x v="0"/>
    <x v="6"/>
    <x v="0"/>
    <x v="1"/>
    <n v="1.99"/>
    <n v="5372.62"/>
    <n v="18687.650000000001"/>
    <x v="2"/>
  </r>
  <r>
    <x v="4"/>
    <x v="1"/>
    <x v="9"/>
    <x v="0"/>
    <x v="8"/>
    <x v="0"/>
    <x v="1"/>
    <n v="3.44"/>
    <n v="9287.35"/>
    <n v="32223.18"/>
    <x v="2"/>
  </r>
  <r>
    <x v="4"/>
    <x v="1"/>
    <x v="9"/>
    <x v="1"/>
    <x v="10"/>
    <x v="0"/>
    <x v="1"/>
    <n v="4.8600000000000003"/>
    <n v="13121.08"/>
    <n v="45572.15"/>
    <x v="2"/>
  </r>
  <r>
    <x v="4"/>
    <x v="1"/>
    <x v="9"/>
    <x v="1"/>
    <x v="11"/>
    <x v="0"/>
    <x v="1"/>
    <n v="10.37"/>
    <n v="27997.03"/>
    <n v="97235.95"/>
    <x v="2"/>
  </r>
  <r>
    <x v="4"/>
    <x v="1"/>
    <x v="9"/>
    <x v="1"/>
    <x v="13"/>
    <x v="0"/>
    <x v="1"/>
    <n v="2.1"/>
    <n v="5669.6"/>
    <n v="19690.689999999999"/>
    <x v="2"/>
  </r>
  <r>
    <x v="4"/>
    <x v="1"/>
    <x v="9"/>
    <x v="1"/>
    <x v="14"/>
    <x v="0"/>
    <x v="1"/>
    <n v="1.89"/>
    <n v="5102.6400000000003"/>
    <n v="17747.98"/>
    <x v="2"/>
  </r>
  <r>
    <x v="4"/>
    <x v="1"/>
    <x v="9"/>
    <x v="1"/>
    <x v="16"/>
    <x v="0"/>
    <x v="1"/>
    <n v="1.61"/>
    <n v="4346.6899999999996"/>
    <n v="15144.52"/>
    <x v="2"/>
  </r>
  <r>
    <x v="4"/>
    <x v="1"/>
    <x v="9"/>
    <x v="1"/>
    <x v="17"/>
    <x v="0"/>
    <x v="1"/>
    <n v="2.23"/>
    <n v="6020.58"/>
    <n v="20920.259999999998"/>
    <x v="2"/>
  </r>
  <r>
    <x v="4"/>
    <x v="1"/>
    <x v="9"/>
    <x v="1"/>
    <x v="18"/>
    <x v="0"/>
    <x v="1"/>
    <n v="11.1"/>
    <n v="29967.89"/>
    <n v="104078.53"/>
    <x v="2"/>
  </r>
  <r>
    <x v="4"/>
    <x v="1"/>
    <x v="9"/>
    <x v="1"/>
    <x v="19"/>
    <x v="0"/>
    <x v="1"/>
    <n v="4"/>
    <n v="10799.24"/>
    <n v="37553.08"/>
    <x v="2"/>
  </r>
  <r>
    <x v="4"/>
    <x v="1"/>
    <x v="9"/>
    <x v="1"/>
    <x v="20"/>
    <x v="0"/>
    <x v="1"/>
    <n v="10.220000000000001"/>
    <n v="27592.06"/>
    <n v="95842.94"/>
    <x v="2"/>
  </r>
  <r>
    <x v="4"/>
    <x v="1"/>
    <x v="9"/>
    <x v="2"/>
    <x v="21"/>
    <x v="0"/>
    <x v="1"/>
    <n v="0"/>
    <n v="0"/>
    <n v="0"/>
    <x v="2"/>
  </r>
  <r>
    <x v="4"/>
    <x v="1"/>
    <x v="9"/>
    <x v="2"/>
    <x v="22"/>
    <x v="0"/>
    <x v="1"/>
    <n v="3.4"/>
    <n v="9179.35"/>
    <n v="31868.52"/>
    <x v="2"/>
  </r>
  <r>
    <x v="4"/>
    <x v="1"/>
    <x v="9"/>
    <x v="2"/>
    <x v="29"/>
    <x v="0"/>
    <x v="1"/>
    <n v="2.3199999999999998"/>
    <n v="6263.56"/>
    <n v="21745.49"/>
    <x v="2"/>
  </r>
  <r>
    <x v="4"/>
    <x v="1"/>
    <x v="9"/>
    <x v="2"/>
    <x v="24"/>
    <x v="0"/>
    <x v="1"/>
    <n v="2.0699999999999998"/>
    <n v="5588.61"/>
    <n v="19418.38"/>
    <x v="2"/>
  </r>
  <r>
    <x v="4"/>
    <x v="1"/>
    <x v="9"/>
    <x v="3"/>
    <x v="25"/>
    <x v="0"/>
    <x v="1"/>
    <n v="2.04"/>
    <n v="5507.61"/>
    <n v="19145.25"/>
    <x v="2"/>
  </r>
  <r>
    <x v="4"/>
    <x v="1"/>
    <x v="9"/>
    <x v="3"/>
    <x v="26"/>
    <x v="0"/>
    <x v="1"/>
    <n v="1.08"/>
    <n v="2915.79"/>
    <n v="10136.6"/>
    <x v="2"/>
  </r>
  <r>
    <x v="4"/>
    <x v="1"/>
    <x v="9"/>
    <x v="3"/>
    <x v="27"/>
    <x v="0"/>
    <x v="1"/>
    <n v="7.99"/>
    <n v="21571.48"/>
    <n v="74973.289999999994"/>
    <x v="2"/>
  </r>
  <r>
    <x v="4"/>
    <x v="1"/>
    <x v="9"/>
    <x v="0"/>
    <x v="0"/>
    <x v="1"/>
    <x v="0"/>
    <n v="4.24"/>
    <n v="11447.19"/>
    <n v="26004.05"/>
    <x v="2"/>
  </r>
  <r>
    <x v="4"/>
    <x v="1"/>
    <x v="9"/>
    <x v="0"/>
    <x v="1"/>
    <x v="1"/>
    <x v="0"/>
    <n v="12.34"/>
    <n v="33315.660000000003"/>
    <n v="74413.03"/>
    <x v="2"/>
  </r>
  <r>
    <x v="4"/>
    <x v="1"/>
    <x v="9"/>
    <x v="0"/>
    <x v="2"/>
    <x v="1"/>
    <x v="0"/>
    <n v="6.82"/>
    <n v="18412.7"/>
    <n v="39737.410000000003"/>
    <x v="2"/>
  </r>
  <r>
    <x v="4"/>
    <x v="1"/>
    <x v="9"/>
    <x v="0"/>
    <x v="3"/>
    <x v="1"/>
    <x v="0"/>
    <n v="12.48"/>
    <n v="33693.629999999997"/>
    <n v="75644.13"/>
    <x v="2"/>
  </r>
  <r>
    <x v="4"/>
    <x v="1"/>
    <x v="9"/>
    <x v="0"/>
    <x v="28"/>
    <x v="1"/>
    <x v="0"/>
    <n v="0"/>
    <n v="0"/>
    <n v="0"/>
    <x v="2"/>
  </r>
  <r>
    <x v="4"/>
    <x v="1"/>
    <x v="9"/>
    <x v="0"/>
    <x v="4"/>
    <x v="1"/>
    <x v="0"/>
    <n v="8.4499999999999993"/>
    <n v="22813.39"/>
    <n v="50738.11"/>
    <x v="2"/>
  </r>
  <r>
    <x v="4"/>
    <x v="1"/>
    <x v="9"/>
    <x v="0"/>
    <x v="5"/>
    <x v="1"/>
    <x v="0"/>
    <n v="2.67"/>
    <n v="7208.49"/>
    <n v="16498.330000000002"/>
    <x v="2"/>
  </r>
  <r>
    <x v="4"/>
    <x v="1"/>
    <x v="9"/>
    <x v="0"/>
    <x v="6"/>
    <x v="1"/>
    <x v="0"/>
    <n v="0"/>
    <n v="0"/>
    <n v="0"/>
    <x v="2"/>
  </r>
  <r>
    <x v="4"/>
    <x v="1"/>
    <x v="9"/>
    <x v="0"/>
    <x v="7"/>
    <x v="1"/>
    <x v="0"/>
    <n v="0"/>
    <n v="0"/>
    <n v="0"/>
    <x v="2"/>
  </r>
  <r>
    <x v="4"/>
    <x v="1"/>
    <x v="9"/>
    <x v="0"/>
    <x v="8"/>
    <x v="1"/>
    <x v="0"/>
    <n v="0"/>
    <n v="0"/>
    <n v="0"/>
    <x v="2"/>
  </r>
  <r>
    <x v="4"/>
    <x v="1"/>
    <x v="9"/>
    <x v="1"/>
    <x v="30"/>
    <x v="1"/>
    <x v="0"/>
    <n v="1.56"/>
    <n v="4211.7"/>
    <n v="10089.61"/>
    <x v="2"/>
  </r>
  <r>
    <x v="4"/>
    <x v="1"/>
    <x v="9"/>
    <x v="1"/>
    <x v="9"/>
    <x v="1"/>
    <x v="0"/>
    <n v="0"/>
    <n v="0"/>
    <n v="0"/>
    <x v="2"/>
  </r>
  <r>
    <x v="4"/>
    <x v="1"/>
    <x v="9"/>
    <x v="1"/>
    <x v="31"/>
    <x v="1"/>
    <x v="0"/>
    <n v="0"/>
    <n v="0"/>
    <n v="0"/>
    <x v="2"/>
  </r>
  <r>
    <x v="4"/>
    <x v="1"/>
    <x v="9"/>
    <x v="1"/>
    <x v="10"/>
    <x v="1"/>
    <x v="0"/>
    <n v="5.4"/>
    <n v="14578.97"/>
    <n v="34543.18"/>
    <x v="2"/>
  </r>
  <r>
    <x v="4"/>
    <x v="1"/>
    <x v="9"/>
    <x v="1"/>
    <x v="11"/>
    <x v="1"/>
    <x v="0"/>
    <n v="7.6"/>
    <n v="20518.560000000001"/>
    <n v="46325.59"/>
    <x v="2"/>
  </r>
  <r>
    <x v="4"/>
    <x v="1"/>
    <x v="9"/>
    <x v="1"/>
    <x v="12"/>
    <x v="1"/>
    <x v="0"/>
    <n v="1.99"/>
    <n v="5372.62"/>
    <n v="12742.25"/>
    <x v="2"/>
  </r>
  <r>
    <x v="4"/>
    <x v="1"/>
    <x v="9"/>
    <x v="1"/>
    <x v="13"/>
    <x v="1"/>
    <x v="0"/>
    <n v="2.82"/>
    <n v="7613.46"/>
    <n v="18018.080000000002"/>
    <x v="2"/>
  </r>
  <r>
    <x v="4"/>
    <x v="1"/>
    <x v="9"/>
    <x v="1"/>
    <x v="14"/>
    <x v="1"/>
    <x v="0"/>
    <n v="12.62"/>
    <n v="34071.599999999999"/>
    <n v="79064.36"/>
    <x v="2"/>
  </r>
  <r>
    <x v="4"/>
    <x v="1"/>
    <x v="9"/>
    <x v="1"/>
    <x v="15"/>
    <x v="1"/>
    <x v="0"/>
    <n v="1.95"/>
    <n v="5264.63"/>
    <n v="12653.85"/>
    <x v="2"/>
  </r>
  <r>
    <x v="4"/>
    <x v="1"/>
    <x v="9"/>
    <x v="1"/>
    <x v="16"/>
    <x v="1"/>
    <x v="0"/>
    <n v="6.25"/>
    <n v="16873.810000000001"/>
    <n v="38568.71"/>
    <x v="2"/>
  </r>
  <r>
    <x v="4"/>
    <x v="1"/>
    <x v="9"/>
    <x v="1"/>
    <x v="17"/>
    <x v="1"/>
    <x v="0"/>
    <n v="6.37"/>
    <n v="17197.79"/>
    <n v="39675.75"/>
    <x v="2"/>
  </r>
  <r>
    <x v="4"/>
    <x v="1"/>
    <x v="9"/>
    <x v="1"/>
    <x v="18"/>
    <x v="1"/>
    <x v="0"/>
    <n v="7.76"/>
    <n v="20950.53"/>
    <n v="50610.65"/>
    <x v="2"/>
  </r>
  <r>
    <x v="4"/>
    <x v="1"/>
    <x v="9"/>
    <x v="1"/>
    <x v="19"/>
    <x v="1"/>
    <x v="0"/>
    <n v="10.55"/>
    <n v="28483"/>
    <n v="66671.240000000005"/>
    <x v="2"/>
  </r>
  <r>
    <x v="4"/>
    <x v="1"/>
    <x v="9"/>
    <x v="1"/>
    <x v="20"/>
    <x v="1"/>
    <x v="0"/>
    <n v="9.34"/>
    <n v="25216.23"/>
    <n v="58071.48"/>
    <x v="2"/>
  </r>
  <r>
    <x v="4"/>
    <x v="1"/>
    <x v="9"/>
    <x v="2"/>
    <x v="21"/>
    <x v="1"/>
    <x v="0"/>
    <n v="0"/>
    <n v="0"/>
    <n v="0"/>
    <x v="2"/>
  </r>
  <r>
    <x v="4"/>
    <x v="1"/>
    <x v="9"/>
    <x v="2"/>
    <x v="22"/>
    <x v="1"/>
    <x v="0"/>
    <n v="8.06"/>
    <n v="21760.47"/>
    <n v="46038.77"/>
    <x v="2"/>
  </r>
  <r>
    <x v="4"/>
    <x v="1"/>
    <x v="9"/>
    <x v="2"/>
    <x v="29"/>
    <x v="1"/>
    <x v="0"/>
    <n v="0"/>
    <n v="0"/>
    <n v="0"/>
    <x v="2"/>
  </r>
  <r>
    <x v="4"/>
    <x v="1"/>
    <x v="9"/>
    <x v="2"/>
    <x v="23"/>
    <x v="1"/>
    <x v="0"/>
    <n v="0"/>
    <n v="0"/>
    <n v="0"/>
    <x v="2"/>
  </r>
  <r>
    <x v="4"/>
    <x v="1"/>
    <x v="9"/>
    <x v="2"/>
    <x v="24"/>
    <x v="1"/>
    <x v="0"/>
    <n v="1.22"/>
    <n v="3293.77"/>
    <n v="7066.18"/>
    <x v="2"/>
  </r>
  <r>
    <x v="4"/>
    <x v="1"/>
    <x v="9"/>
    <x v="3"/>
    <x v="25"/>
    <x v="1"/>
    <x v="0"/>
    <n v="5.0199999999999996"/>
    <n v="13553.05"/>
    <n v="32249.86"/>
    <x v="2"/>
  </r>
  <r>
    <x v="4"/>
    <x v="1"/>
    <x v="9"/>
    <x v="3"/>
    <x v="26"/>
    <x v="1"/>
    <x v="0"/>
    <n v="5.18"/>
    <n v="13985.02"/>
    <n v="33503.56"/>
    <x v="2"/>
  </r>
  <r>
    <x v="4"/>
    <x v="1"/>
    <x v="9"/>
    <x v="3"/>
    <x v="27"/>
    <x v="1"/>
    <x v="0"/>
    <n v="7.2"/>
    <n v="19438.63"/>
    <n v="45717.17"/>
    <x v="2"/>
  </r>
  <r>
    <x v="4"/>
    <x v="1"/>
    <x v="9"/>
    <x v="0"/>
    <x v="0"/>
    <x v="1"/>
    <x v="1"/>
    <n v="11.07"/>
    <n v="29886.9"/>
    <n v="67928.95"/>
    <x v="2"/>
  </r>
  <r>
    <x v="4"/>
    <x v="1"/>
    <x v="9"/>
    <x v="0"/>
    <x v="1"/>
    <x v="1"/>
    <x v="1"/>
    <n v="21.76"/>
    <n v="58747.87"/>
    <n v="131228.38"/>
    <x v="2"/>
  </r>
  <r>
    <x v="4"/>
    <x v="1"/>
    <x v="9"/>
    <x v="0"/>
    <x v="2"/>
    <x v="1"/>
    <x v="1"/>
    <n v="12.79"/>
    <n v="34530.57"/>
    <n v="74507.64"/>
    <x v="2"/>
  </r>
  <r>
    <x v="4"/>
    <x v="1"/>
    <x v="9"/>
    <x v="0"/>
    <x v="3"/>
    <x v="1"/>
    <x v="1"/>
    <n v="25.4"/>
    <n v="68575.17"/>
    <n v="153896.68"/>
    <x v="2"/>
  </r>
  <r>
    <x v="4"/>
    <x v="1"/>
    <x v="9"/>
    <x v="0"/>
    <x v="28"/>
    <x v="1"/>
    <x v="1"/>
    <n v="3.8"/>
    <n v="10259.280000000001"/>
    <n v="23299.279999999999"/>
    <x v="2"/>
  </r>
  <r>
    <x v="4"/>
    <x v="1"/>
    <x v="9"/>
    <x v="0"/>
    <x v="4"/>
    <x v="1"/>
    <x v="1"/>
    <n v="8.0299999999999994"/>
    <n v="21679.47"/>
    <n v="48175.58"/>
    <x v="2"/>
  </r>
  <r>
    <x v="4"/>
    <x v="1"/>
    <x v="9"/>
    <x v="0"/>
    <x v="5"/>
    <x v="1"/>
    <x v="1"/>
    <n v="20.75"/>
    <n v="56021.06"/>
    <n v="128261.19"/>
    <x v="2"/>
  </r>
  <r>
    <x v="4"/>
    <x v="1"/>
    <x v="9"/>
    <x v="0"/>
    <x v="6"/>
    <x v="1"/>
    <x v="1"/>
    <n v="2.31"/>
    <n v="6236.56"/>
    <n v="14235.78"/>
    <x v="2"/>
  </r>
  <r>
    <x v="4"/>
    <x v="1"/>
    <x v="9"/>
    <x v="0"/>
    <x v="7"/>
    <x v="1"/>
    <x v="1"/>
    <n v="4.25"/>
    <n v="11474.19"/>
    <n v="26632.1"/>
    <x v="2"/>
  </r>
  <r>
    <x v="4"/>
    <x v="1"/>
    <x v="9"/>
    <x v="0"/>
    <x v="8"/>
    <x v="1"/>
    <x v="1"/>
    <n v="2.7"/>
    <n v="7289.49"/>
    <n v="16140.43"/>
    <x v="2"/>
  </r>
  <r>
    <x v="4"/>
    <x v="1"/>
    <x v="9"/>
    <x v="1"/>
    <x v="30"/>
    <x v="1"/>
    <x v="1"/>
    <n v="0"/>
    <n v="0"/>
    <n v="0"/>
    <x v="2"/>
  </r>
  <r>
    <x v="4"/>
    <x v="1"/>
    <x v="9"/>
    <x v="1"/>
    <x v="9"/>
    <x v="1"/>
    <x v="1"/>
    <n v="3.92"/>
    <n v="10583.26"/>
    <n v="25308.71"/>
    <x v="2"/>
  </r>
  <r>
    <x v="4"/>
    <x v="1"/>
    <x v="9"/>
    <x v="1"/>
    <x v="31"/>
    <x v="1"/>
    <x v="1"/>
    <n v="0"/>
    <n v="0"/>
    <n v="0"/>
    <x v="2"/>
  </r>
  <r>
    <x v="4"/>
    <x v="1"/>
    <x v="9"/>
    <x v="1"/>
    <x v="10"/>
    <x v="1"/>
    <x v="1"/>
    <n v="31.3"/>
    <n v="84504.05"/>
    <n v="200233.34"/>
    <x v="2"/>
  </r>
  <r>
    <x v="4"/>
    <x v="1"/>
    <x v="9"/>
    <x v="1"/>
    <x v="11"/>
    <x v="1"/>
    <x v="1"/>
    <n v="30.31"/>
    <n v="81831.240000000005"/>
    <n v="184781.84"/>
    <x v="2"/>
  </r>
  <r>
    <x v="4"/>
    <x v="1"/>
    <x v="9"/>
    <x v="1"/>
    <x v="12"/>
    <x v="1"/>
    <x v="1"/>
    <n v="3.02"/>
    <n v="8153.43"/>
    <n v="19390.38"/>
    <x v="2"/>
  </r>
  <r>
    <x v="4"/>
    <x v="1"/>
    <x v="9"/>
    <x v="1"/>
    <x v="13"/>
    <x v="1"/>
    <x v="1"/>
    <n v="11.03"/>
    <n v="29778.9"/>
    <n v="70434.320000000007"/>
    <x v="2"/>
  </r>
  <r>
    <x v="4"/>
    <x v="1"/>
    <x v="9"/>
    <x v="1"/>
    <x v="14"/>
    <x v="1"/>
    <x v="1"/>
    <n v="5.45"/>
    <n v="14713.96"/>
    <n v="34116.81"/>
    <x v="2"/>
  </r>
  <r>
    <x v="4"/>
    <x v="1"/>
    <x v="9"/>
    <x v="1"/>
    <x v="15"/>
    <x v="1"/>
    <x v="1"/>
    <n v="2.4"/>
    <n v="6479.54"/>
    <n v="15529.73"/>
    <x v="2"/>
  </r>
  <r>
    <x v="4"/>
    <x v="1"/>
    <x v="9"/>
    <x v="1"/>
    <x v="16"/>
    <x v="1"/>
    <x v="1"/>
    <n v="9.33"/>
    <n v="25189.23"/>
    <n v="57588.89"/>
    <x v="2"/>
  </r>
  <r>
    <x v="4"/>
    <x v="1"/>
    <x v="9"/>
    <x v="1"/>
    <x v="17"/>
    <x v="1"/>
    <x v="1"/>
    <n v="4.1900000000000004"/>
    <n v="11312.2"/>
    <n v="26088.16"/>
    <x v="2"/>
  </r>
  <r>
    <x v="4"/>
    <x v="1"/>
    <x v="9"/>
    <x v="1"/>
    <x v="18"/>
    <x v="1"/>
    <x v="1"/>
    <n v="26.53"/>
    <n v="71625.960000000006"/>
    <n v="172966.08"/>
    <x v="2"/>
  </r>
  <r>
    <x v="4"/>
    <x v="1"/>
    <x v="9"/>
    <x v="1"/>
    <x v="19"/>
    <x v="1"/>
    <x v="1"/>
    <n v="14.76"/>
    <n v="39849.199999999997"/>
    <n v="93339.74"/>
    <x v="2"/>
  </r>
  <r>
    <x v="4"/>
    <x v="1"/>
    <x v="9"/>
    <x v="1"/>
    <x v="20"/>
    <x v="1"/>
    <x v="1"/>
    <n v="15.44"/>
    <n v="41685.07"/>
    <n v="96041.29"/>
    <x v="2"/>
  </r>
  <r>
    <x v="4"/>
    <x v="1"/>
    <x v="9"/>
    <x v="2"/>
    <x v="21"/>
    <x v="1"/>
    <x v="1"/>
    <n v="1.79"/>
    <n v="4832.66"/>
    <n v="10240.629999999999"/>
    <x v="2"/>
  </r>
  <r>
    <x v="4"/>
    <x v="1"/>
    <x v="9"/>
    <x v="2"/>
    <x v="22"/>
    <x v="1"/>
    <x v="1"/>
    <n v="10.86"/>
    <n v="29319.94"/>
    <n v="62031.19"/>
    <x v="2"/>
  </r>
  <r>
    <x v="4"/>
    <x v="1"/>
    <x v="9"/>
    <x v="2"/>
    <x v="29"/>
    <x v="1"/>
    <x v="1"/>
    <n v="1.73"/>
    <n v="4670.67"/>
    <n v="10471.700000000001"/>
    <x v="2"/>
  </r>
  <r>
    <x v="4"/>
    <x v="1"/>
    <x v="9"/>
    <x v="2"/>
    <x v="23"/>
    <x v="1"/>
    <x v="1"/>
    <n v="3.02"/>
    <n v="8153.43"/>
    <n v="17964.060000000001"/>
    <x v="2"/>
  </r>
  <r>
    <x v="4"/>
    <x v="1"/>
    <x v="9"/>
    <x v="2"/>
    <x v="24"/>
    <x v="1"/>
    <x v="1"/>
    <n v="2.2599999999999998"/>
    <n v="6101.57"/>
    <n v="13122.9"/>
    <x v="2"/>
  </r>
  <r>
    <x v="4"/>
    <x v="1"/>
    <x v="9"/>
    <x v="3"/>
    <x v="25"/>
    <x v="1"/>
    <x v="1"/>
    <n v="8.48"/>
    <n v="22894.39"/>
    <n v="54491.15"/>
    <x v="2"/>
  </r>
  <r>
    <x v="4"/>
    <x v="1"/>
    <x v="9"/>
    <x v="3"/>
    <x v="26"/>
    <x v="1"/>
    <x v="1"/>
    <n v="16.57"/>
    <n v="44735.85"/>
    <n v="107211.4"/>
    <x v="2"/>
  </r>
  <r>
    <x v="4"/>
    <x v="1"/>
    <x v="9"/>
    <x v="3"/>
    <x v="27"/>
    <x v="1"/>
    <x v="1"/>
    <n v="24.85"/>
    <n v="67090.28"/>
    <n v="157812.16"/>
    <x v="2"/>
  </r>
  <r>
    <x v="5"/>
    <x v="1"/>
    <x v="0"/>
    <x v="0"/>
    <x v="0"/>
    <x v="0"/>
    <x v="0"/>
    <n v="3.64"/>
    <n v="24155.26"/>
    <n v="105984.7"/>
    <x v="2"/>
  </r>
  <r>
    <x v="5"/>
    <x v="1"/>
    <x v="0"/>
    <x v="0"/>
    <x v="1"/>
    <x v="0"/>
    <x v="0"/>
    <n v="7.21"/>
    <n v="47845.99"/>
    <n v="209808.51"/>
    <x v="2"/>
  </r>
  <r>
    <x v="5"/>
    <x v="1"/>
    <x v="0"/>
    <x v="0"/>
    <x v="2"/>
    <x v="0"/>
    <x v="0"/>
    <n v="0"/>
    <n v="0"/>
    <n v="0"/>
    <x v="2"/>
  </r>
  <r>
    <x v="5"/>
    <x v="1"/>
    <x v="0"/>
    <x v="0"/>
    <x v="3"/>
    <x v="0"/>
    <x v="0"/>
    <n v="2.19"/>
    <n v="14532.97"/>
    <n v="63861.33"/>
    <x v="2"/>
  </r>
  <r>
    <x v="5"/>
    <x v="1"/>
    <x v="0"/>
    <x v="0"/>
    <x v="4"/>
    <x v="0"/>
    <x v="0"/>
    <n v="0"/>
    <n v="0"/>
    <n v="0"/>
    <x v="2"/>
  </r>
  <r>
    <x v="5"/>
    <x v="1"/>
    <x v="0"/>
    <x v="0"/>
    <x v="5"/>
    <x v="0"/>
    <x v="0"/>
    <n v="0"/>
    <n v="0"/>
    <n v="0"/>
    <x v="2"/>
  </r>
  <r>
    <x v="5"/>
    <x v="1"/>
    <x v="0"/>
    <x v="0"/>
    <x v="6"/>
    <x v="0"/>
    <x v="0"/>
    <n v="0"/>
    <n v="0"/>
    <n v="0"/>
    <x v="2"/>
  </r>
  <r>
    <x v="5"/>
    <x v="1"/>
    <x v="0"/>
    <x v="0"/>
    <x v="8"/>
    <x v="0"/>
    <x v="0"/>
    <n v="0"/>
    <n v="0"/>
    <n v="0"/>
    <x v="2"/>
  </r>
  <r>
    <x v="5"/>
    <x v="1"/>
    <x v="0"/>
    <x v="1"/>
    <x v="10"/>
    <x v="0"/>
    <x v="0"/>
    <n v="2.2799999999999998"/>
    <n v="15130.22"/>
    <n v="66471.039999999994"/>
    <x v="2"/>
  </r>
  <r>
    <x v="5"/>
    <x v="1"/>
    <x v="0"/>
    <x v="1"/>
    <x v="11"/>
    <x v="0"/>
    <x v="0"/>
    <n v="0"/>
    <n v="0"/>
    <n v="0"/>
    <x v="2"/>
  </r>
  <r>
    <x v="5"/>
    <x v="1"/>
    <x v="0"/>
    <x v="1"/>
    <x v="13"/>
    <x v="0"/>
    <x v="0"/>
    <n v="0"/>
    <n v="0"/>
    <n v="0"/>
    <x v="2"/>
  </r>
  <r>
    <x v="5"/>
    <x v="1"/>
    <x v="0"/>
    <x v="1"/>
    <x v="14"/>
    <x v="0"/>
    <x v="0"/>
    <n v="0"/>
    <n v="0"/>
    <n v="0"/>
    <x v="2"/>
  </r>
  <r>
    <x v="5"/>
    <x v="1"/>
    <x v="0"/>
    <x v="1"/>
    <x v="16"/>
    <x v="0"/>
    <x v="0"/>
    <n v="0"/>
    <n v="0"/>
    <n v="0"/>
    <x v="2"/>
  </r>
  <r>
    <x v="5"/>
    <x v="1"/>
    <x v="0"/>
    <x v="1"/>
    <x v="17"/>
    <x v="0"/>
    <x v="0"/>
    <n v="0"/>
    <n v="0"/>
    <n v="0"/>
    <x v="2"/>
  </r>
  <r>
    <x v="5"/>
    <x v="1"/>
    <x v="0"/>
    <x v="1"/>
    <x v="18"/>
    <x v="0"/>
    <x v="0"/>
    <n v="0"/>
    <n v="0"/>
    <n v="0"/>
    <x v="2"/>
  </r>
  <r>
    <x v="5"/>
    <x v="1"/>
    <x v="0"/>
    <x v="1"/>
    <x v="19"/>
    <x v="0"/>
    <x v="0"/>
    <n v="0"/>
    <n v="0"/>
    <n v="0"/>
    <x v="2"/>
  </r>
  <r>
    <x v="5"/>
    <x v="1"/>
    <x v="0"/>
    <x v="1"/>
    <x v="20"/>
    <x v="0"/>
    <x v="0"/>
    <n v="2.93"/>
    <n v="19443.66"/>
    <n v="85327.56"/>
    <x v="2"/>
  </r>
  <r>
    <x v="5"/>
    <x v="1"/>
    <x v="0"/>
    <x v="2"/>
    <x v="21"/>
    <x v="0"/>
    <x v="0"/>
    <n v="2.34"/>
    <n v="15528.38"/>
    <n v="68106.710000000006"/>
    <x v="2"/>
  </r>
  <r>
    <x v="5"/>
    <x v="1"/>
    <x v="0"/>
    <x v="2"/>
    <x v="22"/>
    <x v="0"/>
    <x v="0"/>
    <n v="0"/>
    <n v="0"/>
    <n v="0"/>
    <x v="2"/>
  </r>
  <r>
    <x v="5"/>
    <x v="1"/>
    <x v="0"/>
    <x v="2"/>
    <x v="29"/>
    <x v="0"/>
    <x v="0"/>
    <n v="0"/>
    <n v="0"/>
    <n v="0"/>
    <x v="2"/>
  </r>
  <r>
    <x v="5"/>
    <x v="1"/>
    <x v="0"/>
    <x v="2"/>
    <x v="24"/>
    <x v="0"/>
    <x v="0"/>
    <n v="0"/>
    <n v="0"/>
    <n v="0"/>
    <x v="2"/>
  </r>
  <r>
    <x v="5"/>
    <x v="1"/>
    <x v="0"/>
    <x v="3"/>
    <x v="25"/>
    <x v="0"/>
    <x v="0"/>
    <n v="0"/>
    <n v="0"/>
    <n v="0"/>
    <x v="2"/>
  </r>
  <r>
    <x v="5"/>
    <x v="1"/>
    <x v="0"/>
    <x v="3"/>
    <x v="26"/>
    <x v="0"/>
    <x v="0"/>
    <n v="2.65"/>
    <n v="17585.560000000001"/>
    <n v="77244.88"/>
    <x v="2"/>
  </r>
  <r>
    <x v="5"/>
    <x v="1"/>
    <x v="0"/>
    <x v="3"/>
    <x v="27"/>
    <x v="0"/>
    <x v="0"/>
    <n v="3.28"/>
    <n v="21766.28"/>
    <n v="95561.78"/>
    <x v="2"/>
  </r>
  <r>
    <x v="5"/>
    <x v="1"/>
    <x v="0"/>
    <x v="0"/>
    <x v="0"/>
    <x v="0"/>
    <x v="1"/>
    <n v="2.82"/>
    <n v="18713.689999999999"/>
    <n v="82138.14"/>
    <x v="2"/>
  </r>
  <r>
    <x v="5"/>
    <x v="1"/>
    <x v="0"/>
    <x v="0"/>
    <x v="1"/>
    <x v="0"/>
    <x v="1"/>
    <n v="6.95"/>
    <n v="46120.62"/>
    <n v="202344.33"/>
    <x v="2"/>
  </r>
  <r>
    <x v="5"/>
    <x v="1"/>
    <x v="0"/>
    <x v="0"/>
    <x v="2"/>
    <x v="0"/>
    <x v="1"/>
    <n v="7.78"/>
    <n v="51628.55"/>
    <n v="226517.67"/>
    <x v="2"/>
  </r>
  <r>
    <x v="5"/>
    <x v="1"/>
    <x v="0"/>
    <x v="0"/>
    <x v="3"/>
    <x v="0"/>
    <x v="1"/>
    <n v="7.4"/>
    <n v="49106.84"/>
    <n v="215531.99"/>
    <x v="2"/>
  </r>
  <r>
    <x v="5"/>
    <x v="1"/>
    <x v="0"/>
    <x v="0"/>
    <x v="4"/>
    <x v="0"/>
    <x v="1"/>
    <n v="2.1800000000000002"/>
    <n v="14466.61"/>
    <n v="63403.53"/>
    <x v="2"/>
  </r>
  <r>
    <x v="5"/>
    <x v="1"/>
    <x v="0"/>
    <x v="0"/>
    <x v="5"/>
    <x v="0"/>
    <x v="1"/>
    <n v="4.8499999999999996"/>
    <n v="32184.89"/>
    <n v="141243.66"/>
    <x v="2"/>
  </r>
  <r>
    <x v="5"/>
    <x v="1"/>
    <x v="0"/>
    <x v="0"/>
    <x v="6"/>
    <x v="0"/>
    <x v="1"/>
    <n v="3.01"/>
    <n v="19974.54"/>
    <n v="87710.67"/>
    <x v="2"/>
  </r>
  <r>
    <x v="5"/>
    <x v="1"/>
    <x v="0"/>
    <x v="0"/>
    <x v="8"/>
    <x v="0"/>
    <x v="1"/>
    <n v="4.79"/>
    <n v="31786.73"/>
    <n v="139494"/>
    <x v="2"/>
  </r>
  <r>
    <x v="5"/>
    <x v="1"/>
    <x v="0"/>
    <x v="1"/>
    <x v="10"/>
    <x v="0"/>
    <x v="1"/>
    <n v="4.75"/>
    <n v="31521.29"/>
    <n v="138259.76999999999"/>
    <x v="2"/>
  </r>
  <r>
    <x v="5"/>
    <x v="1"/>
    <x v="0"/>
    <x v="1"/>
    <x v="11"/>
    <x v="0"/>
    <x v="1"/>
    <n v="12.78"/>
    <n v="84808.85"/>
    <n v="372045.34"/>
    <x v="2"/>
  </r>
  <r>
    <x v="5"/>
    <x v="1"/>
    <x v="0"/>
    <x v="1"/>
    <x v="13"/>
    <x v="0"/>
    <x v="1"/>
    <n v="5.85"/>
    <n v="38820.949999999997"/>
    <n v="170342.34"/>
    <x v="2"/>
  </r>
  <r>
    <x v="5"/>
    <x v="1"/>
    <x v="0"/>
    <x v="1"/>
    <x v="14"/>
    <x v="0"/>
    <x v="1"/>
    <n v="2.58"/>
    <n v="17121.03"/>
    <n v="75147.28"/>
    <x v="2"/>
  </r>
  <r>
    <x v="5"/>
    <x v="1"/>
    <x v="0"/>
    <x v="1"/>
    <x v="16"/>
    <x v="0"/>
    <x v="1"/>
    <n v="2.66"/>
    <n v="17651.919999999998"/>
    <n v="77402.94"/>
    <x v="2"/>
  </r>
  <r>
    <x v="5"/>
    <x v="1"/>
    <x v="0"/>
    <x v="1"/>
    <x v="17"/>
    <x v="0"/>
    <x v="1"/>
    <n v="2.57"/>
    <n v="17054.669999999998"/>
    <n v="74677.539999999994"/>
    <x v="2"/>
  </r>
  <r>
    <x v="5"/>
    <x v="1"/>
    <x v="0"/>
    <x v="1"/>
    <x v="18"/>
    <x v="0"/>
    <x v="1"/>
    <n v="15.41"/>
    <n v="102261.68"/>
    <n v="448626.26"/>
    <x v="2"/>
  </r>
  <r>
    <x v="5"/>
    <x v="1"/>
    <x v="0"/>
    <x v="1"/>
    <x v="19"/>
    <x v="0"/>
    <x v="1"/>
    <n v="4.1500000000000004"/>
    <n v="27539.65"/>
    <n v="120816.08"/>
    <x v="2"/>
  </r>
  <r>
    <x v="5"/>
    <x v="1"/>
    <x v="0"/>
    <x v="1"/>
    <x v="20"/>
    <x v="0"/>
    <x v="1"/>
    <n v="12.64"/>
    <n v="83879.8"/>
    <n v="367975.1"/>
    <x v="2"/>
  </r>
  <r>
    <x v="5"/>
    <x v="1"/>
    <x v="0"/>
    <x v="2"/>
    <x v="21"/>
    <x v="0"/>
    <x v="1"/>
    <n v="0"/>
    <n v="0"/>
    <n v="0"/>
    <x v="2"/>
  </r>
  <r>
    <x v="5"/>
    <x v="1"/>
    <x v="0"/>
    <x v="2"/>
    <x v="22"/>
    <x v="0"/>
    <x v="1"/>
    <n v="5.24"/>
    <n v="34772.949999999997"/>
    <n v="152482.59"/>
    <x v="2"/>
  </r>
  <r>
    <x v="5"/>
    <x v="1"/>
    <x v="0"/>
    <x v="2"/>
    <x v="29"/>
    <x v="0"/>
    <x v="1"/>
    <n v="3.47"/>
    <n v="23027.13"/>
    <n v="101079.36"/>
    <x v="2"/>
  </r>
  <r>
    <x v="5"/>
    <x v="1"/>
    <x v="0"/>
    <x v="2"/>
    <x v="24"/>
    <x v="0"/>
    <x v="1"/>
    <n v="2.85"/>
    <n v="18912.77"/>
    <n v="83107.69"/>
    <x v="2"/>
  </r>
  <r>
    <x v="5"/>
    <x v="1"/>
    <x v="0"/>
    <x v="3"/>
    <x v="25"/>
    <x v="0"/>
    <x v="1"/>
    <n v="2.5499999999999998"/>
    <n v="16921.95"/>
    <n v="74332.72"/>
    <x v="2"/>
  </r>
  <r>
    <x v="5"/>
    <x v="1"/>
    <x v="0"/>
    <x v="3"/>
    <x v="26"/>
    <x v="0"/>
    <x v="1"/>
    <n v="1.74"/>
    <n v="11546.74"/>
    <n v="50608.72"/>
    <x v="2"/>
  </r>
  <r>
    <x v="5"/>
    <x v="1"/>
    <x v="0"/>
    <x v="3"/>
    <x v="27"/>
    <x v="0"/>
    <x v="1"/>
    <n v="12.04"/>
    <n v="79898.16"/>
    <n v="350393.18"/>
    <x v="2"/>
  </r>
  <r>
    <x v="5"/>
    <x v="1"/>
    <x v="0"/>
    <x v="0"/>
    <x v="0"/>
    <x v="1"/>
    <x v="0"/>
    <n v="6.62"/>
    <n v="43930.720000000001"/>
    <n v="126000.39"/>
    <x v="2"/>
  </r>
  <r>
    <x v="5"/>
    <x v="1"/>
    <x v="0"/>
    <x v="0"/>
    <x v="1"/>
    <x v="1"/>
    <x v="0"/>
    <n v="12.61"/>
    <n v="83680.72"/>
    <n v="235992.46"/>
    <x v="2"/>
  </r>
  <r>
    <x v="5"/>
    <x v="1"/>
    <x v="0"/>
    <x v="0"/>
    <x v="2"/>
    <x v="1"/>
    <x v="0"/>
    <n v="4.82"/>
    <n v="31985.81"/>
    <n v="87124.6"/>
    <x v="2"/>
  </r>
  <r>
    <x v="5"/>
    <x v="1"/>
    <x v="0"/>
    <x v="0"/>
    <x v="3"/>
    <x v="1"/>
    <x v="0"/>
    <n v="10.99"/>
    <n v="72930.3"/>
    <n v="206605.74"/>
    <x v="2"/>
  </r>
  <r>
    <x v="5"/>
    <x v="1"/>
    <x v="0"/>
    <x v="0"/>
    <x v="28"/>
    <x v="1"/>
    <x v="0"/>
    <n v="0"/>
    <n v="0"/>
    <n v="0"/>
    <x v="2"/>
  </r>
  <r>
    <x v="5"/>
    <x v="1"/>
    <x v="0"/>
    <x v="0"/>
    <x v="4"/>
    <x v="1"/>
    <x v="0"/>
    <n v="6.75"/>
    <n v="44793.41"/>
    <n v="125752.8"/>
    <x v="2"/>
  </r>
  <r>
    <x v="5"/>
    <x v="1"/>
    <x v="0"/>
    <x v="0"/>
    <x v="5"/>
    <x v="1"/>
    <x v="0"/>
    <n v="1.47"/>
    <n v="9755.01"/>
    <n v="28152.18"/>
    <x v="2"/>
  </r>
  <r>
    <x v="5"/>
    <x v="1"/>
    <x v="0"/>
    <x v="0"/>
    <x v="6"/>
    <x v="1"/>
    <x v="0"/>
    <n v="0"/>
    <n v="0"/>
    <n v="0"/>
    <x v="2"/>
  </r>
  <r>
    <x v="5"/>
    <x v="1"/>
    <x v="0"/>
    <x v="0"/>
    <x v="7"/>
    <x v="1"/>
    <x v="0"/>
    <n v="0"/>
    <n v="0"/>
    <n v="0"/>
    <x v="2"/>
  </r>
  <r>
    <x v="5"/>
    <x v="1"/>
    <x v="0"/>
    <x v="0"/>
    <x v="8"/>
    <x v="1"/>
    <x v="0"/>
    <n v="0"/>
    <n v="0"/>
    <n v="0"/>
    <x v="2"/>
  </r>
  <r>
    <x v="5"/>
    <x v="1"/>
    <x v="0"/>
    <x v="1"/>
    <x v="30"/>
    <x v="1"/>
    <x v="0"/>
    <n v="3"/>
    <n v="19908.18"/>
    <n v="60084.79"/>
    <x v="2"/>
  </r>
  <r>
    <x v="5"/>
    <x v="1"/>
    <x v="0"/>
    <x v="1"/>
    <x v="9"/>
    <x v="1"/>
    <x v="0"/>
    <n v="0"/>
    <n v="0"/>
    <n v="0"/>
    <x v="2"/>
  </r>
  <r>
    <x v="5"/>
    <x v="1"/>
    <x v="0"/>
    <x v="1"/>
    <x v="31"/>
    <x v="1"/>
    <x v="0"/>
    <n v="3.63"/>
    <n v="24088.9"/>
    <n v="73545.570000000007"/>
    <x v="2"/>
  </r>
  <r>
    <x v="5"/>
    <x v="1"/>
    <x v="0"/>
    <x v="1"/>
    <x v="10"/>
    <x v="1"/>
    <x v="0"/>
    <n v="9.59"/>
    <n v="63639.82"/>
    <n v="190489.43"/>
    <x v="2"/>
  </r>
  <r>
    <x v="5"/>
    <x v="1"/>
    <x v="0"/>
    <x v="1"/>
    <x v="11"/>
    <x v="1"/>
    <x v="0"/>
    <n v="9.7899999999999991"/>
    <n v="64967.03"/>
    <n v="185242.85"/>
    <x v="2"/>
  </r>
  <r>
    <x v="5"/>
    <x v="1"/>
    <x v="0"/>
    <x v="1"/>
    <x v="12"/>
    <x v="1"/>
    <x v="0"/>
    <n v="2.4500000000000002"/>
    <n v="16258.35"/>
    <n v="48727.26"/>
    <x v="2"/>
  </r>
  <r>
    <x v="5"/>
    <x v="1"/>
    <x v="0"/>
    <x v="1"/>
    <x v="13"/>
    <x v="1"/>
    <x v="0"/>
    <n v="2.66"/>
    <n v="17651.919999999998"/>
    <n v="52742.29"/>
    <x v="2"/>
  </r>
  <r>
    <x v="5"/>
    <x v="1"/>
    <x v="0"/>
    <x v="1"/>
    <x v="14"/>
    <x v="1"/>
    <x v="0"/>
    <n v="13.61"/>
    <n v="90316.78"/>
    <n v="264727.09999999998"/>
    <x v="2"/>
  </r>
  <r>
    <x v="5"/>
    <x v="1"/>
    <x v="0"/>
    <x v="1"/>
    <x v="15"/>
    <x v="1"/>
    <x v="0"/>
    <n v="3.17"/>
    <n v="21036.31"/>
    <n v="63742.62"/>
    <x v="2"/>
  </r>
  <r>
    <x v="5"/>
    <x v="1"/>
    <x v="0"/>
    <x v="1"/>
    <x v="16"/>
    <x v="1"/>
    <x v="0"/>
    <n v="3.34"/>
    <n v="22164.44"/>
    <n v="64036.18"/>
    <x v="2"/>
  </r>
  <r>
    <x v="5"/>
    <x v="1"/>
    <x v="0"/>
    <x v="1"/>
    <x v="17"/>
    <x v="1"/>
    <x v="0"/>
    <n v="8.89"/>
    <n v="58994.57"/>
    <n v="171814.06"/>
    <x v="2"/>
  </r>
  <r>
    <x v="5"/>
    <x v="1"/>
    <x v="0"/>
    <x v="1"/>
    <x v="18"/>
    <x v="1"/>
    <x v="0"/>
    <n v="8.5"/>
    <n v="56406.51"/>
    <n v="171908.71"/>
    <x v="2"/>
  </r>
  <r>
    <x v="5"/>
    <x v="1"/>
    <x v="0"/>
    <x v="1"/>
    <x v="19"/>
    <x v="1"/>
    <x v="0"/>
    <n v="16.920000000000002"/>
    <n v="112282.14"/>
    <n v="332037.24"/>
    <x v="2"/>
  </r>
  <r>
    <x v="5"/>
    <x v="1"/>
    <x v="0"/>
    <x v="1"/>
    <x v="20"/>
    <x v="1"/>
    <x v="0"/>
    <n v="7.18"/>
    <n v="47646.91"/>
    <n v="138499.42000000001"/>
    <x v="2"/>
  </r>
  <r>
    <x v="5"/>
    <x v="1"/>
    <x v="0"/>
    <x v="2"/>
    <x v="21"/>
    <x v="1"/>
    <x v="0"/>
    <n v="0"/>
    <n v="0"/>
    <n v="0"/>
    <x v="2"/>
  </r>
  <r>
    <x v="5"/>
    <x v="1"/>
    <x v="0"/>
    <x v="2"/>
    <x v="22"/>
    <x v="1"/>
    <x v="0"/>
    <n v="7.39"/>
    <n v="49040.480000000003"/>
    <n v="131027.47"/>
    <x v="2"/>
  </r>
  <r>
    <x v="5"/>
    <x v="1"/>
    <x v="0"/>
    <x v="2"/>
    <x v="29"/>
    <x v="1"/>
    <x v="0"/>
    <n v="0"/>
    <n v="0"/>
    <n v="0"/>
    <x v="2"/>
  </r>
  <r>
    <x v="5"/>
    <x v="1"/>
    <x v="0"/>
    <x v="2"/>
    <x v="23"/>
    <x v="1"/>
    <x v="0"/>
    <n v="0"/>
    <n v="0"/>
    <n v="0"/>
    <x v="2"/>
  </r>
  <r>
    <x v="5"/>
    <x v="1"/>
    <x v="0"/>
    <x v="2"/>
    <x v="24"/>
    <x v="1"/>
    <x v="0"/>
    <n v="2.12"/>
    <n v="14068.45"/>
    <n v="38288.67"/>
    <x v="2"/>
  </r>
  <r>
    <x v="5"/>
    <x v="1"/>
    <x v="0"/>
    <x v="3"/>
    <x v="25"/>
    <x v="1"/>
    <x v="0"/>
    <n v="8.49"/>
    <n v="56340.15"/>
    <n v="169401.31"/>
    <x v="2"/>
  </r>
  <r>
    <x v="5"/>
    <x v="1"/>
    <x v="0"/>
    <x v="3"/>
    <x v="26"/>
    <x v="1"/>
    <x v="0"/>
    <n v="5.88"/>
    <n v="39020.03"/>
    <n v="118174.32"/>
    <x v="2"/>
  </r>
  <r>
    <x v="5"/>
    <x v="1"/>
    <x v="0"/>
    <x v="3"/>
    <x v="27"/>
    <x v="1"/>
    <x v="0"/>
    <n v="15.07"/>
    <n v="100005.42"/>
    <n v="297066.21999999997"/>
    <x v="2"/>
  </r>
  <r>
    <x v="5"/>
    <x v="1"/>
    <x v="0"/>
    <x v="0"/>
    <x v="0"/>
    <x v="1"/>
    <x v="1"/>
    <n v="11.17"/>
    <n v="74124.789999999994"/>
    <n v="212727.92"/>
    <x v="2"/>
  </r>
  <r>
    <x v="5"/>
    <x v="1"/>
    <x v="0"/>
    <x v="0"/>
    <x v="1"/>
    <x v="1"/>
    <x v="1"/>
    <n v="23.62"/>
    <n v="156743.74"/>
    <n v="442092.54"/>
    <x v="2"/>
  </r>
  <r>
    <x v="5"/>
    <x v="1"/>
    <x v="0"/>
    <x v="0"/>
    <x v="2"/>
    <x v="1"/>
    <x v="1"/>
    <n v="14.54"/>
    <n v="96488.31"/>
    <n v="262929.59999999998"/>
    <x v="2"/>
  </r>
  <r>
    <x v="5"/>
    <x v="1"/>
    <x v="0"/>
    <x v="0"/>
    <x v="3"/>
    <x v="1"/>
    <x v="1"/>
    <n v="31.58"/>
    <n v="209566.77"/>
    <n v="593991.5"/>
    <x v="2"/>
  </r>
  <r>
    <x v="5"/>
    <x v="1"/>
    <x v="0"/>
    <x v="0"/>
    <x v="28"/>
    <x v="1"/>
    <x v="1"/>
    <n v="2.39"/>
    <n v="15860.18"/>
    <n v="45541.68"/>
    <x v="2"/>
  </r>
  <r>
    <x v="5"/>
    <x v="1"/>
    <x v="0"/>
    <x v="0"/>
    <x v="4"/>
    <x v="1"/>
    <x v="1"/>
    <n v="9.43"/>
    <n v="62578.05"/>
    <n v="175731.48"/>
    <x v="2"/>
  </r>
  <r>
    <x v="5"/>
    <x v="1"/>
    <x v="0"/>
    <x v="0"/>
    <x v="5"/>
    <x v="1"/>
    <x v="1"/>
    <n v="26.07"/>
    <n v="173002.08"/>
    <n v="500115.26"/>
    <x v="2"/>
  </r>
  <r>
    <x v="5"/>
    <x v="1"/>
    <x v="0"/>
    <x v="0"/>
    <x v="6"/>
    <x v="1"/>
    <x v="1"/>
    <n v="2.88"/>
    <n v="19111.849999999999"/>
    <n v="55001.82"/>
    <x v="2"/>
  </r>
  <r>
    <x v="5"/>
    <x v="1"/>
    <x v="0"/>
    <x v="0"/>
    <x v="7"/>
    <x v="1"/>
    <x v="1"/>
    <n v="0"/>
    <n v="0"/>
    <n v="0"/>
    <x v="2"/>
  </r>
  <r>
    <x v="5"/>
    <x v="1"/>
    <x v="0"/>
    <x v="0"/>
    <x v="8"/>
    <x v="1"/>
    <x v="1"/>
    <n v="4.2699999999999996"/>
    <n v="28335.98"/>
    <n v="79242.559999999998"/>
    <x v="2"/>
  </r>
  <r>
    <x v="5"/>
    <x v="1"/>
    <x v="0"/>
    <x v="1"/>
    <x v="30"/>
    <x v="1"/>
    <x v="1"/>
    <n v="0"/>
    <n v="0"/>
    <n v="0"/>
    <x v="2"/>
  </r>
  <r>
    <x v="5"/>
    <x v="1"/>
    <x v="0"/>
    <x v="1"/>
    <x v="9"/>
    <x v="1"/>
    <x v="1"/>
    <n v="4.8499999999999996"/>
    <n v="32184.89"/>
    <n v="97119.62"/>
    <x v="2"/>
  </r>
  <r>
    <x v="5"/>
    <x v="1"/>
    <x v="0"/>
    <x v="1"/>
    <x v="31"/>
    <x v="1"/>
    <x v="1"/>
    <n v="0"/>
    <n v="0"/>
    <n v="0"/>
    <x v="2"/>
  </r>
  <r>
    <x v="5"/>
    <x v="1"/>
    <x v="0"/>
    <x v="1"/>
    <x v="10"/>
    <x v="1"/>
    <x v="1"/>
    <n v="31.2"/>
    <n v="207045.07"/>
    <n v="619519.68000000005"/>
    <x v="2"/>
  </r>
  <r>
    <x v="5"/>
    <x v="1"/>
    <x v="0"/>
    <x v="1"/>
    <x v="11"/>
    <x v="1"/>
    <x v="1"/>
    <n v="31.43"/>
    <n v="208571.37"/>
    <n v="594727.03"/>
    <x v="2"/>
  </r>
  <r>
    <x v="5"/>
    <x v="1"/>
    <x v="0"/>
    <x v="1"/>
    <x v="12"/>
    <x v="1"/>
    <x v="1"/>
    <n v="2.5299999999999998"/>
    <n v="16789.23"/>
    <n v="50467.519999999997"/>
    <x v="2"/>
  </r>
  <r>
    <x v="5"/>
    <x v="1"/>
    <x v="0"/>
    <x v="1"/>
    <x v="13"/>
    <x v="1"/>
    <x v="1"/>
    <n v="12.01"/>
    <n v="79699.08"/>
    <n v="238190.99"/>
    <x v="2"/>
  </r>
  <r>
    <x v="5"/>
    <x v="1"/>
    <x v="0"/>
    <x v="1"/>
    <x v="14"/>
    <x v="1"/>
    <x v="1"/>
    <n v="7.98"/>
    <n v="52955.76"/>
    <n v="155126.71"/>
    <x v="2"/>
  </r>
  <r>
    <x v="5"/>
    <x v="1"/>
    <x v="0"/>
    <x v="1"/>
    <x v="15"/>
    <x v="1"/>
    <x v="1"/>
    <n v="1.76"/>
    <n v="11679.47"/>
    <n v="35412.559999999998"/>
    <x v="2"/>
  </r>
  <r>
    <x v="5"/>
    <x v="1"/>
    <x v="0"/>
    <x v="1"/>
    <x v="16"/>
    <x v="1"/>
    <x v="1"/>
    <n v="6.92"/>
    <n v="45921.54"/>
    <n v="132566.13"/>
    <x v="2"/>
  </r>
  <r>
    <x v="5"/>
    <x v="1"/>
    <x v="0"/>
    <x v="1"/>
    <x v="17"/>
    <x v="1"/>
    <x v="1"/>
    <n v="5.87"/>
    <n v="38953.67"/>
    <n v="113430.64"/>
    <x v="2"/>
  </r>
  <r>
    <x v="5"/>
    <x v="1"/>
    <x v="0"/>
    <x v="1"/>
    <x v="18"/>
    <x v="1"/>
    <x v="1"/>
    <n v="23.55"/>
    <n v="156279.21"/>
    <n v="476432.71"/>
    <x v="2"/>
  </r>
  <r>
    <x v="5"/>
    <x v="1"/>
    <x v="0"/>
    <x v="1"/>
    <x v="19"/>
    <x v="1"/>
    <x v="1"/>
    <n v="17.5"/>
    <n v="116131.05"/>
    <n v="343331.03"/>
    <x v="2"/>
  </r>
  <r>
    <x v="5"/>
    <x v="1"/>
    <x v="0"/>
    <x v="1"/>
    <x v="20"/>
    <x v="1"/>
    <x v="1"/>
    <n v="26.65"/>
    <n v="176851"/>
    <n v="514426.41"/>
    <x v="2"/>
  </r>
  <r>
    <x v="5"/>
    <x v="1"/>
    <x v="0"/>
    <x v="2"/>
    <x v="21"/>
    <x v="1"/>
    <x v="1"/>
    <n v="1.1000000000000001"/>
    <n v="7299.67"/>
    <n v="19546.03"/>
    <x v="2"/>
  </r>
  <r>
    <x v="5"/>
    <x v="1"/>
    <x v="0"/>
    <x v="2"/>
    <x v="22"/>
    <x v="1"/>
    <x v="1"/>
    <n v="17.55"/>
    <n v="116462.85"/>
    <n v="311190.24"/>
    <x v="2"/>
  </r>
  <r>
    <x v="5"/>
    <x v="1"/>
    <x v="0"/>
    <x v="2"/>
    <x v="29"/>
    <x v="1"/>
    <x v="1"/>
    <n v="2.63"/>
    <n v="17452.84"/>
    <n v="49483.17"/>
    <x v="2"/>
  </r>
  <r>
    <x v="5"/>
    <x v="1"/>
    <x v="0"/>
    <x v="2"/>
    <x v="23"/>
    <x v="1"/>
    <x v="1"/>
    <n v="3.05"/>
    <n v="20239.98"/>
    <n v="56345.55"/>
    <x v="2"/>
  </r>
  <r>
    <x v="5"/>
    <x v="1"/>
    <x v="0"/>
    <x v="2"/>
    <x v="24"/>
    <x v="1"/>
    <x v="1"/>
    <n v="1.95"/>
    <n v="12940.32"/>
    <n v="35225.58"/>
    <x v="2"/>
  </r>
  <r>
    <x v="5"/>
    <x v="1"/>
    <x v="0"/>
    <x v="3"/>
    <x v="25"/>
    <x v="1"/>
    <x v="1"/>
    <n v="11.7"/>
    <n v="77641.899999999994"/>
    <n v="233358.95"/>
    <x v="2"/>
  </r>
  <r>
    <x v="5"/>
    <x v="1"/>
    <x v="0"/>
    <x v="3"/>
    <x v="26"/>
    <x v="1"/>
    <x v="1"/>
    <n v="25.17"/>
    <n v="167029.63"/>
    <n v="505716.57"/>
    <x v="2"/>
  </r>
  <r>
    <x v="5"/>
    <x v="1"/>
    <x v="0"/>
    <x v="3"/>
    <x v="27"/>
    <x v="1"/>
    <x v="1"/>
    <n v="36.090000000000003"/>
    <n v="239495.41"/>
    <n v="711261.4"/>
    <x v="2"/>
  </r>
  <r>
    <x v="5"/>
    <x v="1"/>
    <x v="1"/>
    <x v="0"/>
    <x v="0"/>
    <x v="0"/>
    <x v="0"/>
    <n v="1.39"/>
    <n v="3784.66"/>
    <n v="13338.32"/>
    <x v="2"/>
  </r>
  <r>
    <x v="5"/>
    <x v="1"/>
    <x v="1"/>
    <x v="0"/>
    <x v="1"/>
    <x v="0"/>
    <x v="0"/>
    <n v="2.39"/>
    <n v="6507.44"/>
    <n v="22988.23"/>
    <x v="2"/>
  </r>
  <r>
    <x v="5"/>
    <x v="1"/>
    <x v="1"/>
    <x v="0"/>
    <x v="2"/>
    <x v="0"/>
    <x v="0"/>
    <n v="0"/>
    <n v="0"/>
    <n v="0"/>
    <x v="2"/>
  </r>
  <r>
    <x v="5"/>
    <x v="1"/>
    <x v="1"/>
    <x v="0"/>
    <x v="3"/>
    <x v="0"/>
    <x v="0"/>
    <n v="0.6"/>
    <n v="1633.67"/>
    <n v="5757.34"/>
    <x v="2"/>
  </r>
  <r>
    <x v="5"/>
    <x v="1"/>
    <x v="1"/>
    <x v="0"/>
    <x v="4"/>
    <x v="0"/>
    <x v="0"/>
    <n v="0"/>
    <n v="0"/>
    <n v="0"/>
    <x v="2"/>
  </r>
  <r>
    <x v="5"/>
    <x v="1"/>
    <x v="1"/>
    <x v="0"/>
    <x v="5"/>
    <x v="0"/>
    <x v="0"/>
    <n v="0"/>
    <n v="0"/>
    <n v="0"/>
    <x v="2"/>
  </r>
  <r>
    <x v="5"/>
    <x v="1"/>
    <x v="1"/>
    <x v="0"/>
    <x v="6"/>
    <x v="0"/>
    <x v="0"/>
    <n v="0"/>
    <n v="0"/>
    <n v="0"/>
    <x v="2"/>
  </r>
  <r>
    <x v="5"/>
    <x v="1"/>
    <x v="1"/>
    <x v="0"/>
    <x v="8"/>
    <x v="0"/>
    <x v="0"/>
    <n v="0"/>
    <n v="0"/>
    <n v="0"/>
    <x v="2"/>
  </r>
  <r>
    <x v="5"/>
    <x v="1"/>
    <x v="1"/>
    <x v="1"/>
    <x v="10"/>
    <x v="0"/>
    <x v="0"/>
    <n v="0.91"/>
    <n v="2477.73"/>
    <n v="8769.39"/>
    <x v="2"/>
  </r>
  <r>
    <x v="5"/>
    <x v="1"/>
    <x v="1"/>
    <x v="1"/>
    <x v="11"/>
    <x v="0"/>
    <x v="0"/>
    <n v="0"/>
    <n v="0"/>
    <n v="0"/>
    <x v="2"/>
  </r>
  <r>
    <x v="5"/>
    <x v="1"/>
    <x v="1"/>
    <x v="1"/>
    <x v="13"/>
    <x v="0"/>
    <x v="0"/>
    <n v="0"/>
    <n v="0"/>
    <n v="0"/>
    <x v="2"/>
  </r>
  <r>
    <x v="5"/>
    <x v="1"/>
    <x v="1"/>
    <x v="1"/>
    <x v="14"/>
    <x v="0"/>
    <x v="0"/>
    <n v="0"/>
    <n v="0"/>
    <n v="0"/>
    <x v="2"/>
  </r>
  <r>
    <x v="5"/>
    <x v="1"/>
    <x v="1"/>
    <x v="1"/>
    <x v="16"/>
    <x v="0"/>
    <x v="0"/>
    <n v="0"/>
    <n v="0"/>
    <n v="0"/>
    <x v="2"/>
  </r>
  <r>
    <x v="5"/>
    <x v="1"/>
    <x v="1"/>
    <x v="1"/>
    <x v="17"/>
    <x v="0"/>
    <x v="0"/>
    <n v="0"/>
    <n v="0"/>
    <n v="0"/>
    <x v="2"/>
  </r>
  <r>
    <x v="5"/>
    <x v="1"/>
    <x v="1"/>
    <x v="1"/>
    <x v="18"/>
    <x v="0"/>
    <x v="0"/>
    <n v="0"/>
    <n v="0"/>
    <n v="0"/>
    <x v="2"/>
  </r>
  <r>
    <x v="5"/>
    <x v="1"/>
    <x v="1"/>
    <x v="1"/>
    <x v="19"/>
    <x v="0"/>
    <x v="0"/>
    <n v="0"/>
    <n v="0"/>
    <n v="0"/>
    <x v="2"/>
  </r>
  <r>
    <x v="5"/>
    <x v="1"/>
    <x v="1"/>
    <x v="1"/>
    <x v="20"/>
    <x v="0"/>
    <x v="0"/>
    <n v="1.1000000000000001"/>
    <n v="2995.06"/>
    <n v="10567.87"/>
    <x v="2"/>
  </r>
  <r>
    <x v="5"/>
    <x v="1"/>
    <x v="1"/>
    <x v="2"/>
    <x v="21"/>
    <x v="0"/>
    <x v="0"/>
    <n v="1.08"/>
    <n v="2940.6"/>
    <n v="10433.049999999999"/>
    <x v="2"/>
  </r>
  <r>
    <x v="5"/>
    <x v="1"/>
    <x v="1"/>
    <x v="2"/>
    <x v="22"/>
    <x v="0"/>
    <x v="0"/>
    <n v="0"/>
    <n v="0"/>
    <n v="0"/>
    <x v="2"/>
  </r>
  <r>
    <x v="5"/>
    <x v="1"/>
    <x v="1"/>
    <x v="2"/>
    <x v="29"/>
    <x v="0"/>
    <x v="0"/>
    <n v="0"/>
    <n v="0"/>
    <n v="0"/>
    <x v="2"/>
  </r>
  <r>
    <x v="5"/>
    <x v="1"/>
    <x v="1"/>
    <x v="2"/>
    <x v="24"/>
    <x v="0"/>
    <x v="0"/>
    <n v="0"/>
    <n v="0"/>
    <n v="0"/>
    <x v="2"/>
  </r>
  <r>
    <x v="5"/>
    <x v="1"/>
    <x v="1"/>
    <x v="3"/>
    <x v="25"/>
    <x v="0"/>
    <x v="0"/>
    <n v="0"/>
    <n v="0"/>
    <n v="0"/>
    <x v="2"/>
  </r>
  <r>
    <x v="5"/>
    <x v="1"/>
    <x v="1"/>
    <x v="3"/>
    <x v="26"/>
    <x v="0"/>
    <x v="0"/>
    <n v="1.67"/>
    <n v="4547.04"/>
    <n v="16053.96"/>
    <x v="2"/>
  </r>
  <r>
    <x v="5"/>
    <x v="1"/>
    <x v="1"/>
    <x v="3"/>
    <x v="27"/>
    <x v="0"/>
    <x v="0"/>
    <n v="1.62"/>
    <n v="4410.8999999999996"/>
    <n v="15626.19"/>
    <x v="2"/>
  </r>
  <r>
    <x v="5"/>
    <x v="1"/>
    <x v="1"/>
    <x v="0"/>
    <x v="0"/>
    <x v="0"/>
    <x v="1"/>
    <n v="1.08"/>
    <n v="2940.6"/>
    <n v="10374.25"/>
    <x v="2"/>
  </r>
  <r>
    <x v="5"/>
    <x v="1"/>
    <x v="1"/>
    <x v="0"/>
    <x v="1"/>
    <x v="0"/>
    <x v="1"/>
    <n v="4.0999999999999996"/>
    <n v="11163.4"/>
    <n v="39448.94"/>
    <x v="2"/>
  </r>
  <r>
    <x v="5"/>
    <x v="1"/>
    <x v="1"/>
    <x v="0"/>
    <x v="2"/>
    <x v="0"/>
    <x v="1"/>
    <n v="2.1"/>
    <n v="5717.84"/>
    <n v="20221.150000000001"/>
    <x v="2"/>
  </r>
  <r>
    <x v="5"/>
    <x v="1"/>
    <x v="1"/>
    <x v="0"/>
    <x v="3"/>
    <x v="0"/>
    <x v="1"/>
    <n v="1.71"/>
    <n v="4655.95"/>
    <n v="16449.55"/>
    <x v="2"/>
  </r>
  <r>
    <x v="5"/>
    <x v="1"/>
    <x v="1"/>
    <x v="0"/>
    <x v="4"/>
    <x v="0"/>
    <x v="1"/>
    <n v="1.36"/>
    <n v="3702.98"/>
    <n v="13091.92"/>
    <x v="2"/>
  </r>
  <r>
    <x v="5"/>
    <x v="1"/>
    <x v="1"/>
    <x v="0"/>
    <x v="5"/>
    <x v="0"/>
    <x v="1"/>
    <n v="3.03"/>
    <n v="8250.02"/>
    <n v="29141.34"/>
    <x v="2"/>
  </r>
  <r>
    <x v="5"/>
    <x v="1"/>
    <x v="1"/>
    <x v="0"/>
    <x v="6"/>
    <x v="0"/>
    <x v="1"/>
    <n v="1.07"/>
    <n v="2913.37"/>
    <n v="10266.27"/>
    <x v="2"/>
  </r>
  <r>
    <x v="5"/>
    <x v="1"/>
    <x v="1"/>
    <x v="0"/>
    <x v="8"/>
    <x v="0"/>
    <x v="1"/>
    <n v="2.09"/>
    <n v="5690.61"/>
    <n v="20102.37"/>
    <x v="2"/>
  </r>
  <r>
    <x v="5"/>
    <x v="1"/>
    <x v="1"/>
    <x v="1"/>
    <x v="10"/>
    <x v="0"/>
    <x v="1"/>
    <n v="2.64"/>
    <n v="7188.14"/>
    <n v="25431.23"/>
    <x v="2"/>
  </r>
  <r>
    <x v="5"/>
    <x v="1"/>
    <x v="1"/>
    <x v="1"/>
    <x v="11"/>
    <x v="0"/>
    <x v="1"/>
    <n v="5.34"/>
    <n v="14539.65"/>
    <n v="51395.27"/>
    <x v="2"/>
  </r>
  <r>
    <x v="5"/>
    <x v="1"/>
    <x v="1"/>
    <x v="1"/>
    <x v="13"/>
    <x v="0"/>
    <x v="1"/>
    <n v="2.14"/>
    <n v="5826.75"/>
    <n v="20616.46"/>
    <x v="2"/>
  </r>
  <r>
    <x v="5"/>
    <x v="1"/>
    <x v="1"/>
    <x v="1"/>
    <x v="14"/>
    <x v="0"/>
    <x v="1"/>
    <n v="1.46"/>
    <n v="3975.26"/>
    <n v="14066.33"/>
    <x v="2"/>
  </r>
  <r>
    <x v="5"/>
    <x v="1"/>
    <x v="1"/>
    <x v="1"/>
    <x v="16"/>
    <x v="0"/>
    <x v="1"/>
    <n v="1.29"/>
    <n v="3512.39"/>
    <n v="12375.4"/>
    <x v="2"/>
  </r>
  <r>
    <x v="5"/>
    <x v="1"/>
    <x v="1"/>
    <x v="1"/>
    <x v="17"/>
    <x v="0"/>
    <x v="1"/>
    <n v="0.66"/>
    <n v="1797.03"/>
    <n v="6394.21"/>
    <x v="2"/>
  </r>
  <r>
    <x v="5"/>
    <x v="1"/>
    <x v="1"/>
    <x v="1"/>
    <x v="18"/>
    <x v="0"/>
    <x v="1"/>
    <n v="7.82"/>
    <n v="21292.14"/>
    <n v="75261.990000000005"/>
    <x v="2"/>
  </r>
  <r>
    <x v="5"/>
    <x v="1"/>
    <x v="1"/>
    <x v="1"/>
    <x v="19"/>
    <x v="0"/>
    <x v="1"/>
    <n v="1.95"/>
    <n v="5309.42"/>
    <n v="18729.46"/>
    <x v="2"/>
  </r>
  <r>
    <x v="5"/>
    <x v="1"/>
    <x v="1"/>
    <x v="1"/>
    <x v="20"/>
    <x v="0"/>
    <x v="1"/>
    <n v="8.32"/>
    <n v="22653.53"/>
    <n v="80139.69"/>
    <x v="2"/>
  </r>
  <r>
    <x v="5"/>
    <x v="1"/>
    <x v="1"/>
    <x v="2"/>
    <x v="21"/>
    <x v="0"/>
    <x v="1"/>
    <n v="0"/>
    <n v="0"/>
    <n v="0"/>
    <x v="2"/>
  </r>
  <r>
    <x v="5"/>
    <x v="1"/>
    <x v="1"/>
    <x v="2"/>
    <x v="22"/>
    <x v="0"/>
    <x v="1"/>
    <n v="2.84"/>
    <n v="7732.7"/>
    <n v="27340.03"/>
    <x v="2"/>
  </r>
  <r>
    <x v="5"/>
    <x v="1"/>
    <x v="1"/>
    <x v="2"/>
    <x v="29"/>
    <x v="0"/>
    <x v="1"/>
    <n v="1.8"/>
    <n v="4901"/>
    <n v="17337.21"/>
    <x v="2"/>
  </r>
  <r>
    <x v="5"/>
    <x v="1"/>
    <x v="1"/>
    <x v="2"/>
    <x v="24"/>
    <x v="0"/>
    <x v="1"/>
    <n v="2.1"/>
    <n v="5717.84"/>
    <n v="20193.37"/>
    <x v="2"/>
  </r>
  <r>
    <x v="5"/>
    <x v="1"/>
    <x v="1"/>
    <x v="3"/>
    <x v="25"/>
    <x v="0"/>
    <x v="1"/>
    <n v="1.37"/>
    <n v="3730.21"/>
    <n v="13181.67"/>
    <x v="2"/>
  </r>
  <r>
    <x v="5"/>
    <x v="1"/>
    <x v="1"/>
    <x v="3"/>
    <x v="26"/>
    <x v="0"/>
    <x v="1"/>
    <n v="0.79"/>
    <n v="2151"/>
    <n v="7644.74"/>
    <x v="2"/>
  </r>
  <r>
    <x v="5"/>
    <x v="1"/>
    <x v="1"/>
    <x v="3"/>
    <x v="27"/>
    <x v="0"/>
    <x v="1"/>
    <n v="6.39"/>
    <n v="17398.560000000001"/>
    <n v="61528.1"/>
    <x v="2"/>
  </r>
  <r>
    <x v="5"/>
    <x v="1"/>
    <x v="1"/>
    <x v="0"/>
    <x v="0"/>
    <x v="1"/>
    <x v="0"/>
    <n v="3.96"/>
    <n v="10782.21"/>
    <n v="24910.13"/>
    <x v="2"/>
  </r>
  <r>
    <x v="5"/>
    <x v="1"/>
    <x v="1"/>
    <x v="0"/>
    <x v="1"/>
    <x v="1"/>
    <x v="0"/>
    <n v="9.75"/>
    <n v="26547.11"/>
    <n v="60343.34"/>
    <x v="2"/>
  </r>
  <r>
    <x v="5"/>
    <x v="1"/>
    <x v="1"/>
    <x v="0"/>
    <x v="2"/>
    <x v="1"/>
    <x v="0"/>
    <n v="2.58"/>
    <n v="7024.77"/>
    <n v="15420.5"/>
    <x v="2"/>
  </r>
  <r>
    <x v="5"/>
    <x v="1"/>
    <x v="1"/>
    <x v="0"/>
    <x v="3"/>
    <x v="1"/>
    <x v="0"/>
    <n v="5.1100000000000003"/>
    <n v="13913.41"/>
    <n v="31749.74"/>
    <x v="2"/>
  </r>
  <r>
    <x v="5"/>
    <x v="1"/>
    <x v="1"/>
    <x v="0"/>
    <x v="28"/>
    <x v="1"/>
    <x v="0"/>
    <n v="0"/>
    <n v="0"/>
    <n v="0"/>
    <x v="2"/>
  </r>
  <r>
    <x v="5"/>
    <x v="1"/>
    <x v="1"/>
    <x v="0"/>
    <x v="4"/>
    <x v="1"/>
    <x v="0"/>
    <n v="4.97"/>
    <n v="13532.22"/>
    <n v="30644.58"/>
    <x v="2"/>
  </r>
  <r>
    <x v="5"/>
    <x v="1"/>
    <x v="1"/>
    <x v="0"/>
    <x v="5"/>
    <x v="1"/>
    <x v="0"/>
    <n v="1.03"/>
    <n v="2804.46"/>
    <n v="6518.43"/>
    <x v="2"/>
  </r>
  <r>
    <x v="5"/>
    <x v="1"/>
    <x v="1"/>
    <x v="0"/>
    <x v="6"/>
    <x v="1"/>
    <x v="0"/>
    <n v="0"/>
    <n v="0"/>
    <n v="0"/>
    <x v="2"/>
  </r>
  <r>
    <x v="5"/>
    <x v="1"/>
    <x v="1"/>
    <x v="0"/>
    <x v="7"/>
    <x v="1"/>
    <x v="0"/>
    <n v="0"/>
    <n v="0"/>
    <n v="0"/>
    <x v="2"/>
  </r>
  <r>
    <x v="5"/>
    <x v="1"/>
    <x v="1"/>
    <x v="0"/>
    <x v="8"/>
    <x v="1"/>
    <x v="0"/>
    <n v="0"/>
    <n v="0"/>
    <n v="0"/>
    <x v="2"/>
  </r>
  <r>
    <x v="5"/>
    <x v="1"/>
    <x v="1"/>
    <x v="1"/>
    <x v="30"/>
    <x v="1"/>
    <x v="0"/>
    <n v="0.69"/>
    <n v="1878.72"/>
    <n v="4567.8599999999997"/>
    <x v="2"/>
  </r>
  <r>
    <x v="5"/>
    <x v="1"/>
    <x v="1"/>
    <x v="1"/>
    <x v="9"/>
    <x v="1"/>
    <x v="0"/>
    <n v="0"/>
    <n v="0"/>
    <n v="0"/>
    <x v="2"/>
  </r>
  <r>
    <x v="5"/>
    <x v="1"/>
    <x v="1"/>
    <x v="1"/>
    <x v="31"/>
    <x v="1"/>
    <x v="0"/>
    <n v="2.2599999999999998"/>
    <n v="6153.48"/>
    <n v="15104.9"/>
    <x v="2"/>
  </r>
  <r>
    <x v="5"/>
    <x v="1"/>
    <x v="1"/>
    <x v="1"/>
    <x v="10"/>
    <x v="1"/>
    <x v="0"/>
    <n v="6.15"/>
    <n v="16745.099999999999"/>
    <n v="40386.44"/>
    <x v="2"/>
  </r>
  <r>
    <x v="5"/>
    <x v="1"/>
    <x v="1"/>
    <x v="1"/>
    <x v="11"/>
    <x v="1"/>
    <x v="0"/>
    <n v="4.3099999999999996"/>
    <n v="11735.18"/>
    <n v="26977.38"/>
    <x v="2"/>
  </r>
  <r>
    <x v="5"/>
    <x v="1"/>
    <x v="1"/>
    <x v="1"/>
    <x v="12"/>
    <x v="1"/>
    <x v="0"/>
    <n v="1.67"/>
    <n v="4547.04"/>
    <n v="10987.8"/>
    <x v="2"/>
  </r>
  <r>
    <x v="5"/>
    <x v="1"/>
    <x v="1"/>
    <x v="1"/>
    <x v="13"/>
    <x v="1"/>
    <x v="0"/>
    <n v="1.21"/>
    <n v="3294.56"/>
    <n v="7914.42"/>
    <x v="2"/>
  </r>
  <r>
    <x v="5"/>
    <x v="1"/>
    <x v="1"/>
    <x v="1"/>
    <x v="14"/>
    <x v="1"/>
    <x v="0"/>
    <n v="9.31"/>
    <n v="25349.08"/>
    <n v="59893.89"/>
    <x v="2"/>
  </r>
  <r>
    <x v="5"/>
    <x v="1"/>
    <x v="1"/>
    <x v="1"/>
    <x v="15"/>
    <x v="1"/>
    <x v="0"/>
    <n v="0.98"/>
    <n v="2668.32"/>
    <n v="6520.36"/>
    <x v="2"/>
  </r>
  <r>
    <x v="5"/>
    <x v="1"/>
    <x v="1"/>
    <x v="1"/>
    <x v="16"/>
    <x v="1"/>
    <x v="0"/>
    <n v="1.88"/>
    <n v="5118.83"/>
    <n v="11926.25"/>
    <x v="2"/>
  </r>
  <r>
    <x v="5"/>
    <x v="1"/>
    <x v="1"/>
    <x v="1"/>
    <x v="17"/>
    <x v="1"/>
    <x v="0"/>
    <n v="5.63"/>
    <n v="15329.25"/>
    <n v="36001.14"/>
    <x v="2"/>
  </r>
  <r>
    <x v="5"/>
    <x v="1"/>
    <x v="1"/>
    <x v="1"/>
    <x v="18"/>
    <x v="1"/>
    <x v="0"/>
    <n v="6.19"/>
    <n v="16854.009999999998"/>
    <n v="41386.94"/>
    <x v="2"/>
  </r>
  <r>
    <x v="5"/>
    <x v="1"/>
    <x v="1"/>
    <x v="1"/>
    <x v="19"/>
    <x v="1"/>
    <x v="0"/>
    <n v="5.63"/>
    <n v="15329.25"/>
    <n v="36552.18"/>
    <x v="2"/>
  </r>
  <r>
    <x v="5"/>
    <x v="1"/>
    <x v="1"/>
    <x v="1"/>
    <x v="20"/>
    <x v="1"/>
    <x v="0"/>
    <n v="6.49"/>
    <n v="17670.84"/>
    <n v="41442.21"/>
    <x v="2"/>
  </r>
  <r>
    <x v="5"/>
    <x v="1"/>
    <x v="1"/>
    <x v="2"/>
    <x v="21"/>
    <x v="1"/>
    <x v="0"/>
    <n v="0"/>
    <n v="0"/>
    <n v="0"/>
    <x v="2"/>
  </r>
  <r>
    <x v="5"/>
    <x v="1"/>
    <x v="1"/>
    <x v="2"/>
    <x v="22"/>
    <x v="1"/>
    <x v="0"/>
    <n v="2.68"/>
    <n v="7297.05"/>
    <n v="15698.75"/>
    <x v="2"/>
  </r>
  <r>
    <x v="5"/>
    <x v="1"/>
    <x v="1"/>
    <x v="2"/>
    <x v="29"/>
    <x v="1"/>
    <x v="0"/>
    <n v="0"/>
    <n v="0"/>
    <n v="0"/>
    <x v="2"/>
  </r>
  <r>
    <x v="5"/>
    <x v="1"/>
    <x v="1"/>
    <x v="2"/>
    <x v="23"/>
    <x v="1"/>
    <x v="0"/>
    <n v="0"/>
    <n v="0"/>
    <n v="0"/>
    <x v="2"/>
  </r>
  <r>
    <x v="5"/>
    <x v="1"/>
    <x v="1"/>
    <x v="2"/>
    <x v="24"/>
    <x v="1"/>
    <x v="0"/>
    <n v="2.13"/>
    <n v="5799.52"/>
    <n v="12690.45"/>
    <x v="2"/>
  </r>
  <r>
    <x v="5"/>
    <x v="1"/>
    <x v="1"/>
    <x v="3"/>
    <x v="25"/>
    <x v="1"/>
    <x v="0"/>
    <n v="4"/>
    <n v="10891.12"/>
    <n v="26400.48"/>
    <x v="2"/>
  </r>
  <r>
    <x v="5"/>
    <x v="1"/>
    <x v="1"/>
    <x v="3"/>
    <x v="26"/>
    <x v="1"/>
    <x v="0"/>
    <n v="2.0699999999999998"/>
    <n v="5636.15"/>
    <n v="13731.74"/>
    <x v="2"/>
  </r>
  <r>
    <x v="5"/>
    <x v="1"/>
    <x v="1"/>
    <x v="3"/>
    <x v="27"/>
    <x v="1"/>
    <x v="0"/>
    <n v="6.27"/>
    <n v="17071.830000000002"/>
    <n v="40889.589999999997"/>
    <x v="2"/>
  </r>
  <r>
    <x v="5"/>
    <x v="1"/>
    <x v="1"/>
    <x v="0"/>
    <x v="0"/>
    <x v="1"/>
    <x v="1"/>
    <n v="7.66"/>
    <n v="20856.490000000002"/>
    <n v="48195.69"/>
    <x v="2"/>
  </r>
  <r>
    <x v="5"/>
    <x v="1"/>
    <x v="1"/>
    <x v="0"/>
    <x v="1"/>
    <x v="1"/>
    <x v="1"/>
    <n v="13.94"/>
    <n v="37955.550000000003"/>
    <n v="86285.33"/>
    <x v="2"/>
  </r>
  <r>
    <x v="5"/>
    <x v="1"/>
    <x v="1"/>
    <x v="0"/>
    <x v="2"/>
    <x v="1"/>
    <x v="1"/>
    <n v="12.68"/>
    <n v="34524.85"/>
    <n v="75817.460000000006"/>
    <x v="2"/>
  </r>
  <r>
    <x v="5"/>
    <x v="1"/>
    <x v="1"/>
    <x v="0"/>
    <x v="3"/>
    <x v="1"/>
    <x v="1"/>
    <n v="17.57"/>
    <n v="47839.24"/>
    <n v="109240.62"/>
    <x v="2"/>
  </r>
  <r>
    <x v="5"/>
    <x v="1"/>
    <x v="1"/>
    <x v="0"/>
    <x v="28"/>
    <x v="1"/>
    <x v="1"/>
    <n v="2.2599999999999998"/>
    <n v="6153.48"/>
    <n v="14228.46"/>
    <x v="2"/>
  </r>
  <r>
    <x v="5"/>
    <x v="1"/>
    <x v="1"/>
    <x v="0"/>
    <x v="4"/>
    <x v="1"/>
    <x v="1"/>
    <n v="5.7"/>
    <n v="15519.85"/>
    <n v="35101.97"/>
    <x v="2"/>
  </r>
  <r>
    <x v="5"/>
    <x v="1"/>
    <x v="1"/>
    <x v="0"/>
    <x v="5"/>
    <x v="1"/>
    <x v="1"/>
    <n v="19.39"/>
    <n v="52794.7"/>
    <n v="123035.33"/>
    <x v="2"/>
  </r>
  <r>
    <x v="5"/>
    <x v="1"/>
    <x v="1"/>
    <x v="0"/>
    <x v="6"/>
    <x v="1"/>
    <x v="1"/>
    <n v="2.71"/>
    <n v="7378.73"/>
    <n v="17164.439999999999"/>
    <x v="2"/>
  </r>
  <r>
    <x v="5"/>
    <x v="1"/>
    <x v="1"/>
    <x v="0"/>
    <x v="7"/>
    <x v="1"/>
    <x v="1"/>
    <n v="2.77"/>
    <n v="7542.1"/>
    <n v="17833.5"/>
    <x v="2"/>
  </r>
  <r>
    <x v="5"/>
    <x v="1"/>
    <x v="1"/>
    <x v="0"/>
    <x v="8"/>
    <x v="1"/>
    <x v="1"/>
    <n v="2.2799999999999998"/>
    <n v="6207.94"/>
    <n v="13950.93"/>
    <x v="2"/>
  </r>
  <r>
    <x v="5"/>
    <x v="1"/>
    <x v="1"/>
    <x v="1"/>
    <x v="30"/>
    <x v="1"/>
    <x v="1"/>
    <n v="0"/>
    <n v="0"/>
    <n v="0"/>
    <x v="2"/>
  </r>
  <r>
    <x v="5"/>
    <x v="1"/>
    <x v="1"/>
    <x v="1"/>
    <x v="9"/>
    <x v="1"/>
    <x v="1"/>
    <n v="3.54"/>
    <n v="9638.64"/>
    <n v="23451.919999999998"/>
    <x v="2"/>
  </r>
  <r>
    <x v="5"/>
    <x v="1"/>
    <x v="1"/>
    <x v="1"/>
    <x v="31"/>
    <x v="1"/>
    <x v="1"/>
    <n v="0"/>
    <n v="0"/>
    <n v="0"/>
    <x v="2"/>
  </r>
  <r>
    <x v="5"/>
    <x v="1"/>
    <x v="1"/>
    <x v="1"/>
    <x v="10"/>
    <x v="1"/>
    <x v="1"/>
    <n v="16.72"/>
    <n v="45524.88"/>
    <n v="109782.84"/>
    <x v="2"/>
  </r>
  <r>
    <x v="5"/>
    <x v="1"/>
    <x v="1"/>
    <x v="1"/>
    <x v="11"/>
    <x v="1"/>
    <x v="1"/>
    <n v="14.31"/>
    <n v="38962.980000000003"/>
    <n v="89564.9"/>
    <x v="2"/>
  </r>
  <r>
    <x v="5"/>
    <x v="1"/>
    <x v="1"/>
    <x v="1"/>
    <x v="12"/>
    <x v="1"/>
    <x v="1"/>
    <n v="0.79"/>
    <n v="2151"/>
    <n v="5204.75"/>
    <x v="2"/>
  </r>
  <r>
    <x v="5"/>
    <x v="1"/>
    <x v="1"/>
    <x v="1"/>
    <x v="13"/>
    <x v="1"/>
    <x v="1"/>
    <n v="5.69"/>
    <n v="15492.62"/>
    <n v="37310.82"/>
    <x v="2"/>
  </r>
  <r>
    <x v="5"/>
    <x v="1"/>
    <x v="1"/>
    <x v="1"/>
    <x v="14"/>
    <x v="1"/>
    <x v="1"/>
    <n v="4.3499999999999996"/>
    <n v="11844.09"/>
    <n v="27987.8"/>
    <x v="2"/>
  </r>
  <r>
    <x v="5"/>
    <x v="1"/>
    <x v="1"/>
    <x v="1"/>
    <x v="15"/>
    <x v="1"/>
    <x v="1"/>
    <n v="2.41"/>
    <n v="6561.9"/>
    <n v="16004.53"/>
    <x v="2"/>
  </r>
  <r>
    <x v="5"/>
    <x v="1"/>
    <x v="1"/>
    <x v="1"/>
    <x v="16"/>
    <x v="1"/>
    <x v="1"/>
    <n v="5.53"/>
    <n v="15056.97"/>
    <n v="35009.32"/>
    <x v="2"/>
  </r>
  <r>
    <x v="5"/>
    <x v="1"/>
    <x v="1"/>
    <x v="1"/>
    <x v="17"/>
    <x v="1"/>
    <x v="1"/>
    <n v="1.99"/>
    <n v="5418.33"/>
    <n v="12738.87"/>
    <x v="2"/>
  </r>
  <r>
    <x v="5"/>
    <x v="1"/>
    <x v="1"/>
    <x v="1"/>
    <x v="18"/>
    <x v="1"/>
    <x v="1"/>
    <n v="25.7"/>
    <n v="69975.45"/>
    <n v="171914.98"/>
    <x v="2"/>
  </r>
  <r>
    <x v="5"/>
    <x v="1"/>
    <x v="1"/>
    <x v="1"/>
    <x v="19"/>
    <x v="1"/>
    <x v="1"/>
    <n v="9.7100000000000009"/>
    <n v="26438.19"/>
    <n v="62982.23"/>
    <x v="2"/>
  </r>
  <r>
    <x v="5"/>
    <x v="1"/>
    <x v="1"/>
    <x v="1"/>
    <x v="20"/>
    <x v="1"/>
    <x v="1"/>
    <n v="14.75"/>
    <n v="40161.01"/>
    <n v="94133.03"/>
    <x v="2"/>
  </r>
  <r>
    <x v="5"/>
    <x v="1"/>
    <x v="1"/>
    <x v="2"/>
    <x v="21"/>
    <x v="1"/>
    <x v="1"/>
    <n v="2.2000000000000002"/>
    <n v="5990.12"/>
    <n v="12885.78"/>
    <x v="2"/>
  </r>
  <r>
    <x v="5"/>
    <x v="1"/>
    <x v="1"/>
    <x v="2"/>
    <x v="22"/>
    <x v="1"/>
    <x v="1"/>
    <n v="9.1999999999999993"/>
    <n v="25049.58"/>
    <n v="53964.45"/>
    <x v="2"/>
  </r>
  <r>
    <x v="5"/>
    <x v="1"/>
    <x v="1"/>
    <x v="2"/>
    <x v="29"/>
    <x v="1"/>
    <x v="1"/>
    <n v="2.63"/>
    <n v="7160.91"/>
    <n v="16350.39"/>
    <x v="2"/>
  </r>
  <r>
    <x v="5"/>
    <x v="1"/>
    <x v="1"/>
    <x v="2"/>
    <x v="23"/>
    <x v="1"/>
    <x v="1"/>
    <n v="1.48"/>
    <n v="4029.71"/>
    <n v="9047.31"/>
    <x v="2"/>
  </r>
  <r>
    <x v="5"/>
    <x v="1"/>
    <x v="1"/>
    <x v="2"/>
    <x v="24"/>
    <x v="1"/>
    <x v="1"/>
    <n v="1.87"/>
    <n v="5091.6000000000004"/>
    <n v="11167.6"/>
    <x v="2"/>
  </r>
  <r>
    <x v="5"/>
    <x v="1"/>
    <x v="1"/>
    <x v="3"/>
    <x v="25"/>
    <x v="1"/>
    <x v="1"/>
    <n v="5.4"/>
    <n v="14703.01"/>
    <n v="35583.26"/>
    <x v="2"/>
  </r>
  <r>
    <x v="5"/>
    <x v="1"/>
    <x v="1"/>
    <x v="3"/>
    <x v="26"/>
    <x v="1"/>
    <x v="1"/>
    <n v="16.649999999999999"/>
    <n v="45334.29"/>
    <n v="110576.66"/>
    <x v="2"/>
  </r>
  <r>
    <x v="5"/>
    <x v="1"/>
    <x v="1"/>
    <x v="3"/>
    <x v="27"/>
    <x v="1"/>
    <x v="1"/>
    <n v="18.989999999999998"/>
    <n v="51705.59"/>
    <n v="123789.04"/>
    <x v="2"/>
  </r>
  <r>
    <x v="5"/>
    <x v="1"/>
    <x v="2"/>
    <x v="0"/>
    <x v="0"/>
    <x v="0"/>
    <x v="0"/>
    <n v="2.2799999999999998"/>
    <n v="12356.96"/>
    <n v="53483.76"/>
    <x v="2"/>
  </r>
  <r>
    <x v="5"/>
    <x v="1"/>
    <x v="2"/>
    <x v="0"/>
    <x v="1"/>
    <x v="0"/>
    <x v="0"/>
    <n v="3.85"/>
    <n v="20865.919999999998"/>
    <n v="90269.94"/>
    <x v="2"/>
  </r>
  <r>
    <x v="5"/>
    <x v="1"/>
    <x v="2"/>
    <x v="0"/>
    <x v="2"/>
    <x v="0"/>
    <x v="0"/>
    <n v="0"/>
    <n v="0"/>
    <n v="0"/>
    <x v="2"/>
  </r>
  <r>
    <x v="5"/>
    <x v="1"/>
    <x v="2"/>
    <x v="0"/>
    <x v="3"/>
    <x v="0"/>
    <x v="0"/>
    <n v="0.73"/>
    <n v="3956.4"/>
    <n v="17184.54"/>
    <x v="2"/>
  </r>
  <r>
    <x v="5"/>
    <x v="1"/>
    <x v="2"/>
    <x v="0"/>
    <x v="4"/>
    <x v="0"/>
    <x v="0"/>
    <n v="0"/>
    <n v="0"/>
    <n v="0"/>
    <x v="2"/>
  </r>
  <r>
    <x v="5"/>
    <x v="1"/>
    <x v="2"/>
    <x v="0"/>
    <x v="5"/>
    <x v="0"/>
    <x v="0"/>
    <n v="0"/>
    <n v="0"/>
    <n v="0"/>
    <x v="2"/>
  </r>
  <r>
    <x v="5"/>
    <x v="1"/>
    <x v="2"/>
    <x v="0"/>
    <x v="6"/>
    <x v="0"/>
    <x v="0"/>
    <n v="0"/>
    <n v="0"/>
    <n v="0"/>
    <x v="2"/>
  </r>
  <r>
    <x v="5"/>
    <x v="1"/>
    <x v="2"/>
    <x v="0"/>
    <x v="8"/>
    <x v="0"/>
    <x v="0"/>
    <n v="0"/>
    <n v="0"/>
    <n v="0"/>
    <x v="2"/>
  </r>
  <r>
    <x v="5"/>
    <x v="1"/>
    <x v="2"/>
    <x v="1"/>
    <x v="10"/>
    <x v="0"/>
    <x v="0"/>
    <n v="1.55"/>
    <n v="8400.57"/>
    <n v="36335.82"/>
    <x v="2"/>
  </r>
  <r>
    <x v="5"/>
    <x v="1"/>
    <x v="2"/>
    <x v="1"/>
    <x v="11"/>
    <x v="0"/>
    <x v="0"/>
    <n v="0"/>
    <n v="0"/>
    <n v="0"/>
    <x v="2"/>
  </r>
  <r>
    <x v="5"/>
    <x v="1"/>
    <x v="2"/>
    <x v="1"/>
    <x v="13"/>
    <x v="0"/>
    <x v="0"/>
    <n v="0"/>
    <n v="0"/>
    <n v="0"/>
    <x v="2"/>
  </r>
  <r>
    <x v="5"/>
    <x v="1"/>
    <x v="2"/>
    <x v="1"/>
    <x v="14"/>
    <x v="0"/>
    <x v="0"/>
    <n v="0"/>
    <n v="0"/>
    <n v="0"/>
    <x v="2"/>
  </r>
  <r>
    <x v="5"/>
    <x v="1"/>
    <x v="2"/>
    <x v="1"/>
    <x v="16"/>
    <x v="0"/>
    <x v="0"/>
    <n v="0"/>
    <n v="0"/>
    <n v="0"/>
    <x v="2"/>
  </r>
  <r>
    <x v="5"/>
    <x v="1"/>
    <x v="2"/>
    <x v="1"/>
    <x v="17"/>
    <x v="0"/>
    <x v="0"/>
    <n v="0"/>
    <n v="0"/>
    <n v="0"/>
    <x v="2"/>
  </r>
  <r>
    <x v="5"/>
    <x v="1"/>
    <x v="2"/>
    <x v="1"/>
    <x v="18"/>
    <x v="0"/>
    <x v="0"/>
    <n v="0"/>
    <n v="0"/>
    <n v="0"/>
    <x v="2"/>
  </r>
  <r>
    <x v="5"/>
    <x v="1"/>
    <x v="2"/>
    <x v="1"/>
    <x v="19"/>
    <x v="0"/>
    <x v="0"/>
    <n v="0"/>
    <n v="0"/>
    <n v="0"/>
    <x v="2"/>
  </r>
  <r>
    <x v="5"/>
    <x v="1"/>
    <x v="2"/>
    <x v="1"/>
    <x v="20"/>
    <x v="0"/>
    <x v="0"/>
    <n v="1.91"/>
    <n v="10351.67"/>
    <n v="44879.06"/>
    <x v="2"/>
  </r>
  <r>
    <x v="5"/>
    <x v="1"/>
    <x v="2"/>
    <x v="2"/>
    <x v="21"/>
    <x v="0"/>
    <x v="0"/>
    <n v="2.44"/>
    <n v="13224.12"/>
    <n v="57085.09"/>
    <x v="2"/>
  </r>
  <r>
    <x v="5"/>
    <x v="1"/>
    <x v="2"/>
    <x v="2"/>
    <x v="22"/>
    <x v="0"/>
    <x v="0"/>
    <n v="0"/>
    <n v="0"/>
    <n v="0"/>
    <x v="2"/>
  </r>
  <r>
    <x v="5"/>
    <x v="1"/>
    <x v="2"/>
    <x v="2"/>
    <x v="29"/>
    <x v="0"/>
    <x v="0"/>
    <n v="0"/>
    <n v="0"/>
    <n v="0"/>
    <x v="2"/>
  </r>
  <r>
    <x v="5"/>
    <x v="1"/>
    <x v="2"/>
    <x v="2"/>
    <x v="24"/>
    <x v="0"/>
    <x v="0"/>
    <n v="0"/>
    <n v="0"/>
    <n v="0"/>
    <x v="2"/>
  </r>
  <r>
    <x v="5"/>
    <x v="1"/>
    <x v="2"/>
    <x v="3"/>
    <x v="25"/>
    <x v="0"/>
    <x v="0"/>
    <n v="0"/>
    <n v="0"/>
    <n v="0"/>
    <x v="2"/>
  </r>
  <r>
    <x v="5"/>
    <x v="1"/>
    <x v="2"/>
    <x v="3"/>
    <x v="26"/>
    <x v="0"/>
    <x v="0"/>
    <n v="1.91"/>
    <n v="10351.67"/>
    <n v="44812.1"/>
    <x v="2"/>
  </r>
  <r>
    <x v="5"/>
    <x v="1"/>
    <x v="2"/>
    <x v="3"/>
    <x v="27"/>
    <x v="0"/>
    <x v="0"/>
    <n v="1.65"/>
    <n v="8942.5400000000009"/>
    <n v="38566.79"/>
    <x v="2"/>
  </r>
  <r>
    <x v="5"/>
    <x v="1"/>
    <x v="2"/>
    <x v="0"/>
    <x v="0"/>
    <x v="0"/>
    <x v="1"/>
    <n v="2.37"/>
    <n v="12844.74"/>
    <n v="55623.11"/>
    <x v="2"/>
  </r>
  <r>
    <x v="5"/>
    <x v="1"/>
    <x v="2"/>
    <x v="0"/>
    <x v="1"/>
    <x v="0"/>
    <x v="1"/>
    <n v="6.55"/>
    <n v="35499.17"/>
    <n v="153403.51999999999"/>
    <x v="2"/>
  </r>
  <r>
    <x v="5"/>
    <x v="1"/>
    <x v="2"/>
    <x v="0"/>
    <x v="2"/>
    <x v="0"/>
    <x v="1"/>
    <n v="5.55"/>
    <n v="30079.45"/>
    <n v="130091.81"/>
    <x v="2"/>
  </r>
  <r>
    <x v="5"/>
    <x v="1"/>
    <x v="2"/>
    <x v="0"/>
    <x v="3"/>
    <x v="0"/>
    <x v="1"/>
    <n v="2"/>
    <n v="10839.44"/>
    <n v="46866.92"/>
    <x v="2"/>
  </r>
  <r>
    <x v="5"/>
    <x v="1"/>
    <x v="2"/>
    <x v="0"/>
    <x v="4"/>
    <x v="0"/>
    <x v="1"/>
    <n v="2.04"/>
    <n v="11056.23"/>
    <n v="47802.43"/>
    <x v="2"/>
  </r>
  <r>
    <x v="5"/>
    <x v="1"/>
    <x v="2"/>
    <x v="0"/>
    <x v="5"/>
    <x v="0"/>
    <x v="1"/>
    <n v="5.03"/>
    <n v="27261.19"/>
    <n v="117787.09"/>
    <x v="2"/>
  </r>
  <r>
    <x v="5"/>
    <x v="1"/>
    <x v="2"/>
    <x v="0"/>
    <x v="6"/>
    <x v="0"/>
    <x v="1"/>
    <n v="2.4500000000000002"/>
    <n v="13278.31"/>
    <n v="57526.21"/>
    <x v="2"/>
  </r>
  <r>
    <x v="5"/>
    <x v="1"/>
    <x v="2"/>
    <x v="0"/>
    <x v="8"/>
    <x v="0"/>
    <x v="1"/>
    <n v="4.26"/>
    <n v="23088.01"/>
    <n v="99895.5"/>
    <x v="2"/>
  </r>
  <r>
    <x v="5"/>
    <x v="1"/>
    <x v="2"/>
    <x v="1"/>
    <x v="10"/>
    <x v="0"/>
    <x v="1"/>
    <n v="5.2"/>
    <n v="28182.54"/>
    <n v="121831.88"/>
    <x v="2"/>
  </r>
  <r>
    <x v="5"/>
    <x v="1"/>
    <x v="2"/>
    <x v="1"/>
    <x v="11"/>
    <x v="0"/>
    <x v="1"/>
    <n v="9.23"/>
    <n v="50024.02"/>
    <n v="216413.4"/>
    <x v="2"/>
  </r>
  <r>
    <x v="5"/>
    <x v="1"/>
    <x v="2"/>
    <x v="1"/>
    <x v="13"/>
    <x v="0"/>
    <x v="1"/>
    <n v="3.3"/>
    <n v="17885.080000000002"/>
    <n v="77389.710000000006"/>
    <x v="2"/>
  </r>
  <r>
    <x v="5"/>
    <x v="1"/>
    <x v="2"/>
    <x v="1"/>
    <x v="14"/>
    <x v="0"/>
    <x v="1"/>
    <n v="1.65"/>
    <n v="8942.5400000000009"/>
    <n v="38621.050000000003"/>
    <x v="2"/>
  </r>
  <r>
    <x v="5"/>
    <x v="1"/>
    <x v="2"/>
    <x v="1"/>
    <x v="16"/>
    <x v="0"/>
    <x v="1"/>
    <n v="1.62"/>
    <n v="8779.9500000000007"/>
    <n v="37946.43"/>
    <x v="2"/>
  </r>
  <r>
    <x v="5"/>
    <x v="1"/>
    <x v="2"/>
    <x v="1"/>
    <x v="17"/>
    <x v="0"/>
    <x v="1"/>
    <n v="1.2"/>
    <n v="6503.66"/>
    <n v="28113.82"/>
    <x v="2"/>
  </r>
  <r>
    <x v="5"/>
    <x v="1"/>
    <x v="2"/>
    <x v="1"/>
    <x v="18"/>
    <x v="0"/>
    <x v="1"/>
    <n v="12.8"/>
    <n v="69372.42"/>
    <n v="299920.24"/>
    <x v="2"/>
  </r>
  <r>
    <x v="5"/>
    <x v="1"/>
    <x v="2"/>
    <x v="1"/>
    <x v="19"/>
    <x v="0"/>
    <x v="1"/>
    <n v="4.28"/>
    <n v="23196.400000000001"/>
    <n v="100356.62"/>
    <x v="2"/>
  </r>
  <r>
    <x v="5"/>
    <x v="1"/>
    <x v="2"/>
    <x v="1"/>
    <x v="20"/>
    <x v="0"/>
    <x v="1"/>
    <n v="12.04"/>
    <n v="65253.43"/>
    <n v="282096.96999999997"/>
    <x v="2"/>
  </r>
  <r>
    <x v="5"/>
    <x v="1"/>
    <x v="2"/>
    <x v="2"/>
    <x v="21"/>
    <x v="0"/>
    <x v="1"/>
    <n v="0"/>
    <n v="0"/>
    <n v="0"/>
    <x v="2"/>
  </r>
  <r>
    <x v="5"/>
    <x v="1"/>
    <x v="2"/>
    <x v="2"/>
    <x v="22"/>
    <x v="0"/>
    <x v="1"/>
    <n v="5.47"/>
    <n v="29645.87"/>
    <n v="128254.15"/>
    <x v="2"/>
  </r>
  <r>
    <x v="5"/>
    <x v="1"/>
    <x v="2"/>
    <x v="2"/>
    <x v="29"/>
    <x v="0"/>
    <x v="1"/>
    <n v="2.46"/>
    <n v="13332.51"/>
    <n v="57694.35"/>
    <x v="2"/>
  </r>
  <r>
    <x v="5"/>
    <x v="1"/>
    <x v="2"/>
    <x v="2"/>
    <x v="24"/>
    <x v="0"/>
    <x v="1"/>
    <n v="2.2799999999999998"/>
    <n v="12356.96"/>
    <n v="53418.34"/>
    <x v="2"/>
  </r>
  <r>
    <x v="5"/>
    <x v="1"/>
    <x v="2"/>
    <x v="3"/>
    <x v="25"/>
    <x v="0"/>
    <x v="1"/>
    <n v="2.2000000000000002"/>
    <n v="11923.38"/>
    <n v="51670.23"/>
    <x v="2"/>
  </r>
  <r>
    <x v="5"/>
    <x v="1"/>
    <x v="2"/>
    <x v="3"/>
    <x v="26"/>
    <x v="0"/>
    <x v="1"/>
    <n v="1.55"/>
    <n v="8400.57"/>
    <n v="36276.46"/>
    <x v="2"/>
  </r>
  <r>
    <x v="5"/>
    <x v="1"/>
    <x v="2"/>
    <x v="3"/>
    <x v="27"/>
    <x v="0"/>
    <x v="1"/>
    <n v="8.41"/>
    <n v="45579.85"/>
    <n v="197119.15"/>
    <x v="2"/>
  </r>
  <r>
    <x v="5"/>
    <x v="1"/>
    <x v="2"/>
    <x v="0"/>
    <x v="0"/>
    <x v="1"/>
    <x v="0"/>
    <n v="3.96"/>
    <n v="21462.09"/>
    <n v="60622.02"/>
    <x v="2"/>
  </r>
  <r>
    <x v="5"/>
    <x v="1"/>
    <x v="2"/>
    <x v="0"/>
    <x v="1"/>
    <x v="1"/>
    <x v="0"/>
    <n v="14.96"/>
    <n v="81079.009999999995"/>
    <n v="225406.81"/>
    <x v="2"/>
  </r>
  <r>
    <x v="5"/>
    <x v="1"/>
    <x v="2"/>
    <x v="0"/>
    <x v="2"/>
    <x v="1"/>
    <x v="0"/>
    <n v="6.28"/>
    <n v="34035.839999999997"/>
    <n v="91417.3"/>
    <x v="2"/>
  </r>
  <r>
    <x v="5"/>
    <x v="1"/>
    <x v="2"/>
    <x v="0"/>
    <x v="3"/>
    <x v="1"/>
    <x v="0"/>
    <n v="11.64"/>
    <n v="63085.54"/>
    <n v="176227.07"/>
    <x v="2"/>
  </r>
  <r>
    <x v="5"/>
    <x v="1"/>
    <x v="2"/>
    <x v="0"/>
    <x v="28"/>
    <x v="1"/>
    <x v="0"/>
    <n v="0"/>
    <n v="0"/>
    <n v="0"/>
    <x v="2"/>
  </r>
  <r>
    <x v="5"/>
    <x v="1"/>
    <x v="2"/>
    <x v="0"/>
    <x v="4"/>
    <x v="1"/>
    <x v="0"/>
    <n v="7.36"/>
    <n v="39889.14"/>
    <n v="110396.33"/>
    <x v="2"/>
  </r>
  <r>
    <x v="5"/>
    <x v="1"/>
    <x v="2"/>
    <x v="0"/>
    <x v="5"/>
    <x v="1"/>
    <x v="0"/>
    <n v="2.42"/>
    <n v="13115.72"/>
    <n v="37397.5"/>
    <x v="2"/>
  </r>
  <r>
    <x v="5"/>
    <x v="1"/>
    <x v="2"/>
    <x v="0"/>
    <x v="6"/>
    <x v="1"/>
    <x v="0"/>
    <n v="0"/>
    <n v="0"/>
    <n v="0"/>
    <x v="2"/>
  </r>
  <r>
    <x v="5"/>
    <x v="1"/>
    <x v="2"/>
    <x v="0"/>
    <x v="7"/>
    <x v="1"/>
    <x v="0"/>
    <n v="0"/>
    <n v="0"/>
    <n v="0"/>
    <x v="2"/>
  </r>
  <r>
    <x v="5"/>
    <x v="1"/>
    <x v="2"/>
    <x v="0"/>
    <x v="8"/>
    <x v="1"/>
    <x v="0"/>
    <n v="0"/>
    <n v="0"/>
    <n v="0"/>
    <x v="2"/>
  </r>
  <r>
    <x v="5"/>
    <x v="1"/>
    <x v="2"/>
    <x v="1"/>
    <x v="30"/>
    <x v="1"/>
    <x v="0"/>
    <n v="3.69"/>
    <n v="19998.77"/>
    <n v="59528.97"/>
    <x v="2"/>
  </r>
  <r>
    <x v="5"/>
    <x v="1"/>
    <x v="2"/>
    <x v="1"/>
    <x v="9"/>
    <x v="1"/>
    <x v="0"/>
    <n v="0"/>
    <n v="0"/>
    <n v="0"/>
    <x v="2"/>
  </r>
  <r>
    <x v="5"/>
    <x v="1"/>
    <x v="2"/>
    <x v="1"/>
    <x v="31"/>
    <x v="1"/>
    <x v="0"/>
    <n v="3.66"/>
    <n v="19836.18"/>
    <n v="59569.21"/>
    <x v="2"/>
  </r>
  <r>
    <x v="5"/>
    <x v="1"/>
    <x v="2"/>
    <x v="1"/>
    <x v="10"/>
    <x v="1"/>
    <x v="0"/>
    <n v="7.87"/>
    <n v="42653.2"/>
    <n v="125781.08"/>
    <x v="2"/>
  </r>
  <r>
    <x v="5"/>
    <x v="1"/>
    <x v="2"/>
    <x v="1"/>
    <x v="11"/>
    <x v="1"/>
    <x v="0"/>
    <n v="10.91"/>
    <n v="59129.15"/>
    <n v="166131.74"/>
    <x v="2"/>
  </r>
  <r>
    <x v="5"/>
    <x v="1"/>
    <x v="2"/>
    <x v="1"/>
    <x v="12"/>
    <x v="1"/>
    <x v="0"/>
    <n v="0.7"/>
    <n v="3793.8"/>
    <n v="11163.68"/>
    <x v="2"/>
  </r>
  <r>
    <x v="5"/>
    <x v="1"/>
    <x v="2"/>
    <x v="1"/>
    <x v="13"/>
    <x v="1"/>
    <x v="0"/>
    <n v="2.25"/>
    <n v="12194.37"/>
    <n v="35833.339999999997"/>
    <x v="2"/>
  </r>
  <r>
    <x v="5"/>
    <x v="1"/>
    <x v="2"/>
    <x v="1"/>
    <x v="14"/>
    <x v="1"/>
    <x v="0"/>
    <n v="13.29"/>
    <n v="72028.08"/>
    <n v="208072.44"/>
    <x v="2"/>
  </r>
  <r>
    <x v="5"/>
    <x v="1"/>
    <x v="2"/>
    <x v="1"/>
    <x v="15"/>
    <x v="1"/>
    <x v="0"/>
    <n v="1.51"/>
    <n v="8183.78"/>
    <n v="24449.11"/>
    <x v="2"/>
  </r>
  <r>
    <x v="5"/>
    <x v="1"/>
    <x v="2"/>
    <x v="1"/>
    <x v="16"/>
    <x v="1"/>
    <x v="0"/>
    <n v="6.66"/>
    <n v="36095.339999999997"/>
    <n v="102692.79"/>
    <x v="2"/>
  </r>
  <r>
    <x v="5"/>
    <x v="1"/>
    <x v="2"/>
    <x v="1"/>
    <x v="17"/>
    <x v="1"/>
    <x v="0"/>
    <n v="13.7"/>
    <n v="74250.16"/>
    <n v="213264.05"/>
    <x v="2"/>
  </r>
  <r>
    <x v="5"/>
    <x v="1"/>
    <x v="2"/>
    <x v="1"/>
    <x v="18"/>
    <x v="1"/>
    <x v="0"/>
    <n v="7.16"/>
    <n v="38805.199999999997"/>
    <n v="116611.37"/>
    <x v="2"/>
  </r>
  <r>
    <x v="5"/>
    <x v="1"/>
    <x v="2"/>
    <x v="1"/>
    <x v="19"/>
    <x v="1"/>
    <x v="0"/>
    <n v="11.14"/>
    <n v="60375.68"/>
    <n v="176011.79"/>
    <x v="2"/>
  </r>
  <r>
    <x v="5"/>
    <x v="1"/>
    <x v="2"/>
    <x v="1"/>
    <x v="20"/>
    <x v="1"/>
    <x v="0"/>
    <n v="15.86"/>
    <n v="85956.76"/>
    <n v="246426.14"/>
    <x v="2"/>
  </r>
  <r>
    <x v="5"/>
    <x v="1"/>
    <x v="2"/>
    <x v="2"/>
    <x v="21"/>
    <x v="1"/>
    <x v="0"/>
    <n v="0"/>
    <n v="0"/>
    <n v="0"/>
    <x v="2"/>
  </r>
  <r>
    <x v="5"/>
    <x v="1"/>
    <x v="2"/>
    <x v="2"/>
    <x v="22"/>
    <x v="1"/>
    <x v="0"/>
    <n v="9.64"/>
    <n v="52246.1"/>
    <n v="137564.44"/>
    <x v="2"/>
  </r>
  <r>
    <x v="5"/>
    <x v="1"/>
    <x v="2"/>
    <x v="2"/>
    <x v="29"/>
    <x v="1"/>
    <x v="0"/>
    <n v="0"/>
    <n v="0"/>
    <n v="0"/>
    <x v="2"/>
  </r>
  <r>
    <x v="5"/>
    <x v="1"/>
    <x v="2"/>
    <x v="2"/>
    <x v="23"/>
    <x v="1"/>
    <x v="0"/>
    <n v="0"/>
    <n v="0"/>
    <n v="0"/>
    <x v="2"/>
  </r>
  <r>
    <x v="5"/>
    <x v="1"/>
    <x v="2"/>
    <x v="2"/>
    <x v="24"/>
    <x v="1"/>
    <x v="0"/>
    <n v="4.3"/>
    <n v="23304.799999999999"/>
    <n v="62451.75"/>
    <x v="2"/>
  </r>
  <r>
    <x v="5"/>
    <x v="1"/>
    <x v="2"/>
    <x v="3"/>
    <x v="25"/>
    <x v="1"/>
    <x v="0"/>
    <n v="7.89"/>
    <n v="42761.59"/>
    <n v="126682.41"/>
    <x v="2"/>
  </r>
  <r>
    <x v="5"/>
    <x v="1"/>
    <x v="2"/>
    <x v="3"/>
    <x v="26"/>
    <x v="1"/>
    <x v="0"/>
    <n v="2.2799999999999998"/>
    <n v="12356.96"/>
    <n v="36907.15"/>
    <x v="2"/>
  </r>
  <r>
    <x v="5"/>
    <x v="1"/>
    <x v="2"/>
    <x v="3"/>
    <x v="27"/>
    <x v="1"/>
    <x v="0"/>
    <n v="17.600000000000001"/>
    <n v="95387.07"/>
    <n v="279223.87"/>
    <x v="2"/>
  </r>
  <r>
    <x v="5"/>
    <x v="1"/>
    <x v="2"/>
    <x v="0"/>
    <x v="0"/>
    <x v="1"/>
    <x v="1"/>
    <n v="13.5"/>
    <n v="73166.22"/>
    <n v="206905.59"/>
    <x v="2"/>
  </r>
  <r>
    <x v="5"/>
    <x v="1"/>
    <x v="2"/>
    <x v="0"/>
    <x v="1"/>
    <x v="1"/>
    <x v="1"/>
    <n v="20.46"/>
    <n v="110887.47"/>
    <n v="308386.24"/>
    <x v="2"/>
  </r>
  <r>
    <x v="5"/>
    <x v="1"/>
    <x v="2"/>
    <x v="0"/>
    <x v="2"/>
    <x v="1"/>
    <x v="1"/>
    <n v="17.64"/>
    <n v="95603.86"/>
    <n v="256719.83"/>
    <x v="2"/>
  </r>
  <r>
    <x v="5"/>
    <x v="1"/>
    <x v="2"/>
    <x v="0"/>
    <x v="3"/>
    <x v="1"/>
    <x v="1"/>
    <n v="24.27"/>
    <n v="131536.6"/>
    <n v="367497.91"/>
    <x v="2"/>
  </r>
  <r>
    <x v="5"/>
    <x v="1"/>
    <x v="2"/>
    <x v="0"/>
    <x v="28"/>
    <x v="1"/>
    <x v="1"/>
    <n v="2.93"/>
    <n v="15879.78"/>
    <n v="44874.43"/>
    <x v="2"/>
  </r>
  <r>
    <x v="5"/>
    <x v="1"/>
    <x v="2"/>
    <x v="0"/>
    <x v="4"/>
    <x v="1"/>
    <x v="1"/>
    <n v="6.58"/>
    <n v="35661.760000000002"/>
    <n v="98707.31"/>
    <x v="2"/>
  </r>
  <r>
    <x v="5"/>
    <x v="1"/>
    <x v="2"/>
    <x v="0"/>
    <x v="5"/>
    <x v="1"/>
    <x v="1"/>
    <n v="18.850000000000001"/>
    <n v="102161.72"/>
    <n v="291166.27"/>
    <x v="2"/>
  </r>
  <r>
    <x v="5"/>
    <x v="1"/>
    <x v="2"/>
    <x v="0"/>
    <x v="6"/>
    <x v="1"/>
    <x v="1"/>
    <n v="3.15"/>
    <n v="17072.12"/>
    <n v="48564.51"/>
    <x v="2"/>
  </r>
  <r>
    <x v="5"/>
    <x v="1"/>
    <x v="2"/>
    <x v="0"/>
    <x v="7"/>
    <x v="1"/>
    <x v="1"/>
    <n v="4.4400000000000004"/>
    <n v="24063.56"/>
    <n v="69584.179999999993"/>
    <x v="2"/>
  </r>
  <r>
    <x v="5"/>
    <x v="1"/>
    <x v="2"/>
    <x v="0"/>
    <x v="8"/>
    <x v="1"/>
    <x v="1"/>
    <n v="4.5199999999999996"/>
    <n v="24497.13"/>
    <n v="67517.89"/>
    <x v="2"/>
  </r>
  <r>
    <x v="5"/>
    <x v="1"/>
    <x v="2"/>
    <x v="1"/>
    <x v="30"/>
    <x v="1"/>
    <x v="1"/>
    <n v="0"/>
    <n v="0"/>
    <n v="0"/>
    <x v="2"/>
  </r>
  <r>
    <x v="5"/>
    <x v="1"/>
    <x v="2"/>
    <x v="1"/>
    <x v="9"/>
    <x v="1"/>
    <x v="1"/>
    <n v="6.59"/>
    <n v="35715.949999999997"/>
    <n v="106300.94"/>
    <x v="2"/>
  </r>
  <r>
    <x v="5"/>
    <x v="1"/>
    <x v="2"/>
    <x v="1"/>
    <x v="31"/>
    <x v="1"/>
    <x v="1"/>
    <n v="0"/>
    <n v="0"/>
    <n v="0"/>
    <x v="2"/>
  </r>
  <r>
    <x v="5"/>
    <x v="1"/>
    <x v="2"/>
    <x v="1"/>
    <x v="10"/>
    <x v="1"/>
    <x v="1"/>
    <n v="35.369999999999997"/>
    <n v="191695.5"/>
    <n v="565323.77"/>
    <x v="2"/>
  </r>
  <r>
    <x v="5"/>
    <x v="1"/>
    <x v="2"/>
    <x v="1"/>
    <x v="11"/>
    <x v="1"/>
    <x v="1"/>
    <n v="32.03"/>
    <n v="173593.63"/>
    <n v="487930.23"/>
    <x v="2"/>
  </r>
  <r>
    <x v="5"/>
    <x v="1"/>
    <x v="2"/>
    <x v="1"/>
    <x v="12"/>
    <x v="1"/>
    <x v="1"/>
    <n v="3.31"/>
    <n v="17939.27"/>
    <n v="53027.48"/>
    <x v="2"/>
  </r>
  <r>
    <x v="5"/>
    <x v="1"/>
    <x v="2"/>
    <x v="1"/>
    <x v="13"/>
    <x v="1"/>
    <x v="1"/>
    <n v="14.59"/>
    <n v="79073.710000000006"/>
    <n v="232916.69"/>
    <x v="2"/>
  </r>
  <r>
    <x v="5"/>
    <x v="1"/>
    <x v="2"/>
    <x v="1"/>
    <x v="14"/>
    <x v="1"/>
    <x v="1"/>
    <n v="8.5299999999999994"/>
    <n v="46230.21"/>
    <n v="133522.42000000001"/>
    <x v="2"/>
  </r>
  <r>
    <x v="5"/>
    <x v="1"/>
    <x v="2"/>
    <x v="1"/>
    <x v="15"/>
    <x v="1"/>
    <x v="1"/>
    <n v="1.6"/>
    <n v="8671.5499999999993"/>
    <n v="25887.29"/>
    <x v="2"/>
  </r>
  <r>
    <x v="5"/>
    <x v="1"/>
    <x v="2"/>
    <x v="1"/>
    <x v="16"/>
    <x v="1"/>
    <x v="1"/>
    <n v="11.33"/>
    <n v="61405.43"/>
    <n v="174711.11"/>
    <x v="2"/>
  </r>
  <r>
    <x v="5"/>
    <x v="1"/>
    <x v="2"/>
    <x v="1"/>
    <x v="17"/>
    <x v="1"/>
    <x v="1"/>
    <n v="7.35"/>
    <n v="39834.94"/>
    <n v="114327.12"/>
    <x v="2"/>
  </r>
  <r>
    <x v="5"/>
    <x v="1"/>
    <x v="2"/>
    <x v="1"/>
    <x v="18"/>
    <x v="1"/>
    <x v="1"/>
    <n v="30.45"/>
    <n v="165030.47"/>
    <n v="495918.69"/>
    <x v="2"/>
  </r>
  <r>
    <x v="5"/>
    <x v="1"/>
    <x v="2"/>
    <x v="1"/>
    <x v="19"/>
    <x v="1"/>
    <x v="1"/>
    <n v="17.02"/>
    <n v="92243.63"/>
    <n v="268793.2"/>
    <x v="2"/>
  </r>
  <r>
    <x v="5"/>
    <x v="1"/>
    <x v="2"/>
    <x v="1"/>
    <x v="20"/>
    <x v="1"/>
    <x v="1"/>
    <n v="30.6"/>
    <n v="165843.43"/>
    <n v="475535.85"/>
    <x v="2"/>
  </r>
  <r>
    <x v="5"/>
    <x v="1"/>
    <x v="2"/>
    <x v="2"/>
    <x v="21"/>
    <x v="1"/>
    <x v="1"/>
    <n v="3.26"/>
    <n v="17668.29"/>
    <n v="46465.84"/>
    <x v="2"/>
  </r>
  <r>
    <x v="5"/>
    <x v="1"/>
    <x v="2"/>
    <x v="2"/>
    <x v="22"/>
    <x v="1"/>
    <x v="1"/>
    <n v="20.7"/>
    <n v="112188.2"/>
    <n v="295464.5"/>
    <x v="2"/>
  </r>
  <r>
    <x v="5"/>
    <x v="1"/>
    <x v="2"/>
    <x v="2"/>
    <x v="29"/>
    <x v="1"/>
    <x v="1"/>
    <n v="3.63"/>
    <n v="19673.580000000002"/>
    <n v="55000.34"/>
    <x v="2"/>
  </r>
  <r>
    <x v="5"/>
    <x v="1"/>
    <x v="2"/>
    <x v="2"/>
    <x v="23"/>
    <x v="1"/>
    <x v="1"/>
    <n v="2.3199999999999998"/>
    <n v="12573.75"/>
    <n v="34534.69"/>
    <x v="2"/>
  </r>
  <r>
    <x v="5"/>
    <x v="1"/>
    <x v="2"/>
    <x v="2"/>
    <x v="24"/>
    <x v="1"/>
    <x v="1"/>
    <n v="3.01"/>
    <n v="16313.36"/>
    <n v="43716.22"/>
    <x v="2"/>
  </r>
  <r>
    <x v="5"/>
    <x v="1"/>
    <x v="2"/>
    <x v="3"/>
    <x v="25"/>
    <x v="1"/>
    <x v="1"/>
    <n v="10.67"/>
    <n v="57828.41"/>
    <n v="171230.07999999999"/>
    <x v="2"/>
  </r>
  <r>
    <x v="5"/>
    <x v="1"/>
    <x v="2"/>
    <x v="3"/>
    <x v="26"/>
    <x v="1"/>
    <x v="1"/>
    <n v="21.84"/>
    <n v="118366.68"/>
    <n v="353254.18"/>
    <x v="2"/>
  </r>
  <r>
    <x v="5"/>
    <x v="1"/>
    <x v="2"/>
    <x v="3"/>
    <x v="27"/>
    <x v="1"/>
    <x v="1"/>
    <n v="48.99"/>
    <n v="265512.08"/>
    <n v="777345.47"/>
    <x v="2"/>
  </r>
  <r>
    <x v="5"/>
    <x v="1"/>
    <x v="3"/>
    <x v="0"/>
    <x v="0"/>
    <x v="0"/>
    <x v="0"/>
    <n v="2.09"/>
    <n v="12589.74"/>
    <n v="57377.15"/>
    <x v="2"/>
  </r>
  <r>
    <x v="5"/>
    <x v="1"/>
    <x v="3"/>
    <x v="0"/>
    <x v="1"/>
    <x v="0"/>
    <x v="0"/>
    <n v="4.7699999999999996"/>
    <n v="28733.53"/>
    <n v="131079.6"/>
    <x v="2"/>
  </r>
  <r>
    <x v="5"/>
    <x v="1"/>
    <x v="3"/>
    <x v="0"/>
    <x v="2"/>
    <x v="0"/>
    <x v="0"/>
    <n v="0"/>
    <n v="0"/>
    <n v="0"/>
    <x v="2"/>
  </r>
  <r>
    <x v="5"/>
    <x v="1"/>
    <x v="3"/>
    <x v="0"/>
    <x v="3"/>
    <x v="0"/>
    <x v="0"/>
    <n v="2.0099999999999998"/>
    <n v="12107.84"/>
    <n v="55170.34"/>
    <x v="2"/>
  </r>
  <r>
    <x v="5"/>
    <x v="1"/>
    <x v="3"/>
    <x v="0"/>
    <x v="4"/>
    <x v="0"/>
    <x v="0"/>
    <n v="0"/>
    <n v="0"/>
    <n v="0"/>
    <x v="2"/>
  </r>
  <r>
    <x v="5"/>
    <x v="1"/>
    <x v="3"/>
    <x v="0"/>
    <x v="5"/>
    <x v="0"/>
    <x v="0"/>
    <n v="0"/>
    <n v="0"/>
    <n v="0"/>
    <x v="2"/>
  </r>
  <r>
    <x v="5"/>
    <x v="1"/>
    <x v="3"/>
    <x v="0"/>
    <x v="6"/>
    <x v="0"/>
    <x v="0"/>
    <n v="0"/>
    <n v="0"/>
    <n v="0"/>
    <x v="2"/>
  </r>
  <r>
    <x v="5"/>
    <x v="1"/>
    <x v="3"/>
    <x v="0"/>
    <x v="8"/>
    <x v="0"/>
    <x v="0"/>
    <n v="0"/>
    <n v="0"/>
    <n v="0"/>
    <x v="2"/>
  </r>
  <r>
    <x v="5"/>
    <x v="1"/>
    <x v="3"/>
    <x v="1"/>
    <x v="10"/>
    <x v="0"/>
    <x v="0"/>
    <n v="1.1499999999999999"/>
    <n v="6927.37"/>
    <n v="31553.94"/>
    <x v="2"/>
  </r>
  <r>
    <x v="5"/>
    <x v="1"/>
    <x v="3"/>
    <x v="1"/>
    <x v="11"/>
    <x v="0"/>
    <x v="0"/>
    <n v="0"/>
    <n v="0"/>
    <n v="0"/>
    <x v="2"/>
  </r>
  <r>
    <x v="5"/>
    <x v="1"/>
    <x v="3"/>
    <x v="1"/>
    <x v="13"/>
    <x v="0"/>
    <x v="0"/>
    <n v="0"/>
    <n v="0"/>
    <n v="0"/>
    <x v="2"/>
  </r>
  <r>
    <x v="5"/>
    <x v="1"/>
    <x v="3"/>
    <x v="1"/>
    <x v="14"/>
    <x v="0"/>
    <x v="0"/>
    <n v="0"/>
    <n v="0"/>
    <n v="0"/>
    <x v="2"/>
  </r>
  <r>
    <x v="5"/>
    <x v="1"/>
    <x v="3"/>
    <x v="1"/>
    <x v="16"/>
    <x v="0"/>
    <x v="0"/>
    <n v="0"/>
    <n v="0"/>
    <n v="0"/>
    <x v="2"/>
  </r>
  <r>
    <x v="5"/>
    <x v="1"/>
    <x v="3"/>
    <x v="1"/>
    <x v="17"/>
    <x v="0"/>
    <x v="0"/>
    <n v="0"/>
    <n v="0"/>
    <n v="0"/>
    <x v="2"/>
  </r>
  <r>
    <x v="5"/>
    <x v="1"/>
    <x v="3"/>
    <x v="1"/>
    <x v="18"/>
    <x v="0"/>
    <x v="0"/>
    <n v="0"/>
    <n v="0"/>
    <n v="0"/>
    <x v="2"/>
  </r>
  <r>
    <x v="5"/>
    <x v="1"/>
    <x v="3"/>
    <x v="1"/>
    <x v="19"/>
    <x v="0"/>
    <x v="0"/>
    <n v="0"/>
    <n v="0"/>
    <n v="0"/>
    <x v="2"/>
  </r>
  <r>
    <x v="5"/>
    <x v="1"/>
    <x v="3"/>
    <x v="1"/>
    <x v="20"/>
    <x v="0"/>
    <x v="0"/>
    <n v="2.38"/>
    <n v="14336.64"/>
    <n v="65281.02"/>
    <x v="2"/>
  </r>
  <r>
    <x v="5"/>
    <x v="1"/>
    <x v="3"/>
    <x v="2"/>
    <x v="21"/>
    <x v="0"/>
    <x v="0"/>
    <n v="3.25"/>
    <n v="19577.349999999999"/>
    <n v="89347.24"/>
    <x v="2"/>
  </r>
  <r>
    <x v="5"/>
    <x v="1"/>
    <x v="3"/>
    <x v="2"/>
    <x v="22"/>
    <x v="0"/>
    <x v="0"/>
    <n v="0"/>
    <n v="0"/>
    <n v="0"/>
    <x v="2"/>
  </r>
  <r>
    <x v="5"/>
    <x v="1"/>
    <x v="3"/>
    <x v="2"/>
    <x v="29"/>
    <x v="0"/>
    <x v="0"/>
    <n v="0"/>
    <n v="0"/>
    <n v="0"/>
    <x v="2"/>
  </r>
  <r>
    <x v="5"/>
    <x v="1"/>
    <x v="3"/>
    <x v="2"/>
    <x v="24"/>
    <x v="0"/>
    <x v="0"/>
    <n v="0"/>
    <n v="0"/>
    <n v="0"/>
    <x v="2"/>
  </r>
  <r>
    <x v="5"/>
    <x v="1"/>
    <x v="3"/>
    <x v="3"/>
    <x v="25"/>
    <x v="0"/>
    <x v="0"/>
    <n v="0"/>
    <n v="0"/>
    <n v="0"/>
    <x v="2"/>
  </r>
  <r>
    <x v="5"/>
    <x v="1"/>
    <x v="3"/>
    <x v="3"/>
    <x v="26"/>
    <x v="0"/>
    <x v="0"/>
    <n v="3"/>
    <n v="18071.400000000001"/>
    <n v="82553.98"/>
    <x v="2"/>
  </r>
  <r>
    <x v="5"/>
    <x v="1"/>
    <x v="3"/>
    <x v="3"/>
    <x v="27"/>
    <x v="0"/>
    <x v="0"/>
    <n v="2.38"/>
    <n v="14336.64"/>
    <n v="65349.52"/>
    <x v="2"/>
  </r>
  <r>
    <x v="5"/>
    <x v="1"/>
    <x v="3"/>
    <x v="0"/>
    <x v="0"/>
    <x v="0"/>
    <x v="1"/>
    <n v="2.27"/>
    <n v="13674.03"/>
    <n v="62366.46"/>
    <x v="2"/>
  </r>
  <r>
    <x v="5"/>
    <x v="1"/>
    <x v="3"/>
    <x v="0"/>
    <x v="1"/>
    <x v="0"/>
    <x v="1"/>
    <n v="7.07"/>
    <n v="42588.27"/>
    <n v="194317.06"/>
    <x v="2"/>
  </r>
  <r>
    <x v="5"/>
    <x v="1"/>
    <x v="3"/>
    <x v="0"/>
    <x v="2"/>
    <x v="0"/>
    <x v="1"/>
    <n v="6.03"/>
    <n v="36323.51"/>
    <n v="165781.43"/>
    <x v="2"/>
  </r>
  <r>
    <x v="5"/>
    <x v="1"/>
    <x v="3"/>
    <x v="0"/>
    <x v="3"/>
    <x v="0"/>
    <x v="1"/>
    <n v="8.94"/>
    <n v="53852.77"/>
    <n v="245758.78"/>
    <x v="2"/>
  </r>
  <r>
    <x v="5"/>
    <x v="1"/>
    <x v="3"/>
    <x v="0"/>
    <x v="4"/>
    <x v="0"/>
    <x v="1"/>
    <n v="2"/>
    <n v="12047.6"/>
    <n v="54876.46"/>
    <x v="2"/>
  </r>
  <r>
    <x v="5"/>
    <x v="1"/>
    <x v="3"/>
    <x v="0"/>
    <x v="5"/>
    <x v="0"/>
    <x v="1"/>
    <n v="4.84"/>
    <n v="29155.19"/>
    <n v="133044.32"/>
    <x v="2"/>
  </r>
  <r>
    <x v="5"/>
    <x v="1"/>
    <x v="3"/>
    <x v="0"/>
    <x v="6"/>
    <x v="0"/>
    <x v="1"/>
    <n v="2.4500000000000002"/>
    <n v="14758.31"/>
    <n v="67305.649999999994"/>
    <x v="2"/>
  </r>
  <r>
    <x v="5"/>
    <x v="1"/>
    <x v="3"/>
    <x v="0"/>
    <x v="8"/>
    <x v="0"/>
    <x v="1"/>
    <n v="3.01"/>
    <n v="18131.64"/>
    <n v="82724.39"/>
    <x v="2"/>
  </r>
  <r>
    <x v="5"/>
    <x v="1"/>
    <x v="3"/>
    <x v="1"/>
    <x v="10"/>
    <x v="0"/>
    <x v="1"/>
    <n v="2.84"/>
    <n v="17107.59"/>
    <n v="78133.570000000007"/>
    <x v="2"/>
  </r>
  <r>
    <x v="5"/>
    <x v="1"/>
    <x v="3"/>
    <x v="1"/>
    <x v="11"/>
    <x v="0"/>
    <x v="1"/>
    <n v="13.79"/>
    <n v="83068.2"/>
    <n v="379028.67"/>
    <x v="2"/>
  </r>
  <r>
    <x v="5"/>
    <x v="1"/>
    <x v="3"/>
    <x v="1"/>
    <x v="13"/>
    <x v="0"/>
    <x v="1"/>
    <n v="5.58"/>
    <n v="33612.800000000003"/>
    <n v="153254.88"/>
    <x v="2"/>
  </r>
  <r>
    <x v="5"/>
    <x v="1"/>
    <x v="3"/>
    <x v="1"/>
    <x v="14"/>
    <x v="0"/>
    <x v="1"/>
    <n v="1.92"/>
    <n v="11565.7"/>
    <n v="52840.65"/>
    <x v="2"/>
  </r>
  <r>
    <x v="5"/>
    <x v="1"/>
    <x v="3"/>
    <x v="1"/>
    <x v="16"/>
    <x v="0"/>
    <x v="1"/>
    <n v="2.2999999999999998"/>
    <n v="13854.74"/>
    <n v="63097.120000000003"/>
    <x v="2"/>
  </r>
  <r>
    <x v="5"/>
    <x v="1"/>
    <x v="3"/>
    <x v="1"/>
    <x v="17"/>
    <x v="0"/>
    <x v="1"/>
    <n v="1.74"/>
    <n v="10481.41"/>
    <n v="47926.18"/>
    <x v="2"/>
  </r>
  <r>
    <x v="5"/>
    <x v="1"/>
    <x v="3"/>
    <x v="1"/>
    <x v="18"/>
    <x v="0"/>
    <x v="1"/>
    <n v="16.25"/>
    <n v="97886.75"/>
    <n v="446558.1"/>
    <x v="2"/>
  </r>
  <r>
    <x v="5"/>
    <x v="1"/>
    <x v="3"/>
    <x v="1"/>
    <x v="19"/>
    <x v="0"/>
    <x v="1"/>
    <n v="4.92"/>
    <n v="29637.1"/>
    <n v="135148.20000000001"/>
    <x v="2"/>
  </r>
  <r>
    <x v="5"/>
    <x v="1"/>
    <x v="3"/>
    <x v="1"/>
    <x v="20"/>
    <x v="0"/>
    <x v="1"/>
    <n v="12.42"/>
    <n v="74815.600000000006"/>
    <n v="341469.93"/>
    <x v="2"/>
  </r>
  <r>
    <x v="5"/>
    <x v="1"/>
    <x v="3"/>
    <x v="2"/>
    <x v="21"/>
    <x v="0"/>
    <x v="1"/>
    <n v="0"/>
    <n v="0"/>
    <n v="0"/>
    <x v="2"/>
  </r>
  <r>
    <x v="5"/>
    <x v="1"/>
    <x v="3"/>
    <x v="2"/>
    <x v="22"/>
    <x v="0"/>
    <x v="1"/>
    <n v="5.64"/>
    <n v="33974.230000000003"/>
    <n v="155118.26"/>
    <x v="2"/>
  </r>
  <r>
    <x v="5"/>
    <x v="1"/>
    <x v="3"/>
    <x v="2"/>
    <x v="29"/>
    <x v="0"/>
    <x v="1"/>
    <n v="3.37"/>
    <n v="20300.21"/>
    <n v="92526.71"/>
    <x v="2"/>
  </r>
  <r>
    <x v="5"/>
    <x v="1"/>
    <x v="3"/>
    <x v="2"/>
    <x v="24"/>
    <x v="0"/>
    <x v="1"/>
    <n v="1.36"/>
    <n v="8192.3700000000008"/>
    <n v="37463.54"/>
    <x v="2"/>
  </r>
  <r>
    <x v="5"/>
    <x v="1"/>
    <x v="3"/>
    <x v="3"/>
    <x v="25"/>
    <x v="0"/>
    <x v="1"/>
    <n v="2.74"/>
    <n v="16505.21"/>
    <n v="75231.740000000005"/>
    <x v="2"/>
  </r>
  <r>
    <x v="5"/>
    <x v="1"/>
    <x v="3"/>
    <x v="3"/>
    <x v="26"/>
    <x v="0"/>
    <x v="1"/>
    <n v="2.91"/>
    <n v="17529.259999999998"/>
    <n v="80052.34"/>
    <x v="2"/>
  </r>
  <r>
    <x v="5"/>
    <x v="1"/>
    <x v="3"/>
    <x v="3"/>
    <x v="27"/>
    <x v="0"/>
    <x v="1"/>
    <n v="10.199999999999999"/>
    <n v="61442.76"/>
    <n v="280458.34999999998"/>
    <x v="2"/>
  </r>
  <r>
    <x v="5"/>
    <x v="1"/>
    <x v="3"/>
    <x v="0"/>
    <x v="0"/>
    <x v="1"/>
    <x v="0"/>
    <n v="4.55"/>
    <n v="27408.29"/>
    <n v="81836.11"/>
    <x v="2"/>
  </r>
  <r>
    <x v="5"/>
    <x v="1"/>
    <x v="3"/>
    <x v="0"/>
    <x v="1"/>
    <x v="1"/>
    <x v="0"/>
    <n v="12.79"/>
    <n v="77044.399999999994"/>
    <n v="225940.63"/>
    <x v="2"/>
  </r>
  <r>
    <x v="5"/>
    <x v="1"/>
    <x v="3"/>
    <x v="0"/>
    <x v="2"/>
    <x v="1"/>
    <x v="0"/>
    <n v="4.72"/>
    <n v="28432.34"/>
    <n v="80487.19"/>
    <x v="2"/>
  </r>
  <r>
    <x v="5"/>
    <x v="1"/>
    <x v="3"/>
    <x v="0"/>
    <x v="3"/>
    <x v="1"/>
    <x v="0"/>
    <n v="13.25"/>
    <n v="79815.350000000006"/>
    <n v="235214.02"/>
    <x v="2"/>
  </r>
  <r>
    <x v="5"/>
    <x v="1"/>
    <x v="3"/>
    <x v="0"/>
    <x v="28"/>
    <x v="1"/>
    <x v="0"/>
    <n v="0"/>
    <n v="0"/>
    <n v="0"/>
    <x v="2"/>
  </r>
  <r>
    <x v="5"/>
    <x v="1"/>
    <x v="3"/>
    <x v="0"/>
    <x v="4"/>
    <x v="1"/>
    <x v="0"/>
    <n v="6.82"/>
    <n v="41082.32"/>
    <n v="119927.01"/>
    <x v="2"/>
  </r>
  <r>
    <x v="5"/>
    <x v="1"/>
    <x v="3"/>
    <x v="0"/>
    <x v="5"/>
    <x v="1"/>
    <x v="0"/>
    <n v="3.03"/>
    <n v="18252.11"/>
    <n v="54866.559999999998"/>
    <x v="2"/>
  </r>
  <r>
    <x v="5"/>
    <x v="1"/>
    <x v="3"/>
    <x v="0"/>
    <x v="6"/>
    <x v="1"/>
    <x v="0"/>
    <n v="0"/>
    <n v="0"/>
    <n v="0"/>
    <x v="2"/>
  </r>
  <r>
    <x v="5"/>
    <x v="1"/>
    <x v="3"/>
    <x v="0"/>
    <x v="7"/>
    <x v="1"/>
    <x v="0"/>
    <n v="0"/>
    <n v="0"/>
    <n v="0"/>
    <x v="2"/>
  </r>
  <r>
    <x v="5"/>
    <x v="1"/>
    <x v="3"/>
    <x v="0"/>
    <x v="8"/>
    <x v="1"/>
    <x v="0"/>
    <n v="0"/>
    <n v="0"/>
    <n v="0"/>
    <x v="2"/>
  </r>
  <r>
    <x v="5"/>
    <x v="1"/>
    <x v="3"/>
    <x v="1"/>
    <x v="30"/>
    <x v="1"/>
    <x v="0"/>
    <n v="2.94"/>
    <n v="17709.97"/>
    <n v="55583.94"/>
    <x v="2"/>
  </r>
  <r>
    <x v="5"/>
    <x v="1"/>
    <x v="3"/>
    <x v="1"/>
    <x v="9"/>
    <x v="1"/>
    <x v="0"/>
    <n v="0"/>
    <n v="0"/>
    <n v="0"/>
    <x v="2"/>
  </r>
  <r>
    <x v="5"/>
    <x v="1"/>
    <x v="3"/>
    <x v="1"/>
    <x v="31"/>
    <x v="1"/>
    <x v="0"/>
    <n v="2.1"/>
    <n v="12649.98"/>
    <n v="40122.449999999997"/>
    <x v="2"/>
  </r>
  <r>
    <x v="5"/>
    <x v="1"/>
    <x v="3"/>
    <x v="1"/>
    <x v="10"/>
    <x v="1"/>
    <x v="0"/>
    <n v="11.3"/>
    <n v="68068.94"/>
    <n v="211795.89"/>
    <x v="2"/>
  </r>
  <r>
    <x v="5"/>
    <x v="1"/>
    <x v="3"/>
    <x v="1"/>
    <x v="11"/>
    <x v="1"/>
    <x v="0"/>
    <n v="8.39"/>
    <n v="50539.68"/>
    <n v="149796.62"/>
    <x v="2"/>
  </r>
  <r>
    <x v="5"/>
    <x v="1"/>
    <x v="3"/>
    <x v="1"/>
    <x v="12"/>
    <x v="1"/>
    <x v="0"/>
    <n v="1.58"/>
    <n v="9517.6"/>
    <n v="29610.73"/>
    <x v="2"/>
  </r>
  <r>
    <x v="5"/>
    <x v="1"/>
    <x v="3"/>
    <x v="1"/>
    <x v="13"/>
    <x v="1"/>
    <x v="0"/>
    <n v="2.2200000000000002"/>
    <n v="13372.84"/>
    <n v="41613.82"/>
    <x v="2"/>
  </r>
  <r>
    <x v="5"/>
    <x v="1"/>
    <x v="3"/>
    <x v="1"/>
    <x v="14"/>
    <x v="1"/>
    <x v="0"/>
    <n v="5.37"/>
    <n v="32347.81"/>
    <n v="98585.55"/>
    <x v="2"/>
  </r>
  <r>
    <x v="5"/>
    <x v="1"/>
    <x v="3"/>
    <x v="1"/>
    <x v="15"/>
    <x v="1"/>
    <x v="0"/>
    <n v="1.87"/>
    <n v="11264.51"/>
    <n v="35446.9"/>
    <x v="2"/>
  </r>
  <r>
    <x v="5"/>
    <x v="1"/>
    <x v="3"/>
    <x v="1"/>
    <x v="16"/>
    <x v="1"/>
    <x v="0"/>
    <n v="3.66"/>
    <n v="22047.11"/>
    <n v="66113.759999999995"/>
    <x v="2"/>
  </r>
  <r>
    <x v="5"/>
    <x v="1"/>
    <x v="3"/>
    <x v="1"/>
    <x v="17"/>
    <x v="1"/>
    <x v="0"/>
    <n v="6.43"/>
    <n v="38733.03"/>
    <n v="117429.86"/>
    <x v="2"/>
  </r>
  <r>
    <x v="5"/>
    <x v="1"/>
    <x v="3"/>
    <x v="1"/>
    <x v="18"/>
    <x v="1"/>
    <x v="0"/>
    <n v="4.38"/>
    <n v="26384.240000000002"/>
    <n v="83581.350000000006"/>
    <x v="2"/>
  </r>
  <r>
    <x v="5"/>
    <x v="1"/>
    <x v="3"/>
    <x v="1"/>
    <x v="19"/>
    <x v="1"/>
    <x v="0"/>
    <n v="10.97"/>
    <n v="66081.09"/>
    <n v="203285.67"/>
    <x v="2"/>
  </r>
  <r>
    <x v="5"/>
    <x v="1"/>
    <x v="3"/>
    <x v="1"/>
    <x v="20"/>
    <x v="1"/>
    <x v="0"/>
    <n v="13.78"/>
    <n v="83007.960000000006"/>
    <n v="251032.62"/>
    <x v="2"/>
  </r>
  <r>
    <x v="5"/>
    <x v="1"/>
    <x v="3"/>
    <x v="2"/>
    <x v="21"/>
    <x v="1"/>
    <x v="0"/>
    <n v="0"/>
    <n v="0"/>
    <n v="0"/>
    <x v="2"/>
  </r>
  <r>
    <x v="5"/>
    <x v="1"/>
    <x v="3"/>
    <x v="2"/>
    <x v="22"/>
    <x v="1"/>
    <x v="0"/>
    <n v="6.5"/>
    <n v="39154.699999999997"/>
    <n v="108861.55"/>
    <x v="2"/>
  </r>
  <r>
    <x v="5"/>
    <x v="1"/>
    <x v="3"/>
    <x v="2"/>
    <x v="29"/>
    <x v="1"/>
    <x v="0"/>
    <n v="0"/>
    <n v="0"/>
    <n v="0"/>
    <x v="2"/>
  </r>
  <r>
    <x v="5"/>
    <x v="1"/>
    <x v="3"/>
    <x v="2"/>
    <x v="23"/>
    <x v="1"/>
    <x v="0"/>
    <n v="0"/>
    <n v="0"/>
    <n v="0"/>
    <x v="2"/>
  </r>
  <r>
    <x v="5"/>
    <x v="1"/>
    <x v="3"/>
    <x v="2"/>
    <x v="24"/>
    <x v="1"/>
    <x v="0"/>
    <n v="2.64"/>
    <n v="15902.83"/>
    <n v="45035.27"/>
    <x v="2"/>
  </r>
  <r>
    <x v="5"/>
    <x v="1"/>
    <x v="3"/>
    <x v="3"/>
    <x v="25"/>
    <x v="1"/>
    <x v="0"/>
    <n v="8.0299999999999994"/>
    <n v="48371.11"/>
    <n v="151177.10999999999"/>
    <x v="2"/>
  </r>
  <r>
    <x v="5"/>
    <x v="1"/>
    <x v="3"/>
    <x v="3"/>
    <x v="26"/>
    <x v="1"/>
    <x v="0"/>
    <n v="5.77"/>
    <n v="34757.33"/>
    <n v="109358.54"/>
    <x v="2"/>
  </r>
  <r>
    <x v="5"/>
    <x v="1"/>
    <x v="3"/>
    <x v="3"/>
    <x v="27"/>
    <x v="1"/>
    <x v="0"/>
    <n v="15.68"/>
    <n v="94453.18"/>
    <n v="291654.42"/>
    <x v="2"/>
  </r>
  <r>
    <x v="5"/>
    <x v="1"/>
    <x v="3"/>
    <x v="0"/>
    <x v="0"/>
    <x v="1"/>
    <x v="1"/>
    <n v="11.43"/>
    <n v="68852.03"/>
    <n v="205362.32"/>
    <x v="2"/>
  </r>
  <r>
    <x v="5"/>
    <x v="1"/>
    <x v="3"/>
    <x v="0"/>
    <x v="1"/>
    <x v="1"/>
    <x v="1"/>
    <n v="16.690000000000001"/>
    <n v="100537.22"/>
    <n v="295018.02"/>
    <x v="2"/>
  </r>
  <r>
    <x v="5"/>
    <x v="1"/>
    <x v="3"/>
    <x v="0"/>
    <x v="2"/>
    <x v="1"/>
    <x v="1"/>
    <n v="17.579999999999998"/>
    <n v="105898.4"/>
    <n v="299997.71999999997"/>
    <x v="2"/>
  </r>
  <r>
    <x v="5"/>
    <x v="1"/>
    <x v="3"/>
    <x v="0"/>
    <x v="3"/>
    <x v="1"/>
    <x v="1"/>
    <n v="31.91"/>
    <n v="192219.46"/>
    <n v="566573.93000000005"/>
    <x v="2"/>
  </r>
  <r>
    <x v="5"/>
    <x v="1"/>
    <x v="3"/>
    <x v="0"/>
    <x v="28"/>
    <x v="1"/>
    <x v="1"/>
    <n v="2.66"/>
    <n v="16023.31"/>
    <n v="47801.22"/>
    <x v="2"/>
  </r>
  <r>
    <x v="5"/>
    <x v="1"/>
    <x v="3"/>
    <x v="0"/>
    <x v="4"/>
    <x v="1"/>
    <x v="1"/>
    <n v="10.27"/>
    <n v="61864.43"/>
    <n v="180649.54"/>
    <x v="2"/>
  </r>
  <r>
    <x v="5"/>
    <x v="1"/>
    <x v="3"/>
    <x v="0"/>
    <x v="5"/>
    <x v="1"/>
    <x v="1"/>
    <n v="24.93"/>
    <n v="150173.32999999999"/>
    <n v="451473.44"/>
    <x v="2"/>
  </r>
  <r>
    <x v="5"/>
    <x v="1"/>
    <x v="3"/>
    <x v="0"/>
    <x v="6"/>
    <x v="1"/>
    <x v="1"/>
    <n v="1.28"/>
    <n v="7710.46"/>
    <n v="23113.96"/>
    <x v="2"/>
  </r>
  <r>
    <x v="5"/>
    <x v="1"/>
    <x v="3"/>
    <x v="0"/>
    <x v="7"/>
    <x v="1"/>
    <x v="1"/>
    <n v="4.49"/>
    <n v="27046.86"/>
    <n v="82520.7"/>
    <x v="2"/>
  </r>
  <r>
    <x v="5"/>
    <x v="1"/>
    <x v="3"/>
    <x v="0"/>
    <x v="8"/>
    <x v="1"/>
    <x v="1"/>
    <n v="3.48"/>
    <n v="20962.82"/>
    <n v="60880.65"/>
    <x v="2"/>
  </r>
  <r>
    <x v="5"/>
    <x v="1"/>
    <x v="3"/>
    <x v="1"/>
    <x v="30"/>
    <x v="1"/>
    <x v="1"/>
    <n v="0"/>
    <n v="0"/>
    <n v="0"/>
    <x v="2"/>
  </r>
  <r>
    <x v="5"/>
    <x v="1"/>
    <x v="3"/>
    <x v="1"/>
    <x v="9"/>
    <x v="1"/>
    <x v="1"/>
    <n v="4.67"/>
    <n v="28131.15"/>
    <n v="88267.56"/>
    <x v="2"/>
  </r>
  <r>
    <x v="5"/>
    <x v="1"/>
    <x v="3"/>
    <x v="1"/>
    <x v="31"/>
    <x v="1"/>
    <x v="1"/>
    <n v="0"/>
    <n v="0"/>
    <n v="0"/>
    <x v="2"/>
  </r>
  <r>
    <x v="5"/>
    <x v="1"/>
    <x v="3"/>
    <x v="1"/>
    <x v="10"/>
    <x v="1"/>
    <x v="1"/>
    <n v="30.71"/>
    <n v="184990.9"/>
    <n v="575567.46"/>
    <x v="2"/>
  </r>
  <r>
    <x v="5"/>
    <x v="1"/>
    <x v="3"/>
    <x v="1"/>
    <x v="11"/>
    <x v="1"/>
    <x v="1"/>
    <n v="30.12"/>
    <n v="181436.86"/>
    <n v="538045.01"/>
    <x v="2"/>
  </r>
  <r>
    <x v="5"/>
    <x v="1"/>
    <x v="3"/>
    <x v="1"/>
    <x v="12"/>
    <x v="1"/>
    <x v="1"/>
    <n v="3.85"/>
    <n v="23191.63"/>
    <n v="72381.77"/>
    <x v="2"/>
  </r>
  <r>
    <x v="5"/>
    <x v="1"/>
    <x v="3"/>
    <x v="1"/>
    <x v="13"/>
    <x v="1"/>
    <x v="1"/>
    <n v="11.46"/>
    <n v="69032.75"/>
    <n v="214471.21"/>
    <x v="2"/>
  </r>
  <r>
    <x v="5"/>
    <x v="1"/>
    <x v="3"/>
    <x v="1"/>
    <x v="14"/>
    <x v="1"/>
    <x v="1"/>
    <n v="2.8"/>
    <n v="16866.64"/>
    <n v="51462.9"/>
    <x v="2"/>
  </r>
  <r>
    <x v="5"/>
    <x v="1"/>
    <x v="3"/>
    <x v="1"/>
    <x v="15"/>
    <x v="1"/>
    <x v="1"/>
    <n v="2.31"/>
    <n v="13914.98"/>
    <n v="43886.64"/>
    <x v="2"/>
  </r>
  <r>
    <x v="5"/>
    <x v="1"/>
    <x v="3"/>
    <x v="1"/>
    <x v="16"/>
    <x v="1"/>
    <x v="1"/>
    <n v="7.31"/>
    <n v="44033.98"/>
    <n v="132227.51999999999"/>
    <x v="2"/>
  </r>
  <r>
    <x v="5"/>
    <x v="1"/>
    <x v="3"/>
    <x v="1"/>
    <x v="17"/>
    <x v="1"/>
    <x v="1"/>
    <n v="3.83"/>
    <n v="23071.15"/>
    <n v="69823.16"/>
    <x v="2"/>
  </r>
  <r>
    <x v="5"/>
    <x v="1"/>
    <x v="3"/>
    <x v="1"/>
    <x v="18"/>
    <x v="1"/>
    <x v="1"/>
    <n v="19.29"/>
    <n v="116199.1"/>
    <n v="368517.76"/>
    <x v="2"/>
  </r>
  <r>
    <x v="5"/>
    <x v="1"/>
    <x v="3"/>
    <x v="1"/>
    <x v="19"/>
    <x v="1"/>
    <x v="1"/>
    <n v="14.34"/>
    <n v="86381.29"/>
    <n v="265711.98"/>
    <x v="2"/>
  </r>
  <r>
    <x v="5"/>
    <x v="1"/>
    <x v="3"/>
    <x v="1"/>
    <x v="20"/>
    <x v="1"/>
    <x v="1"/>
    <n v="25.59"/>
    <n v="154149.04"/>
    <n v="466203.44"/>
    <x v="2"/>
  </r>
  <r>
    <x v="5"/>
    <x v="1"/>
    <x v="3"/>
    <x v="2"/>
    <x v="21"/>
    <x v="1"/>
    <x v="1"/>
    <n v="2.52"/>
    <n v="15179.98"/>
    <n v="42098.05"/>
    <x v="2"/>
  </r>
  <r>
    <x v="5"/>
    <x v="1"/>
    <x v="3"/>
    <x v="2"/>
    <x v="22"/>
    <x v="1"/>
    <x v="1"/>
    <n v="13.09"/>
    <n v="78851.539999999994"/>
    <n v="219118.75"/>
    <x v="2"/>
  </r>
  <r>
    <x v="5"/>
    <x v="1"/>
    <x v="3"/>
    <x v="2"/>
    <x v="29"/>
    <x v="1"/>
    <x v="1"/>
    <n v="2.1800000000000002"/>
    <n v="13131.88"/>
    <n v="38825.699999999997"/>
    <x v="2"/>
  </r>
  <r>
    <x v="5"/>
    <x v="1"/>
    <x v="3"/>
    <x v="2"/>
    <x v="23"/>
    <x v="1"/>
    <x v="1"/>
    <n v="1.95"/>
    <n v="11746.41"/>
    <n v="33924.949999999997"/>
    <x v="2"/>
  </r>
  <r>
    <x v="5"/>
    <x v="1"/>
    <x v="3"/>
    <x v="2"/>
    <x v="24"/>
    <x v="1"/>
    <x v="1"/>
    <n v="2.73"/>
    <n v="16444.97"/>
    <n v="46488.02"/>
    <x v="2"/>
  </r>
  <r>
    <x v="5"/>
    <x v="1"/>
    <x v="3"/>
    <x v="3"/>
    <x v="25"/>
    <x v="1"/>
    <x v="1"/>
    <n v="9.67"/>
    <n v="58250.15"/>
    <n v="182062.76"/>
    <x v="2"/>
  </r>
  <r>
    <x v="5"/>
    <x v="1"/>
    <x v="3"/>
    <x v="3"/>
    <x v="26"/>
    <x v="1"/>
    <x v="1"/>
    <n v="24.01"/>
    <n v="144631.44"/>
    <n v="455388.53"/>
    <x v="2"/>
  </r>
  <r>
    <x v="5"/>
    <x v="1"/>
    <x v="3"/>
    <x v="3"/>
    <x v="27"/>
    <x v="1"/>
    <x v="1"/>
    <n v="31.18"/>
    <n v="187822.07999999999"/>
    <n v="580103.85"/>
    <x v="2"/>
  </r>
  <r>
    <x v="5"/>
    <x v="1"/>
    <x v="4"/>
    <x v="0"/>
    <x v="0"/>
    <x v="0"/>
    <x v="0"/>
    <n v="1.56"/>
    <n v="8224.52"/>
    <n v="38122"/>
    <x v="2"/>
  </r>
  <r>
    <x v="5"/>
    <x v="1"/>
    <x v="4"/>
    <x v="0"/>
    <x v="1"/>
    <x v="0"/>
    <x v="0"/>
    <n v="2.8"/>
    <n v="14761.96"/>
    <n v="68641.87"/>
    <x v="2"/>
  </r>
  <r>
    <x v="5"/>
    <x v="1"/>
    <x v="4"/>
    <x v="0"/>
    <x v="2"/>
    <x v="0"/>
    <x v="0"/>
    <n v="0"/>
    <n v="0"/>
    <n v="0"/>
    <x v="2"/>
  </r>
  <r>
    <x v="5"/>
    <x v="1"/>
    <x v="4"/>
    <x v="0"/>
    <x v="3"/>
    <x v="0"/>
    <x v="0"/>
    <n v="1.84"/>
    <n v="9700.7199999999993"/>
    <n v="45090.11"/>
    <x v="2"/>
  </r>
  <r>
    <x v="5"/>
    <x v="1"/>
    <x v="4"/>
    <x v="0"/>
    <x v="4"/>
    <x v="0"/>
    <x v="0"/>
    <n v="0"/>
    <n v="0"/>
    <n v="0"/>
    <x v="2"/>
  </r>
  <r>
    <x v="5"/>
    <x v="1"/>
    <x v="4"/>
    <x v="0"/>
    <x v="5"/>
    <x v="0"/>
    <x v="0"/>
    <n v="0"/>
    <n v="0"/>
    <n v="0"/>
    <x v="2"/>
  </r>
  <r>
    <x v="5"/>
    <x v="1"/>
    <x v="4"/>
    <x v="0"/>
    <x v="6"/>
    <x v="0"/>
    <x v="0"/>
    <n v="0"/>
    <n v="0"/>
    <n v="0"/>
    <x v="2"/>
  </r>
  <r>
    <x v="5"/>
    <x v="1"/>
    <x v="4"/>
    <x v="0"/>
    <x v="8"/>
    <x v="0"/>
    <x v="0"/>
    <n v="0"/>
    <n v="0"/>
    <n v="0"/>
    <x v="2"/>
  </r>
  <r>
    <x v="5"/>
    <x v="1"/>
    <x v="4"/>
    <x v="1"/>
    <x v="10"/>
    <x v="0"/>
    <x v="0"/>
    <n v="0.92"/>
    <n v="4850.3599999999997"/>
    <n v="22593.66"/>
    <x v="2"/>
  </r>
  <r>
    <x v="5"/>
    <x v="1"/>
    <x v="4"/>
    <x v="1"/>
    <x v="11"/>
    <x v="0"/>
    <x v="0"/>
    <n v="0"/>
    <n v="0"/>
    <n v="0"/>
    <x v="2"/>
  </r>
  <r>
    <x v="5"/>
    <x v="1"/>
    <x v="4"/>
    <x v="1"/>
    <x v="13"/>
    <x v="0"/>
    <x v="0"/>
    <n v="0"/>
    <n v="0"/>
    <n v="0"/>
    <x v="2"/>
  </r>
  <r>
    <x v="5"/>
    <x v="1"/>
    <x v="4"/>
    <x v="1"/>
    <x v="14"/>
    <x v="0"/>
    <x v="0"/>
    <n v="0"/>
    <n v="0"/>
    <n v="0"/>
    <x v="2"/>
  </r>
  <r>
    <x v="5"/>
    <x v="1"/>
    <x v="4"/>
    <x v="1"/>
    <x v="16"/>
    <x v="0"/>
    <x v="0"/>
    <n v="0"/>
    <n v="0"/>
    <n v="0"/>
    <x v="2"/>
  </r>
  <r>
    <x v="5"/>
    <x v="1"/>
    <x v="4"/>
    <x v="1"/>
    <x v="17"/>
    <x v="0"/>
    <x v="0"/>
    <n v="0"/>
    <n v="0"/>
    <n v="0"/>
    <x v="2"/>
  </r>
  <r>
    <x v="5"/>
    <x v="1"/>
    <x v="4"/>
    <x v="1"/>
    <x v="18"/>
    <x v="0"/>
    <x v="0"/>
    <n v="0"/>
    <n v="0"/>
    <n v="0"/>
    <x v="2"/>
  </r>
  <r>
    <x v="5"/>
    <x v="1"/>
    <x v="4"/>
    <x v="1"/>
    <x v="19"/>
    <x v="0"/>
    <x v="0"/>
    <n v="0"/>
    <n v="0"/>
    <n v="0"/>
    <x v="2"/>
  </r>
  <r>
    <x v="5"/>
    <x v="1"/>
    <x v="4"/>
    <x v="1"/>
    <x v="20"/>
    <x v="0"/>
    <x v="0"/>
    <n v="1.57"/>
    <n v="8277.24"/>
    <n v="38364.620000000003"/>
    <x v="2"/>
  </r>
  <r>
    <x v="5"/>
    <x v="1"/>
    <x v="4"/>
    <x v="2"/>
    <x v="21"/>
    <x v="0"/>
    <x v="0"/>
    <n v="1.45"/>
    <n v="7644.59"/>
    <n v="35535.769999999997"/>
    <x v="2"/>
  </r>
  <r>
    <x v="5"/>
    <x v="1"/>
    <x v="4"/>
    <x v="2"/>
    <x v="22"/>
    <x v="0"/>
    <x v="0"/>
    <n v="0"/>
    <n v="0"/>
    <n v="0"/>
    <x v="2"/>
  </r>
  <r>
    <x v="5"/>
    <x v="1"/>
    <x v="4"/>
    <x v="2"/>
    <x v="29"/>
    <x v="0"/>
    <x v="0"/>
    <n v="0"/>
    <n v="0"/>
    <n v="0"/>
    <x v="2"/>
  </r>
  <r>
    <x v="5"/>
    <x v="1"/>
    <x v="4"/>
    <x v="2"/>
    <x v="24"/>
    <x v="0"/>
    <x v="0"/>
    <n v="0"/>
    <n v="0"/>
    <n v="0"/>
    <x v="2"/>
  </r>
  <r>
    <x v="5"/>
    <x v="1"/>
    <x v="4"/>
    <x v="3"/>
    <x v="25"/>
    <x v="0"/>
    <x v="0"/>
    <n v="0"/>
    <n v="0"/>
    <n v="0"/>
    <x v="2"/>
  </r>
  <r>
    <x v="5"/>
    <x v="1"/>
    <x v="4"/>
    <x v="3"/>
    <x v="26"/>
    <x v="0"/>
    <x v="0"/>
    <n v="1.1200000000000001"/>
    <n v="5904.79"/>
    <n v="27517.99"/>
    <x v="2"/>
  </r>
  <r>
    <x v="5"/>
    <x v="1"/>
    <x v="4"/>
    <x v="3"/>
    <x v="27"/>
    <x v="0"/>
    <x v="0"/>
    <n v="1.25"/>
    <n v="6590.16"/>
    <n v="30611.759999999998"/>
    <x v="2"/>
  </r>
  <r>
    <x v="5"/>
    <x v="1"/>
    <x v="4"/>
    <x v="0"/>
    <x v="0"/>
    <x v="0"/>
    <x v="1"/>
    <n v="0.92"/>
    <n v="4850.3599999999997"/>
    <n v="22424.71"/>
    <x v="2"/>
  </r>
  <r>
    <x v="5"/>
    <x v="1"/>
    <x v="4"/>
    <x v="0"/>
    <x v="1"/>
    <x v="0"/>
    <x v="1"/>
    <n v="4.3"/>
    <n v="22670.16"/>
    <n v="105379.77"/>
    <x v="2"/>
  </r>
  <r>
    <x v="5"/>
    <x v="1"/>
    <x v="4"/>
    <x v="0"/>
    <x v="2"/>
    <x v="0"/>
    <x v="1"/>
    <n v="1.29"/>
    <n v="6801.05"/>
    <n v="31728.19"/>
    <x v="2"/>
  </r>
  <r>
    <x v="5"/>
    <x v="1"/>
    <x v="4"/>
    <x v="0"/>
    <x v="3"/>
    <x v="0"/>
    <x v="1"/>
    <n v="3.13"/>
    <n v="16501.77"/>
    <n v="76653.19"/>
    <x v="2"/>
  </r>
  <r>
    <x v="5"/>
    <x v="1"/>
    <x v="4"/>
    <x v="0"/>
    <x v="4"/>
    <x v="0"/>
    <x v="1"/>
    <n v="1.81"/>
    <n v="9542.56"/>
    <n v="44440.18"/>
    <x v="2"/>
  </r>
  <r>
    <x v="5"/>
    <x v="1"/>
    <x v="4"/>
    <x v="0"/>
    <x v="5"/>
    <x v="0"/>
    <x v="1"/>
    <n v="1.46"/>
    <n v="7697.31"/>
    <n v="35760.69"/>
    <x v="2"/>
  </r>
  <r>
    <x v="5"/>
    <x v="1"/>
    <x v="4"/>
    <x v="0"/>
    <x v="6"/>
    <x v="0"/>
    <x v="1"/>
    <n v="2"/>
    <n v="10544.26"/>
    <n v="49003.62"/>
    <x v="2"/>
  </r>
  <r>
    <x v="5"/>
    <x v="1"/>
    <x v="4"/>
    <x v="0"/>
    <x v="8"/>
    <x v="0"/>
    <x v="1"/>
    <n v="2.57"/>
    <n v="13549.37"/>
    <n v="63035.05"/>
    <x v="2"/>
  </r>
  <r>
    <x v="5"/>
    <x v="1"/>
    <x v="4"/>
    <x v="1"/>
    <x v="10"/>
    <x v="0"/>
    <x v="1"/>
    <n v="1.29"/>
    <n v="6801.05"/>
    <n v="31631.119999999999"/>
    <x v="2"/>
  </r>
  <r>
    <x v="5"/>
    <x v="1"/>
    <x v="4"/>
    <x v="1"/>
    <x v="11"/>
    <x v="0"/>
    <x v="1"/>
    <n v="7.86"/>
    <n v="41438.94"/>
    <n v="192583.55"/>
    <x v="2"/>
  </r>
  <r>
    <x v="5"/>
    <x v="1"/>
    <x v="4"/>
    <x v="1"/>
    <x v="13"/>
    <x v="0"/>
    <x v="1"/>
    <n v="3.03"/>
    <n v="15974.55"/>
    <n v="74126.009999999995"/>
    <x v="2"/>
  </r>
  <r>
    <x v="5"/>
    <x v="1"/>
    <x v="4"/>
    <x v="1"/>
    <x v="14"/>
    <x v="0"/>
    <x v="1"/>
    <n v="1.55"/>
    <n v="8171.8"/>
    <n v="37960.42"/>
    <x v="2"/>
  </r>
  <r>
    <x v="5"/>
    <x v="1"/>
    <x v="4"/>
    <x v="1"/>
    <x v="16"/>
    <x v="0"/>
    <x v="1"/>
    <n v="0.83"/>
    <n v="4375.87"/>
    <n v="20320.650000000001"/>
    <x v="2"/>
  </r>
  <r>
    <x v="5"/>
    <x v="1"/>
    <x v="4"/>
    <x v="1"/>
    <x v="17"/>
    <x v="0"/>
    <x v="1"/>
    <n v="0"/>
    <n v="0"/>
    <n v="0"/>
    <x v="2"/>
  </r>
  <r>
    <x v="5"/>
    <x v="1"/>
    <x v="4"/>
    <x v="1"/>
    <x v="18"/>
    <x v="0"/>
    <x v="1"/>
    <n v="7.99"/>
    <n v="42124.32"/>
    <n v="195736.16"/>
    <x v="2"/>
  </r>
  <r>
    <x v="5"/>
    <x v="1"/>
    <x v="4"/>
    <x v="1"/>
    <x v="19"/>
    <x v="0"/>
    <x v="1"/>
    <n v="3.19"/>
    <n v="16818.09"/>
    <n v="78220.25"/>
    <x v="2"/>
  </r>
  <r>
    <x v="5"/>
    <x v="1"/>
    <x v="4"/>
    <x v="1"/>
    <x v="20"/>
    <x v="0"/>
    <x v="1"/>
    <n v="5.62"/>
    <n v="29629.37"/>
    <n v="137661.28"/>
    <x v="2"/>
  </r>
  <r>
    <x v="5"/>
    <x v="1"/>
    <x v="4"/>
    <x v="2"/>
    <x v="21"/>
    <x v="0"/>
    <x v="1"/>
    <n v="0"/>
    <n v="0"/>
    <n v="0"/>
    <x v="2"/>
  </r>
  <r>
    <x v="5"/>
    <x v="1"/>
    <x v="4"/>
    <x v="2"/>
    <x v="22"/>
    <x v="0"/>
    <x v="1"/>
    <n v="3.39"/>
    <n v="17872.52"/>
    <n v="82997.56"/>
    <x v="2"/>
  </r>
  <r>
    <x v="5"/>
    <x v="1"/>
    <x v="4"/>
    <x v="2"/>
    <x v="29"/>
    <x v="0"/>
    <x v="1"/>
    <n v="1.47"/>
    <n v="7750.03"/>
    <n v="35904.46"/>
    <x v="2"/>
  </r>
  <r>
    <x v="5"/>
    <x v="1"/>
    <x v="4"/>
    <x v="2"/>
    <x v="24"/>
    <x v="0"/>
    <x v="1"/>
    <n v="2.35"/>
    <n v="12389.51"/>
    <n v="57512.93"/>
    <x v="2"/>
  </r>
  <r>
    <x v="5"/>
    <x v="1"/>
    <x v="4"/>
    <x v="3"/>
    <x v="25"/>
    <x v="0"/>
    <x v="1"/>
    <n v="1.46"/>
    <n v="7697.31"/>
    <n v="35779.129999999997"/>
    <x v="2"/>
  </r>
  <r>
    <x v="5"/>
    <x v="1"/>
    <x v="4"/>
    <x v="3"/>
    <x v="26"/>
    <x v="0"/>
    <x v="1"/>
    <n v="1.33"/>
    <n v="7011.93"/>
    <n v="32521.26"/>
    <x v="2"/>
  </r>
  <r>
    <x v="5"/>
    <x v="1"/>
    <x v="4"/>
    <x v="3"/>
    <x v="27"/>
    <x v="0"/>
    <x v="1"/>
    <n v="5.09"/>
    <n v="26835.14"/>
    <n v="124633.58"/>
    <x v="2"/>
  </r>
  <r>
    <x v="5"/>
    <x v="1"/>
    <x v="4"/>
    <x v="0"/>
    <x v="0"/>
    <x v="1"/>
    <x v="0"/>
    <n v="4.6500000000000004"/>
    <n v="24515.4"/>
    <n v="74575.7"/>
    <x v="2"/>
  </r>
  <r>
    <x v="5"/>
    <x v="1"/>
    <x v="4"/>
    <x v="0"/>
    <x v="1"/>
    <x v="1"/>
    <x v="0"/>
    <n v="15.59"/>
    <n v="82192.509999999995"/>
    <n v="245640.21"/>
    <x v="2"/>
  </r>
  <r>
    <x v="5"/>
    <x v="1"/>
    <x v="4"/>
    <x v="0"/>
    <x v="2"/>
    <x v="1"/>
    <x v="0"/>
    <n v="4.96"/>
    <n v="26149.759999999998"/>
    <n v="75475.03"/>
    <x v="2"/>
  </r>
  <r>
    <x v="5"/>
    <x v="1"/>
    <x v="4"/>
    <x v="0"/>
    <x v="3"/>
    <x v="1"/>
    <x v="0"/>
    <n v="8.64"/>
    <n v="45551.199999999997"/>
    <n v="136786.87"/>
    <x v="2"/>
  </r>
  <r>
    <x v="5"/>
    <x v="1"/>
    <x v="4"/>
    <x v="0"/>
    <x v="28"/>
    <x v="1"/>
    <x v="0"/>
    <n v="0"/>
    <n v="0"/>
    <n v="0"/>
    <x v="2"/>
  </r>
  <r>
    <x v="5"/>
    <x v="1"/>
    <x v="4"/>
    <x v="0"/>
    <x v="4"/>
    <x v="1"/>
    <x v="0"/>
    <n v="7.56"/>
    <n v="39857.300000000003"/>
    <n v="118607.71"/>
    <x v="2"/>
  </r>
  <r>
    <x v="5"/>
    <x v="1"/>
    <x v="4"/>
    <x v="0"/>
    <x v="5"/>
    <x v="1"/>
    <x v="0"/>
    <n v="3.04"/>
    <n v="16027.28"/>
    <n v="49150.57"/>
    <x v="2"/>
  </r>
  <r>
    <x v="5"/>
    <x v="1"/>
    <x v="4"/>
    <x v="0"/>
    <x v="6"/>
    <x v="1"/>
    <x v="0"/>
    <n v="0"/>
    <n v="0"/>
    <n v="0"/>
    <x v="2"/>
  </r>
  <r>
    <x v="5"/>
    <x v="1"/>
    <x v="4"/>
    <x v="0"/>
    <x v="7"/>
    <x v="1"/>
    <x v="0"/>
    <n v="0"/>
    <n v="0"/>
    <n v="0"/>
    <x v="2"/>
  </r>
  <r>
    <x v="5"/>
    <x v="1"/>
    <x v="4"/>
    <x v="0"/>
    <x v="8"/>
    <x v="1"/>
    <x v="0"/>
    <n v="0"/>
    <n v="0"/>
    <n v="0"/>
    <x v="2"/>
  </r>
  <r>
    <x v="5"/>
    <x v="1"/>
    <x v="4"/>
    <x v="1"/>
    <x v="30"/>
    <x v="1"/>
    <x v="0"/>
    <n v="1.72"/>
    <n v="9068.06"/>
    <n v="29042.68"/>
    <x v="2"/>
  </r>
  <r>
    <x v="5"/>
    <x v="1"/>
    <x v="4"/>
    <x v="1"/>
    <x v="9"/>
    <x v="1"/>
    <x v="0"/>
    <n v="0"/>
    <n v="0"/>
    <n v="0"/>
    <x v="2"/>
  </r>
  <r>
    <x v="5"/>
    <x v="1"/>
    <x v="4"/>
    <x v="1"/>
    <x v="31"/>
    <x v="1"/>
    <x v="0"/>
    <n v="0.83"/>
    <n v="4375.87"/>
    <n v="14125.52"/>
    <x v="2"/>
  </r>
  <r>
    <x v="5"/>
    <x v="1"/>
    <x v="4"/>
    <x v="1"/>
    <x v="10"/>
    <x v="1"/>
    <x v="0"/>
    <n v="10.72"/>
    <n v="56517.23"/>
    <n v="179088.87"/>
    <x v="2"/>
  </r>
  <r>
    <x v="5"/>
    <x v="1"/>
    <x v="4"/>
    <x v="1"/>
    <x v="11"/>
    <x v="1"/>
    <x v="0"/>
    <n v="7.15"/>
    <n v="37695.730000000003"/>
    <n v="113947.87"/>
    <x v="2"/>
  </r>
  <r>
    <x v="5"/>
    <x v="1"/>
    <x v="4"/>
    <x v="1"/>
    <x v="12"/>
    <x v="1"/>
    <x v="0"/>
    <n v="2.7"/>
    <n v="14234.75"/>
    <n v="45242.61"/>
    <x v="2"/>
  </r>
  <r>
    <x v="5"/>
    <x v="1"/>
    <x v="4"/>
    <x v="1"/>
    <x v="13"/>
    <x v="1"/>
    <x v="0"/>
    <n v="4.4400000000000004"/>
    <n v="23408.26"/>
    <n v="74099.89"/>
    <x v="2"/>
  </r>
  <r>
    <x v="5"/>
    <x v="1"/>
    <x v="4"/>
    <x v="1"/>
    <x v="14"/>
    <x v="1"/>
    <x v="0"/>
    <n v="15.32"/>
    <n v="80769.03"/>
    <n v="250760.64"/>
    <x v="2"/>
  </r>
  <r>
    <x v="5"/>
    <x v="1"/>
    <x v="4"/>
    <x v="1"/>
    <x v="15"/>
    <x v="1"/>
    <x v="0"/>
    <n v="4.58"/>
    <n v="24146.36"/>
    <n v="77549.02"/>
    <x v="2"/>
  </r>
  <r>
    <x v="5"/>
    <x v="1"/>
    <x v="4"/>
    <x v="1"/>
    <x v="16"/>
    <x v="1"/>
    <x v="0"/>
    <n v="6.45"/>
    <n v="34005.24"/>
    <n v="103986.43"/>
    <x v="2"/>
  </r>
  <r>
    <x v="5"/>
    <x v="1"/>
    <x v="4"/>
    <x v="1"/>
    <x v="17"/>
    <x v="1"/>
    <x v="0"/>
    <n v="6.03"/>
    <n v="31790.94"/>
    <n v="98120.81"/>
    <x v="2"/>
  </r>
  <r>
    <x v="5"/>
    <x v="1"/>
    <x v="4"/>
    <x v="1"/>
    <x v="18"/>
    <x v="1"/>
    <x v="0"/>
    <n v="6.8"/>
    <n v="35850.480000000003"/>
    <n v="115766.63"/>
    <x v="2"/>
  </r>
  <r>
    <x v="5"/>
    <x v="1"/>
    <x v="4"/>
    <x v="1"/>
    <x v="19"/>
    <x v="1"/>
    <x v="0"/>
    <n v="12.94"/>
    <n v="68221.36"/>
    <n v="213681.19"/>
    <x v="2"/>
  </r>
  <r>
    <x v="5"/>
    <x v="1"/>
    <x v="4"/>
    <x v="1"/>
    <x v="20"/>
    <x v="1"/>
    <x v="0"/>
    <n v="14.07"/>
    <n v="74178.87"/>
    <n v="228569.33"/>
    <x v="2"/>
  </r>
  <r>
    <x v="5"/>
    <x v="1"/>
    <x v="4"/>
    <x v="2"/>
    <x v="21"/>
    <x v="1"/>
    <x v="0"/>
    <n v="0"/>
    <n v="0"/>
    <n v="0"/>
    <x v="2"/>
  </r>
  <r>
    <x v="5"/>
    <x v="1"/>
    <x v="4"/>
    <x v="2"/>
    <x v="22"/>
    <x v="1"/>
    <x v="0"/>
    <n v="8.93"/>
    <n v="47080.12"/>
    <n v="133248.37"/>
    <x v="2"/>
  </r>
  <r>
    <x v="5"/>
    <x v="1"/>
    <x v="4"/>
    <x v="2"/>
    <x v="29"/>
    <x v="1"/>
    <x v="0"/>
    <n v="0"/>
    <n v="0"/>
    <n v="0"/>
    <x v="2"/>
  </r>
  <r>
    <x v="5"/>
    <x v="1"/>
    <x v="4"/>
    <x v="2"/>
    <x v="23"/>
    <x v="1"/>
    <x v="0"/>
    <n v="0"/>
    <n v="0"/>
    <n v="0"/>
    <x v="2"/>
  </r>
  <r>
    <x v="5"/>
    <x v="1"/>
    <x v="4"/>
    <x v="2"/>
    <x v="24"/>
    <x v="1"/>
    <x v="0"/>
    <n v="2.41"/>
    <n v="12705.83"/>
    <n v="36644.47"/>
    <x v="2"/>
  </r>
  <r>
    <x v="5"/>
    <x v="1"/>
    <x v="4"/>
    <x v="3"/>
    <x v="25"/>
    <x v="1"/>
    <x v="0"/>
    <n v="8.92"/>
    <n v="47027.4"/>
    <n v="149795.15"/>
    <x v="2"/>
  </r>
  <r>
    <x v="5"/>
    <x v="1"/>
    <x v="4"/>
    <x v="3"/>
    <x v="26"/>
    <x v="1"/>
    <x v="0"/>
    <n v="2.61"/>
    <n v="13760.26"/>
    <n v="44198.37"/>
    <x v="2"/>
  </r>
  <r>
    <x v="5"/>
    <x v="1"/>
    <x v="4"/>
    <x v="3"/>
    <x v="27"/>
    <x v="1"/>
    <x v="0"/>
    <n v="15.04"/>
    <n v="79292.84"/>
    <n v="249473.37"/>
    <x v="2"/>
  </r>
  <r>
    <x v="5"/>
    <x v="1"/>
    <x v="4"/>
    <x v="0"/>
    <x v="0"/>
    <x v="1"/>
    <x v="1"/>
    <n v="11.45"/>
    <n v="60365.89"/>
    <n v="183570.95"/>
    <x v="2"/>
  </r>
  <r>
    <x v="5"/>
    <x v="1"/>
    <x v="4"/>
    <x v="0"/>
    <x v="1"/>
    <x v="1"/>
    <x v="1"/>
    <n v="24.58"/>
    <n v="129588.96"/>
    <n v="387297.76"/>
    <x v="2"/>
  </r>
  <r>
    <x v="5"/>
    <x v="1"/>
    <x v="4"/>
    <x v="0"/>
    <x v="2"/>
    <x v="1"/>
    <x v="1"/>
    <n v="15.86"/>
    <n v="83615.98"/>
    <n v="241291.4"/>
    <x v="2"/>
  </r>
  <r>
    <x v="5"/>
    <x v="1"/>
    <x v="4"/>
    <x v="0"/>
    <x v="3"/>
    <x v="1"/>
    <x v="1"/>
    <n v="29.31"/>
    <n v="154526.13"/>
    <n v="464002.53"/>
    <x v="2"/>
  </r>
  <r>
    <x v="5"/>
    <x v="1"/>
    <x v="4"/>
    <x v="0"/>
    <x v="28"/>
    <x v="1"/>
    <x v="1"/>
    <n v="2.63"/>
    <n v="13865.7"/>
    <n v="42131.33"/>
    <x v="2"/>
  </r>
  <r>
    <x v="5"/>
    <x v="1"/>
    <x v="4"/>
    <x v="0"/>
    <x v="4"/>
    <x v="1"/>
    <x v="1"/>
    <n v="7.48"/>
    <n v="39435.53"/>
    <n v="117244.4"/>
    <x v="2"/>
  </r>
  <r>
    <x v="5"/>
    <x v="1"/>
    <x v="4"/>
    <x v="0"/>
    <x v="5"/>
    <x v="1"/>
    <x v="1"/>
    <n v="24"/>
    <n v="126531.12"/>
    <n v="387587.35"/>
    <x v="2"/>
  </r>
  <r>
    <x v="5"/>
    <x v="1"/>
    <x v="4"/>
    <x v="0"/>
    <x v="6"/>
    <x v="1"/>
    <x v="1"/>
    <n v="4.55"/>
    <n v="23988.19"/>
    <n v="73242.179999999993"/>
    <x v="2"/>
  </r>
  <r>
    <x v="5"/>
    <x v="1"/>
    <x v="4"/>
    <x v="0"/>
    <x v="7"/>
    <x v="1"/>
    <x v="1"/>
    <n v="3.49"/>
    <n v="18399.73"/>
    <n v="57058.06"/>
    <x v="2"/>
  </r>
  <r>
    <x v="5"/>
    <x v="1"/>
    <x v="4"/>
    <x v="0"/>
    <x v="8"/>
    <x v="1"/>
    <x v="1"/>
    <n v="3.67"/>
    <n v="19348.72"/>
    <n v="57265.440000000002"/>
    <x v="2"/>
  </r>
  <r>
    <x v="5"/>
    <x v="1"/>
    <x v="4"/>
    <x v="1"/>
    <x v="30"/>
    <x v="1"/>
    <x v="1"/>
    <n v="0"/>
    <n v="0"/>
    <n v="0"/>
    <x v="2"/>
  </r>
  <r>
    <x v="5"/>
    <x v="1"/>
    <x v="4"/>
    <x v="1"/>
    <x v="9"/>
    <x v="1"/>
    <x v="1"/>
    <n v="5.41"/>
    <n v="28522.22"/>
    <n v="91158.36"/>
    <x v="2"/>
  </r>
  <r>
    <x v="5"/>
    <x v="1"/>
    <x v="4"/>
    <x v="1"/>
    <x v="31"/>
    <x v="1"/>
    <x v="1"/>
    <n v="0"/>
    <n v="0"/>
    <n v="0"/>
    <x v="2"/>
  </r>
  <r>
    <x v="5"/>
    <x v="1"/>
    <x v="4"/>
    <x v="1"/>
    <x v="10"/>
    <x v="1"/>
    <x v="1"/>
    <n v="29.54"/>
    <n v="155738.72"/>
    <n v="493586.39"/>
    <x v="2"/>
  </r>
  <r>
    <x v="5"/>
    <x v="1"/>
    <x v="4"/>
    <x v="1"/>
    <x v="11"/>
    <x v="1"/>
    <x v="1"/>
    <n v="26.96"/>
    <n v="142136.62"/>
    <n v="429403.55"/>
    <x v="2"/>
  </r>
  <r>
    <x v="5"/>
    <x v="1"/>
    <x v="4"/>
    <x v="1"/>
    <x v="12"/>
    <x v="1"/>
    <x v="1"/>
    <n v="3.13"/>
    <n v="16501.77"/>
    <n v="52539.81"/>
    <x v="2"/>
  </r>
  <r>
    <x v="5"/>
    <x v="1"/>
    <x v="4"/>
    <x v="1"/>
    <x v="13"/>
    <x v="1"/>
    <x v="1"/>
    <n v="12.63"/>
    <n v="66587"/>
    <n v="210676.16"/>
    <x v="2"/>
  </r>
  <r>
    <x v="5"/>
    <x v="1"/>
    <x v="4"/>
    <x v="1"/>
    <x v="14"/>
    <x v="1"/>
    <x v="1"/>
    <n v="7.14"/>
    <n v="37643.01"/>
    <n v="116831.66"/>
    <x v="2"/>
  </r>
  <r>
    <x v="5"/>
    <x v="1"/>
    <x v="4"/>
    <x v="1"/>
    <x v="15"/>
    <x v="1"/>
    <x v="1"/>
    <n v="1.33"/>
    <n v="7011.93"/>
    <n v="22448.400000000001"/>
    <x v="2"/>
  </r>
  <r>
    <x v="5"/>
    <x v="1"/>
    <x v="4"/>
    <x v="1"/>
    <x v="16"/>
    <x v="1"/>
    <x v="1"/>
    <n v="8.7200000000000006"/>
    <n v="45972.97"/>
    <n v="140522.21"/>
    <x v="2"/>
  </r>
  <r>
    <x v="5"/>
    <x v="1"/>
    <x v="4"/>
    <x v="1"/>
    <x v="17"/>
    <x v="1"/>
    <x v="1"/>
    <n v="4.9800000000000004"/>
    <n v="26255.21"/>
    <n v="81056.320000000007"/>
    <x v="2"/>
  </r>
  <r>
    <x v="5"/>
    <x v="1"/>
    <x v="4"/>
    <x v="1"/>
    <x v="18"/>
    <x v="1"/>
    <x v="1"/>
    <n v="31.05"/>
    <n v="163699.64000000001"/>
    <n v="528810.52"/>
    <x v="2"/>
  </r>
  <r>
    <x v="5"/>
    <x v="1"/>
    <x v="4"/>
    <x v="1"/>
    <x v="19"/>
    <x v="1"/>
    <x v="1"/>
    <n v="14.5"/>
    <n v="76445.89"/>
    <n v="239495.02"/>
    <x v="2"/>
  </r>
  <r>
    <x v="5"/>
    <x v="1"/>
    <x v="4"/>
    <x v="1"/>
    <x v="20"/>
    <x v="1"/>
    <x v="1"/>
    <n v="23.13"/>
    <n v="121944.37"/>
    <n v="375807.24"/>
    <x v="2"/>
  </r>
  <r>
    <x v="5"/>
    <x v="1"/>
    <x v="4"/>
    <x v="2"/>
    <x v="21"/>
    <x v="1"/>
    <x v="1"/>
    <n v="1.42"/>
    <n v="7486.42"/>
    <n v="21132.14"/>
    <x v="2"/>
  </r>
  <r>
    <x v="5"/>
    <x v="1"/>
    <x v="4"/>
    <x v="2"/>
    <x v="22"/>
    <x v="1"/>
    <x v="1"/>
    <n v="13.65"/>
    <n v="71964.570000000007"/>
    <n v="203643.74"/>
    <x v="2"/>
  </r>
  <r>
    <x v="5"/>
    <x v="1"/>
    <x v="4"/>
    <x v="2"/>
    <x v="29"/>
    <x v="1"/>
    <x v="1"/>
    <n v="2.12"/>
    <n v="11176.92"/>
    <n v="33584.559999999998"/>
    <x v="2"/>
  </r>
  <r>
    <x v="5"/>
    <x v="1"/>
    <x v="4"/>
    <x v="2"/>
    <x v="23"/>
    <x v="1"/>
    <x v="1"/>
    <n v="2.2000000000000002"/>
    <n v="11598.69"/>
    <n v="34242.28"/>
    <x v="2"/>
  </r>
  <r>
    <x v="5"/>
    <x v="1"/>
    <x v="4"/>
    <x v="2"/>
    <x v="24"/>
    <x v="1"/>
    <x v="1"/>
    <n v="3.62"/>
    <n v="19085.11"/>
    <n v="54966.71"/>
    <x v="2"/>
  </r>
  <r>
    <x v="5"/>
    <x v="1"/>
    <x v="4"/>
    <x v="3"/>
    <x v="25"/>
    <x v="1"/>
    <x v="1"/>
    <n v="8.4"/>
    <n v="44285.89"/>
    <n v="141069.22"/>
    <x v="2"/>
  </r>
  <r>
    <x v="5"/>
    <x v="1"/>
    <x v="4"/>
    <x v="3"/>
    <x v="26"/>
    <x v="1"/>
    <x v="1"/>
    <n v="7.04"/>
    <n v="37115.800000000003"/>
    <n v="118995.6"/>
    <x v="2"/>
  </r>
  <r>
    <x v="5"/>
    <x v="1"/>
    <x v="4"/>
    <x v="3"/>
    <x v="27"/>
    <x v="1"/>
    <x v="1"/>
    <n v="34.32"/>
    <n v="180939.5"/>
    <n v="569386.29"/>
    <x v="2"/>
  </r>
  <r>
    <x v="5"/>
    <x v="1"/>
    <x v="5"/>
    <x v="0"/>
    <x v="0"/>
    <x v="0"/>
    <x v="0"/>
    <n v="2.1"/>
    <n v="11753.51"/>
    <n v="48259.43"/>
    <x v="2"/>
  </r>
  <r>
    <x v="5"/>
    <x v="1"/>
    <x v="5"/>
    <x v="0"/>
    <x v="1"/>
    <x v="0"/>
    <x v="0"/>
    <n v="3.72"/>
    <n v="20820.509999999998"/>
    <n v="85445.67"/>
    <x v="2"/>
  </r>
  <r>
    <x v="5"/>
    <x v="1"/>
    <x v="5"/>
    <x v="0"/>
    <x v="2"/>
    <x v="0"/>
    <x v="0"/>
    <n v="0"/>
    <n v="0"/>
    <n v="0"/>
    <x v="2"/>
  </r>
  <r>
    <x v="5"/>
    <x v="1"/>
    <x v="5"/>
    <x v="0"/>
    <x v="3"/>
    <x v="0"/>
    <x v="0"/>
    <n v="1.56"/>
    <n v="8731.18"/>
    <n v="35808.01"/>
    <x v="2"/>
  </r>
  <r>
    <x v="5"/>
    <x v="1"/>
    <x v="5"/>
    <x v="0"/>
    <x v="4"/>
    <x v="0"/>
    <x v="0"/>
    <n v="0"/>
    <n v="0"/>
    <n v="0"/>
    <x v="2"/>
  </r>
  <r>
    <x v="5"/>
    <x v="1"/>
    <x v="5"/>
    <x v="0"/>
    <x v="5"/>
    <x v="0"/>
    <x v="0"/>
    <n v="0"/>
    <n v="0"/>
    <n v="0"/>
    <x v="2"/>
  </r>
  <r>
    <x v="5"/>
    <x v="1"/>
    <x v="5"/>
    <x v="0"/>
    <x v="6"/>
    <x v="0"/>
    <x v="0"/>
    <n v="0"/>
    <n v="0"/>
    <n v="0"/>
    <x v="2"/>
  </r>
  <r>
    <x v="5"/>
    <x v="1"/>
    <x v="5"/>
    <x v="0"/>
    <x v="8"/>
    <x v="0"/>
    <x v="0"/>
    <n v="0"/>
    <n v="0"/>
    <n v="0"/>
    <x v="2"/>
  </r>
  <r>
    <x v="5"/>
    <x v="1"/>
    <x v="5"/>
    <x v="1"/>
    <x v="10"/>
    <x v="0"/>
    <x v="0"/>
    <n v="1.46"/>
    <n v="8171.49"/>
    <n v="33597.279999999999"/>
    <x v="2"/>
  </r>
  <r>
    <x v="5"/>
    <x v="1"/>
    <x v="5"/>
    <x v="1"/>
    <x v="11"/>
    <x v="0"/>
    <x v="0"/>
    <n v="0"/>
    <n v="0"/>
    <n v="0"/>
    <x v="2"/>
  </r>
  <r>
    <x v="5"/>
    <x v="1"/>
    <x v="5"/>
    <x v="1"/>
    <x v="13"/>
    <x v="0"/>
    <x v="0"/>
    <n v="0"/>
    <n v="0"/>
    <n v="0"/>
    <x v="2"/>
  </r>
  <r>
    <x v="5"/>
    <x v="1"/>
    <x v="5"/>
    <x v="1"/>
    <x v="14"/>
    <x v="0"/>
    <x v="0"/>
    <n v="0"/>
    <n v="0"/>
    <n v="0"/>
    <x v="2"/>
  </r>
  <r>
    <x v="5"/>
    <x v="1"/>
    <x v="5"/>
    <x v="1"/>
    <x v="16"/>
    <x v="0"/>
    <x v="0"/>
    <n v="0"/>
    <n v="0"/>
    <n v="0"/>
    <x v="2"/>
  </r>
  <r>
    <x v="5"/>
    <x v="1"/>
    <x v="5"/>
    <x v="1"/>
    <x v="17"/>
    <x v="0"/>
    <x v="0"/>
    <n v="0"/>
    <n v="0"/>
    <n v="0"/>
    <x v="2"/>
  </r>
  <r>
    <x v="5"/>
    <x v="1"/>
    <x v="5"/>
    <x v="1"/>
    <x v="18"/>
    <x v="0"/>
    <x v="0"/>
    <n v="0"/>
    <n v="0"/>
    <n v="0"/>
    <x v="2"/>
  </r>
  <r>
    <x v="5"/>
    <x v="1"/>
    <x v="5"/>
    <x v="1"/>
    <x v="19"/>
    <x v="0"/>
    <x v="0"/>
    <n v="0"/>
    <n v="0"/>
    <n v="0"/>
    <x v="2"/>
  </r>
  <r>
    <x v="5"/>
    <x v="1"/>
    <x v="5"/>
    <x v="1"/>
    <x v="20"/>
    <x v="0"/>
    <x v="0"/>
    <n v="1.54"/>
    <n v="8619.24"/>
    <n v="35426.35"/>
    <x v="2"/>
  </r>
  <r>
    <x v="5"/>
    <x v="1"/>
    <x v="5"/>
    <x v="2"/>
    <x v="21"/>
    <x v="0"/>
    <x v="0"/>
    <n v="2.02"/>
    <n v="11305.76"/>
    <n v="46403.09"/>
    <x v="2"/>
  </r>
  <r>
    <x v="5"/>
    <x v="1"/>
    <x v="5"/>
    <x v="2"/>
    <x v="22"/>
    <x v="0"/>
    <x v="0"/>
    <n v="0"/>
    <n v="0"/>
    <n v="0"/>
    <x v="2"/>
  </r>
  <r>
    <x v="5"/>
    <x v="1"/>
    <x v="5"/>
    <x v="2"/>
    <x v="29"/>
    <x v="0"/>
    <x v="0"/>
    <n v="0"/>
    <n v="0"/>
    <n v="0"/>
    <x v="2"/>
  </r>
  <r>
    <x v="5"/>
    <x v="1"/>
    <x v="5"/>
    <x v="2"/>
    <x v="24"/>
    <x v="0"/>
    <x v="0"/>
    <n v="0"/>
    <n v="0"/>
    <n v="0"/>
    <x v="2"/>
  </r>
  <r>
    <x v="5"/>
    <x v="1"/>
    <x v="5"/>
    <x v="3"/>
    <x v="25"/>
    <x v="0"/>
    <x v="0"/>
    <n v="0"/>
    <n v="0"/>
    <n v="0"/>
    <x v="2"/>
  </r>
  <r>
    <x v="5"/>
    <x v="1"/>
    <x v="5"/>
    <x v="3"/>
    <x v="26"/>
    <x v="0"/>
    <x v="0"/>
    <n v="1.74"/>
    <n v="9738.6200000000008"/>
    <n v="39850.699999999997"/>
    <x v="2"/>
  </r>
  <r>
    <x v="5"/>
    <x v="1"/>
    <x v="5"/>
    <x v="3"/>
    <x v="27"/>
    <x v="0"/>
    <x v="0"/>
    <n v="1.65"/>
    <n v="9234.9"/>
    <n v="37816.050000000003"/>
    <x v="2"/>
  </r>
  <r>
    <x v="5"/>
    <x v="1"/>
    <x v="5"/>
    <x v="0"/>
    <x v="0"/>
    <x v="0"/>
    <x v="1"/>
    <n v="1.74"/>
    <n v="9738.6200000000008"/>
    <n v="39866.480000000003"/>
    <x v="2"/>
  </r>
  <r>
    <x v="5"/>
    <x v="1"/>
    <x v="5"/>
    <x v="0"/>
    <x v="1"/>
    <x v="0"/>
    <x v="1"/>
    <n v="4.29"/>
    <n v="24010.74"/>
    <n v="98591.16"/>
    <x v="2"/>
  </r>
  <r>
    <x v="5"/>
    <x v="1"/>
    <x v="5"/>
    <x v="0"/>
    <x v="2"/>
    <x v="0"/>
    <x v="1"/>
    <n v="4.57"/>
    <n v="25577.88"/>
    <n v="104833.77"/>
    <x v="2"/>
  </r>
  <r>
    <x v="5"/>
    <x v="1"/>
    <x v="5"/>
    <x v="0"/>
    <x v="3"/>
    <x v="0"/>
    <x v="1"/>
    <n v="5.69"/>
    <n v="31846.42"/>
    <n v="130593.92"/>
    <x v="2"/>
  </r>
  <r>
    <x v="5"/>
    <x v="1"/>
    <x v="5"/>
    <x v="0"/>
    <x v="4"/>
    <x v="0"/>
    <x v="1"/>
    <n v="0.45"/>
    <n v="2518.61"/>
    <n v="10409.64"/>
    <x v="2"/>
  </r>
  <r>
    <x v="5"/>
    <x v="1"/>
    <x v="5"/>
    <x v="0"/>
    <x v="5"/>
    <x v="0"/>
    <x v="1"/>
    <n v="3.38"/>
    <n v="18917.560000000001"/>
    <n v="77583.56"/>
    <x v="2"/>
  </r>
  <r>
    <x v="5"/>
    <x v="1"/>
    <x v="5"/>
    <x v="0"/>
    <x v="6"/>
    <x v="0"/>
    <x v="1"/>
    <n v="1.38"/>
    <n v="7723.74"/>
    <n v="31650.69"/>
    <x v="2"/>
  </r>
  <r>
    <x v="5"/>
    <x v="1"/>
    <x v="5"/>
    <x v="0"/>
    <x v="8"/>
    <x v="0"/>
    <x v="1"/>
    <n v="1.97"/>
    <n v="11025.91"/>
    <n v="45193.57"/>
    <x v="2"/>
  </r>
  <r>
    <x v="5"/>
    <x v="1"/>
    <x v="5"/>
    <x v="1"/>
    <x v="10"/>
    <x v="0"/>
    <x v="1"/>
    <n v="3.2"/>
    <n v="17910.11"/>
    <n v="73494.06"/>
    <x v="2"/>
  </r>
  <r>
    <x v="5"/>
    <x v="1"/>
    <x v="5"/>
    <x v="1"/>
    <x v="11"/>
    <x v="0"/>
    <x v="1"/>
    <n v="8.9600000000000009"/>
    <n v="50148.31"/>
    <n v="205788.81"/>
    <x v="2"/>
  </r>
  <r>
    <x v="5"/>
    <x v="1"/>
    <x v="5"/>
    <x v="1"/>
    <x v="13"/>
    <x v="0"/>
    <x v="1"/>
    <n v="2.83"/>
    <n v="15839.26"/>
    <n v="64988.81"/>
    <x v="2"/>
  </r>
  <r>
    <x v="5"/>
    <x v="1"/>
    <x v="5"/>
    <x v="1"/>
    <x v="14"/>
    <x v="0"/>
    <x v="1"/>
    <n v="1.2"/>
    <n v="6716.29"/>
    <n v="27602.57"/>
    <x v="2"/>
  </r>
  <r>
    <x v="5"/>
    <x v="1"/>
    <x v="5"/>
    <x v="1"/>
    <x v="16"/>
    <x v="0"/>
    <x v="1"/>
    <n v="3.38"/>
    <n v="18917.560000000001"/>
    <n v="77649.59"/>
    <x v="2"/>
  </r>
  <r>
    <x v="5"/>
    <x v="1"/>
    <x v="5"/>
    <x v="1"/>
    <x v="17"/>
    <x v="0"/>
    <x v="1"/>
    <n v="1.75"/>
    <n v="9794.59"/>
    <n v="40135.769999999997"/>
    <x v="2"/>
  </r>
  <r>
    <x v="5"/>
    <x v="1"/>
    <x v="5"/>
    <x v="1"/>
    <x v="18"/>
    <x v="0"/>
    <x v="1"/>
    <n v="10.61"/>
    <n v="59383.22"/>
    <n v="243556.34"/>
    <x v="2"/>
  </r>
  <r>
    <x v="5"/>
    <x v="1"/>
    <x v="5"/>
    <x v="1"/>
    <x v="19"/>
    <x v="0"/>
    <x v="1"/>
    <n v="4.46"/>
    <n v="24962.22"/>
    <n v="102349.62"/>
    <x v="2"/>
  </r>
  <r>
    <x v="5"/>
    <x v="1"/>
    <x v="5"/>
    <x v="1"/>
    <x v="20"/>
    <x v="0"/>
    <x v="1"/>
    <n v="9.17"/>
    <n v="51323.66"/>
    <n v="210589.96"/>
    <x v="2"/>
  </r>
  <r>
    <x v="5"/>
    <x v="1"/>
    <x v="5"/>
    <x v="2"/>
    <x v="21"/>
    <x v="0"/>
    <x v="1"/>
    <n v="0"/>
    <n v="0"/>
    <n v="0"/>
    <x v="2"/>
  </r>
  <r>
    <x v="5"/>
    <x v="1"/>
    <x v="5"/>
    <x v="2"/>
    <x v="22"/>
    <x v="0"/>
    <x v="1"/>
    <n v="2.83"/>
    <n v="15839.26"/>
    <n v="65058.83"/>
    <x v="2"/>
  </r>
  <r>
    <x v="5"/>
    <x v="1"/>
    <x v="5"/>
    <x v="2"/>
    <x v="29"/>
    <x v="0"/>
    <x v="1"/>
    <n v="1.72"/>
    <n v="9626.69"/>
    <n v="39441.03"/>
    <x v="2"/>
  </r>
  <r>
    <x v="5"/>
    <x v="1"/>
    <x v="5"/>
    <x v="2"/>
    <x v="24"/>
    <x v="0"/>
    <x v="1"/>
    <n v="2.0099999999999998"/>
    <n v="11249.79"/>
    <n v="46237.98"/>
    <x v="2"/>
  </r>
  <r>
    <x v="5"/>
    <x v="1"/>
    <x v="5"/>
    <x v="3"/>
    <x v="25"/>
    <x v="0"/>
    <x v="1"/>
    <n v="1.38"/>
    <n v="7723.74"/>
    <n v="31708.07"/>
    <x v="2"/>
  </r>
  <r>
    <x v="5"/>
    <x v="1"/>
    <x v="5"/>
    <x v="3"/>
    <x v="26"/>
    <x v="0"/>
    <x v="1"/>
    <n v="1.46"/>
    <n v="8171.49"/>
    <n v="33558.49"/>
    <x v="2"/>
  </r>
  <r>
    <x v="5"/>
    <x v="1"/>
    <x v="5"/>
    <x v="3"/>
    <x v="27"/>
    <x v="0"/>
    <x v="1"/>
    <n v="6.27"/>
    <n v="35092.629999999997"/>
    <n v="144061.14000000001"/>
    <x v="2"/>
  </r>
  <r>
    <x v="5"/>
    <x v="1"/>
    <x v="5"/>
    <x v="0"/>
    <x v="0"/>
    <x v="1"/>
    <x v="0"/>
    <n v="3.78"/>
    <n v="21156.32"/>
    <n v="56834.68"/>
    <x v="2"/>
  </r>
  <r>
    <x v="5"/>
    <x v="1"/>
    <x v="5"/>
    <x v="0"/>
    <x v="1"/>
    <x v="1"/>
    <x v="0"/>
    <n v="10.79"/>
    <n v="60390.66"/>
    <n v="159358.87"/>
    <x v="2"/>
  </r>
  <r>
    <x v="5"/>
    <x v="1"/>
    <x v="5"/>
    <x v="0"/>
    <x v="2"/>
    <x v="1"/>
    <x v="0"/>
    <n v="4.38"/>
    <n v="24514.47"/>
    <n v="62529.07"/>
    <x v="2"/>
  </r>
  <r>
    <x v="5"/>
    <x v="1"/>
    <x v="5"/>
    <x v="0"/>
    <x v="3"/>
    <x v="1"/>
    <x v="0"/>
    <n v="6.04"/>
    <n v="33805.339999999997"/>
    <n v="89548.45"/>
    <x v="2"/>
  </r>
  <r>
    <x v="5"/>
    <x v="1"/>
    <x v="5"/>
    <x v="0"/>
    <x v="28"/>
    <x v="1"/>
    <x v="0"/>
    <n v="0"/>
    <n v="0"/>
    <n v="0"/>
    <x v="2"/>
  </r>
  <r>
    <x v="5"/>
    <x v="1"/>
    <x v="5"/>
    <x v="0"/>
    <x v="4"/>
    <x v="1"/>
    <x v="0"/>
    <n v="3.92"/>
    <n v="21939.89"/>
    <n v="57604.27"/>
    <x v="2"/>
  </r>
  <r>
    <x v="5"/>
    <x v="1"/>
    <x v="5"/>
    <x v="0"/>
    <x v="5"/>
    <x v="1"/>
    <x v="0"/>
    <n v="2.81"/>
    <n v="15727.32"/>
    <n v="42585.11"/>
    <x v="2"/>
  </r>
  <r>
    <x v="5"/>
    <x v="1"/>
    <x v="5"/>
    <x v="0"/>
    <x v="6"/>
    <x v="1"/>
    <x v="0"/>
    <n v="0"/>
    <n v="0"/>
    <n v="0"/>
    <x v="2"/>
  </r>
  <r>
    <x v="5"/>
    <x v="1"/>
    <x v="5"/>
    <x v="0"/>
    <x v="7"/>
    <x v="1"/>
    <x v="0"/>
    <n v="0"/>
    <n v="0"/>
    <n v="0"/>
    <x v="2"/>
  </r>
  <r>
    <x v="5"/>
    <x v="1"/>
    <x v="5"/>
    <x v="0"/>
    <x v="8"/>
    <x v="1"/>
    <x v="0"/>
    <n v="0"/>
    <n v="0"/>
    <n v="0"/>
    <x v="2"/>
  </r>
  <r>
    <x v="5"/>
    <x v="1"/>
    <x v="5"/>
    <x v="1"/>
    <x v="30"/>
    <x v="1"/>
    <x v="0"/>
    <n v="1.66"/>
    <n v="9290.8700000000008"/>
    <n v="26339.19"/>
    <x v="2"/>
  </r>
  <r>
    <x v="5"/>
    <x v="1"/>
    <x v="5"/>
    <x v="1"/>
    <x v="9"/>
    <x v="1"/>
    <x v="0"/>
    <n v="0"/>
    <n v="0"/>
    <n v="0"/>
    <x v="2"/>
  </r>
  <r>
    <x v="5"/>
    <x v="1"/>
    <x v="5"/>
    <x v="1"/>
    <x v="31"/>
    <x v="1"/>
    <x v="0"/>
    <n v="3.21"/>
    <n v="17966.080000000002"/>
    <n v="51282.85"/>
    <x v="2"/>
  </r>
  <r>
    <x v="5"/>
    <x v="1"/>
    <x v="5"/>
    <x v="1"/>
    <x v="10"/>
    <x v="1"/>
    <x v="0"/>
    <n v="6.24"/>
    <n v="34924.720000000001"/>
    <n v="97685.57"/>
    <x v="2"/>
  </r>
  <r>
    <x v="5"/>
    <x v="1"/>
    <x v="5"/>
    <x v="1"/>
    <x v="11"/>
    <x v="1"/>
    <x v="0"/>
    <n v="6.08"/>
    <n v="34029.21"/>
    <n v="90751.45"/>
    <x v="2"/>
  </r>
  <r>
    <x v="5"/>
    <x v="1"/>
    <x v="5"/>
    <x v="1"/>
    <x v="12"/>
    <x v="1"/>
    <x v="0"/>
    <n v="0.89"/>
    <n v="4981.25"/>
    <n v="13929.68"/>
    <x v="2"/>
  </r>
  <r>
    <x v="5"/>
    <x v="1"/>
    <x v="5"/>
    <x v="1"/>
    <x v="13"/>
    <x v="1"/>
    <x v="0"/>
    <n v="5.43"/>
    <n v="30391.22"/>
    <n v="84881.16"/>
    <x v="2"/>
  </r>
  <r>
    <x v="5"/>
    <x v="1"/>
    <x v="5"/>
    <x v="1"/>
    <x v="14"/>
    <x v="1"/>
    <x v="0"/>
    <n v="10.81"/>
    <n v="60502.6"/>
    <n v="165800.39000000001"/>
    <x v="2"/>
  </r>
  <r>
    <x v="5"/>
    <x v="1"/>
    <x v="5"/>
    <x v="1"/>
    <x v="15"/>
    <x v="1"/>
    <x v="0"/>
    <n v="1.5"/>
    <n v="8395.3700000000008"/>
    <n v="23776.79"/>
    <x v="2"/>
  </r>
  <r>
    <x v="5"/>
    <x v="1"/>
    <x v="5"/>
    <x v="1"/>
    <x v="16"/>
    <x v="1"/>
    <x v="0"/>
    <n v="6.72"/>
    <n v="37611.24"/>
    <n v="101556.27"/>
    <x v="2"/>
  </r>
  <r>
    <x v="5"/>
    <x v="1"/>
    <x v="5"/>
    <x v="1"/>
    <x v="17"/>
    <x v="1"/>
    <x v="0"/>
    <n v="4.01"/>
    <n v="22443.61"/>
    <n v="61150.13"/>
    <x v="2"/>
  </r>
  <r>
    <x v="5"/>
    <x v="1"/>
    <x v="5"/>
    <x v="1"/>
    <x v="18"/>
    <x v="1"/>
    <x v="0"/>
    <n v="6.26"/>
    <n v="35036.660000000003"/>
    <n v="99905.04"/>
    <x v="2"/>
  </r>
  <r>
    <x v="5"/>
    <x v="1"/>
    <x v="5"/>
    <x v="1"/>
    <x v="19"/>
    <x v="1"/>
    <x v="0"/>
    <n v="10.33"/>
    <n v="57816.08"/>
    <n v="159852.70000000001"/>
    <x v="2"/>
  </r>
  <r>
    <x v="5"/>
    <x v="1"/>
    <x v="5"/>
    <x v="1"/>
    <x v="20"/>
    <x v="1"/>
    <x v="0"/>
    <n v="9.2100000000000009"/>
    <n v="51547.54"/>
    <n v="140287.70000000001"/>
    <x v="2"/>
  </r>
  <r>
    <x v="5"/>
    <x v="1"/>
    <x v="5"/>
    <x v="2"/>
    <x v="21"/>
    <x v="1"/>
    <x v="0"/>
    <n v="0"/>
    <n v="0"/>
    <n v="0"/>
    <x v="2"/>
  </r>
  <r>
    <x v="5"/>
    <x v="1"/>
    <x v="5"/>
    <x v="2"/>
    <x v="22"/>
    <x v="1"/>
    <x v="0"/>
    <n v="5.0599999999999996"/>
    <n v="28320.36"/>
    <n v="70735.02"/>
    <x v="2"/>
  </r>
  <r>
    <x v="5"/>
    <x v="1"/>
    <x v="5"/>
    <x v="2"/>
    <x v="29"/>
    <x v="1"/>
    <x v="0"/>
    <n v="0"/>
    <n v="0"/>
    <n v="0"/>
    <x v="2"/>
  </r>
  <r>
    <x v="5"/>
    <x v="1"/>
    <x v="5"/>
    <x v="2"/>
    <x v="23"/>
    <x v="1"/>
    <x v="0"/>
    <n v="0"/>
    <n v="0"/>
    <n v="0"/>
    <x v="2"/>
  </r>
  <r>
    <x v="5"/>
    <x v="1"/>
    <x v="5"/>
    <x v="2"/>
    <x v="24"/>
    <x v="1"/>
    <x v="0"/>
    <n v="0.94"/>
    <n v="5261.1"/>
    <n v="13395.98"/>
    <x v="2"/>
  </r>
  <r>
    <x v="5"/>
    <x v="1"/>
    <x v="5"/>
    <x v="3"/>
    <x v="25"/>
    <x v="1"/>
    <x v="0"/>
    <n v="4.28"/>
    <n v="23954.77"/>
    <n v="67297.14"/>
    <x v="2"/>
  </r>
  <r>
    <x v="5"/>
    <x v="1"/>
    <x v="5"/>
    <x v="3"/>
    <x v="26"/>
    <x v="1"/>
    <x v="0"/>
    <n v="4.5999999999999996"/>
    <n v="25745.79"/>
    <n v="72945.179999999993"/>
    <x v="2"/>
  </r>
  <r>
    <x v="5"/>
    <x v="1"/>
    <x v="5"/>
    <x v="3"/>
    <x v="27"/>
    <x v="1"/>
    <x v="0"/>
    <n v="10.52"/>
    <n v="58879.49"/>
    <n v="163544.95000000001"/>
    <x v="2"/>
  </r>
  <r>
    <x v="5"/>
    <x v="1"/>
    <x v="5"/>
    <x v="0"/>
    <x v="0"/>
    <x v="1"/>
    <x v="1"/>
    <n v="6.02"/>
    <n v="33693.4"/>
    <n v="90418.81"/>
    <x v="2"/>
  </r>
  <r>
    <x v="5"/>
    <x v="1"/>
    <x v="5"/>
    <x v="0"/>
    <x v="1"/>
    <x v="1"/>
    <x v="1"/>
    <n v="11.94"/>
    <n v="66827.11"/>
    <n v="176260.57"/>
    <x v="2"/>
  </r>
  <r>
    <x v="5"/>
    <x v="1"/>
    <x v="5"/>
    <x v="0"/>
    <x v="2"/>
    <x v="1"/>
    <x v="1"/>
    <n v="9.4600000000000009"/>
    <n v="52946.77"/>
    <n v="134866.62"/>
    <x v="2"/>
  </r>
  <r>
    <x v="5"/>
    <x v="1"/>
    <x v="5"/>
    <x v="0"/>
    <x v="3"/>
    <x v="1"/>
    <x v="1"/>
    <n v="13.71"/>
    <n v="76733.64"/>
    <n v="203367.04000000001"/>
    <x v="2"/>
  </r>
  <r>
    <x v="5"/>
    <x v="1"/>
    <x v="5"/>
    <x v="0"/>
    <x v="28"/>
    <x v="1"/>
    <x v="1"/>
    <n v="0.98"/>
    <n v="5484.97"/>
    <n v="14654.14"/>
    <x v="2"/>
  </r>
  <r>
    <x v="5"/>
    <x v="1"/>
    <x v="5"/>
    <x v="0"/>
    <x v="4"/>
    <x v="1"/>
    <x v="1"/>
    <n v="5.49"/>
    <n v="30727.040000000001"/>
    <n v="80645.98"/>
    <x v="2"/>
  </r>
  <r>
    <x v="5"/>
    <x v="1"/>
    <x v="5"/>
    <x v="0"/>
    <x v="5"/>
    <x v="1"/>
    <x v="1"/>
    <n v="23.14"/>
    <n v="129512.5"/>
    <n v="350144.27"/>
    <x v="2"/>
  </r>
  <r>
    <x v="5"/>
    <x v="1"/>
    <x v="5"/>
    <x v="0"/>
    <x v="6"/>
    <x v="1"/>
    <x v="1"/>
    <n v="0.91"/>
    <n v="5093.1899999999996"/>
    <n v="13667.42"/>
    <x v="2"/>
  </r>
  <r>
    <x v="5"/>
    <x v="1"/>
    <x v="5"/>
    <x v="0"/>
    <x v="7"/>
    <x v="1"/>
    <x v="1"/>
    <n v="3.08"/>
    <n v="17238.48"/>
    <n v="47207.29"/>
    <x v="2"/>
  </r>
  <r>
    <x v="5"/>
    <x v="1"/>
    <x v="5"/>
    <x v="0"/>
    <x v="8"/>
    <x v="1"/>
    <x v="1"/>
    <n v="1.55"/>
    <n v="8675.2099999999991"/>
    <n v="22656.07"/>
    <x v="2"/>
  </r>
  <r>
    <x v="5"/>
    <x v="1"/>
    <x v="5"/>
    <x v="1"/>
    <x v="30"/>
    <x v="1"/>
    <x v="1"/>
    <n v="0"/>
    <n v="0"/>
    <n v="0"/>
    <x v="2"/>
  </r>
  <r>
    <x v="5"/>
    <x v="1"/>
    <x v="5"/>
    <x v="1"/>
    <x v="9"/>
    <x v="1"/>
    <x v="1"/>
    <n v="3.71"/>
    <n v="20764.54"/>
    <n v="58635.6"/>
    <x v="2"/>
  </r>
  <r>
    <x v="5"/>
    <x v="1"/>
    <x v="5"/>
    <x v="1"/>
    <x v="31"/>
    <x v="1"/>
    <x v="1"/>
    <n v="0"/>
    <n v="0"/>
    <n v="0"/>
    <x v="2"/>
  </r>
  <r>
    <x v="5"/>
    <x v="1"/>
    <x v="5"/>
    <x v="1"/>
    <x v="10"/>
    <x v="1"/>
    <x v="1"/>
    <n v="24.69"/>
    <n v="138187.71"/>
    <n v="386672.03"/>
    <x v="2"/>
  </r>
  <r>
    <x v="5"/>
    <x v="1"/>
    <x v="5"/>
    <x v="1"/>
    <x v="11"/>
    <x v="1"/>
    <x v="1"/>
    <n v="19.3"/>
    <n v="108020.36"/>
    <n v="288037.2"/>
    <x v="2"/>
  </r>
  <r>
    <x v="5"/>
    <x v="1"/>
    <x v="5"/>
    <x v="1"/>
    <x v="12"/>
    <x v="1"/>
    <x v="1"/>
    <n v="2.57"/>
    <n v="14384.06"/>
    <n v="40396.080000000002"/>
    <x v="2"/>
  </r>
  <r>
    <x v="5"/>
    <x v="1"/>
    <x v="5"/>
    <x v="1"/>
    <x v="13"/>
    <x v="1"/>
    <x v="1"/>
    <n v="9.35"/>
    <n v="52331.11"/>
    <n v="146256.76"/>
    <x v="2"/>
  </r>
  <r>
    <x v="5"/>
    <x v="1"/>
    <x v="5"/>
    <x v="1"/>
    <x v="14"/>
    <x v="1"/>
    <x v="1"/>
    <n v="5.23"/>
    <n v="29271.84"/>
    <n v="80226"/>
    <x v="2"/>
  </r>
  <r>
    <x v="5"/>
    <x v="1"/>
    <x v="5"/>
    <x v="1"/>
    <x v="15"/>
    <x v="1"/>
    <x v="1"/>
    <n v="1.5"/>
    <n v="8395.3700000000008"/>
    <n v="23776.79"/>
    <x v="2"/>
  </r>
  <r>
    <x v="5"/>
    <x v="1"/>
    <x v="5"/>
    <x v="1"/>
    <x v="16"/>
    <x v="1"/>
    <x v="1"/>
    <n v="12.97"/>
    <n v="72591.92"/>
    <n v="195985.78"/>
    <x v="2"/>
  </r>
  <r>
    <x v="5"/>
    <x v="1"/>
    <x v="5"/>
    <x v="1"/>
    <x v="17"/>
    <x v="1"/>
    <x v="1"/>
    <n v="3.49"/>
    <n v="19533.22"/>
    <n v="53174.02"/>
    <x v="2"/>
  </r>
  <r>
    <x v="5"/>
    <x v="1"/>
    <x v="5"/>
    <x v="1"/>
    <x v="18"/>
    <x v="1"/>
    <x v="1"/>
    <n v="24.95"/>
    <n v="139642.9"/>
    <n v="398251.6"/>
    <x v="2"/>
  </r>
  <r>
    <x v="5"/>
    <x v="1"/>
    <x v="5"/>
    <x v="1"/>
    <x v="19"/>
    <x v="1"/>
    <x v="1"/>
    <n v="15.37"/>
    <n v="86024.51"/>
    <n v="237962.54"/>
    <x v="2"/>
  </r>
  <r>
    <x v="5"/>
    <x v="1"/>
    <x v="5"/>
    <x v="1"/>
    <x v="20"/>
    <x v="1"/>
    <x v="1"/>
    <n v="17.920000000000002"/>
    <n v="100296.63"/>
    <n v="272781.63"/>
    <x v="2"/>
  </r>
  <r>
    <x v="5"/>
    <x v="1"/>
    <x v="5"/>
    <x v="2"/>
    <x v="21"/>
    <x v="1"/>
    <x v="1"/>
    <n v="2"/>
    <n v="11193.82"/>
    <n v="27952.77"/>
    <x v="2"/>
  </r>
  <r>
    <x v="5"/>
    <x v="1"/>
    <x v="5"/>
    <x v="2"/>
    <x v="22"/>
    <x v="1"/>
    <x v="1"/>
    <n v="10.62"/>
    <n v="59439.18"/>
    <n v="148543.54999999999"/>
    <x v="2"/>
  </r>
  <r>
    <x v="5"/>
    <x v="1"/>
    <x v="5"/>
    <x v="2"/>
    <x v="29"/>
    <x v="1"/>
    <x v="1"/>
    <n v="1.1000000000000001"/>
    <n v="6156.6"/>
    <n v="16348.58"/>
    <x v="2"/>
  </r>
  <r>
    <x v="5"/>
    <x v="1"/>
    <x v="5"/>
    <x v="2"/>
    <x v="23"/>
    <x v="1"/>
    <x v="1"/>
    <n v="1.88"/>
    <n v="10522.19"/>
    <n v="27372.43"/>
    <x v="2"/>
  </r>
  <r>
    <x v="5"/>
    <x v="1"/>
    <x v="5"/>
    <x v="2"/>
    <x v="24"/>
    <x v="1"/>
    <x v="1"/>
    <n v="1.45"/>
    <n v="8115.52"/>
    <n v="20702.88"/>
    <x v="2"/>
  </r>
  <r>
    <x v="5"/>
    <x v="1"/>
    <x v="5"/>
    <x v="3"/>
    <x v="25"/>
    <x v="1"/>
    <x v="1"/>
    <n v="7.6"/>
    <n v="42536.52"/>
    <n v="119486.77"/>
    <x v="2"/>
  </r>
  <r>
    <x v="5"/>
    <x v="1"/>
    <x v="5"/>
    <x v="3"/>
    <x v="26"/>
    <x v="1"/>
    <x v="1"/>
    <n v="11.12"/>
    <n v="62237.64"/>
    <n v="176169.48"/>
    <x v="2"/>
  </r>
  <r>
    <x v="5"/>
    <x v="1"/>
    <x v="5"/>
    <x v="3"/>
    <x v="27"/>
    <x v="1"/>
    <x v="1"/>
    <n v="27.77"/>
    <n v="155426.19"/>
    <n v="431651.43"/>
    <x v="2"/>
  </r>
  <r>
    <x v="5"/>
    <x v="1"/>
    <x v="6"/>
    <x v="0"/>
    <x v="0"/>
    <x v="0"/>
    <x v="0"/>
    <n v="2.1"/>
    <n v="5576.07"/>
    <n v="19629.47"/>
    <x v="2"/>
  </r>
  <r>
    <x v="5"/>
    <x v="1"/>
    <x v="6"/>
    <x v="0"/>
    <x v="1"/>
    <x v="0"/>
    <x v="0"/>
    <n v="2.88"/>
    <n v="7647.18"/>
    <n v="26977.599999999999"/>
    <x v="2"/>
  </r>
  <r>
    <x v="5"/>
    <x v="1"/>
    <x v="6"/>
    <x v="0"/>
    <x v="2"/>
    <x v="0"/>
    <x v="0"/>
    <n v="0"/>
    <n v="0"/>
    <n v="0"/>
    <x v="2"/>
  </r>
  <r>
    <x v="5"/>
    <x v="1"/>
    <x v="6"/>
    <x v="0"/>
    <x v="3"/>
    <x v="0"/>
    <x v="0"/>
    <n v="1.37"/>
    <n v="3637.72"/>
    <n v="12855.02"/>
    <x v="2"/>
  </r>
  <r>
    <x v="5"/>
    <x v="1"/>
    <x v="6"/>
    <x v="0"/>
    <x v="4"/>
    <x v="0"/>
    <x v="0"/>
    <n v="0"/>
    <n v="0"/>
    <n v="0"/>
    <x v="2"/>
  </r>
  <r>
    <x v="5"/>
    <x v="1"/>
    <x v="6"/>
    <x v="0"/>
    <x v="5"/>
    <x v="0"/>
    <x v="0"/>
    <n v="0"/>
    <n v="0"/>
    <n v="0"/>
    <x v="2"/>
  </r>
  <r>
    <x v="5"/>
    <x v="1"/>
    <x v="6"/>
    <x v="0"/>
    <x v="6"/>
    <x v="0"/>
    <x v="0"/>
    <n v="0"/>
    <n v="0"/>
    <n v="0"/>
    <x v="2"/>
  </r>
  <r>
    <x v="5"/>
    <x v="1"/>
    <x v="6"/>
    <x v="0"/>
    <x v="8"/>
    <x v="0"/>
    <x v="0"/>
    <n v="0"/>
    <n v="0"/>
    <n v="0"/>
    <x v="2"/>
  </r>
  <r>
    <x v="5"/>
    <x v="1"/>
    <x v="6"/>
    <x v="1"/>
    <x v="10"/>
    <x v="0"/>
    <x v="0"/>
    <n v="2.4700000000000002"/>
    <n v="6558.52"/>
    <n v="23134.68"/>
    <x v="2"/>
  </r>
  <r>
    <x v="5"/>
    <x v="1"/>
    <x v="6"/>
    <x v="1"/>
    <x v="11"/>
    <x v="0"/>
    <x v="0"/>
    <n v="0"/>
    <n v="0"/>
    <n v="0"/>
    <x v="2"/>
  </r>
  <r>
    <x v="5"/>
    <x v="1"/>
    <x v="6"/>
    <x v="1"/>
    <x v="13"/>
    <x v="0"/>
    <x v="0"/>
    <n v="0"/>
    <n v="0"/>
    <n v="0"/>
    <x v="2"/>
  </r>
  <r>
    <x v="5"/>
    <x v="1"/>
    <x v="6"/>
    <x v="1"/>
    <x v="14"/>
    <x v="0"/>
    <x v="0"/>
    <n v="0"/>
    <n v="0"/>
    <n v="0"/>
    <x v="2"/>
  </r>
  <r>
    <x v="5"/>
    <x v="1"/>
    <x v="6"/>
    <x v="1"/>
    <x v="16"/>
    <x v="0"/>
    <x v="0"/>
    <n v="0"/>
    <n v="0"/>
    <n v="0"/>
    <x v="2"/>
  </r>
  <r>
    <x v="5"/>
    <x v="1"/>
    <x v="6"/>
    <x v="1"/>
    <x v="17"/>
    <x v="0"/>
    <x v="0"/>
    <n v="0"/>
    <n v="0"/>
    <n v="0"/>
    <x v="2"/>
  </r>
  <r>
    <x v="5"/>
    <x v="1"/>
    <x v="6"/>
    <x v="1"/>
    <x v="18"/>
    <x v="0"/>
    <x v="0"/>
    <n v="0"/>
    <n v="0"/>
    <n v="0"/>
    <x v="2"/>
  </r>
  <r>
    <x v="5"/>
    <x v="1"/>
    <x v="6"/>
    <x v="1"/>
    <x v="19"/>
    <x v="0"/>
    <x v="0"/>
    <n v="0"/>
    <n v="0"/>
    <n v="0"/>
    <x v="2"/>
  </r>
  <r>
    <x v="5"/>
    <x v="1"/>
    <x v="6"/>
    <x v="1"/>
    <x v="20"/>
    <x v="0"/>
    <x v="0"/>
    <n v="1.28"/>
    <n v="3398.75"/>
    <n v="12021.69"/>
    <x v="2"/>
  </r>
  <r>
    <x v="5"/>
    <x v="1"/>
    <x v="6"/>
    <x v="2"/>
    <x v="21"/>
    <x v="0"/>
    <x v="0"/>
    <n v="1.26"/>
    <n v="3345.64"/>
    <n v="11846.03"/>
    <x v="2"/>
  </r>
  <r>
    <x v="5"/>
    <x v="1"/>
    <x v="6"/>
    <x v="2"/>
    <x v="22"/>
    <x v="0"/>
    <x v="0"/>
    <n v="0"/>
    <n v="0"/>
    <n v="0"/>
    <x v="2"/>
  </r>
  <r>
    <x v="5"/>
    <x v="1"/>
    <x v="6"/>
    <x v="2"/>
    <x v="29"/>
    <x v="0"/>
    <x v="0"/>
    <n v="0"/>
    <n v="0"/>
    <n v="0"/>
    <x v="2"/>
  </r>
  <r>
    <x v="5"/>
    <x v="1"/>
    <x v="6"/>
    <x v="2"/>
    <x v="24"/>
    <x v="0"/>
    <x v="0"/>
    <n v="0"/>
    <n v="0"/>
    <n v="0"/>
    <x v="2"/>
  </r>
  <r>
    <x v="5"/>
    <x v="1"/>
    <x v="6"/>
    <x v="3"/>
    <x v="25"/>
    <x v="0"/>
    <x v="0"/>
    <n v="0"/>
    <n v="0"/>
    <n v="0"/>
    <x v="2"/>
  </r>
  <r>
    <x v="5"/>
    <x v="1"/>
    <x v="6"/>
    <x v="3"/>
    <x v="26"/>
    <x v="0"/>
    <x v="0"/>
    <n v="1.46"/>
    <n v="3876.69"/>
    <n v="13647.7"/>
    <x v="2"/>
  </r>
  <r>
    <x v="5"/>
    <x v="1"/>
    <x v="6"/>
    <x v="3"/>
    <x v="27"/>
    <x v="0"/>
    <x v="0"/>
    <n v="1.46"/>
    <n v="3876.69"/>
    <n v="13696.14"/>
    <x v="2"/>
  </r>
  <r>
    <x v="5"/>
    <x v="1"/>
    <x v="6"/>
    <x v="0"/>
    <x v="0"/>
    <x v="0"/>
    <x v="1"/>
    <n v="1.64"/>
    <n v="4354.6400000000003"/>
    <n v="15362.19"/>
    <x v="2"/>
  </r>
  <r>
    <x v="5"/>
    <x v="1"/>
    <x v="6"/>
    <x v="0"/>
    <x v="1"/>
    <x v="0"/>
    <x v="1"/>
    <n v="6.03"/>
    <n v="16011.28"/>
    <n v="56458.28"/>
    <x v="2"/>
  </r>
  <r>
    <x v="5"/>
    <x v="1"/>
    <x v="6"/>
    <x v="0"/>
    <x v="2"/>
    <x v="0"/>
    <x v="1"/>
    <n v="2.98"/>
    <n v="7912.7"/>
    <n v="27873.56"/>
    <x v="2"/>
  </r>
  <r>
    <x v="5"/>
    <x v="1"/>
    <x v="6"/>
    <x v="0"/>
    <x v="3"/>
    <x v="0"/>
    <x v="1"/>
    <n v="5.49"/>
    <n v="14577.43"/>
    <n v="51420.09"/>
    <x v="2"/>
  </r>
  <r>
    <x v="5"/>
    <x v="1"/>
    <x v="6"/>
    <x v="0"/>
    <x v="4"/>
    <x v="0"/>
    <x v="1"/>
    <n v="1.9"/>
    <n v="5045.01"/>
    <n v="17836.13"/>
    <x v="2"/>
  </r>
  <r>
    <x v="5"/>
    <x v="1"/>
    <x v="6"/>
    <x v="0"/>
    <x v="5"/>
    <x v="0"/>
    <x v="1"/>
    <n v="3.49"/>
    <n v="9266.89"/>
    <n v="32679.22"/>
    <x v="2"/>
  </r>
  <r>
    <x v="5"/>
    <x v="1"/>
    <x v="6"/>
    <x v="0"/>
    <x v="6"/>
    <x v="0"/>
    <x v="1"/>
    <n v="1.73"/>
    <n v="4593.62"/>
    <n v="16221.69"/>
    <x v="2"/>
  </r>
  <r>
    <x v="5"/>
    <x v="1"/>
    <x v="6"/>
    <x v="0"/>
    <x v="8"/>
    <x v="0"/>
    <x v="1"/>
    <n v="3.45"/>
    <n v="9160.68"/>
    <n v="32291.71"/>
    <x v="2"/>
  </r>
  <r>
    <x v="5"/>
    <x v="1"/>
    <x v="6"/>
    <x v="1"/>
    <x v="10"/>
    <x v="0"/>
    <x v="1"/>
    <n v="3.48"/>
    <n v="9240.34"/>
    <n v="32559.919999999998"/>
    <x v="2"/>
  </r>
  <r>
    <x v="5"/>
    <x v="1"/>
    <x v="6"/>
    <x v="1"/>
    <x v="11"/>
    <x v="0"/>
    <x v="1"/>
    <n v="11.24"/>
    <n v="29845.23"/>
    <n v="105316.82"/>
    <x v="2"/>
  </r>
  <r>
    <x v="5"/>
    <x v="1"/>
    <x v="6"/>
    <x v="1"/>
    <x v="13"/>
    <x v="0"/>
    <x v="1"/>
    <n v="3.57"/>
    <n v="9479.31"/>
    <n v="33485.769999999997"/>
    <x v="2"/>
  </r>
  <r>
    <x v="5"/>
    <x v="1"/>
    <x v="6"/>
    <x v="1"/>
    <x v="14"/>
    <x v="0"/>
    <x v="1"/>
    <n v="1.29"/>
    <n v="3425.3"/>
    <n v="12096.03"/>
    <x v="2"/>
  </r>
  <r>
    <x v="5"/>
    <x v="1"/>
    <x v="6"/>
    <x v="1"/>
    <x v="16"/>
    <x v="0"/>
    <x v="1"/>
    <n v="1.65"/>
    <n v="4381.2"/>
    <n v="15480.3"/>
    <x v="2"/>
  </r>
  <r>
    <x v="5"/>
    <x v="1"/>
    <x v="6"/>
    <x v="1"/>
    <x v="17"/>
    <x v="0"/>
    <x v="1"/>
    <n v="1.02"/>
    <n v="2708.38"/>
    <n v="9587.7800000000007"/>
    <x v="2"/>
  </r>
  <r>
    <x v="5"/>
    <x v="1"/>
    <x v="6"/>
    <x v="1"/>
    <x v="18"/>
    <x v="0"/>
    <x v="1"/>
    <n v="9.5399999999999991"/>
    <n v="25331.279999999999"/>
    <n v="89340.83"/>
    <x v="2"/>
  </r>
  <r>
    <x v="5"/>
    <x v="1"/>
    <x v="6"/>
    <x v="1"/>
    <x v="19"/>
    <x v="0"/>
    <x v="1"/>
    <n v="3.28"/>
    <n v="8709.2900000000009"/>
    <n v="30708.43"/>
    <x v="2"/>
  </r>
  <r>
    <x v="5"/>
    <x v="1"/>
    <x v="6"/>
    <x v="1"/>
    <x v="20"/>
    <x v="0"/>
    <x v="1"/>
    <n v="8.07"/>
    <n v="21428.03"/>
    <n v="75564.899999999994"/>
    <x v="2"/>
  </r>
  <r>
    <x v="5"/>
    <x v="1"/>
    <x v="6"/>
    <x v="2"/>
    <x v="21"/>
    <x v="0"/>
    <x v="1"/>
    <n v="0"/>
    <n v="0"/>
    <n v="0"/>
    <x v="2"/>
  </r>
  <r>
    <x v="5"/>
    <x v="1"/>
    <x v="6"/>
    <x v="2"/>
    <x v="22"/>
    <x v="0"/>
    <x v="1"/>
    <n v="2.59"/>
    <n v="6877.15"/>
    <n v="24255.27"/>
    <x v="2"/>
  </r>
  <r>
    <x v="5"/>
    <x v="1"/>
    <x v="6"/>
    <x v="2"/>
    <x v="29"/>
    <x v="0"/>
    <x v="1"/>
    <n v="1.19"/>
    <n v="3159.77"/>
    <n v="11110.93"/>
    <x v="2"/>
  </r>
  <r>
    <x v="5"/>
    <x v="1"/>
    <x v="6"/>
    <x v="2"/>
    <x v="24"/>
    <x v="0"/>
    <x v="1"/>
    <n v="1.29"/>
    <n v="3425.3"/>
    <n v="12090.42"/>
    <x v="2"/>
  </r>
  <r>
    <x v="5"/>
    <x v="1"/>
    <x v="6"/>
    <x v="3"/>
    <x v="25"/>
    <x v="0"/>
    <x v="1"/>
    <n v="0.27"/>
    <n v="716.92"/>
    <n v="2547.88"/>
    <x v="2"/>
  </r>
  <r>
    <x v="5"/>
    <x v="1"/>
    <x v="6"/>
    <x v="3"/>
    <x v="26"/>
    <x v="0"/>
    <x v="1"/>
    <n v="1"/>
    <n v="2655.27"/>
    <n v="9382.7999999999993"/>
    <x v="2"/>
  </r>
  <r>
    <x v="5"/>
    <x v="1"/>
    <x v="6"/>
    <x v="3"/>
    <x v="27"/>
    <x v="0"/>
    <x v="1"/>
    <n v="7.22"/>
    <n v="19171.05"/>
    <n v="67624.7"/>
    <x v="2"/>
  </r>
  <r>
    <x v="5"/>
    <x v="1"/>
    <x v="6"/>
    <x v="0"/>
    <x v="0"/>
    <x v="1"/>
    <x v="0"/>
    <n v="0.96"/>
    <n v="2549.06"/>
    <n v="5904.39"/>
    <x v="2"/>
  </r>
  <r>
    <x v="5"/>
    <x v="1"/>
    <x v="6"/>
    <x v="0"/>
    <x v="1"/>
    <x v="1"/>
    <x v="0"/>
    <n v="11.13"/>
    <n v="29553.16"/>
    <n v="67014.55"/>
    <x v="2"/>
  </r>
  <r>
    <x v="5"/>
    <x v="1"/>
    <x v="6"/>
    <x v="0"/>
    <x v="2"/>
    <x v="1"/>
    <x v="0"/>
    <n v="2.86"/>
    <n v="7594.07"/>
    <n v="16619.28"/>
    <x v="2"/>
  </r>
  <r>
    <x v="5"/>
    <x v="1"/>
    <x v="6"/>
    <x v="0"/>
    <x v="3"/>
    <x v="1"/>
    <x v="0"/>
    <n v="10.01"/>
    <n v="26579.25"/>
    <n v="60579.01"/>
    <x v="2"/>
  </r>
  <r>
    <x v="5"/>
    <x v="1"/>
    <x v="6"/>
    <x v="0"/>
    <x v="28"/>
    <x v="1"/>
    <x v="0"/>
    <n v="0"/>
    <n v="0"/>
    <n v="0"/>
    <x v="2"/>
  </r>
  <r>
    <x v="5"/>
    <x v="1"/>
    <x v="6"/>
    <x v="0"/>
    <x v="4"/>
    <x v="1"/>
    <x v="0"/>
    <n v="5.4"/>
    <n v="14338.46"/>
    <n v="32380.1"/>
    <x v="2"/>
  </r>
  <r>
    <x v="5"/>
    <x v="1"/>
    <x v="6"/>
    <x v="0"/>
    <x v="5"/>
    <x v="1"/>
    <x v="0"/>
    <n v="2.69"/>
    <n v="7142.68"/>
    <n v="16582.330000000002"/>
    <x v="2"/>
  </r>
  <r>
    <x v="5"/>
    <x v="1"/>
    <x v="6"/>
    <x v="0"/>
    <x v="6"/>
    <x v="1"/>
    <x v="0"/>
    <n v="0"/>
    <n v="0"/>
    <n v="0"/>
    <x v="2"/>
  </r>
  <r>
    <x v="5"/>
    <x v="1"/>
    <x v="6"/>
    <x v="0"/>
    <x v="7"/>
    <x v="1"/>
    <x v="0"/>
    <n v="0"/>
    <n v="0"/>
    <n v="0"/>
    <x v="2"/>
  </r>
  <r>
    <x v="5"/>
    <x v="1"/>
    <x v="6"/>
    <x v="0"/>
    <x v="8"/>
    <x v="1"/>
    <x v="0"/>
    <n v="0"/>
    <n v="0"/>
    <n v="0"/>
    <x v="2"/>
  </r>
  <r>
    <x v="5"/>
    <x v="1"/>
    <x v="6"/>
    <x v="1"/>
    <x v="30"/>
    <x v="1"/>
    <x v="0"/>
    <n v="1.1399999999999999"/>
    <n v="3027.01"/>
    <n v="7364.19"/>
    <x v="2"/>
  </r>
  <r>
    <x v="5"/>
    <x v="1"/>
    <x v="6"/>
    <x v="1"/>
    <x v="9"/>
    <x v="1"/>
    <x v="0"/>
    <n v="0"/>
    <n v="0"/>
    <n v="0"/>
    <x v="2"/>
  </r>
  <r>
    <x v="5"/>
    <x v="1"/>
    <x v="6"/>
    <x v="1"/>
    <x v="31"/>
    <x v="1"/>
    <x v="0"/>
    <n v="0.8"/>
    <n v="2124.2199999999998"/>
    <n v="5216.09"/>
    <x v="2"/>
  </r>
  <r>
    <x v="5"/>
    <x v="1"/>
    <x v="6"/>
    <x v="1"/>
    <x v="10"/>
    <x v="1"/>
    <x v="0"/>
    <n v="9.41"/>
    <n v="24986.09"/>
    <n v="60126.38"/>
    <x v="2"/>
  </r>
  <r>
    <x v="5"/>
    <x v="1"/>
    <x v="6"/>
    <x v="1"/>
    <x v="11"/>
    <x v="1"/>
    <x v="0"/>
    <n v="6.95"/>
    <n v="18454.13"/>
    <n v="42305.94"/>
    <x v="2"/>
  </r>
  <r>
    <x v="5"/>
    <x v="1"/>
    <x v="6"/>
    <x v="1"/>
    <x v="12"/>
    <x v="1"/>
    <x v="0"/>
    <n v="1.6"/>
    <n v="4248.43"/>
    <n v="10271.620000000001"/>
    <x v="2"/>
  </r>
  <r>
    <x v="5"/>
    <x v="1"/>
    <x v="6"/>
    <x v="1"/>
    <x v="13"/>
    <x v="1"/>
    <x v="0"/>
    <n v="1.46"/>
    <n v="3876.69"/>
    <n v="9335.08"/>
    <x v="2"/>
  </r>
  <r>
    <x v="5"/>
    <x v="1"/>
    <x v="6"/>
    <x v="1"/>
    <x v="14"/>
    <x v="1"/>
    <x v="0"/>
    <n v="10.06"/>
    <n v="26712.02"/>
    <n v="62967.199999999997"/>
    <x v="2"/>
  </r>
  <r>
    <x v="5"/>
    <x v="1"/>
    <x v="6"/>
    <x v="1"/>
    <x v="15"/>
    <x v="1"/>
    <x v="0"/>
    <n v="2.11"/>
    <n v="5602.62"/>
    <n v="13686.58"/>
    <x v="2"/>
  </r>
  <r>
    <x v="5"/>
    <x v="1"/>
    <x v="6"/>
    <x v="1"/>
    <x v="16"/>
    <x v="1"/>
    <x v="0"/>
    <n v="3.98"/>
    <n v="10567.97"/>
    <n v="24542.12"/>
    <x v="2"/>
  </r>
  <r>
    <x v="5"/>
    <x v="1"/>
    <x v="6"/>
    <x v="1"/>
    <x v="17"/>
    <x v="1"/>
    <x v="0"/>
    <n v="4.0599999999999996"/>
    <n v="10780.4"/>
    <n v="25253.58"/>
    <x v="2"/>
  </r>
  <r>
    <x v="5"/>
    <x v="1"/>
    <x v="6"/>
    <x v="1"/>
    <x v="18"/>
    <x v="1"/>
    <x v="0"/>
    <n v="6.56"/>
    <n v="17418.57"/>
    <n v="42711.14"/>
    <x v="2"/>
  </r>
  <r>
    <x v="5"/>
    <x v="1"/>
    <x v="6"/>
    <x v="1"/>
    <x v="19"/>
    <x v="1"/>
    <x v="0"/>
    <n v="8.75"/>
    <n v="23233.61"/>
    <n v="55232.58"/>
    <x v="2"/>
  </r>
  <r>
    <x v="5"/>
    <x v="1"/>
    <x v="6"/>
    <x v="1"/>
    <x v="20"/>
    <x v="1"/>
    <x v="0"/>
    <n v="10.06"/>
    <n v="26712.02"/>
    <n v="62458.63"/>
    <x v="2"/>
  </r>
  <r>
    <x v="5"/>
    <x v="1"/>
    <x v="6"/>
    <x v="2"/>
    <x v="21"/>
    <x v="1"/>
    <x v="0"/>
    <n v="0"/>
    <n v="0"/>
    <n v="0"/>
    <x v="2"/>
  </r>
  <r>
    <x v="5"/>
    <x v="1"/>
    <x v="6"/>
    <x v="2"/>
    <x v="22"/>
    <x v="1"/>
    <x v="0"/>
    <n v="4.37"/>
    <n v="11603.53"/>
    <n v="24911.29"/>
    <x v="2"/>
  </r>
  <r>
    <x v="5"/>
    <x v="1"/>
    <x v="6"/>
    <x v="2"/>
    <x v="29"/>
    <x v="1"/>
    <x v="0"/>
    <n v="0"/>
    <n v="0"/>
    <n v="0"/>
    <x v="2"/>
  </r>
  <r>
    <x v="5"/>
    <x v="1"/>
    <x v="6"/>
    <x v="2"/>
    <x v="23"/>
    <x v="1"/>
    <x v="0"/>
    <n v="0"/>
    <n v="0"/>
    <n v="0"/>
    <x v="2"/>
  </r>
  <r>
    <x v="5"/>
    <x v="1"/>
    <x v="6"/>
    <x v="2"/>
    <x v="24"/>
    <x v="1"/>
    <x v="0"/>
    <n v="2.06"/>
    <n v="5469.86"/>
    <n v="11951.85"/>
    <x v="2"/>
  </r>
  <r>
    <x v="5"/>
    <x v="1"/>
    <x v="6"/>
    <x v="3"/>
    <x v="25"/>
    <x v="1"/>
    <x v="0"/>
    <n v="4.1100000000000003"/>
    <n v="10913.16"/>
    <n v="26387.8"/>
    <x v="2"/>
  </r>
  <r>
    <x v="5"/>
    <x v="1"/>
    <x v="6"/>
    <x v="3"/>
    <x v="26"/>
    <x v="1"/>
    <x v="0"/>
    <n v="2.7"/>
    <n v="7169.23"/>
    <n v="17460.34"/>
    <x v="2"/>
  </r>
  <r>
    <x v="5"/>
    <x v="1"/>
    <x v="6"/>
    <x v="3"/>
    <x v="27"/>
    <x v="1"/>
    <x v="0"/>
    <n v="9.18"/>
    <n v="24375.38"/>
    <n v="58208.93"/>
    <x v="2"/>
  </r>
  <r>
    <x v="5"/>
    <x v="1"/>
    <x v="6"/>
    <x v="0"/>
    <x v="0"/>
    <x v="1"/>
    <x v="1"/>
    <n v="1.39"/>
    <n v="3690.83"/>
    <n v="8487.57"/>
    <x v="2"/>
  </r>
  <r>
    <x v="5"/>
    <x v="1"/>
    <x v="6"/>
    <x v="0"/>
    <x v="1"/>
    <x v="1"/>
    <x v="1"/>
    <n v="19.88"/>
    <n v="52786.77"/>
    <n v="119739.24"/>
    <x v="2"/>
  </r>
  <r>
    <x v="5"/>
    <x v="1"/>
    <x v="6"/>
    <x v="0"/>
    <x v="2"/>
    <x v="1"/>
    <x v="1"/>
    <n v="11.69"/>
    <n v="31040.11"/>
    <n v="67987.960000000006"/>
    <x v="2"/>
  </r>
  <r>
    <x v="5"/>
    <x v="1"/>
    <x v="6"/>
    <x v="0"/>
    <x v="3"/>
    <x v="1"/>
    <x v="1"/>
    <n v="22.09"/>
    <n v="58654.91"/>
    <n v="133691.6"/>
    <x v="2"/>
  </r>
  <r>
    <x v="5"/>
    <x v="1"/>
    <x v="6"/>
    <x v="0"/>
    <x v="28"/>
    <x v="1"/>
    <x v="1"/>
    <n v="1.92"/>
    <n v="5098.12"/>
    <n v="11792.7"/>
    <x v="2"/>
  </r>
  <r>
    <x v="5"/>
    <x v="1"/>
    <x v="6"/>
    <x v="0"/>
    <x v="4"/>
    <x v="1"/>
    <x v="1"/>
    <n v="10.6"/>
    <n v="28145.86"/>
    <n v="63560.94"/>
    <x v="2"/>
  </r>
  <r>
    <x v="5"/>
    <x v="1"/>
    <x v="6"/>
    <x v="0"/>
    <x v="5"/>
    <x v="1"/>
    <x v="1"/>
    <n v="14.64"/>
    <n v="38873.15"/>
    <n v="90400.44"/>
    <x v="2"/>
  </r>
  <r>
    <x v="5"/>
    <x v="1"/>
    <x v="6"/>
    <x v="0"/>
    <x v="6"/>
    <x v="1"/>
    <x v="1"/>
    <n v="2.09"/>
    <n v="5549.51"/>
    <n v="12880.74"/>
    <x v="2"/>
  </r>
  <r>
    <x v="5"/>
    <x v="1"/>
    <x v="6"/>
    <x v="0"/>
    <x v="7"/>
    <x v="1"/>
    <x v="1"/>
    <n v="2.2200000000000002"/>
    <n v="5894.7"/>
    <n v="13871.14"/>
    <x v="2"/>
  </r>
  <r>
    <x v="5"/>
    <x v="1"/>
    <x v="6"/>
    <x v="0"/>
    <x v="8"/>
    <x v="1"/>
    <x v="1"/>
    <n v="3.8"/>
    <n v="10090.030000000001"/>
    <n v="22647.919999999998"/>
    <x v="2"/>
  </r>
  <r>
    <x v="5"/>
    <x v="1"/>
    <x v="6"/>
    <x v="1"/>
    <x v="30"/>
    <x v="1"/>
    <x v="1"/>
    <n v="0"/>
    <n v="0"/>
    <n v="0"/>
    <x v="2"/>
  </r>
  <r>
    <x v="5"/>
    <x v="1"/>
    <x v="6"/>
    <x v="1"/>
    <x v="9"/>
    <x v="1"/>
    <x v="1"/>
    <n v="4.3"/>
    <n v="11417.66"/>
    <n v="27743.81"/>
    <x v="2"/>
  </r>
  <r>
    <x v="5"/>
    <x v="1"/>
    <x v="6"/>
    <x v="1"/>
    <x v="31"/>
    <x v="1"/>
    <x v="1"/>
    <n v="0"/>
    <n v="0"/>
    <n v="0"/>
    <x v="2"/>
  </r>
  <r>
    <x v="5"/>
    <x v="1"/>
    <x v="6"/>
    <x v="1"/>
    <x v="10"/>
    <x v="1"/>
    <x v="1"/>
    <n v="23.49"/>
    <n v="62372.29"/>
    <n v="150040.14000000001"/>
    <x v="2"/>
  </r>
  <r>
    <x v="5"/>
    <x v="1"/>
    <x v="6"/>
    <x v="1"/>
    <x v="11"/>
    <x v="1"/>
    <x v="1"/>
    <n v="23.68"/>
    <n v="62876.79"/>
    <n v="144153.56"/>
    <x v="2"/>
  </r>
  <r>
    <x v="5"/>
    <x v="1"/>
    <x v="6"/>
    <x v="1"/>
    <x v="12"/>
    <x v="1"/>
    <x v="1"/>
    <n v="1.52"/>
    <n v="4036.01"/>
    <n v="9731.01"/>
    <x v="2"/>
  </r>
  <r>
    <x v="5"/>
    <x v="1"/>
    <x v="6"/>
    <x v="1"/>
    <x v="13"/>
    <x v="1"/>
    <x v="1"/>
    <n v="12.22"/>
    <n v="32447.4"/>
    <n v="77975.33"/>
    <x v="2"/>
  </r>
  <r>
    <x v="5"/>
    <x v="1"/>
    <x v="6"/>
    <x v="1"/>
    <x v="14"/>
    <x v="1"/>
    <x v="1"/>
    <n v="7.81"/>
    <n v="20737.66"/>
    <n v="48853.86"/>
    <x v="2"/>
  </r>
  <r>
    <x v="5"/>
    <x v="1"/>
    <x v="6"/>
    <x v="1"/>
    <x v="15"/>
    <x v="1"/>
    <x v="1"/>
    <n v="1.67"/>
    <n v="4434.3"/>
    <n v="10835.21"/>
    <x v="2"/>
  </r>
  <r>
    <x v="5"/>
    <x v="1"/>
    <x v="6"/>
    <x v="1"/>
    <x v="16"/>
    <x v="1"/>
    <x v="1"/>
    <n v="8.57"/>
    <n v="22755.66"/>
    <n v="52818.91"/>
    <x v="2"/>
  </r>
  <r>
    <x v="5"/>
    <x v="1"/>
    <x v="6"/>
    <x v="1"/>
    <x v="17"/>
    <x v="1"/>
    <x v="1"/>
    <n v="3.46"/>
    <n v="9187.23"/>
    <n v="21492.41"/>
    <x v="2"/>
  </r>
  <r>
    <x v="5"/>
    <x v="1"/>
    <x v="6"/>
    <x v="1"/>
    <x v="18"/>
    <x v="1"/>
    <x v="1"/>
    <n v="24.22"/>
    <n v="64310.64"/>
    <n v="157654.35999999999"/>
    <x v="2"/>
  </r>
  <r>
    <x v="5"/>
    <x v="1"/>
    <x v="6"/>
    <x v="1"/>
    <x v="19"/>
    <x v="1"/>
    <x v="1"/>
    <n v="14.29"/>
    <n v="37943.81"/>
    <n v="90231.44"/>
    <x v="2"/>
  </r>
  <r>
    <x v="5"/>
    <x v="1"/>
    <x v="6"/>
    <x v="1"/>
    <x v="20"/>
    <x v="1"/>
    <x v="1"/>
    <n v="21.83"/>
    <n v="57964.54"/>
    <n v="135593.95000000001"/>
    <x v="2"/>
  </r>
  <r>
    <x v="5"/>
    <x v="1"/>
    <x v="6"/>
    <x v="2"/>
    <x v="21"/>
    <x v="1"/>
    <x v="1"/>
    <n v="1.92"/>
    <n v="5098.12"/>
    <n v="10949.19"/>
    <x v="2"/>
  </r>
  <r>
    <x v="5"/>
    <x v="1"/>
    <x v="6"/>
    <x v="2"/>
    <x v="22"/>
    <x v="1"/>
    <x v="1"/>
    <n v="9.5"/>
    <n v="25225.07"/>
    <n v="54218.68"/>
    <x v="2"/>
  </r>
  <r>
    <x v="5"/>
    <x v="1"/>
    <x v="6"/>
    <x v="2"/>
    <x v="29"/>
    <x v="1"/>
    <x v="1"/>
    <n v="2.4900000000000002"/>
    <n v="6611.62"/>
    <n v="15096.51"/>
    <x v="2"/>
  </r>
  <r>
    <x v="5"/>
    <x v="1"/>
    <x v="6"/>
    <x v="2"/>
    <x v="23"/>
    <x v="1"/>
    <x v="1"/>
    <n v="1.19"/>
    <n v="3159.77"/>
    <n v="7049.07"/>
    <x v="2"/>
  </r>
  <r>
    <x v="5"/>
    <x v="1"/>
    <x v="6"/>
    <x v="2"/>
    <x v="24"/>
    <x v="1"/>
    <x v="1"/>
    <n v="1.29"/>
    <n v="3425.3"/>
    <n v="7469.9"/>
    <x v="2"/>
  </r>
  <r>
    <x v="5"/>
    <x v="1"/>
    <x v="6"/>
    <x v="3"/>
    <x v="25"/>
    <x v="1"/>
    <x v="1"/>
    <n v="7.79"/>
    <n v="20684.55"/>
    <n v="49968.38"/>
    <x v="2"/>
  </r>
  <r>
    <x v="5"/>
    <x v="1"/>
    <x v="6"/>
    <x v="3"/>
    <x v="26"/>
    <x v="1"/>
    <x v="1"/>
    <n v="13.42"/>
    <n v="35633.72"/>
    <n v="86738.46"/>
    <x v="2"/>
  </r>
  <r>
    <x v="5"/>
    <x v="1"/>
    <x v="6"/>
    <x v="3"/>
    <x v="27"/>
    <x v="1"/>
    <x v="1"/>
    <n v="27.1"/>
    <n v="71957.820000000007"/>
    <n v="171881.07"/>
    <x v="2"/>
  </r>
  <r>
    <x v="5"/>
    <x v="1"/>
    <x v="7"/>
    <x v="0"/>
    <x v="0"/>
    <x v="0"/>
    <x v="0"/>
    <n v="1.56"/>
    <n v="7408.03"/>
    <n v="28914.73"/>
    <x v="2"/>
  </r>
  <r>
    <x v="5"/>
    <x v="1"/>
    <x v="7"/>
    <x v="0"/>
    <x v="1"/>
    <x v="0"/>
    <x v="0"/>
    <n v="3.21"/>
    <n v="15243.46"/>
    <n v="59536.23"/>
    <x v="2"/>
  </r>
  <r>
    <x v="5"/>
    <x v="1"/>
    <x v="7"/>
    <x v="0"/>
    <x v="2"/>
    <x v="0"/>
    <x v="0"/>
    <n v="0"/>
    <n v="0"/>
    <n v="0"/>
    <x v="2"/>
  </r>
  <r>
    <x v="5"/>
    <x v="1"/>
    <x v="7"/>
    <x v="0"/>
    <x v="3"/>
    <x v="0"/>
    <x v="0"/>
    <n v="1.47"/>
    <n v="6980.65"/>
    <n v="27221.57"/>
    <x v="2"/>
  </r>
  <r>
    <x v="5"/>
    <x v="1"/>
    <x v="7"/>
    <x v="0"/>
    <x v="4"/>
    <x v="0"/>
    <x v="0"/>
    <n v="0"/>
    <n v="0"/>
    <n v="0"/>
    <x v="2"/>
  </r>
  <r>
    <x v="5"/>
    <x v="1"/>
    <x v="7"/>
    <x v="0"/>
    <x v="5"/>
    <x v="0"/>
    <x v="0"/>
    <n v="0"/>
    <n v="0"/>
    <n v="0"/>
    <x v="2"/>
  </r>
  <r>
    <x v="5"/>
    <x v="1"/>
    <x v="7"/>
    <x v="0"/>
    <x v="6"/>
    <x v="0"/>
    <x v="0"/>
    <n v="0"/>
    <n v="0"/>
    <n v="0"/>
    <x v="2"/>
  </r>
  <r>
    <x v="5"/>
    <x v="1"/>
    <x v="7"/>
    <x v="0"/>
    <x v="8"/>
    <x v="0"/>
    <x v="0"/>
    <n v="0"/>
    <n v="0"/>
    <n v="0"/>
    <x v="2"/>
  </r>
  <r>
    <x v="5"/>
    <x v="1"/>
    <x v="7"/>
    <x v="1"/>
    <x v="10"/>
    <x v="0"/>
    <x v="0"/>
    <n v="0.92"/>
    <n v="4368.84"/>
    <n v="16978.349999999999"/>
    <x v="2"/>
  </r>
  <r>
    <x v="5"/>
    <x v="1"/>
    <x v="7"/>
    <x v="1"/>
    <x v="11"/>
    <x v="0"/>
    <x v="0"/>
    <n v="0"/>
    <n v="0"/>
    <n v="0"/>
    <x v="2"/>
  </r>
  <r>
    <x v="5"/>
    <x v="1"/>
    <x v="7"/>
    <x v="1"/>
    <x v="13"/>
    <x v="0"/>
    <x v="0"/>
    <n v="0"/>
    <n v="0"/>
    <n v="0"/>
    <x v="2"/>
  </r>
  <r>
    <x v="5"/>
    <x v="1"/>
    <x v="7"/>
    <x v="1"/>
    <x v="14"/>
    <x v="0"/>
    <x v="0"/>
    <n v="0"/>
    <n v="0"/>
    <n v="0"/>
    <x v="2"/>
  </r>
  <r>
    <x v="5"/>
    <x v="1"/>
    <x v="7"/>
    <x v="1"/>
    <x v="16"/>
    <x v="0"/>
    <x v="0"/>
    <n v="0"/>
    <n v="0"/>
    <n v="0"/>
    <x v="2"/>
  </r>
  <r>
    <x v="5"/>
    <x v="1"/>
    <x v="7"/>
    <x v="1"/>
    <x v="17"/>
    <x v="0"/>
    <x v="0"/>
    <n v="0"/>
    <n v="0"/>
    <n v="0"/>
    <x v="2"/>
  </r>
  <r>
    <x v="5"/>
    <x v="1"/>
    <x v="7"/>
    <x v="1"/>
    <x v="18"/>
    <x v="0"/>
    <x v="0"/>
    <n v="0"/>
    <n v="0"/>
    <n v="0"/>
    <x v="2"/>
  </r>
  <r>
    <x v="5"/>
    <x v="1"/>
    <x v="7"/>
    <x v="1"/>
    <x v="19"/>
    <x v="0"/>
    <x v="0"/>
    <n v="0"/>
    <n v="0"/>
    <n v="0"/>
    <x v="2"/>
  </r>
  <r>
    <x v="5"/>
    <x v="1"/>
    <x v="7"/>
    <x v="1"/>
    <x v="20"/>
    <x v="0"/>
    <x v="0"/>
    <n v="1.47"/>
    <n v="6980.65"/>
    <n v="27252.15"/>
    <x v="2"/>
  </r>
  <r>
    <x v="5"/>
    <x v="1"/>
    <x v="7"/>
    <x v="2"/>
    <x v="21"/>
    <x v="0"/>
    <x v="0"/>
    <n v="1.18"/>
    <n v="5603.51"/>
    <n v="21837.55"/>
    <x v="2"/>
  </r>
  <r>
    <x v="5"/>
    <x v="1"/>
    <x v="7"/>
    <x v="2"/>
    <x v="22"/>
    <x v="0"/>
    <x v="0"/>
    <n v="0"/>
    <n v="0"/>
    <n v="0"/>
    <x v="2"/>
  </r>
  <r>
    <x v="5"/>
    <x v="1"/>
    <x v="7"/>
    <x v="2"/>
    <x v="29"/>
    <x v="0"/>
    <x v="0"/>
    <n v="0"/>
    <n v="0"/>
    <n v="0"/>
    <x v="2"/>
  </r>
  <r>
    <x v="5"/>
    <x v="1"/>
    <x v="7"/>
    <x v="2"/>
    <x v="24"/>
    <x v="0"/>
    <x v="0"/>
    <n v="0"/>
    <n v="0"/>
    <n v="0"/>
    <x v="2"/>
  </r>
  <r>
    <x v="5"/>
    <x v="1"/>
    <x v="7"/>
    <x v="3"/>
    <x v="25"/>
    <x v="0"/>
    <x v="0"/>
    <n v="0"/>
    <n v="0"/>
    <n v="0"/>
    <x v="2"/>
  </r>
  <r>
    <x v="5"/>
    <x v="1"/>
    <x v="7"/>
    <x v="3"/>
    <x v="26"/>
    <x v="0"/>
    <x v="0"/>
    <n v="1.73"/>
    <n v="8215.32"/>
    <n v="32077.58"/>
    <x v="2"/>
  </r>
  <r>
    <x v="5"/>
    <x v="1"/>
    <x v="7"/>
    <x v="3"/>
    <x v="27"/>
    <x v="0"/>
    <x v="0"/>
    <n v="2.31"/>
    <n v="10969.59"/>
    <n v="42909.04"/>
    <x v="2"/>
  </r>
  <r>
    <x v="5"/>
    <x v="1"/>
    <x v="7"/>
    <x v="0"/>
    <x v="0"/>
    <x v="0"/>
    <x v="1"/>
    <n v="1.56"/>
    <n v="7408.03"/>
    <n v="28914.73"/>
    <x v="2"/>
  </r>
  <r>
    <x v="5"/>
    <x v="1"/>
    <x v="7"/>
    <x v="0"/>
    <x v="1"/>
    <x v="0"/>
    <x v="1"/>
    <n v="5"/>
    <n v="23743.7"/>
    <n v="92661.65"/>
    <x v="2"/>
  </r>
  <r>
    <x v="5"/>
    <x v="1"/>
    <x v="7"/>
    <x v="0"/>
    <x v="2"/>
    <x v="0"/>
    <x v="1"/>
    <n v="4.1900000000000004"/>
    <n v="19897.22"/>
    <n v="77687.23"/>
    <x v="2"/>
  </r>
  <r>
    <x v="5"/>
    <x v="1"/>
    <x v="7"/>
    <x v="0"/>
    <x v="3"/>
    <x v="0"/>
    <x v="1"/>
    <n v="3.97"/>
    <n v="18852.5"/>
    <n v="73498.240000000005"/>
    <x v="2"/>
  </r>
  <r>
    <x v="5"/>
    <x v="1"/>
    <x v="7"/>
    <x v="0"/>
    <x v="4"/>
    <x v="0"/>
    <x v="1"/>
    <n v="2.02"/>
    <n v="9592.4500000000007"/>
    <n v="37398.129999999997"/>
    <x v="2"/>
  </r>
  <r>
    <x v="5"/>
    <x v="1"/>
    <x v="7"/>
    <x v="0"/>
    <x v="5"/>
    <x v="0"/>
    <x v="1"/>
    <n v="2.19"/>
    <n v="10399.74"/>
    <n v="40619.24"/>
    <x v="2"/>
  </r>
  <r>
    <x v="5"/>
    <x v="1"/>
    <x v="7"/>
    <x v="0"/>
    <x v="6"/>
    <x v="0"/>
    <x v="1"/>
    <n v="1.73"/>
    <n v="8215.32"/>
    <n v="32116.7"/>
    <x v="2"/>
  </r>
  <r>
    <x v="5"/>
    <x v="1"/>
    <x v="7"/>
    <x v="0"/>
    <x v="8"/>
    <x v="0"/>
    <x v="1"/>
    <n v="2.44"/>
    <n v="11586.93"/>
    <n v="45163.06"/>
    <x v="2"/>
  </r>
  <r>
    <x v="5"/>
    <x v="1"/>
    <x v="7"/>
    <x v="1"/>
    <x v="10"/>
    <x v="0"/>
    <x v="1"/>
    <n v="3.94"/>
    <n v="18710.04"/>
    <n v="73006.880000000005"/>
    <x v="2"/>
  </r>
  <r>
    <x v="5"/>
    <x v="1"/>
    <x v="7"/>
    <x v="1"/>
    <x v="11"/>
    <x v="0"/>
    <x v="1"/>
    <n v="8.31"/>
    <n v="39462.03"/>
    <n v="154009.10999999999"/>
    <x v="2"/>
  </r>
  <r>
    <x v="5"/>
    <x v="1"/>
    <x v="7"/>
    <x v="1"/>
    <x v="13"/>
    <x v="0"/>
    <x v="1"/>
    <n v="3.76"/>
    <n v="17855.259999999998"/>
    <n v="69700.52"/>
    <x v="2"/>
  </r>
  <r>
    <x v="5"/>
    <x v="1"/>
    <x v="7"/>
    <x v="1"/>
    <x v="14"/>
    <x v="0"/>
    <x v="1"/>
    <n v="1.21"/>
    <n v="5745.98"/>
    <n v="22347.98"/>
    <x v="2"/>
  </r>
  <r>
    <x v="5"/>
    <x v="1"/>
    <x v="7"/>
    <x v="1"/>
    <x v="16"/>
    <x v="0"/>
    <x v="1"/>
    <n v="2.02"/>
    <n v="9592.4500000000007"/>
    <n v="37469.24"/>
    <x v="2"/>
  </r>
  <r>
    <x v="5"/>
    <x v="1"/>
    <x v="7"/>
    <x v="1"/>
    <x v="17"/>
    <x v="0"/>
    <x v="1"/>
    <n v="2.1"/>
    <n v="9972.35"/>
    <n v="39010.36"/>
    <x v="2"/>
  </r>
  <r>
    <x v="5"/>
    <x v="1"/>
    <x v="7"/>
    <x v="1"/>
    <x v="18"/>
    <x v="0"/>
    <x v="1"/>
    <n v="9.5299999999999994"/>
    <n v="45255.49"/>
    <n v="176623.15"/>
    <x v="2"/>
  </r>
  <r>
    <x v="5"/>
    <x v="1"/>
    <x v="7"/>
    <x v="1"/>
    <x v="19"/>
    <x v="0"/>
    <x v="1"/>
    <n v="3.2"/>
    <n v="15195.97"/>
    <n v="59323.02"/>
    <x v="2"/>
  </r>
  <r>
    <x v="5"/>
    <x v="1"/>
    <x v="7"/>
    <x v="1"/>
    <x v="20"/>
    <x v="0"/>
    <x v="1"/>
    <n v="9.1"/>
    <n v="43213.53"/>
    <n v="168622.68"/>
    <x v="2"/>
  </r>
  <r>
    <x v="5"/>
    <x v="1"/>
    <x v="7"/>
    <x v="2"/>
    <x v="21"/>
    <x v="0"/>
    <x v="1"/>
    <n v="0"/>
    <n v="0"/>
    <n v="0"/>
    <x v="2"/>
  </r>
  <r>
    <x v="5"/>
    <x v="1"/>
    <x v="7"/>
    <x v="2"/>
    <x v="22"/>
    <x v="0"/>
    <x v="1"/>
    <n v="4.32"/>
    <n v="20514.560000000001"/>
    <n v="80041.16"/>
    <x v="2"/>
  </r>
  <r>
    <x v="5"/>
    <x v="1"/>
    <x v="7"/>
    <x v="2"/>
    <x v="29"/>
    <x v="0"/>
    <x v="1"/>
    <n v="1.37"/>
    <n v="6505.77"/>
    <n v="25404.94"/>
    <x v="2"/>
  </r>
  <r>
    <x v="5"/>
    <x v="1"/>
    <x v="7"/>
    <x v="2"/>
    <x v="24"/>
    <x v="0"/>
    <x v="1"/>
    <n v="1.93"/>
    <n v="9165.07"/>
    <n v="35817.269999999997"/>
    <x v="2"/>
  </r>
  <r>
    <x v="5"/>
    <x v="1"/>
    <x v="7"/>
    <x v="3"/>
    <x v="25"/>
    <x v="0"/>
    <x v="1"/>
    <n v="2.38"/>
    <n v="11302"/>
    <n v="44166.28"/>
    <x v="2"/>
  </r>
  <r>
    <x v="5"/>
    <x v="1"/>
    <x v="7"/>
    <x v="3"/>
    <x v="26"/>
    <x v="0"/>
    <x v="1"/>
    <n v="1.82"/>
    <n v="8642.7099999999991"/>
    <n v="33765.879999999997"/>
    <x v="2"/>
  </r>
  <r>
    <x v="5"/>
    <x v="1"/>
    <x v="7"/>
    <x v="3"/>
    <x v="27"/>
    <x v="0"/>
    <x v="1"/>
    <n v="5.7"/>
    <n v="27067.82"/>
    <n v="105622.26"/>
    <x v="2"/>
  </r>
  <r>
    <x v="5"/>
    <x v="1"/>
    <x v="7"/>
    <x v="0"/>
    <x v="0"/>
    <x v="1"/>
    <x v="0"/>
    <n v="2.33"/>
    <n v="11064.56"/>
    <n v="28296.94"/>
    <x v="2"/>
  </r>
  <r>
    <x v="5"/>
    <x v="1"/>
    <x v="7"/>
    <x v="0"/>
    <x v="1"/>
    <x v="1"/>
    <x v="0"/>
    <n v="12.03"/>
    <n v="57127.34"/>
    <n v="143322.5"/>
    <x v="2"/>
  </r>
  <r>
    <x v="5"/>
    <x v="1"/>
    <x v="7"/>
    <x v="0"/>
    <x v="2"/>
    <x v="1"/>
    <x v="0"/>
    <n v="3.36"/>
    <n v="15955.77"/>
    <n v="38620.400000000001"/>
    <x v="2"/>
  </r>
  <r>
    <x v="5"/>
    <x v="1"/>
    <x v="7"/>
    <x v="0"/>
    <x v="3"/>
    <x v="1"/>
    <x v="0"/>
    <n v="12.29"/>
    <n v="58362.01"/>
    <n v="147176.67000000001"/>
    <x v="2"/>
  </r>
  <r>
    <x v="5"/>
    <x v="1"/>
    <x v="7"/>
    <x v="0"/>
    <x v="28"/>
    <x v="1"/>
    <x v="0"/>
    <n v="0"/>
    <n v="0"/>
    <n v="0"/>
    <x v="2"/>
  </r>
  <r>
    <x v="5"/>
    <x v="1"/>
    <x v="7"/>
    <x v="0"/>
    <x v="4"/>
    <x v="1"/>
    <x v="0"/>
    <n v="3.31"/>
    <n v="15718.33"/>
    <n v="39290.03"/>
    <x v="2"/>
  </r>
  <r>
    <x v="5"/>
    <x v="1"/>
    <x v="7"/>
    <x v="0"/>
    <x v="5"/>
    <x v="1"/>
    <x v="0"/>
    <n v="1.82"/>
    <n v="8642.7099999999991"/>
    <n v="22270.38"/>
    <x v="2"/>
  </r>
  <r>
    <x v="5"/>
    <x v="1"/>
    <x v="7"/>
    <x v="0"/>
    <x v="6"/>
    <x v="1"/>
    <x v="0"/>
    <n v="0"/>
    <n v="0"/>
    <n v="0"/>
    <x v="2"/>
  </r>
  <r>
    <x v="5"/>
    <x v="1"/>
    <x v="7"/>
    <x v="0"/>
    <x v="7"/>
    <x v="1"/>
    <x v="0"/>
    <n v="0"/>
    <n v="0"/>
    <n v="0"/>
    <x v="2"/>
  </r>
  <r>
    <x v="5"/>
    <x v="1"/>
    <x v="7"/>
    <x v="0"/>
    <x v="8"/>
    <x v="1"/>
    <x v="0"/>
    <n v="0"/>
    <n v="0"/>
    <n v="0"/>
    <x v="2"/>
  </r>
  <r>
    <x v="5"/>
    <x v="1"/>
    <x v="7"/>
    <x v="1"/>
    <x v="30"/>
    <x v="1"/>
    <x v="0"/>
    <n v="1.34"/>
    <n v="6363.31"/>
    <n v="17110.36"/>
    <x v="2"/>
  </r>
  <r>
    <x v="5"/>
    <x v="1"/>
    <x v="7"/>
    <x v="1"/>
    <x v="9"/>
    <x v="1"/>
    <x v="0"/>
    <n v="0"/>
    <n v="0"/>
    <n v="0"/>
    <x v="2"/>
  </r>
  <r>
    <x v="5"/>
    <x v="1"/>
    <x v="7"/>
    <x v="1"/>
    <x v="31"/>
    <x v="1"/>
    <x v="0"/>
    <n v="1.56"/>
    <n v="7408.03"/>
    <n v="20125.810000000001"/>
    <x v="2"/>
  </r>
  <r>
    <x v="5"/>
    <x v="1"/>
    <x v="7"/>
    <x v="1"/>
    <x v="10"/>
    <x v="1"/>
    <x v="0"/>
    <n v="4.93"/>
    <n v="23411.29"/>
    <n v="62342.71"/>
    <x v="2"/>
  </r>
  <r>
    <x v="5"/>
    <x v="1"/>
    <x v="7"/>
    <x v="1"/>
    <x v="11"/>
    <x v="1"/>
    <x v="0"/>
    <n v="8.16"/>
    <n v="38749.72"/>
    <n v="98322.43"/>
    <x v="2"/>
  </r>
  <r>
    <x v="5"/>
    <x v="1"/>
    <x v="7"/>
    <x v="1"/>
    <x v="12"/>
    <x v="1"/>
    <x v="0"/>
    <n v="2.36"/>
    <n v="11207.03"/>
    <n v="29968.5"/>
    <x v="2"/>
  </r>
  <r>
    <x v="5"/>
    <x v="1"/>
    <x v="7"/>
    <x v="1"/>
    <x v="13"/>
    <x v="1"/>
    <x v="0"/>
    <n v="1.2"/>
    <n v="5698.49"/>
    <n v="15204.29"/>
    <x v="2"/>
  </r>
  <r>
    <x v="5"/>
    <x v="1"/>
    <x v="7"/>
    <x v="1"/>
    <x v="14"/>
    <x v="1"/>
    <x v="0"/>
    <n v="11.61"/>
    <n v="55132.87"/>
    <n v="143791.37"/>
    <x v="2"/>
  </r>
  <r>
    <x v="5"/>
    <x v="1"/>
    <x v="7"/>
    <x v="1"/>
    <x v="15"/>
    <x v="1"/>
    <x v="0"/>
    <n v="4.38"/>
    <n v="20799.48"/>
    <n v="56126.86"/>
    <x v="2"/>
  </r>
  <r>
    <x v="5"/>
    <x v="1"/>
    <x v="7"/>
    <x v="1"/>
    <x v="16"/>
    <x v="1"/>
    <x v="0"/>
    <n v="1.7"/>
    <n v="8072.86"/>
    <n v="20735.36"/>
    <x v="2"/>
  </r>
  <r>
    <x v="5"/>
    <x v="1"/>
    <x v="7"/>
    <x v="1"/>
    <x v="17"/>
    <x v="1"/>
    <x v="0"/>
    <n v="7.4"/>
    <n v="35140.68"/>
    <n v="91132.87"/>
    <x v="2"/>
  </r>
  <r>
    <x v="5"/>
    <x v="1"/>
    <x v="7"/>
    <x v="1"/>
    <x v="18"/>
    <x v="1"/>
    <x v="0"/>
    <n v="8.4600000000000009"/>
    <n v="40174.339999999997"/>
    <n v="108924.23"/>
    <x v="2"/>
  </r>
  <r>
    <x v="5"/>
    <x v="1"/>
    <x v="7"/>
    <x v="1"/>
    <x v="19"/>
    <x v="1"/>
    <x v="0"/>
    <n v="7.28"/>
    <n v="34570.83"/>
    <n v="90902.27"/>
    <x v="2"/>
  </r>
  <r>
    <x v="5"/>
    <x v="1"/>
    <x v="7"/>
    <x v="1"/>
    <x v="20"/>
    <x v="1"/>
    <x v="0"/>
    <n v="5.52"/>
    <n v="26213.040000000001"/>
    <n v="67871.25"/>
    <x v="2"/>
  </r>
  <r>
    <x v="5"/>
    <x v="1"/>
    <x v="7"/>
    <x v="2"/>
    <x v="21"/>
    <x v="1"/>
    <x v="0"/>
    <n v="0"/>
    <n v="0"/>
    <n v="0"/>
    <x v="2"/>
  </r>
  <r>
    <x v="5"/>
    <x v="1"/>
    <x v="7"/>
    <x v="2"/>
    <x v="22"/>
    <x v="1"/>
    <x v="0"/>
    <n v="6.77"/>
    <n v="32148.97"/>
    <n v="76476.89"/>
    <x v="2"/>
  </r>
  <r>
    <x v="5"/>
    <x v="1"/>
    <x v="7"/>
    <x v="2"/>
    <x v="29"/>
    <x v="1"/>
    <x v="0"/>
    <n v="0"/>
    <n v="0"/>
    <n v="0"/>
    <x v="2"/>
  </r>
  <r>
    <x v="5"/>
    <x v="1"/>
    <x v="7"/>
    <x v="2"/>
    <x v="23"/>
    <x v="1"/>
    <x v="0"/>
    <n v="0"/>
    <n v="0"/>
    <n v="0"/>
    <x v="2"/>
  </r>
  <r>
    <x v="5"/>
    <x v="1"/>
    <x v="7"/>
    <x v="2"/>
    <x v="24"/>
    <x v="1"/>
    <x v="0"/>
    <n v="2.06"/>
    <n v="9782.4"/>
    <n v="23684.33"/>
    <x v="2"/>
  </r>
  <r>
    <x v="5"/>
    <x v="1"/>
    <x v="7"/>
    <x v="3"/>
    <x v="25"/>
    <x v="1"/>
    <x v="0"/>
    <n v="6.17"/>
    <n v="29299.73"/>
    <n v="78301.179999999993"/>
    <x v="2"/>
  </r>
  <r>
    <x v="5"/>
    <x v="1"/>
    <x v="7"/>
    <x v="3"/>
    <x v="26"/>
    <x v="1"/>
    <x v="0"/>
    <n v="5.38"/>
    <n v="25548.22"/>
    <n v="68809.649999999994"/>
    <x v="2"/>
  </r>
  <r>
    <x v="5"/>
    <x v="1"/>
    <x v="7"/>
    <x v="3"/>
    <x v="27"/>
    <x v="1"/>
    <x v="0"/>
    <n v="9.7799999999999994"/>
    <n v="46442.68"/>
    <n v="122718.84"/>
    <x v="2"/>
  </r>
  <r>
    <x v="5"/>
    <x v="1"/>
    <x v="7"/>
    <x v="0"/>
    <x v="0"/>
    <x v="1"/>
    <x v="1"/>
    <n v="3.97"/>
    <n v="18852.5"/>
    <n v="48104.79"/>
    <x v="2"/>
  </r>
  <r>
    <x v="5"/>
    <x v="1"/>
    <x v="7"/>
    <x v="0"/>
    <x v="1"/>
    <x v="1"/>
    <x v="1"/>
    <n v="21.59"/>
    <n v="102525.3"/>
    <n v="257329.04"/>
    <x v="2"/>
  </r>
  <r>
    <x v="5"/>
    <x v="1"/>
    <x v="7"/>
    <x v="0"/>
    <x v="2"/>
    <x v="1"/>
    <x v="1"/>
    <n v="8.52"/>
    <n v="40459.26"/>
    <n v="98036.4"/>
    <x v="2"/>
  </r>
  <r>
    <x v="5"/>
    <x v="1"/>
    <x v="7"/>
    <x v="0"/>
    <x v="3"/>
    <x v="1"/>
    <x v="1"/>
    <n v="21.73"/>
    <n v="103190.12"/>
    <n v="260150.3"/>
    <x v="2"/>
  </r>
  <r>
    <x v="5"/>
    <x v="1"/>
    <x v="7"/>
    <x v="0"/>
    <x v="28"/>
    <x v="1"/>
    <x v="1"/>
    <n v="2.72"/>
    <n v="12916.57"/>
    <n v="33030.04"/>
    <x v="2"/>
  </r>
  <r>
    <x v="5"/>
    <x v="1"/>
    <x v="7"/>
    <x v="0"/>
    <x v="4"/>
    <x v="1"/>
    <x v="1"/>
    <n v="3.58"/>
    <n v="17000.490000000002"/>
    <n v="42458.58"/>
    <x v="2"/>
  </r>
  <r>
    <x v="5"/>
    <x v="1"/>
    <x v="7"/>
    <x v="0"/>
    <x v="5"/>
    <x v="1"/>
    <x v="1"/>
    <n v="13.8"/>
    <n v="65532.61"/>
    <n v="168618.58"/>
    <x v="2"/>
  </r>
  <r>
    <x v="5"/>
    <x v="1"/>
    <x v="7"/>
    <x v="0"/>
    <x v="6"/>
    <x v="1"/>
    <x v="1"/>
    <n v="1.74"/>
    <n v="8262.81"/>
    <n v="21198.47"/>
    <x v="2"/>
  </r>
  <r>
    <x v="5"/>
    <x v="1"/>
    <x v="7"/>
    <x v="0"/>
    <x v="7"/>
    <x v="1"/>
    <x v="1"/>
    <n v="5.03"/>
    <n v="23886.16"/>
    <n v="62279.82"/>
    <x v="2"/>
  </r>
  <r>
    <x v="5"/>
    <x v="1"/>
    <x v="7"/>
    <x v="0"/>
    <x v="8"/>
    <x v="1"/>
    <x v="1"/>
    <n v="2.98"/>
    <n v="14151.25"/>
    <n v="35152.33"/>
    <x v="2"/>
  </r>
  <r>
    <x v="5"/>
    <x v="1"/>
    <x v="7"/>
    <x v="1"/>
    <x v="30"/>
    <x v="1"/>
    <x v="1"/>
    <n v="0"/>
    <n v="0"/>
    <n v="0"/>
    <x v="2"/>
  </r>
  <r>
    <x v="5"/>
    <x v="1"/>
    <x v="7"/>
    <x v="1"/>
    <x v="9"/>
    <x v="1"/>
    <x v="1"/>
    <n v="8.81"/>
    <n v="41836.400000000001"/>
    <n v="112396.71"/>
    <x v="2"/>
  </r>
  <r>
    <x v="5"/>
    <x v="1"/>
    <x v="7"/>
    <x v="1"/>
    <x v="31"/>
    <x v="1"/>
    <x v="1"/>
    <n v="0"/>
    <n v="0"/>
    <n v="0"/>
    <x v="2"/>
  </r>
  <r>
    <x v="5"/>
    <x v="1"/>
    <x v="7"/>
    <x v="1"/>
    <x v="10"/>
    <x v="1"/>
    <x v="1"/>
    <n v="28.46"/>
    <n v="135149.14000000001"/>
    <n v="359837.75"/>
    <x v="2"/>
  </r>
  <r>
    <x v="5"/>
    <x v="1"/>
    <x v="7"/>
    <x v="1"/>
    <x v="11"/>
    <x v="1"/>
    <x v="1"/>
    <n v="26.37"/>
    <n v="125224.27"/>
    <n v="317657.09000000003"/>
    <x v="2"/>
  </r>
  <r>
    <x v="5"/>
    <x v="1"/>
    <x v="7"/>
    <x v="1"/>
    <x v="12"/>
    <x v="1"/>
    <x v="1"/>
    <n v="2.63"/>
    <n v="12489.19"/>
    <n v="33298.339999999997"/>
    <x v="2"/>
  </r>
  <r>
    <x v="5"/>
    <x v="1"/>
    <x v="7"/>
    <x v="1"/>
    <x v="13"/>
    <x v="1"/>
    <x v="1"/>
    <n v="10.07"/>
    <n v="47819.81"/>
    <n v="127064.45"/>
    <x v="2"/>
  </r>
  <r>
    <x v="5"/>
    <x v="1"/>
    <x v="7"/>
    <x v="1"/>
    <x v="14"/>
    <x v="1"/>
    <x v="1"/>
    <n v="7.86"/>
    <n v="37325.1"/>
    <n v="97302.43"/>
    <x v="2"/>
  </r>
  <r>
    <x v="5"/>
    <x v="1"/>
    <x v="7"/>
    <x v="1"/>
    <x v="15"/>
    <x v="1"/>
    <x v="1"/>
    <n v="2.19"/>
    <n v="10399.74"/>
    <n v="28063.43"/>
    <x v="2"/>
  </r>
  <r>
    <x v="5"/>
    <x v="1"/>
    <x v="7"/>
    <x v="1"/>
    <x v="16"/>
    <x v="1"/>
    <x v="1"/>
    <n v="5.77"/>
    <n v="27400.23"/>
    <n v="70352.12"/>
    <x v="2"/>
  </r>
  <r>
    <x v="5"/>
    <x v="1"/>
    <x v="7"/>
    <x v="1"/>
    <x v="17"/>
    <x v="1"/>
    <x v="1"/>
    <n v="6.11"/>
    <n v="29014.799999999999"/>
    <n v="75237.61"/>
    <x v="2"/>
  </r>
  <r>
    <x v="5"/>
    <x v="1"/>
    <x v="7"/>
    <x v="1"/>
    <x v="18"/>
    <x v="1"/>
    <x v="1"/>
    <n v="28.26"/>
    <n v="134199.39000000001"/>
    <n v="363999.94"/>
    <x v="2"/>
  </r>
  <r>
    <x v="5"/>
    <x v="1"/>
    <x v="7"/>
    <x v="1"/>
    <x v="19"/>
    <x v="1"/>
    <x v="1"/>
    <n v="13.43"/>
    <n v="63775.58"/>
    <n v="167736.34"/>
    <x v="2"/>
  </r>
  <r>
    <x v="5"/>
    <x v="1"/>
    <x v="7"/>
    <x v="1"/>
    <x v="20"/>
    <x v="1"/>
    <x v="1"/>
    <n v="8.2200000000000006"/>
    <n v="39034.639999999999"/>
    <n v="101005.25"/>
    <x v="2"/>
  </r>
  <r>
    <x v="5"/>
    <x v="1"/>
    <x v="7"/>
    <x v="2"/>
    <x v="21"/>
    <x v="1"/>
    <x v="1"/>
    <n v="0.74"/>
    <n v="3514.07"/>
    <n v="8328.43"/>
    <x v="2"/>
  </r>
  <r>
    <x v="5"/>
    <x v="1"/>
    <x v="7"/>
    <x v="2"/>
    <x v="22"/>
    <x v="1"/>
    <x v="1"/>
    <n v="16.07"/>
    <n v="76312.25"/>
    <n v="181387.5"/>
    <x v="2"/>
  </r>
  <r>
    <x v="5"/>
    <x v="1"/>
    <x v="7"/>
    <x v="2"/>
    <x v="29"/>
    <x v="1"/>
    <x v="1"/>
    <n v="3.51"/>
    <n v="16668.080000000002"/>
    <n v="42055.27"/>
    <x v="2"/>
  </r>
  <r>
    <x v="5"/>
    <x v="1"/>
    <x v="7"/>
    <x v="2"/>
    <x v="23"/>
    <x v="1"/>
    <x v="1"/>
    <n v="2.95"/>
    <n v="14008.78"/>
    <n v="34663.94"/>
    <x v="2"/>
  </r>
  <r>
    <x v="5"/>
    <x v="1"/>
    <x v="7"/>
    <x v="2"/>
    <x v="24"/>
    <x v="1"/>
    <x v="1"/>
    <n v="3.86"/>
    <n v="18330.14"/>
    <n v="44408.12"/>
    <x v="2"/>
  </r>
  <r>
    <x v="5"/>
    <x v="1"/>
    <x v="7"/>
    <x v="3"/>
    <x v="25"/>
    <x v="1"/>
    <x v="1"/>
    <n v="5.56"/>
    <n v="26402.99"/>
    <n v="70567.73"/>
    <x v="2"/>
  </r>
  <r>
    <x v="5"/>
    <x v="1"/>
    <x v="7"/>
    <x v="3"/>
    <x v="26"/>
    <x v="1"/>
    <x v="1"/>
    <n v="16.75"/>
    <n v="79541.399999999994"/>
    <n v="214197.79"/>
    <x v="2"/>
  </r>
  <r>
    <x v="5"/>
    <x v="1"/>
    <x v="7"/>
    <x v="3"/>
    <x v="27"/>
    <x v="1"/>
    <x v="1"/>
    <n v="28.04"/>
    <n v="133154.67000000001"/>
    <n v="351866.41"/>
    <x v="2"/>
  </r>
  <r>
    <x v="5"/>
    <x v="1"/>
    <x v="8"/>
    <x v="0"/>
    <x v="0"/>
    <x v="0"/>
    <x v="0"/>
    <n v="2.37"/>
    <n v="7977.8"/>
    <n v="28657.93"/>
    <x v="2"/>
  </r>
  <r>
    <x v="5"/>
    <x v="1"/>
    <x v="8"/>
    <x v="0"/>
    <x v="1"/>
    <x v="0"/>
    <x v="0"/>
    <n v="6.82"/>
    <n v="22957.21"/>
    <n v="82366.8"/>
    <x v="2"/>
  </r>
  <r>
    <x v="5"/>
    <x v="1"/>
    <x v="8"/>
    <x v="0"/>
    <x v="2"/>
    <x v="0"/>
    <x v="0"/>
    <n v="0"/>
    <n v="0"/>
    <n v="0"/>
    <x v="2"/>
  </r>
  <r>
    <x v="5"/>
    <x v="1"/>
    <x v="8"/>
    <x v="0"/>
    <x v="3"/>
    <x v="0"/>
    <x v="0"/>
    <n v="2.83"/>
    <n v="9526.23"/>
    <n v="34208.480000000003"/>
    <x v="2"/>
  </r>
  <r>
    <x v="5"/>
    <x v="1"/>
    <x v="8"/>
    <x v="0"/>
    <x v="4"/>
    <x v="0"/>
    <x v="0"/>
    <n v="0"/>
    <n v="0"/>
    <n v="0"/>
    <x v="2"/>
  </r>
  <r>
    <x v="5"/>
    <x v="1"/>
    <x v="8"/>
    <x v="0"/>
    <x v="5"/>
    <x v="0"/>
    <x v="0"/>
    <n v="0"/>
    <n v="0"/>
    <n v="0"/>
    <x v="2"/>
  </r>
  <r>
    <x v="5"/>
    <x v="1"/>
    <x v="8"/>
    <x v="0"/>
    <x v="6"/>
    <x v="0"/>
    <x v="0"/>
    <n v="0"/>
    <n v="0"/>
    <n v="0"/>
    <x v="2"/>
  </r>
  <r>
    <x v="5"/>
    <x v="1"/>
    <x v="8"/>
    <x v="0"/>
    <x v="8"/>
    <x v="0"/>
    <x v="0"/>
    <n v="0"/>
    <n v="0"/>
    <n v="0"/>
    <x v="2"/>
  </r>
  <r>
    <x v="5"/>
    <x v="1"/>
    <x v="8"/>
    <x v="1"/>
    <x v="10"/>
    <x v="0"/>
    <x v="0"/>
    <n v="1.65"/>
    <n v="5554.16"/>
    <n v="19916.73"/>
    <x v="2"/>
  </r>
  <r>
    <x v="5"/>
    <x v="1"/>
    <x v="8"/>
    <x v="1"/>
    <x v="11"/>
    <x v="0"/>
    <x v="0"/>
    <n v="0"/>
    <n v="0"/>
    <n v="0"/>
    <x v="2"/>
  </r>
  <r>
    <x v="5"/>
    <x v="1"/>
    <x v="8"/>
    <x v="1"/>
    <x v="13"/>
    <x v="0"/>
    <x v="0"/>
    <n v="0"/>
    <n v="0"/>
    <n v="0"/>
    <x v="2"/>
  </r>
  <r>
    <x v="5"/>
    <x v="1"/>
    <x v="8"/>
    <x v="1"/>
    <x v="14"/>
    <x v="0"/>
    <x v="0"/>
    <n v="0"/>
    <n v="0"/>
    <n v="0"/>
    <x v="2"/>
  </r>
  <r>
    <x v="5"/>
    <x v="1"/>
    <x v="8"/>
    <x v="1"/>
    <x v="16"/>
    <x v="0"/>
    <x v="0"/>
    <n v="0"/>
    <n v="0"/>
    <n v="0"/>
    <x v="2"/>
  </r>
  <r>
    <x v="5"/>
    <x v="1"/>
    <x v="8"/>
    <x v="1"/>
    <x v="17"/>
    <x v="0"/>
    <x v="0"/>
    <n v="0"/>
    <n v="0"/>
    <n v="0"/>
    <x v="2"/>
  </r>
  <r>
    <x v="5"/>
    <x v="1"/>
    <x v="8"/>
    <x v="1"/>
    <x v="18"/>
    <x v="0"/>
    <x v="0"/>
    <n v="0"/>
    <n v="0"/>
    <n v="0"/>
    <x v="2"/>
  </r>
  <r>
    <x v="5"/>
    <x v="1"/>
    <x v="8"/>
    <x v="1"/>
    <x v="19"/>
    <x v="0"/>
    <x v="0"/>
    <n v="0"/>
    <n v="0"/>
    <n v="0"/>
    <x v="2"/>
  </r>
  <r>
    <x v="5"/>
    <x v="1"/>
    <x v="8"/>
    <x v="1"/>
    <x v="20"/>
    <x v="0"/>
    <x v="0"/>
    <n v="3.38"/>
    <n v="11377.62"/>
    <n v="40859.230000000003"/>
    <x v="2"/>
  </r>
  <r>
    <x v="5"/>
    <x v="1"/>
    <x v="8"/>
    <x v="2"/>
    <x v="21"/>
    <x v="0"/>
    <x v="0"/>
    <n v="2.98"/>
    <n v="10031.16"/>
    <n v="36019.879999999997"/>
    <x v="2"/>
  </r>
  <r>
    <x v="5"/>
    <x v="1"/>
    <x v="8"/>
    <x v="2"/>
    <x v="22"/>
    <x v="0"/>
    <x v="0"/>
    <n v="0"/>
    <n v="0"/>
    <n v="0"/>
    <x v="2"/>
  </r>
  <r>
    <x v="5"/>
    <x v="1"/>
    <x v="8"/>
    <x v="2"/>
    <x v="29"/>
    <x v="0"/>
    <x v="0"/>
    <n v="0"/>
    <n v="0"/>
    <n v="0"/>
    <x v="2"/>
  </r>
  <r>
    <x v="5"/>
    <x v="1"/>
    <x v="8"/>
    <x v="2"/>
    <x v="24"/>
    <x v="0"/>
    <x v="0"/>
    <n v="0"/>
    <n v="0"/>
    <n v="0"/>
    <x v="2"/>
  </r>
  <r>
    <x v="5"/>
    <x v="1"/>
    <x v="8"/>
    <x v="3"/>
    <x v="25"/>
    <x v="0"/>
    <x v="0"/>
    <n v="0"/>
    <n v="0"/>
    <n v="0"/>
    <x v="2"/>
  </r>
  <r>
    <x v="5"/>
    <x v="1"/>
    <x v="8"/>
    <x v="3"/>
    <x v="26"/>
    <x v="0"/>
    <x v="0"/>
    <n v="2.76"/>
    <n v="9290.6"/>
    <n v="33383.9"/>
    <x v="2"/>
  </r>
  <r>
    <x v="5"/>
    <x v="1"/>
    <x v="8"/>
    <x v="3"/>
    <x v="27"/>
    <x v="0"/>
    <x v="0"/>
    <n v="2.84"/>
    <n v="9559.89"/>
    <n v="34267"/>
    <x v="2"/>
  </r>
  <r>
    <x v="5"/>
    <x v="1"/>
    <x v="8"/>
    <x v="0"/>
    <x v="0"/>
    <x v="0"/>
    <x v="1"/>
    <n v="2.1"/>
    <n v="7068.94"/>
    <n v="25351.24"/>
    <x v="2"/>
  </r>
  <r>
    <x v="5"/>
    <x v="1"/>
    <x v="8"/>
    <x v="0"/>
    <x v="1"/>
    <x v="0"/>
    <x v="1"/>
    <n v="7.88"/>
    <n v="26525.34"/>
    <n v="95190.38"/>
    <x v="2"/>
  </r>
  <r>
    <x v="5"/>
    <x v="1"/>
    <x v="8"/>
    <x v="0"/>
    <x v="2"/>
    <x v="0"/>
    <x v="1"/>
    <n v="4.93"/>
    <n v="16595.169999999998"/>
    <n v="59509.21"/>
    <x v="2"/>
  </r>
  <r>
    <x v="5"/>
    <x v="1"/>
    <x v="8"/>
    <x v="0"/>
    <x v="3"/>
    <x v="0"/>
    <x v="1"/>
    <n v="9.14"/>
    <n v="30766.7"/>
    <n v="110349.95"/>
    <x v="2"/>
  </r>
  <r>
    <x v="5"/>
    <x v="1"/>
    <x v="8"/>
    <x v="0"/>
    <x v="4"/>
    <x v="0"/>
    <x v="1"/>
    <n v="2.63"/>
    <n v="8853"/>
    <n v="31795.48"/>
    <x v="2"/>
  </r>
  <r>
    <x v="5"/>
    <x v="1"/>
    <x v="8"/>
    <x v="0"/>
    <x v="5"/>
    <x v="0"/>
    <x v="1"/>
    <n v="4.87"/>
    <n v="16393.2"/>
    <n v="58813.61"/>
    <x v="2"/>
  </r>
  <r>
    <x v="5"/>
    <x v="1"/>
    <x v="8"/>
    <x v="0"/>
    <x v="6"/>
    <x v="0"/>
    <x v="1"/>
    <n v="0"/>
    <n v="0"/>
    <n v="0"/>
    <x v="2"/>
  </r>
  <r>
    <x v="5"/>
    <x v="1"/>
    <x v="8"/>
    <x v="0"/>
    <x v="8"/>
    <x v="0"/>
    <x v="1"/>
    <n v="4.0199999999999996"/>
    <n v="13531.96"/>
    <n v="48492"/>
    <x v="2"/>
  </r>
  <r>
    <x v="5"/>
    <x v="1"/>
    <x v="8"/>
    <x v="1"/>
    <x v="10"/>
    <x v="0"/>
    <x v="1"/>
    <n v="5.59"/>
    <n v="18816.830000000002"/>
    <n v="67495.570000000007"/>
    <x v="2"/>
  </r>
  <r>
    <x v="5"/>
    <x v="1"/>
    <x v="8"/>
    <x v="1"/>
    <x v="11"/>
    <x v="0"/>
    <x v="1"/>
    <n v="13.69"/>
    <n v="46082.73"/>
    <n v="165334.29999999999"/>
    <x v="2"/>
  </r>
  <r>
    <x v="5"/>
    <x v="1"/>
    <x v="8"/>
    <x v="1"/>
    <x v="13"/>
    <x v="0"/>
    <x v="1"/>
    <n v="6.04"/>
    <n v="20331.61"/>
    <n v="72961.67"/>
    <x v="2"/>
  </r>
  <r>
    <x v="5"/>
    <x v="1"/>
    <x v="8"/>
    <x v="1"/>
    <x v="14"/>
    <x v="0"/>
    <x v="1"/>
    <n v="2.85"/>
    <n v="9593.56"/>
    <n v="34411.56"/>
    <x v="2"/>
  </r>
  <r>
    <x v="5"/>
    <x v="1"/>
    <x v="8"/>
    <x v="1"/>
    <x v="16"/>
    <x v="0"/>
    <x v="1"/>
    <n v="2.75"/>
    <n v="9256.94"/>
    <n v="33189.839999999997"/>
    <x v="2"/>
  </r>
  <r>
    <x v="5"/>
    <x v="1"/>
    <x v="8"/>
    <x v="1"/>
    <x v="17"/>
    <x v="0"/>
    <x v="1"/>
    <n v="2.46"/>
    <n v="8280.75"/>
    <n v="29739.95"/>
    <x v="2"/>
  </r>
  <r>
    <x v="5"/>
    <x v="1"/>
    <x v="8"/>
    <x v="1"/>
    <x v="18"/>
    <x v="0"/>
    <x v="1"/>
    <n v="16.75"/>
    <n v="56383.18"/>
    <n v="202327.4"/>
    <x v="2"/>
  </r>
  <r>
    <x v="5"/>
    <x v="1"/>
    <x v="8"/>
    <x v="1"/>
    <x v="19"/>
    <x v="0"/>
    <x v="1"/>
    <n v="4.58"/>
    <n v="15417.01"/>
    <n v="55278.94"/>
    <x v="2"/>
  </r>
  <r>
    <x v="5"/>
    <x v="1"/>
    <x v="8"/>
    <x v="1"/>
    <x v="20"/>
    <x v="0"/>
    <x v="1"/>
    <n v="14.81"/>
    <n v="49852.83"/>
    <n v="178897.16"/>
    <x v="2"/>
  </r>
  <r>
    <x v="5"/>
    <x v="1"/>
    <x v="8"/>
    <x v="2"/>
    <x v="21"/>
    <x v="0"/>
    <x v="1"/>
    <n v="0"/>
    <n v="0"/>
    <n v="0"/>
    <x v="2"/>
  </r>
  <r>
    <x v="5"/>
    <x v="1"/>
    <x v="8"/>
    <x v="2"/>
    <x v="22"/>
    <x v="0"/>
    <x v="1"/>
    <n v="5.83"/>
    <n v="19624.71"/>
    <n v="70430.98"/>
    <x v="2"/>
  </r>
  <r>
    <x v="5"/>
    <x v="1"/>
    <x v="8"/>
    <x v="2"/>
    <x v="29"/>
    <x v="0"/>
    <x v="1"/>
    <n v="2.36"/>
    <n v="7944.14"/>
    <n v="28539.79"/>
    <x v="2"/>
  </r>
  <r>
    <x v="5"/>
    <x v="1"/>
    <x v="8"/>
    <x v="2"/>
    <x v="24"/>
    <x v="0"/>
    <x v="1"/>
    <n v="4.03"/>
    <n v="13565.62"/>
    <n v="48671.83"/>
    <x v="2"/>
  </r>
  <r>
    <x v="5"/>
    <x v="1"/>
    <x v="8"/>
    <x v="3"/>
    <x v="25"/>
    <x v="0"/>
    <x v="1"/>
    <n v="3.66"/>
    <n v="12320.15"/>
    <n v="44193.98"/>
    <x v="2"/>
  </r>
  <r>
    <x v="5"/>
    <x v="1"/>
    <x v="8"/>
    <x v="3"/>
    <x v="26"/>
    <x v="0"/>
    <x v="1"/>
    <n v="2.68"/>
    <n v="9021.31"/>
    <n v="32402.02"/>
    <x v="2"/>
  </r>
  <r>
    <x v="5"/>
    <x v="1"/>
    <x v="8"/>
    <x v="3"/>
    <x v="27"/>
    <x v="0"/>
    <x v="1"/>
    <n v="10.16"/>
    <n v="34200.19"/>
    <n v="122697.98"/>
    <x v="2"/>
  </r>
  <r>
    <x v="5"/>
    <x v="1"/>
    <x v="8"/>
    <x v="0"/>
    <x v="0"/>
    <x v="1"/>
    <x v="0"/>
    <n v="5.61"/>
    <n v="18884.16"/>
    <n v="44336.54"/>
    <x v="2"/>
  </r>
  <r>
    <x v="5"/>
    <x v="1"/>
    <x v="8"/>
    <x v="0"/>
    <x v="1"/>
    <x v="1"/>
    <x v="0"/>
    <n v="20.72"/>
    <n v="69746.84"/>
    <n v="160914.99"/>
    <x v="2"/>
  </r>
  <r>
    <x v="5"/>
    <x v="1"/>
    <x v="8"/>
    <x v="0"/>
    <x v="2"/>
    <x v="1"/>
    <x v="0"/>
    <n v="7.79"/>
    <n v="26222.39"/>
    <n v="58425.85"/>
    <x v="2"/>
  </r>
  <r>
    <x v="5"/>
    <x v="1"/>
    <x v="8"/>
    <x v="0"/>
    <x v="3"/>
    <x v="1"/>
    <x v="0"/>
    <n v="15.16"/>
    <n v="51030.99"/>
    <n v="118267.66"/>
    <x v="2"/>
  </r>
  <r>
    <x v="5"/>
    <x v="1"/>
    <x v="8"/>
    <x v="0"/>
    <x v="28"/>
    <x v="1"/>
    <x v="0"/>
    <n v="0"/>
    <n v="0"/>
    <n v="0"/>
    <x v="2"/>
  </r>
  <r>
    <x v="5"/>
    <x v="1"/>
    <x v="8"/>
    <x v="0"/>
    <x v="4"/>
    <x v="1"/>
    <x v="0"/>
    <n v="10.61"/>
    <n v="35714.959999999999"/>
    <n v="82025.88"/>
    <x v="2"/>
  </r>
  <r>
    <x v="5"/>
    <x v="1"/>
    <x v="8"/>
    <x v="0"/>
    <x v="5"/>
    <x v="1"/>
    <x v="0"/>
    <n v="2.39"/>
    <n v="8045.12"/>
    <n v="19055.759999999998"/>
    <x v="2"/>
  </r>
  <r>
    <x v="5"/>
    <x v="1"/>
    <x v="8"/>
    <x v="0"/>
    <x v="6"/>
    <x v="1"/>
    <x v="0"/>
    <n v="0"/>
    <n v="0"/>
    <n v="0"/>
    <x v="2"/>
  </r>
  <r>
    <x v="5"/>
    <x v="1"/>
    <x v="8"/>
    <x v="0"/>
    <x v="7"/>
    <x v="1"/>
    <x v="0"/>
    <n v="0"/>
    <n v="0"/>
    <n v="0"/>
    <x v="2"/>
  </r>
  <r>
    <x v="5"/>
    <x v="1"/>
    <x v="8"/>
    <x v="0"/>
    <x v="8"/>
    <x v="1"/>
    <x v="0"/>
    <n v="0"/>
    <n v="0"/>
    <n v="0"/>
    <x v="2"/>
  </r>
  <r>
    <x v="5"/>
    <x v="1"/>
    <x v="8"/>
    <x v="1"/>
    <x v="30"/>
    <x v="1"/>
    <x v="0"/>
    <n v="3.8"/>
    <n v="12791.41"/>
    <n v="31618.46"/>
    <x v="2"/>
  </r>
  <r>
    <x v="5"/>
    <x v="1"/>
    <x v="8"/>
    <x v="1"/>
    <x v="9"/>
    <x v="1"/>
    <x v="0"/>
    <n v="0"/>
    <n v="0"/>
    <n v="0"/>
    <x v="2"/>
  </r>
  <r>
    <x v="5"/>
    <x v="1"/>
    <x v="8"/>
    <x v="1"/>
    <x v="31"/>
    <x v="1"/>
    <x v="0"/>
    <n v="3.82"/>
    <n v="12858.73"/>
    <n v="32050.61"/>
    <x v="2"/>
  </r>
  <r>
    <x v="5"/>
    <x v="1"/>
    <x v="8"/>
    <x v="1"/>
    <x v="10"/>
    <x v="1"/>
    <x v="0"/>
    <n v="18.82"/>
    <n v="63351.13"/>
    <n v="155043.39000000001"/>
    <x v="2"/>
  </r>
  <r>
    <x v="5"/>
    <x v="1"/>
    <x v="8"/>
    <x v="1"/>
    <x v="11"/>
    <x v="1"/>
    <x v="0"/>
    <n v="7.74"/>
    <n v="26054.080000000002"/>
    <n v="60768.94"/>
    <x v="2"/>
  </r>
  <r>
    <x v="5"/>
    <x v="1"/>
    <x v="8"/>
    <x v="1"/>
    <x v="12"/>
    <x v="1"/>
    <x v="0"/>
    <n v="2.2000000000000002"/>
    <n v="7405.55"/>
    <n v="18132.23"/>
    <x v="2"/>
  </r>
  <r>
    <x v="5"/>
    <x v="1"/>
    <x v="8"/>
    <x v="1"/>
    <x v="13"/>
    <x v="1"/>
    <x v="0"/>
    <n v="3.95"/>
    <n v="13296.33"/>
    <n v="32503.67"/>
    <x v="2"/>
  </r>
  <r>
    <x v="5"/>
    <x v="1"/>
    <x v="8"/>
    <x v="1"/>
    <x v="14"/>
    <x v="1"/>
    <x v="0"/>
    <n v="13.97"/>
    <n v="47025.26"/>
    <n v="112665.60000000001"/>
    <x v="2"/>
  </r>
  <r>
    <x v="5"/>
    <x v="1"/>
    <x v="8"/>
    <x v="1"/>
    <x v="15"/>
    <x v="1"/>
    <x v="0"/>
    <n v="2.5"/>
    <n v="8415.4"/>
    <n v="20883.939999999999"/>
    <x v="2"/>
  </r>
  <r>
    <x v="5"/>
    <x v="1"/>
    <x v="8"/>
    <x v="1"/>
    <x v="16"/>
    <x v="1"/>
    <x v="0"/>
    <n v="8.85"/>
    <n v="29790.52"/>
    <n v="70305.509999999995"/>
    <x v="2"/>
  </r>
  <r>
    <x v="5"/>
    <x v="1"/>
    <x v="8"/>
    <x v="1"/>
    <x v="17"/>
    <x v="1"/>
    <x v="0"/>
    <n v="8.3699999999999992"/>
    <n v="28174.76"/>
    <n v="67091.56"/>
    <x v="2"/>
  </r>
  <r>
    <x v="5"/>
    <x v="1"/>
    <x v="8"/>
    <x v="1"/>
    <x v="18"/>
    <x v="1"/>
    <x v="0"/>
    <n v="5.04"/>
    <n v="16965.45"/>
    <n v="42334.42"/>
    <x v="2"/>
  </r>
  <r>
    <x v="5"/>
    <x v="1"/>
    <x v="8"/>
    <x v="1"/>
    <x v="19"/>
    <x v="1"/>
    <x v="0"/>
    <n v="9.9600000000000009"/>
    <n v="33526.949999999997"/>
    <n v="81067.63"/>
    <x v="2"/>
  </r>
  <r>
    <x v="5"/>
    <x v="1"/>
    <x v="8"/>
    <x v="1"/>
    <x v="20"/>
    <x v="1"/>
    <x v="0"/>
    <n v="14.18"/>
    <n v="47732.15"/>
    <n v="113566.2"/>
    <x v="2"/>
  </r>
  <r>
    <x v="5"/>
    <x v="1"/>
    <x v="8"/>
    <x v="2"/>
    <x v="21"/>
    <x v="1"/>
    <x v="0"/>
    <n v="0"/>
    <n v="0"/>
    <n v="0"/>
    <x v="2"/>
  </r>
  <r>
    <x v="5"/>
    <x v="1"/>
    <x v="8"/>
    <x v="2"/>
    <x v="22"/>
    <x v="1"/>
    <x v="0"/>
    <n v="8.5500000000000007"/>
    <n v="28780.67"/>
    <n v="62882.96"/>
    <x v="2"/>
  </r>
  <r>
    <x v="5"/>
    <x v="1"/>
    <x v="8"/>
    <x v="2"/>
    <x v="29"/>
    <x v="1"/>
    <x v="0"/>
    <n v="0"/>
    <n v="0"/>
    <n v="0"/>
    <x v="2"/>
  </r>
  <r>
    <x v="5"/>
    <x v="1"/>
    <x v="8"/>
    <x v="2"/>
    <x v="23"/>
    <x v="1"/>
    <x v="0"/>
    <n v="0"/>
    <n v="0"/>
    <n v="0"/>
    <x v="2"/>
  </r>
  <r>
    <x v="5"/>
    <x v="1"/>
    <x v="8"/>
    <x v="2"/>
    <x v="24"/>
    <x v="1"/>
    <x v="0"/>
    <n v="2.2000000000000002"/>
    <n v="7405.55"/>
    <n v="16466.060000000001"/>
    <x v="2"/>
  </r>
  <r>
    <x v="5"/>
    <x v="1"/>
    <x v="8"/>
    <x v="3"/>
    <x v="25"/>
    <x v="1"/>
    <x v="0"/>
    <n v="9.77"/>
    <n v="32887.379999999997"/>
    <n v="80828.320000000007"/>
    <x v="2"/>
  </r>
  <r>
    <x v="5"/>
    <x v="1"/>
    <x v="8"/>
    <x v="3"/>
    <x v="26"/>
    <x v="1"/>
    <x v="0"/>
    <n v="11.71"/>
    <n v="39417.730000000003"/>
    <n v="97566.080000000002"/>
    <x v="2"/>
  </r>
  <r>
    <x v="5"/>
    <x v="1"/>
    <x v="8"/>
    <x v="3"/>
    <x v="27"/>
    <x v="1"/>
    <x v="0"/>
    <n v="13.91"/>
    <n v="46823.29"/>
    <n v="113703.22"/>
    <x v="2"/>
  </r>
  <r>
    <x v="5"/>
    <x v="1"/>
    <x v="8"/>
    <x v="0"/>
    <x v="0"/>
    <x v="1"/>
    <x v="1"/>
    <n v="9.33"/>
    <n v="31406.27"/>
    <n v="73666.87"/>
    <x v="2"/>
  </r>
  <r>
    <x v="5"/>
    <x v="1"/>
    <x v="8"/>
    <x v="0"/>
    <x v="1"/>
    <x v="1"/>
    <x v="1"/>
    <n v="27.56"/>
    <n v="92771.37"/>
    <n v="214032.56"/>
    <x v="2"/>
  </r>
  <r>
    <x v="5"/>
    <x v="1"/>
    <x v="8"/>
    <x v="0"/>
    <x v="2"/>
    <x v="1"/>
    <x v="1"/>
    <n v="15.41"/>
    <n v="51872.53"/>
    <n v="115553.35"/>
    <x v="2"/>
  </r>
  <r>
    <x v="5"/>
    <x v="1"/>
    <x v="8"/>
    <x v="0"/>
    <x v="3"/>
    <x v="1"/>
    <x v="1"/>
    <n v="36.18"/>
    <n v="121787.67"/>
    <n v="282229.65000000002"/>
    <x v="2"/>
  </r>
  <r>
    <x v="5"/>
    <x v="1"/>
    <x v="8"/>
    <x v="0"/>
    <x v="28"/>
    <x v="1"/>
    <x v="1"/>
    <n v="1.84"/>
    <n v="6193.73"/>
    <n v="14562.1"/>
    <x v="2"/>
  </r>
  <r>
    <x v="5"/>
    <x v="1"/>
    <x v="8"/>
    <x v="0"/>
    <x v="4"/>
    <x v="1"/>
    <x v="1"/>
    <n v="10.61"/>
    <n v="35714.959999999999"/>
    <n v="82025.88"/>
    <x v="2"/>
  </r>
  <r>
    <x v="5"/>
    <x v="1"/>
    <x v="8"/>
    <x v="0"/>
    <x v="5"/>
    <x v="1"/>
    <x v="1"/>
    <n v="26.01"/>
    <n v="87553.82"/>
    <n v="206984.94"/>
    <x v="2"/>
  </r>
  <r>
    <x v="5"/>
    <x v="1"/>
    <x v="8"/>
    <x v="0"/>
    <x v="6"/>
    <x v="1"/>
    <x v="1"/>
    <n v="2.94"/>
    <n v="9896.51"/>
    <n v="23339.05"/>
    <x v="2"/>
  </r>
  <r>
    <x v="5"/>
    <x v="1"/>
    <x v="8"/>
    <x v="0"/>
    <x v="7"/>
    <x v="1"/>
    <x v="1"/>
    <n v="3.85"/>
    <n v="12959.72"/>
    <n v="31086.06"/>
    <x v="2"/>
  </r>
  <r>
    <x v="5"/>
    <x v="1"/>
    <x v="8"/>
    <x v="0"/>
    <x v="8"/>
    <x v="1"/>
    <x v="1"/>
    <n v="5.59"/>
    <n v="18816.830000000002"/>
    <n v="43037.18"/>
    <x v="2"/>
  </r>
  <r>
    <x v="5"/>
    <x v="1"/>
    <x v="8"/>
    <x v="1"/>
    <x v="30"/>
    <x v="1"/>
    <x v="1"/>
    <n v="0"/>
    <n v="0"/>
    <n v="0"/>
    <x v="2"/>
  </r>
  <r>
    <x v="5"/>
    <x v="1"/>
    <x v="8"/>
    <x v="1"/>
    <x v="9"/>
    <x v="1"/>
    <x v="1"/>
    <n v="7.32"/>
    <n v="24640.29"/>
    <n v="60839.19"/>
    <x v="2"/>
  </r>
  <r>
    <x v="5"/>
    <x v="1"/>
    <x v="8"/>
    <x v="1"/>
    <x v="31"/>
    <x v="1"/>
    <x v="1"/>
    <n v="0"/>
    <n v="0"/>
    <n v="0"/>
    <x v="2"/>
  </r>
  <r>
    <x v="5"/>
    <x v="1"/>
    <x v="8"/>
    <x v="1"/>
    <x v="10"/>
    <x v="1"/>
    <x v="1"/>
    <n v="41.89"/>
    <n v="141008.44"/>
    <n v="345014.13"/>
    <x v="2"/>
  </r>
  <r>
    <x v="5"/>
    <x v="1"/>
    <x v="8"/>
    <x v="1"/>
    <x v="11"/>
    <x v="1"/>
    <x v="1"/>
    <n v="32.770000000000003"/>
    <n v="110309.06"/>
    <n v="257255.16"/>
    <x v="2"/>
  </r>
  <r>
    <x v="5"/>
    <x v="1"/>
    <x v="8"/>
    <x v="1"/>
    <x v="12"/>
    <x v="1"/>
    <x v="1"/>
    <n v="3.95"/>
    <n v="13296.33"/>
    <n v="32638.01"/>
    <x v="2"/>
  </r>
  <r>
    <x v="5"/>
    <x v="1"/>
    <x v="8"/>
    <x v="1"/>
    <x v="13"/>
    <x v="1"/>
    <x v="1"/>
    <n v="17.79"/>
    <n v="59883.99"/>
    <n v="146266.51999999999"/>
    <x v="2"/>
  </r>
  <r>
    <x v="5"/>
    <x v="1"/>
    <x v="8"/>
    <x v="1"/>
    <x v="14"/>
    <x v="1"/>
    <x v="1"/>
    <n v="7.82"/>
    <n v="26323.37"/>
    <n v="63068.24"/>
    <x v="2"/>
  </r>
  <r>
    <x v="5"/>
    <x v="1"/>
    <x v="8"/>
    <x v="1"/>
    <x v="15"/>
    <x v="1"/>
    <x v="1"/>
    <n v="2.41"/>
    <n v="8112.45"/>
    <n v="20138.080000000002"/>
    <x v="2"/>
  </r>
  <r>
    <x v="5"/>
    <x v="1"/>
    <x v="8"/>
    <x v="1"/>
    <x v="16"/>
    <x v="1"/>
    <x v="1"/>
    <n v="10.58"/>
    <n v="35613.97"/>
    <n v="84090.91"/>
    <x v="2"/>
  </r>
  <r>
    <x v="5"/>
    <x v="1"/>
    <x v="8"/>
    <x v="1"/>
    <x v="17"/>
    <x v="1"/>
    <x v="1"/>
    <n v="7.42"/>
    <n v="24976.91"/>
    <n v="59483.23"/>
    <x v="2"/>
  </r>
  <r>
    <x v="5"/>
    <x v="1"/>
    <x v="8"/>
    <x v="1"/>
    <x v="18"/>
    <x v="1"/>
    <x v="1"/>
    <n v="19.489999999999998"/>
    <n v="65606.460000000006"/>
    <n v="163544.54999999999"/>
    <x v="2"/>
  </r>
  <r>
    <x v="5"/>
    <x v="1"/>
    <x v="8"/>
    <x v="1"/>
    <x v="19"/>
    <x v="1"/>
    <x v="1"/>
    <n v="15.85"/>
    <n v="53353.64"/>
    <n v="129003.26"/>
    <x v="2"/>
  </r>
  <r>
    <x v="5"/>
    <x v="1"/>
    <x v="8"/>
    <x v="1"/>
    <x v="20"/>
    <x v="1"/>
    <x v="1"/>
    <n v="26.4"/>
    <n v="88866.62"/>
    <n v="211397.33"/>
    <x v="2"/>
  </r>
  <r>
    <x v="5"/>
    <x v="1"/>
    <x v="8"/>
    <x v="2"/>
    <x v="21"/>
    <x v="1"/>
    <x v="1"/>
    <n v="3.34"/>
    <n v="11242.97"/>
    <n v="24585.040000000001"/>
    <x v="2"/>
  </r>
  <r>
    <x v="5"/>
    <x v="1"/>
    <x v="8"/>
    <x v="2"/>
    <x v="22"/>
    <x v="1"/>
    <x v="1"/>
    <n v="17.18"/>
    <n v="57830.63"/>
    <n v="126332.44"/>
    <x v="2"/>
  </r>
  <r>
    <x v="5"/>
    <x v="1"/>
    <x v="8"/>
    <x v="2"/>
    <x v="29"/>
    <x v="1"/>
    <x v="1"/>
    <n v="3.25"/>
    <n v="10940.02"/>
    <n v="25365.95"/>
    <x v="2"/>
  </r>
  <r>
    <x v="5"/>
    <x v="1"/>
    <x v="8"/>
    <x v="2"/>
    <x v="23"/>
    <x v="1"/>
    <x v="1"/>
    <n v="2.0299999999999998"/>
    <n v="6833.3"/>
    <n v="15534.74"/>
    <x v="2"/>
  </r>
  <r>
    <x v="5"/>
    <x v="1"/>
    <x v="8"/>
    <x v="2"/>
    <x v="24"/>
    <x v="1"/>
    <x v="1"/>
    <n v="3.55"/>
    <n v="11949.87"/>
    <n v="26599.02"/>
    <x v="2"/>
  </r>
  <r>
    <x v="5"/>
    <x v="1"/>
    <x v="8"/>
    <x v="3"/>
    <x v="25"/>
    <x v="1"/>
    <x v="1"/>
    <n v="9.94"/>
    <n v="33459.629999999997"/>
    <n v="82258.91"/>
    <x v="2"/>
  </r>
  <r>
    <x v="5"/>
    <x v="1"/>
    <x v="8"/>
    <x v="3"/>
    <x v="26"/>
    <x v="1"/>
    <x v="1"/>
    <n v="30.22"/>
    <n v="101725.36"/>
    <n v="251813.4"/>
    <x v="2"/>
  </r>
  <r>
    <x v="5"/>
    <x v="1"/>
    <x v="8"/>
    <x v="3"/>
    <x v="27"/>
    <x v="1"/>
    <x v="1"/>
    <n v="44.23"/>
    <n v="148885.26"/>
    <n v="361590.36"/>
    <x v="2"/>
  </r>
  <r>
    <x v="5"/>
    <x v="1"/>
    <x v="9"/>
    <x v="0"/>
    <x v="0"/>
    <x v="0"/>
    <x v="0"/>
    <n v="1.28"/>
    <n v="3455.76"/>
    <n v="12050.53"/>
    <x v="2"/>
  </r>
  <r>
    <x v="5"/>
    <x v="1"/>
    <x v="9"/>
    <x v="0"/>
    <x v="1"/>
    <x v="0"/>
    <x v="0"/>
    <n v="3.87"/>
    <n v="10448.26"/>
    <n v="36268.160000000003"/>
    <x v="2"/>
  </r>
  <r>
    <x v="5"/>
    <x v="1"/>
    <x v="9"/>
    <x v="0"/>
    <x v="2"/>
    <x v="0"/>
    <x v="0"/>
    <n v="0"/>
    <n v="0"/>
    <n v="0"/>
    <x v="2"/>
  </r>
  <r>
    <x v="5"/>
    <x v="1"/>
    <x v="9"/>
    <x v="0"/>
    <x v="3"/>
    <x v="0"/>
    <x v="0"/>
    <n v="2.96"/>
    <n v="7991.44"/>
    <n v="27729.25"/>
    <x v="2"/>
  </r>
  <r>
    <x v="5"/>
    <x v="1"/>
    <x v="9"/>
    <x v="0"/>
    <x v="4"/>
    <x v="0"/>
    <x v="0"/>
    <n v="0"/>
    <n v="0"/>
    <n v="0"/>
    <x v="2"/>
  </r>
  <r>
    <x v="5"/>
    <x v="1"/>
    <x v="9"/>
    <x v="0"/>
    <x v="5"/>
    <x v="0"/>
    <x v="0"/>
    <n v="0"/>
    <n v="0"/>
    <n v="0"/>
    <x v="2"/>
  </r>
  <r>
    <x v="5"/>
    <x v="1"/>
    <x v="9"/>
    <x v="0"/>
    <x v="6"/>
    <x v="0"/>
    <x v="0"/>
    <n v="0"/>
    <n v="0"/>
    <n v="0"/>
    <x v="2"/>
  </r>
  <r>
    <x v="5"/>
    <x v="1"/>
    <x v="9"/>
    <x v="0"/>
    <x v="8"/>
    <x v="0"/>
    <x v="0"/>
    <n v="0"/>
    <n v="0"/>
    <n v="0"/>
    <x v="2"/>
  </r>
  <r>
    <x v="5"/>
    <x v="1"/>
    <x v="9"/>
    <x v="1"/>
    <x v="10"/>
    <x v="0"/>
    <x v="0"/>
    <n v="1.64"/>
    <n v="4427.6899999999996"/>
    <n v="15406.29"/>
    <x v="2"/>
  </r>
  <r>
    <x v="5"/>
    <x v="1"/>
    <x v="9"/>
    <x v="1"/>
    <x v="11"/>
    <x v="0"/>
    <x v="0"/>
    <n v="0"/>
    <n v="0"/>
    <n v="0"/>
    <x v="2"/>
  </r>
  <r>
    <x v="5"/>
    <x v="1"/>
    <x v="9"/>
    <x v="1"/>
    <x v="13"/>
    <x v="0"/>
    <x v="0"/>
    <n v="0"/>
    <n v="0"/>
    <n v="0"/>
    <x v="2"/>
  </r>
  <r>
    <x v="5"/>
    <x v="1"/>
    <x v="9"/>
    <x v="1"/>
    <x v="14"/>
    <x v="0"/>
    <x v="0"/>
    <n v="0"/>
    <n v="0"/>
    <n v="0"/>
    <x v="2"/>
  </r>
  <r>
    <x v="5"/>
    <x v="1"/>
    <x v="9"/>
    <x v="1"/>
    <x v="16"/>
    <x v="0"/>
    <x v="0"/>
    <n v="0"/>
    <n v="0"/>
    <n v="0"/>
    <x v="2"/>
  </r>
  <r>
    <x v="5"/>
    <x v="1"/>
    <x v="9"/>
    <x v="1"/>
    <x v="17"/>
    <x v="0"/>
    <x v="0"/>
    <n v="0"/>
    <n v="0"/>
    <n v="0"/>
    <x v="2"/>
  </r>
  <r>
    <x v="5"/>
    <x v="1"/>
    <x v="9"/>
    <x v="1"/>
    <x v="18"/>
    <x v="0"/>
    <x v="0"/>
    <n v="0"/>
    <n v="0"/>
    <n v="0"/>
    <x v="2"/>
  </r>
  <r>
    <x v="5"/>
    <x v="1"/>
    <x v="9"/>
    <x v="1"/>
    <x v="19"/>
    <x v="0"/>
    <x v="0"/>
    <n v="0"/>
    <n v="0"/>
    <n v="0"/>
    <x v="2"/>
  </r>
  <r>
    <x v="5"/>
    <x v="1"/>
    <x v="9"/>
    <x v="1"/>
    <x v="20"/>
    <x v="0"/>
    <x v="0"/>
    <n v="1.83"/>
    <n v="4940.6499999999996"/>
    <n v="17135.88"/>
    <x v="2"/>
  </r>
  <r>
    <x v="5"/>
    <x v="1"/>
    <x v="9"/>
    <x v="2"/>
    <x v="21"/>
    <x v="0"/>
    <x v="0"/>
    <n v="2.44"/>
    <n v="6587.54"/>
    <n v="22880.67"/>
    <x v="2"/>
  </r>
  <r>
    <x v="5"/>
    <x v="1"/>
    <x v="9"/>
    <x v="2"/>
    <x v="22"/>
    <x v="0"/>
    <x v="0"/>
    <n v="0"/>
    <n v="0"/>
    <n v="0"/>
    <x v="2"/>
  </r>
  <r>
    <x v="5"/>
    <x v="1"/>
    <x v="9"/>
    <x v="2"/>
    <x v="29"/>
    <x v="0"/>
    <x v="0"/>
    <n v="0"/>
    <n v="0"/>
    <n v="0"/>
    <x v="2"/>
  </r>
  <r>
    <x v="5"/>
    <x v="1"/>
    <x v="9"/>
    <x v="2"/>
    <x v="24"/>
    <x v="0"/>
    <x v="0"/>
    <n v="0"/>
    <n v="0"/>
    <n v="0"/>
    <x v="2"/>
  </r>
  <r>
    <x v="5"/>
    <x v="1"/>
    <x v="9"/>
    <x v="3"/>
    <x v="25"/>
    <x v="0"/>
    <x v="0"/>
    <n v="0"/>
    <n v="0"/>
    <n v="0"/>
    <x v="2"/>
  </r>
  <r>
    <x v="5"/>
    <x v="1"/>
    <x v="9"/>
    <x v="3"/>
    <x v="26"/>
    <x v="0"/>
    <x v="0"/>
    <n v="1.37"/>
    <n v="3698.74"/>
    <n v="12850.28"/>
    <x v="2"/>
  </r>
  <r>
    <x v="5"/>
    <x v="1"/>
    <x v="9"/>
    <x v="3"/>
    <x v="27"/>
    <x v="0"/>
    <x v="0"/>
    <n v="2.93"/>
    <n v="7910.44"/>
    <n v="27474.43"/>
    <x v="2"/>
  </r>
  <r>
    <x v="5"/>
    <x v="1"/>
    <x v="9"/>
    <x v="0"/>
    <x v="0"/>
    <x v="0"/>
    <x v="1"/>
    <n v="1.74"/>
    <n v="4697.67"/>
    <n v="16354.29"/>
    <x v="2"/>
  </r>
  <r>
    <x v="5"/>
    <x v="1"/>
    <x v="9"/>
    <x v="0"/>
    <x v="1"/>
    <x v="0"/>
    <x v="1"/>
    <n v="8.0299999999999994"/>
    <n v="21679.47"/>
    <n v="75326.19"/>
    <x v="2"/>
  </r>
  <r>
    <x v="5"/>
    <x v="1"/>
    <x v="9"/>
    <x v="0"/>
    <x v="2"/>
    <x v="0"/>
    <x v="1"/>
    <n v="3.49"/>
    <n v="9422.34"/>
    <n v="32733.52"/>
    <x v="2"/>
  </r>
  <r>
    <x v="5"/>
    <x v="1"/>
    <x v="9"/>
    <x v="0"/>
    <x v="3"/>
    <x v="0"/>
    <x v="1"/>
    <n v="9.5399999999999991"/>
    <n v="25756.19"/>
    <n v="89489.85"/>
    <x v="2"/>
  </r>
  <r>
    <x v="5"/>
    <x v="1"/>
    <x v="9"/>
    <x v="0"/>
    <x v="4"/>
    <x v="0"/>
    <x v="1"/>
    <n v="1.63"/>
    <n v="4400.6899999999996"/>
    <n v="15327.26"/>
    <x v="2"/>
  </r>
  <r>
    <x v="5"/>
    <x v="1"/>
    <x v="9"/>
    <x v="0"/>
    <x v="5"/>
    <x v="0"/>
    <x v="1"/>
    <n v="3.62"/>
    <n v="9773.31"/>
    <n v="33950.300000000003"/>
    <x v="2"/>
  </r>
  <r>
    <x v="5"/>
    <x v="1"/>
    <x v="9"/>
    <x v="0"/>
    <x v="6"/>
    <x v="0"/>
    <x v="1"/>
    <n v="2.0099999999999998"/>
    <n v="5426.62"/>
    <n v="18812.560000000001"/>
    <x v="2"/>
  </r>
  <r>
    <x v="5"/>
    <x v="1"/>
    <x v="9"/>
    <x v="0"/>
    <x v="8"/>
    <x v="0"/>
    <x v="1"/>
    <n v="3.46"/>
    <n v="9341.34"/>
    <n v="32495.03"/>
    <x v="2"/>
  </r>
  <r>
    <x v="5"/>
    <x v="1"/>
    <x v="9"/>
    <x v="1"/>
    <x v="10"/>
    <x v="0"/>
    <x v="1"/>
    <n v="4.93"/>
    <n v="13310.06"/>
    <n v="46218.86"/>
    <x v="2"/>
  </r>
  <r>
    <x v="5"/>
    <x v="1"/>
    <x v="9"/>
    <x v="1"/>
    <x v="11"/>
    <x v="0"/>
    <x v="1"/>
    <n v="10.44"/>
    <n v="28186.02"/>
    <n v="97903.24"/>
    <x v="2"/>
  </r>
  <r>
    <x v="5"/>
    <x v="1"/>
    <x v="9"/>
    <x v="1"/>
    <x v="13"/>
    <x v="0"/>
    <x v="1"/>
    <n v="1.28"/>
    <n v="3455.76"/>
    <n v="12004.42"/>
    <x v="2"/>
  </r>
  <r>
    <x v="5"/>
    <x v="1"/>
    <x v="9"/>
    <x v="1"/>
    <x v="14"/>
    <x v="0"/>
    <x v="1"/>
    <n v="1.92"/>
    <n v="5183.6400000000003"/>
    <n v="17967.61"/>
    <x v="2"/>
  </r>
  <r>
    <x v="5"/>
    <x v="1"/>
    <x v="9"/>
    <x v="1"/>
    <x v="16"/>
    <x v="0"/>
    <x v="1"/>
    <n v="1.58"/>
    <n v="4265.7"/>
    <n v="14821.34"/>
    <x v="2"/>
  </r>
  <r>
    <x v="5"/>
    <x v="1"/>
    <x v="9"/>
    <x v="1"/>
    <x v="17"/>
    <x v="0"/>
    <x v="1"/>
    <n v="2.21"/>
    <n v="5966.58"/>
    <n v="20726.080000000002"/>
    <x v="2"/>
  </r>
  <r>
    <x v="5"/>
    <x v="1"/>
    <x v="9"/>
    <x v="1"/>
    <x v="18"/>
    <x v="0"/>
    <x v="1"/>
    <n v="11.11"/>
    <n v="29994.89"/>
    <n v="104210.04"/>
    <x v="2"/>
  </r>
  <r>
    <x v="5"/>
    <x v="1"/>
    <x v="9"/>
    <x v="1"/>
    <x v="19"/>
    <x v="0"/>
    <x v="1"/>
    <n v="3.76"/>
    <n v="10151.290000000001"/>
    <n v="35260.97"/>
    <x v="2"/>
  </r>
  <r>
    <x v="5"/>
    <x v="1"/>
    <x v="9"/>
    <x v="1"/>
    <x v="20"/>
    <x v="0"/>
    <x v="1"/>
    <n v="10.32"/>
    <n v="27862.04"/>
    <n v="96817.7"/>
    <x v="2"/>
  </r>
  <r>
    <x v="5"/>
    <x v="1"/>
    <x v="9"/>
    <x v="2"/>
    <x v="21"/>
    <x v="0"/>
    <x v="1"/>
    <n v="0"/>
    <n v="0"/>
    <n v="0"/>
    <x v="2"/>
  </r>
  <r>
    <x v="5"/>
    <x v="1"/>
    <x v="9"/>
    <x v="2"/>
    <x v="22"/>
    <x v="0"/>
    <x v="1"/>
    <n v="3.41"/>
    <n v="9206.35"/>
    <n v="31959.99"/>
    <x v="2"/>
  </r>
  <r>
    <x v="5"/>
    <x v="1"/>
    <x v="9"/>
    <x v="2"/>
    <x v="29"/>
    <x v="0"/>
    <x v="1"/>
    <n v="2.37"/>
    <n v="6398.55"/>
    <n v="22264.69"/>
    <x v="2"/>
  </r>
  <r>
    <x v="5"/>
    <x v="1"/>
    <x v="9"/>
    <x v="2"/>
    <x v="24"/>
    <x v="0"/>
    <x v="1"/>
    <n v="2.1"/>
    <n v="5669.6"/>
    <n v="19686.43"/>
    <x v="2"/>
  </r>
  <r>
    <x v="5"/>
    <x v="1"/>
    <x v="9"/>
    <x v="3"/>
    <x v="25"/>
    <x v="0"/>
    <x v="1"/>
    <n v="2.0299999999999998"/>
    <n v="5480.61"/>
    <n v="19020.060000000001"/>
    <x v="2"/>
  </r>
  <r>
    <x v="5"/>
    <x v="1"/>
    <x v="9"/>
    <x v="3"/>
    <x v="26"/>
    <x v="0"/>
    <x v="1"/>
    <n v="1.1000000000000001"/>
    <n v="2969.79"/>
    <n v="10280.219999999999"/>
    <x v="2"/>
  </r>
  <r>
    <x v="5"/>
    <x v="1"/>
    <x v="9"/>
    <x v="3"/>
    <x v="27"/>
    <x v="0"/>
    <x v="1"/>
    <n v="8.06"/>
    <n v="21760.47"/>
    <n v="75554.69"/>
    <x v="2"/>
  </r>
  <r>
    <x v="5"/>
    <x v="1"/>
    <x v="9"/>
    <x v="0"/>
    <x v="0"/>
    <x v="1"/>
    <x v="0"/>
    <n v="4.25"/>
    <n v="11474.19"/>
    <n v="26056.6"/>
    <x v="2"/>
  </r>
  <r>
    <x v="5"/>
    <x v="1"/>
    <x v="9"/>
    <x v="0"/>
    <x v="1"/>
    <x v="1"/>
    <x v="0"/>
    <n v="10.19"/>
    <n v="27511.06"/>
    <n v="61446.13"/>
    <x v="2"/>
  </r>
  <r>
    <x v="5"/>
    <x v="1"/>
    <x v="9"/>
    <x v="0"/>
    <x v="2"/>
    <x v="1"/>
    <x v="0"/>
    <n v="6.9"/>
    <n v="18628.689999999999"/>
    <n v="40167.730000000003"/>
    <x v="2"/>
  </r>
  <r>
    <x v="5"/>
    <x v="1"/>
    <x v="9"/>
    <x v="0"/>
    <x v="3"/>
    <x v="1"/>
    <x v="0"/>
    <n v="12.53"/>
    <n v="33828.620000000003"/>
    <n v="75930.03"/>
    <x v="2"/>
  </r>
  <r>
    <x v="5"/>
    <x v="1"/>
    <x v="9"/>
    <x v="0"/>
    <x v="28"/>
    <x v="1"/>
    <x v="0"/>
    <n v="0"/>
    <n v="0"/>
    <n v="0"/>
    <x v="2"/>
  </r>
  <r>
    <x v="5"/>
    <x v="1"/>
    <x v="9"/>
    <x v="0"/>
    <x v="4"/>
    <x v="1"/>
    <x v="0"/>
    <n v="8.57"/>
    <n v="23137.37"/>
    <n v="51421.88"/>
    <x v="2"/>
  </r>
  <r>
    <x v="5"/>
    <x v="1"/>
    <x v="9"/>
    <x v="0"/>
    <x v="5"/>
    <x v="1"/>
    <x v="0"/>
    <n v="2.68"/>
    <n v="7235.49"/>
    <n v="16585.41"/>
    <x v="2"/>
  </r>
  <r>
    <x v="5"/>
    <x v="1"/>
    <x v="9"/>
    <x v="0"/>
    <x v="6"/>
    <x v="1"/>
    <x v="0"/>
    <n v="0"/>
    <n v="0"/>
    <n v="0"/>
    <x v="2"/>
  </r>
  <r>
    <x v="5"/>
    <x v="1"/>
    <x v="9"/>
    <x v="0"/>
    <x v="7"/>
    <x v="1"/>
    <x v="0"/>
    <n v="0"/>
    <n v="0"/>
    <n v="0"/>
    <x v="2"/>
  </r>
  <r>
    <x v="5"/>
    <x v="1"/>
    <x v="9"/>
    <x v="0"/>
    <x v="8"/>
    <x v="1"/>
    <x v="0"/>
    <n v="0"/>
    <n v="0"/>
    <n v="0"/>
    <x v="2"/>
  </r>
  <r>
    <x v="5"/>
    <x v="1"/>
    <x v="9"/>
    <x v="1"/>
    <x v="30"/>
    <x v="1"/>
    <x v="0"/>
    <n v="1.46"/>
    <n v="3941.72"/>
    <n v="9455.9"/>
    <x v="2"/>
  </r>
  <r>
    <x v="5"/>
    <x v="1"/>
    <x v="9"/>
    <x v="1"/>
    <x v="9"/>
    <x v="1"/>
    <x v="0"/>
    <n v="0"/>
    <n v="0"/>
    <n v="0"/>
    <x v="2"/>
  </r>
  <r>
    <x v="5"/>
    <x v="1"/>
    <x v="9"/>
    <x v="1"/>
    <x v="31"/>
    <x v="1"/>
    <x v="0"/>
    <n v="1.77"/>
    <n v="4778.66"/>
    <n v="11526.37"/>
    <x v="2"/>
  </r>
  <r>
    <x v="5"/>
    <x v="1"/>
    <x v="9"/>
    <x v="1"/>
    <x v="10"/>
    <x v="1"/>
    <x v="0"/>
    <n v="6.16"/>
    <n v="16630.830000000002"/>
    <n v="39399.19"/>
    <x v="2"/>
  </r>
  <r>
    <x v="5"/>
    <x v="1"/>
    <x v="9"/>
    <x v="1"/>
    <x v="11"/>
    <x v="1"/>
    <x v="0"/>
    <n v="7.66"/>
    <n v="20680.54"/>
    <n v="46686.9"/>
    <x v="2"/>
  </r>
  <r>
    <x v="5"/>
    <x v="1"/>
    <x v="9"/>
    <x v="1"/>
    <x v="12"/>
    <x v="1"/>
    <x v="0"/>
    <n v="2.0099999999999998"/>
    <n v="5426.62"/>
    <n v="12901.58"/>
    <x v="2"/>
  </r>
  <r>
    <x v="5"/>
    <x v="1"/>
    <x v="9"/>
    <x v="1"/>
    <x v="13"/>
    <x v="1"/>
    <x v="0"/>
    <n v="2.84"/>
    <n v="7667.46"/>
    <n v="18170.11"/>
    <x v="2"/>
  </r>
  <r>
    <x v="5"/>
    <x v="1"/>
    <x v="9"/>
    <x v="1"/>
    <x v="14"/>
    <x v="1"/>
    <x v="0"/>
    <n v="12.67"/>
    <n v="34206.589999999997"/>
    <n v="79391.75"/>
    <x v="2"/>
  </r>
  <r>
    <x v="5"/>
    <x v="1"/>
    <x v="9"/>
    <x v="1"/>
    <x v="15"/>
    <x v="1"/>
    <x v="0"/>
    <n v="1.95"/>
    <n v="5264.63"/>
    <n v="12617.23"/>
    <x v="2"/>
  </r>
  <r>
    <x v="5"/>
    <x v="1"/>
    <x v="9"/>
    <x v="1"/>
    <x v="16"/>
    <x v="1"/>
    <x v="0"/>
    <n v="6.32"/>
    <n v="17062.8"/>
    <n v="39032.81"/>
    <x v="2"/>
  </r>
  <r>
    <x v="5"/>
    <x v="1"/>
    <x v="9"/>
    <x v="1"/>
    <x v="17"/>
    <x v="1"/>
    <x v="0"/>
    <n v="6.33"/>
    <n v="17089.8"/>
    <n v="39416.03"/>
    <x v="2"/>
  </r>
  <r>
    <x v="5"/>
    <x v="1"/>
    <x v="9"/>
    <x v="1"/>
    <x v="18"/>
    <x v="1"/>
    <x v="0"/>
    <n v="7.82"/>
    <n v="21112.51"/>
    <n v="50954.81"/>
    <x v="2"/>
  </r>
  <r>
    <x v="5"/>
    <x v="1"/>
    <x v="9"/>
    <x v="1"/>
    <x v="19"/>
    <x v="1"/>
    <x v="0"/>
    <n v="13.06"/>
    <n v="35259.519999999997"/>
    <n v="82566.22"/>
    <x v="2"/>
  </r>
  <r>
    <x v="5"/>
    <x v="1"/>
    <x v="9"/>
    <x v="1"/>
    <x v="20"/>
    <x v="1"/>
    <x v="0"/>
    <n v="10.45"/>
    <n v="28213.01"/>
    <n v="65002.59"/>
    <x v="2"/>
  </r>
  <r>
    <x v="5"/>
    <x v="1"/>
    <x v="9"/>
    <x v="2"/>
    <x v="21"/>
    <x v="1"/>
    <x v="0"/>
    <n v="0"/>
    <n v="0"/>
    <n v="0"/>
    <x v="2"/>
  </r>
  <r>
    <x v="5"/>
    <x v="1"/>
    <x v="9"/>
    <x v="2"/>
    <x v="22"/>
    <x v="1"/>
    <x v="0"/>
    <n v="8.0299999999999994"/>
    <n v="21679.47"/>
    <n v="45891.79"/>
    <x v="2"/>
  </r>
  <r>
    <x v="5"/>
    <x v="1"/>
    <x v="9"/>
    <x v="2"/>
    <x v="29"/>
    <x v="1"/>
    <x v="0"/>
    <n v="0"/>
    <n v="0"/>
    <n v="0"/>
    <x v="2"/>
  </r>
  <r>
    <x v="5"/>
    <x v="1"/>
    <x v="9"/>
    <x v="2"/>
    <x v="23"/>
    <x v="1"/>
    <x v="0"/>
    <n v="0"/>
    <n v="0"/>
    <n v="0"/>
    <x v="2"/>
  </r>
  <r>
    <x v="5"/>
    <x v="1"/>
    <x v="9"/>
    <x v="2"/>
    <x v="24"/>
    <x v="1"/>
    <x v="0"/>
    <n v="1.2"/>
    <n v="3239.77"/>
    <n v="6968.1"/>
    <x v="2"/>
  </r>
  <r>
    <x v="5"/>
    <x v="1"/>
    <x v="9"/>
    <x v="3"/>
    <x v="25"/>
    <x v="1"/>
    <x v="0"/>
    <n v="5.04"/>
    <n v="13607.04"/>
    <n v="32403.63"/>
    <x v="2"/>
  </r>
  <r>
    <x v="5"/>
    <x v="1"/>
    <x v="9"/>
    <x v="3"/>
    <x v="26"/>
    <x v="1"/>
    <x v="0"/>
    <n v="5.21"/>
    <n v="14066.01"/>
    <n v="33722.25"/>
    <x v="2"/>
  </r>
  <r>
    <x v="5"/>
    <x v="1"/>
    <x v="9"/>
    <x v="3"/>
    <x v="27"/>
    <x v="1"/>
    <x v="0"/>
    <n v="7.62"/>
    <n v="20572.55"/>
    <n v="48377.94"/>
    <x v="2"/>
  </r>
  <r>
    <x v="5"/>
    <x v="1"/>
    <x v="9"/>
    <x v="0"/>
    <x v="0"/>
    <x v="1"/>
    <x v="1"/>
    <n v="11.1"/>
    <n v="29967.89"/>
    <n v="68066.23"/>
    <x v="2"/>
  </r>
  <r>
    <x v="5"/>
    <x v="1"/>
    <x v="9"/>
    <x v="0"/>
    <x v="1"/>
    <x v="1"/>
    <x v="1"/>
    <n v="17.97"/>
    <n v="48515.59"/>
    <n v="108361.08"/>
    <x v="2"/>
  </r>
  <r>
    <x v="5"/>
    <x v="1"/>
    <x v="9"/>
    <x v="0"/>
    <x v="2"/>
    <x v="1"/>
    <x v="1"/>
    <n v="12.93"/>
    <n v="34908.54"/>
    <n v="75314.5"/>
    <x v="2"/>
  </r>
  <r>
    <x v="5"/>
    <x v="1"/>
    <x v="9"/>
    <x v="0"/>
    <x v="3"/>
    <x v="1"/>
    <x v="1"/>
    <n v="25.49"/>
    <n v="68818.16"/>
    <n v="154478.34"/>
    <x v="2"/>
  </r>
  <r>
    <x v="5"/>
    <x v="1"/>
    <x v="9"/>
    <x v="0"/>
    <x v="28"/>
    <x v="1"/>
    <x v="1"/>
    <n v="1.1100000000000001"/>
    <n v="2996.79"/>
    <n v="6826.82"/>
    <x v="2"/>
  </r>
  <r>
    <x v="5"/>
    <x v="1"/>
    <x v="9"/>
    <x v="0"/>
    <x v="4"/>
    <x v="1"/>
    <x v="1"/>
    <n v="8.1300000000000008"/>
    <n v="21949.46"/>
    <n v="48824.82"/>
    <x v="2"/>
  </r>
  <r>
    <x v="5"/>
    <x v="1"/>
    <x v="9"/>
    <x v="0"/>
    <x v="5"/>
    <x v="1"/>
    <x v="1"/>
    <n v="20.86"/>
    <n v="56318.04"/>
    <n v="128938.15"/>
    <x v="2"/>
  </r>
  <r>
    <x v="5"/>
    <x v="1"/>
    <x v="9"/>
    <x v="0"/>
    <x v="6"/>
    <x v="1"/>
    <x v="1"/>
    <n v="2.27"/>
    <n v="6128.57"/>
    <n v="14014.61"/>
    <x v="2"/>
  </r>
  <r>
    <x v="5"/>
    <x v="1"/>
    <x v="9"/>
    <x v="0"/>
    <x v="7"/>
    <x v="1"/>
    <x v="1"/>
    <n v="4.28"/>
    <n v="11555.19"/>
    <n v="26806.14"/>
    <x v="2"/>
  </r>
  <r>
    <x v="5"/>
    <x v="1"/>
    <x v="9"/>
    <x v="0"/>
    <x v="8"/>
    <x v="1"/>
    <x v="1"/>
    <n v="2.72"/>
    <n v="7343.48"/>
    <n v="16261.1"/>
    <x v="2"/>
  </r>
  <r>
    <x v="5"/>
    <x v="1"/>
    <x v="9"/>
    <x v="1"/>
    <x v="30"/>
    <x v="1"/>
    <x v="1"/>
    <n v="0"/>
    <n v="0"/>
    <n v="0"/>
    <x v="2"/>
  </r>
  <r>
    <x v="5"/>
    <x v="1"/>
    <x v="9"/>
    <x v="1"/>
    <x v="9"/>
    <x v="1"/>
    <x v="1"/>
    <n v="3.92"/>
    <n v="10583.26"/>
    <n v="25267.98"/>
    <x v="2"/>
  </r>
  <r>
    <x v="5"/>
    <x v="1"/>
    <x v="9"/>
    <x v="1"/>
    <x v="31"/>
    <x v="1"/>
    <x v="1"/>
    <n v="0"/>
    <n v="0"/>
    <n v="0"/>
    <x v="2"/>
  </r>
  <r>
    <x v="5"/>
    <x v="1"/>
    <x v="9"/>
    <x v="1"/>
    <x v="10"/>
    <x v="1"/>
    <x v="1"/>
    <n v="35.700000000000003"/>
    <n v="96383.22"/>
    <n v="228381.75"/>
    <x v="2"/>
  </r>
  <r>
    <x v="5"/>
    <x v="1"/>
    <x v="9"/>
    <x v="1"/>
    <x v="11"/>
    <x v="1"/>
    <x v="1"/>
    <n v="30.54"/>
    <n v="82452.2"/>
    <n v="186223.02"/>
    <x v="2"/>
  </r>
  <r>
    <x v="5"/>
    <x v="1"/>
    <x v="9"/>
    <x v="1"/>
    <x v="12"/>
    <x v="1"/>
    <x v="1"/>
    <n v="3.06"/>
    <n v="8261.42"/>
    <n v="19632.84"/>
    <x v="2"/>
  </r>
  <r>
    <x v="5"/>
    <x v="1"/>
    <x v="9"/>
    <x v="1"/>
    <x v="13"/>
    <x v="1"/>
    <x v="1"/>
    <n v="11.12"/>
    <n v="30021.89"/>
    <n v="71028.62"/>
    <x v="2"/>
  </r>
  <r>
    <x v="5"/>
    <x v="1"/>
    <x v="9"/>
    <x v="1"/>
    <x v="14"/>
    <x v="1"/>
    <x v="1"/>
    <n v="5.47"/>
    <n v="14767.96"/>
    <n v="34258.089999999997"/>
    <x v="2"/>
  </r>
  <r>
    <x v="5"/>
    <x v="1"/>
    <x v="9"/>
    <x v="1"/>
    <x v="15"/>
    <x v="1"/>
    <x v="1"/>
    <n v="2.39"/>
    <n v="6452.55"/>
    <n v="15484.78"/>
    <x v="2"/>
  </r>
  <r>
    <x v="5"/>
    <x v="1"/>
    <x v="9"/>
    <x v="1"/>
    <x v="16"/>
    <x v="1"/>
    <x v="1"/>
    <n v="9.44"/>
    <n v="25486.21"/>
    <n v="58281.87"/>
    <x v="2"/>
  </r>
  <r>
    <x v="5"/>
    <x v="1"/>
    <x v="9"/>
    <x v="1"/>
    <x v="17"/>
    <x v="1"/>
    <x v="1"/>
    <n v="4.16"/>
    <n v="11231.21"/>
    <n v="25917.39"/>
    <x v="2"/>
  </r>
  <r>
    <x v="5"/>
    <x v="1"/>
    <x v="9"/>
    <x v="1"/>
    <x v="18"/>
    <x v="1"/>
    <x v="1"/>
    <n v="26.71"/>
    <n v="72111.929999999993"/>
    <n v="174142.25"/>
    <x v="2"/>
  </r>
  <r>
    <x v="5"/>
    <x v="1"/>
    <x v="9"/>
    <x v="1"/>
    <x v="19"/>
    <x v="1"/>
    <x v="1"/>
    <n v="18.28"/>
    <n v="49352.53"/>
    <n v="115592.71"/>
    <x v="2"/>
  </r>
  <r>
    <x v="5"/>
    <x v="1"/>
    <x v="9"/>
    <x v="1"/>
    <x v="20"/>
    <x v="1"/>
    <x v="1"/>
    <n v="17.29"/>
    <n v="46679.71"/>
    <n v="107504.29"/>
    <x v="2"/>
  </r>
  <r>
    <x v="5"/>
    <x v="1"/>
    <x v="9"/>
    <x v="2"/>
    <x v="21"/>
    <x v="1"/>
    <x v="1"/>
    <n v="1.8"/>
    <n v="4859.66"/>
    <n v="10274.799999999999"/>
    <x v="2"/>
  </r>
  <r>
    <x v="5"/>
    <x v="1"/>
    <x v="9"/>
    <x v="2"/>
    <x v="22"/>
    <x v="1"/>
    <x v="1"/>
    <n v="10.82"/>
    <n v="29211.94"/>
    <n v="61833.15"/>
    <x v="2"/>
  </r>
  <r>
    <x v="5"/>
    <x v="1"/>
    <x v="9"/>
    <x v="2"/>
    <x v="29"/>
    <x v="1"/>
    <x v="1"/>
    <n v="3.03"/>
    <n v="8180.42"/>
    <n v="18397.53"/>
    <x v="2"/>
  </r>
  <r>
    <x v="5"/>
    <x v="1"/>
    <x v="9"/>
    <x v="2"/>
    <x v="23"/>
    <x v="1"/>
    <x v="1"/>
    <n v="2.41"/>
    <n v="6506.54"/>
    <n v="14325.59"/>
    <x v="2"/>
  </r>
  <r>
    <x v="5"/>
    <x v="1"/>
    <x v="9"/>
    <x v="2"/>
    <x v="24"/>
    <x v="1"/>
    <x v="1"/>
    <n v="2.23"/>
    <n v="6020.58"/>
    <n v="12940.76"/>
    <x v="2"/>
  </r>
  <r>
    <x v="5"/>
    <x v="1"/>
    <x v="9"/>
    <x v="3"/>
    <x v="25"/>
    <x v="1"/>
    <x v="1"/>
    <n v="8.52"/>
    <n v="23002.38"/>
    <n v="54750.96"/>
    <x v="2"/>
  </r>
  <r>
    <x v="5"/>
    <x v="1"/>
    <x v="9"/>
    <x v="3"/>
    <x v="26"/>
    <x v="1"/>
    <x v="1"/>
    <n v="16.670000000000002"/>
    <n v="45005.83"/>
    <n v="107911.21"/>
    <x v="2"/>
  </r>
  <r>
    <x v="5"/>
    <x v="1"/>
    <x v="9"/>
    <x v="3"/>
    <x v="27"/>
    <x v="1"/>
    <x v="1"/>
    <n v="26.3"/>
    <n v="71005"/>
    <n v="166996.94"/>
    <x v="2"/>
  </r>
  <r>
    <x v="6"/>
    <x v="1"/>
    <x v="0"/>
    <x v="0"/>
    <x v="0"/>
    <x v="0"/>
    <x v="0"/>
    <n v="3.72"/>
    <n v="24686.14"/>
    <n v="108223.61"/>
    <x v="2"/>
  </r>
  <r>
    <x v="6"/>
    <x v="1"/>
    <x v="0"/>
    <x v="0"/>
    <x v="1"/>
    <x v="0"/>
    <x v="0"/>
    <n v="7.32"/>
    <n v="48575.96"/>
    <n v="213014.61"/>
    <x v="2"/>
  </r>
  <r>
    <x v="6"/>
    <x v="1"/>
    <x v="0"/>
    <x v="0"/>
    <x v="2"/>
    <x v="0"/>
    <x v="0"/>
    <n v="0"/>
    <n v="0"/>
    <n v="0"/>
    <x v="2"/>
  </r>
  <r>
    <x v="6"/>
    <x v="1"/>
    <x v="0"/>
    <x v="0"/>
    <x v="3"/>
    <x v="0"/>
    <x v="0"/>
    <n v="2.2200000000000002"/>
    <n v="14732.05"/>
    <n v="64543.81"/>
    <x v="2"/>
  </r>
  <r>
    <x v="6"/>
    <x v="1"/>
    <x v="0"/>
    <x v="0"/>
    <x v="4"/>
    <x v="0"/>
    <x v="0"/>
    <n v="0"/>
    <n v="0"/>
    <n v="0"/>
    <x v="2"/>
  </r>
  <r>
    <x v="6"/>
    <x v="1"/>
    <x v="0"/>
    <x v="0"/>
    <x v="5"/>
    <x v="0"/>
    <x v="0"/>
    <n v="0"/>
    <n v="0"/>
    <n v="0"/>
    <x v="2"/>
  </r>
  <r>
    <x v="6"/>
    <x v="1"/>
    <x v="0"/>
    <x v="0"/>
    <x v="6"/>
    <x v="0"/>
    <x v="0"/>
    <n v="0"/>
    <n v="0"/>
    <n v="0"/>
    <x v="2"/>
  </r>
  <r>
    <x v="6"/>
    <x v="1"/>
    <x v="0"/>
    <x v="0"/>
    <x v="8"/>
    <x v="0"/>
    <x v="0"/>
    <n v="0"/>
    <n v="0"/>
    <n v="0"/>
    <x v="2"/>
  </r>
  <r>
    <x v="6"/>
    <x v="1"/>
    <x v="0"/>
    <x v="1"/>
    <x v="10"/>
    <x v="0"/>
    <x v="0"/>
    <n v="2.31"/>
    <n v="15329.3"/>
    <n v="67290.47"/>
    <x v="2"/>
  </r>
  <r>
    <x v="6"/>
    <x v="1"/>
    <x v="0"/>
    <x v="1"/>
    <x v="11"/>
    <x v="0"/>
    <x v="0"/>
    <n v="0"/>
    <n v="0"/>
    <n v="0"/>
    <x v="2"/>
  </r>
  <r>
    <x v="6"/>
    <x v="1"/>
    <x v="0"/>
    <x v="1"/>
    <x v="13"/>
    <x v="0"/>
    <x v="0"/>
    <n v="0"/>
    <n v="0"/>
    <n v="0"/>
    <x v="2"/>
  </r>
  <r>
    <x v="6"/>
    <x v="1"/>
    <x v="0"/>
    <x v="1"/>
    <x v="14"/>
    <x v="0"/>
    <x v="0"/>
    <n v="0"/>
    <n v="0"/>
    <n v="0"/>
    <x v="2"/>
  </r>
  <r>
    <x v="6"/>
    <x v="1"/>
    <x v="0"/>
    <x v="1"/>
    <x v="16"/>
    <x v="0"/>
    <x v="0"/>
    <n v="0"/>
    <n v="0"/>
    <n v="0"/>
    <x v="2"/>
  </r>
  <r>
    <x v="6"/>
    <x v="1"/>
    <x v="0"/>
    <x v="1"/>
    <x v="17"/>
    <x v="0"/>
    <x v="0"/>
    <n v="0"/>
    <n v="0"/>
    <n v="0"/>
    <x v="2"/>
  </r>
  <r>
    <x v="6"/>
    <x v="1"/>
    <x v="0"/>
    <x v="1"/>
    <x v="18"/>
    <x v="0"/>
    <x v="0"/>
    <n v="0"/>
    <n v="0"/>
    <n v="0"/>
    <x v="2"/>
  </r>
  <r>
    <x v="6"/>
    <x v="1"/>
    <x v="0"/>
    <x v="1"/>
    <x v="19"/>
    <x v="0"/>
    <x v="0"/>
    <n v="0"/>
    <n v="0"/>
    <n v="0"/>
    <x v="2"/>
  </r>
  <r>
    <x v="6"/>
    <x v="1"/>
    <x v="0"/>
    <x v="1"/>
    <x v="20"/>
    <x v="0"/>
    <x v="0"/>
    <n v="2.94"/>
    <n v="19510.02"/>
    <n v="85731.04"/>
    <x v="2"/>
  </r>
  <r>
    <x v="6"/>
    <x v="1"/>
    <x v="0"/>
    <x v="2"/>
    <x v="21"/>
    <x v="0"/>
    <x v="0"/>
    <n v="2.42"/>
    <n v="16059.27"/>
    <n v="70587.38"/>
    <x v="2"/>
  </r>
  <r>
    <x v="6"/>
    <x v="1"/>
    <x v="0"/>
    <x v="2"/>
    <x v="22"/>
    <x v="0"/>
    <x v="0"/>
    <n v="0"/>
    <n v="0"/>
    <n v="0"/>
    <x v="2"/>
  </r>
  <r>
    <x v="6"/>
    <x v="1"/>
    <x v="0"/>
    <x v="2"/>
    <x v="29"/>
    <x v="0"/>
    <x v="0"/>
    <n v="0"/>
    <n v="0"/>
    <n v="0"/>
    <x v="2"/>
  </r>
  <r>
    <x v="6"/>
    <x v="1"/>
    <x v="0"/>
    <x v="2"/>
    <x v="24"/>
    <x v="0"/>
    <x v="0"/>
    <n v="0"/>
    <n v="0"/>
    <n v="0"/>
    <x v="2"/>
  </r>
  <r>
    <x v="6"/>
    <x v="1"/>
    <x v="0"/>
    <x v="3"/>
    <x v="25"/>
    <x v="0"/>
    <x v="0"/>
    <n v="0"/>
    <n v="0"/>
    <n v="0"/>
    <x v="2"/>
  </r>
  <r>
    <x v="6"/>
    <x v="1"/>
    <x v="0"/>
    <x v="3"/>
    <x v="26"/>
    <x v="0"/>
    <x v="0"/>
    <n v="2.68"/>
    <n v="17784.64"/>
    <n v="78058.22"/>
    <x v="2"/>
  </r>
  <r>
    <x v="6"/>
    <x v="1"/>
    <x v="0"/>
    <x v="3"/>
    <x v="27"/>
    <x v="0"/>
    <x v="0"/>
    <n v="3.33"/>
    <n v="22098.080000000002"/>
    <n v="97051.76"/>
    <x v="2"/>
  </r>
  <r>
    <x v="6"/>
    <x v="1"/>
    <x v="0"/>
    <x v="0"/>
    <x v="0"/>
    <x v="0"/>
    <x v="1"/>
    <n v="2.88"/>
    <n v="19111.849999999999"/>
    <n v="83873.3"/>
    <x v="2"/>
  </r>
  <r>
    <x v="6"/>
    <x v="1"/>
    <x v="0"/>
    <x v="0"/>
    <x v="1"/>
    <x v="0"/>
    <x v="1"/>
    <n v="7.06"/>
    <n v="46850.58"/>
    <n v="205436.37"/>
    <x v="2"/>
  </r>
  <r>
    <x v="6"/>
    <x v="1"/>
    <x v="0"/>
    <x v="0"/>
    <x v="2"/>
    <x v="0"/>
    <x v="1"/>
    <n v="3.25"/>
    <n v="21567.200000000001"/>
    <n v="94665.73"/>
    <x v="2"/>
  </r>
  <r>
    <x v="6"/>
    <x v="1"/>
    <x v="0"/>
    <x v="0"/>
    <x v="3"/>
    <x v="0"/>
    <x v="1"/>
    <n v="7.48"/>
    <n v="49637.73"/>
    <n v="217835.36"/>
    <x v="2"/>
  </r>
  <r>
    <x v="6"/>
    <x v="1"/>
    <x v="0"/>
    <x v="0"/>
    <x v="4"/>
    <x v="0"/>
    <x v="1"/>
    <n v="2.23"/>
    <n v="14798.41"/>
    <n v="65000.61"/>
    <x v="2"/>
  </r>
  <r>
    <x v="6"/>
    <x v="1"/>
    <x v="0"/>
    <x v="0"/>
    <x v="5"/>
    <x v="0"/>
    <x v="1"/>
    <n v="4.88"/>
    <n v="32383.97"/>
    <n v="142147.69"/>
    <x v="2"/>
  </r>
  <r>
    <x v="6"/>
    <x v="1"/>
    <x v="0"/>
    <x v="0"/>
    <x v="6"/>
    <x v="0"/>
    <x v="1"/>
    <n v="3.02"/>
    <n v="20040.900000000001"/>
    <n v="88047.8"/>
    <x v="2"/>
  </r>
  <r>
    <x v="6"/>
    <x v="1"/>
    <x v="0"/>
    <x v="0"/>
    <x v="8"/>
    <x v="0"/>
    <x v="1"/>
    <n v="4.87"/>
    <n v="32317.61"/>
    <n v="141895.38"/>
    <x v="2"/>
  </r>
  <r>
    <x v="6"/>
    <x v="1"/>
    <x v="0"/>
    <x v="1"/>
    <x v="10"/>
    <x v="0"/>
    <x v="1"/>
    <n v="4.8099999999999996"/>
    <n v="31919.45"/>
    <n v="139964.18"/>
    <x v="2"/>
  </r>
  <r>
    <x v="6"/>
    <x v="1"/>
    <x v="0"/>
    <x v="1"/>
    <x v="11"/>
    <x v="0"/>
    <x v="1"/>
    <n v="12.94"/>
    <n v="85870.62"/>
    <n v="376874.95"/>
    <x v="2"/>
  </r>
  <r>
    <x v="6"/>
    <x v="1"/>
    <x v="0"/>
    <x v="1"/>
    <x v="13"/>
    <x v="0"/>
    <x v="1"/>
    <n v="5.91"/>
    <n v="39219.11"/>
    <n v="172164.5"/>
    <x v="2"/>
  </r>
  <r>
    <x v="6"/>
    <x v="1"/>
    <x v="0"/>
    <x v="1"/>
    <x v="14"/>
    <x v="0"/>
    <x v="1"/>
    <n v="5.27"/>
    <n v="34972.04"/>
    <n v="153339.88"/>
    <x v="2"/>
  </r>
  <r>
    <x v="6"/>
    <x v="1"/>
    <x v="0"/>
    <x v="1"/>
    <x v="16"/>
    <x v="0"/>
    <x v="1"/>
    <n v="2.67"/>
    <n v="17718.28"/>
    <n v="77840.58"/>
    <x v="2"/>
  </r>
  <r>
    <x v="6"/>
    <x v="1"/>
    <x v="0"/>
    <x v="1"/>
    <x v="17"/>
    <x v="0"/>
    <x v="1"/>
    <n v="2.57"/>
    <n v="17054.669999999998"/>
    <n v="74726.53"/>
    <x v="2"/>
  </r>
  <r>
    <x v="6"/>
    <x v="1"/>
    <x v="0"/>
    <x v="1"/>
    <x v="18"/>
    <x v="0"/>
    <x v="1"/>
    <n v="12.29"/>
    <n v="81557.179999999993"/>
    <n v="357692.98"/>
    <x v="2"/>
  </r>
  <r>
    <x v="6"/>
    <x v="1"/>
    <x v="0"/>
    <x v="1"/>
    <x v="19"/>
    <x v="0"/>
    <x v="1"/>
    <n v="3.22"/>
    <n v="21368.11"/>
    <n v="93721.58"/>
    <x v="2"/>
  </r>
  <r>
    <x v="6"/>
    <x v="1"/>
    <x v="0"/>
    <x v="1"/>
    <x v="20"/>
    <x v="0"/>
    <x v="1"/>
    <n v="12.7"/>
    <n v="84277.96"/>
    <n v="369715.12"/>
    <x v="2"/>
  </r>
  <r>
    <x v="6"/>
    <x v="1"/>
    <x v="0"/>
    <x v="2"/>
    <x v="21"/>
    <x v="0"/>
    <x v="1"/>
    <n v="0"/>
    <n v="0"/>
    <n v="0"/>
    <x v="2"/>
  </r>
  <r>
    <x v="6"/>
    <x v="1"/>
    <x v="0"/>
    <x v="2"/>
    <x v="22"/>
    <x v="0"/>
    <x v="1"/>
    <n v="5.31"/>
    <n v="35237.480000000003"/>
    <n v="154613.01"/>
    <x v="2"/>
  </r>
  <r>
    <x v="6"/>
    <x v="1"/>
    <x v="0"/>
    <x v="2"/>
    <x v="29"/>
    <x v="0"/>
    <x v="1"/>
    <n v="3.55"/>
    <n v="23558.01"/>
    <n v="103282.15"/>
    <x v="2"/>
  </r>
  <r>
    <x v="6"/>
    <x v="1"/>
    <x v="0"/>
    <x v="2"/>
    <x v="24"/>
    <x v="0"/>
    <x v="1"/>
    <n v="2.65"/>
    <n v="17585.560000000001"/>
    <n v="77233.72"/>
    <x v="2"/>
  </r>
  <r>
    <x v="6"/>
    <x v="1"/>
    <x v="0"/>
    <x v="3"/>
    <x v="25"/>
    <x v="0"/>
    <x v="1"/>
    <n v="1.75"/>
    <n v="11613.11"/>
    <n v="50916.69"/>
    <x v="2"/>
  </r>
  <r>
    <x v="6"/>
    <x v="1"/>
    <x v="0"/>
    <x v="3"/>
    <x v="26"/>
    <x v="0"/>
    <x v="1"/>
    <n v="1.76"/>
    <n v="11679.47"/>
    <n v="51141.599999999999"/>
    <x v="2"/>
  </r>
  <r>
    <x v="6"/>
    <x v="1"/>
    <x v="0"/>
    <x v="3"/>
    <x v="27"/>
    <x v="0"/>
    <x v="1"/>
    <n v="12.22"/>
    <n v="81092.649999999994"/>
    <n v="355856.46"/>
    <x v="2"/>
  </r>
  <r>
    <x v="6"/>
    <x v="1"/>
    <x v="0"/>
    <x v="0"/>
    <x v="0"/>
    <x v="1"/>
    <x v="0"/>
    <n v="6.64"/>
    <n v="44063.44"/>
    <n v="126430.71"/>
    <x v="2"/>
  </r>
  <r>
    <x v="6"/>
    <x v="1"/>
    <x v="0"/>
    <x v="0"/>
    <x v="1"/>
    <x v="1"/>
    <x v="0"/>
    <n v="10.74"/>
    <n v="71271.28"/>
    <n v="200976.18"/>
    <x v="2"/>
  </r>
  <r>
    <x v="6"/>
    <x v="1"/>
    <x v="0"/>
    <x v="0"/>
    <x v="2"/>
    <x v="1"/>
    <x v="0"/>
    <n v="4.83"/>
    <n v="32052.17"/>
    <n v="87302.88"/>
    <x v="2"/>
  </r>
  <r>
    <x v="6"/>
    <x v="1"/>
    <x v="0"/>
    <x v="0"/>
    <x v="3"/>
    <x v="1"/>
    <x v="0"/>
    <n v="12.08"/>
    <n v="80163.600000000006"/>
    <n v="227187.7"/>
    <x v="2"/>
  </r>
  <r>
    <x v="6"/>
    <x v="1"/>
    <x v="0"/>
    <x v="0"/>
    <x v="28"/>
    <x v="1"/>
    <x v="0"/>
    <n v="0"/>
    <n v="0"/>
    <n v="0"/>
    <x v="2"/>
  </r>
  <r>
    <x v="6"/>
    <x v="1"/>
    <x v="0"/>
    <x v="0"/>
    <x v="4"/>
    <x v="1"/>
    <x v="0"/>
    <n v="6.81"/>
    <n v="45191.57"/>
    <n v="126977.42"/>
    <x v="2"/>
  </r>
  <r>
    <x v="6"/>
    <x v="1"/>
    <x v="0"/>
    <x v="0"/>
    <x v="5"/>
    <x v="1"/>
    <x v="0"/>
    <n v="1.48"/>
    <n v="9821.3700000000008"/>
    <n v="28423.91"/>
    <x v="2"/>
  </r>
  <r>
    <x v="6"/>
    <x v="1"/>
    <x v="0"/>
    <x v="0"/>
    <x v="6"/>
    <x v="1"/>
    <x v="0"/>
    <n v="0"/>
    <n v="0"/>
    <n v="0"/>
    <x v="2"/>
  </r>
  <r>
    <x v="6"/>
    <x v="1"/>
    <x v="0"/>
    <x v="0"/>
    <x v="7"/>
    <x v="1"/>
    <x v="0"/>
    <n v="0"/>
    <n v="0"/>
    <n v="0"/>
    <x v="2"/>
  </r>
  <r>
    <x v="6"/>
    <x v="1"/>
    <x v="0"/>
    <x v="0"/>
    <x v="8"/>
    <x v="1"/>
    <x v="0"/>
    <n v="0"/>
    <n v="0"/>
    <n v="0"/>
    <x v="2"/>
  </r>
  <r>
    <x v="6"/>
    <x v="1"/>
    <x v="0"/>
    <x v="1"/>
    <x v="30"/>
    <x v="1"/>
    <x v="0"/>
    <n v="3.01"/>
    <n v="19974.54"/>
    <n v="60473.58"/>
    <x v="2"/>
  </r>
  <r>
    <x v="6"/>
    <x v="1"/>
    <x v="0"/>
    <x v="1"/>
    <x v="9"/>
    <x v="1"/>
    <x v="0"/>
    <n v="0"/>
    <n v="0"/>
    <n v="0"/>
    <x v="2"/>
  </r>
  <r>
    <x v="6"/>
    <x v="1"/>
    <x v="0"/>
    <x v="1"/>
    <x v="31"/>
    <x v="1"/>
    <x v="0"/>
    <n v="3.7"/>
    <n v="24553.42"/>
    <n v="74945.679999999993"/>
    <x v="2"/>
  </r>
  <r>
    <x v="6"/>
    <x v="1"/>
    <x v="0"/>
    <x v="1"/>
    <x v="10"/>
    <x v="1"/>
    <x v="0"/>
    <n v="9.68"/>
    <n v="64237.06"/>
    <n v="192116.99"/>
    <x v="2"/>
  </r>
  <r>
    <x v="6"/>
    <x v="1"/>
    <x v="0"/>
    <x v="1"/>
    <x v="11"/>
    <x v="1"/>
    <x v="0"/>
    <n v="9.8699999999999992"/>
    <n v="65497.91"/>
    <n v="186768.66"/>
    <x v="2"/>
  </r>
  <r>
    <x v="6"/>
    <x v="1"/>
    <x v="0"/>
    <x v="1"/>
    <x v="12"/>
    <x v="1"/>
    <x v="0"/>
    <n v="2.48"/>
    <n v="16457.43"/>
    <n v="49376.18"/>
    <x v="2"/>
  </r>
  <r>
    <x v="6"/>
    <x v="1"/>
    <x v="0"/>
    <x v="1"/>
    <x v="13"/>
    <x v="1"/>
    <x v="0"/>
    <n v="2.67"/>
    <n v="17718.28"/>
    <n v="52843.29"/>
    <x v="2"/>
  </r>
  <r>
    <x v="6"/>
    <x v="1"/>
    <x v="0"/>
    <x v="1"/>
    <x v="14"/>
    <x v="1"/>
    <x v="0"/>
    <n v="13.68"/>
    <n v="90781.3"/>
    <n v="266026.83"/>
    <x v="2"/>
  </r>
  <r>
    <x v="6"/>
    <x v="1"/>
    <x v="0"/>
    <x v="1"/>
    <x v="15"/>
    <x v="1"/>
    <x v="0"/>
    <n v="3.19"/>
    <n v="21169.03"/>
    <n v="64239.93"/>
    <x v="2"/>
  </r>
  <r>
    <x v="6"/>
    <x v="1"/>
    <x v="0"/>
    <x v="1"/>
    <x v="16"/>
    <x v="1"/>
    <x v="0"/>
    <n v="4.49"/>
    <n v="29795.91"/>
    <n v="86070.44"/>
    <x v="2"/>
  </r>
  <r>
    <x v="6"/>
    <x v="1"/>
    <x v="0"/>
    <x v="1"/>
    <x v="17"/>
    <x v="1"/>
    <x v="0"/>
    <n v="8.94"/>
    <n v="59326.38"/>
    <n v="172892.96"/>
    <x v="2"/>
  </r>
  <r>
    <x v="6"/>
    <x v="1"/>
    <x v="0"/>
    <x v="1"/>
    <x v="18"/>
    <x v="1"/>
    <x v="0"/>
    <n v="8.73"/>
    <n v="57932.800000000003"/>
    <n v="176739.44"/>
    <x v="2"/>
  </r>
  <r>
    <x v="6"/>
    <x v="1"/>
    <x v="0"/>
    <x v="1"/>
    <x v="19"/>
    <x v="1"/>
    <x v="0"/>
    <n v="9.33"/>
    <n v="61914.44"/>
    <n v="183062.28"/>
    <x v="2"/>
  </r>
  <r>
    <x v="6"/>
    <x v="1"/>
    <x v="0"/>
    <x v="1"/>
    <x v="20"/>
    <x v="1"/>
    <x v="0"/>
    <n v="7.2"/>
    <n v="47779.63"/>
    <n v="138944.35"/>
    <x v="2"/>
  </r>
  <r>
    <x v="6"/>
    <x v="1"/>
    <x v="0"/>
    <x v="2"/>
    <x v="21"/>
    <x v="1"/>
    <x v="0"/>
    <n v="0"/>
    <n v="0"/>
    <n v="0"/>
    <x v="2"/>
  </r>
  <r>
    <x v="6"/>
    <x v="1"/>
    <x v="0"/>
    <x v="2"/>
    <x v="22"/>
    <x v="1"/>
    <x v="0"/>
    <n v="7.42"/>
    <n v="49239.57"/>
    <n v="131593.69"/>
    <x v="2"/>
  </r>
  <r>
    <x v="6"/>
    <x v="1"/>
    <x v="0"/>
    <x v="2"/>
    <x v="29"/>
    <x v="1"/>
    <x v="0"/>
    <n v="0"/>
    <n v="0"/>
    <n v="0"/>
    <x v="2"/>
  </r>
  <r>
    <x v="6"/>
    <x v="1"/>
    <x v="0"/>
    <x v="2"/>
    <x v="23"/>
    <x v="1"/>
    <x v="0"/>
    <n v="0"/>
    <n v="0"/>
    <n v="0"/>
    <x v="2"/>
  </r>
  <r>
    <x v="6"/>
    <x v="1"/>
    <x v="0"/>
    <x v="2"/>
    <x v="24"/>
    <x v="1"/>
    <x v="0"/>
    <n v="2.11"/>
    <n v="14002.09"/>
    <n v="38049.69"/>
    <x v="2"/>
  </r>
  <r>
    <x v="6"/>
    <x v="1"/>
    <x v="0"/>
    <x v="3"/>
    <x v="25"/>
    <x v="1"/>
    <x v="0"/>
    <n v="8.59"/>
    <n v="57003.76"/>
    <n v="171354.16"/>
    <x v="2"/>
  </r>
  <r>
    <x v="6"/>
    <x v="1"/>
    <x v="0"/>
    <x v="3"/>
    <x v="26"/>
    <x v="1"/>
    <x v="0"/>
    <n v="5.95"/>
    <n v="39484.559999999998"/>
    <n v="119530.37"/>
    <x v="2"/>
  </r>
  <r>
    <x v="6"/>
    <x v="1"/>
    <x v="0"/>
    <x v="3"/>
    <x v="27"/>
    <x v="1"/>
    <x v="0"/>
    <n v="15.12"/>
    <n v="100337.23"/>
    <n v="298097.36"/>
    <x v="2"/>
  </r>
  <r>
    <x v="6"/>
    <x v="1"/>
    <x v="0"/>
    <x v="0"/>
    <x v="0"/>
    <x v="1"/>
    <x v="1"/>
    <n v="11.21"/>
    <n v="74390.23"/>
    <n v="213454.45"/>
    <x v="2"/>
  </r>
  <r>
    <x v="6"/>
    <x v="1"/>
    <x v="0"/>
    <x v="0"/>
    <x v="1"/>
    <x v="1"/>
    <x v="1"/>
    <n v="20.11"/>
    <n v="133451.17000000001"/>
    <n v="376495.39"/>
    <x v="2"/>
  </r>
  <r>
    <x v="6"/>
    <x v="1"/>
    <x v="0"/>
    <x v="0"/>
    <x v="2"/>
    <x v="1"/>
    <x v="1"/>
    <n v="14.57"/>
    <n v="96687.39"/>
    <n v="263467.62"/>
    <x v="2"/>
  </r>
  <r>
    <x v="6"/>
    <x v="1"/>
    <x v="0"/>
    <x v="0"/>
    <x v="3"/>
    <x v="1"/>
    <x v="1"/>
    <n v="34.729999999999997"/>
    <n v="230470.36"/>
    <n v="653164.64"/>
    <x v="2"/>
  </r>
  <r>
    <x v="6"/>
    <x v="1"/>
    <x v="0"/>
    <x v="0"/>
    <x v="28"/>
    <x v="1"/>
    <x v="1"/>
    <n v="2.37"/>
    <n v="15727.46"/>
    <n v="45111.01"/>
    <x v="2"/>
  </r>
  <r>
    <x v="6"/>
    <x v="1"/>
    <x v="0"/>
    <x v="0"/>
    <x v="4"/>
    <x v="1"/>
    <x v="1"/>
    <n v="9.52"/>
    <n v="63175.29"/>
    <n v="177442.8"/>
    <x v="2"/>
  </r>
  <r>
    <x v="6"/>
    <x v="1"/>
    <x v="0"/>
    <x v="0"/>
    <x v="5"/>
    <x v="1"/>
    <x v="1"/>
    <n v="26.32"/>
    <n v="174661.1"/>
    <n v="504942.32"/>
    <x v="2"/>
  </r>
  <r>
    <x v="6"/>
    <x v="1"/>
    <x v="0"/>
    <x v="0"/>
    <x v="6"/>
    <x v="1"/>
    <x v="1"/>
    <n v="2.93"/>
    <n v="19443.66"/>
    <n v="56139.16"/>
    <x v="2"/>
  </r>
  <r>
    <x v="6"/>
    <x v="1"/>
    <x v="0"/>
    <x v="0"/>
    <x v="7"/>
    <x v="1"/>
    <x v="1"/>
    <n v="0"/>
    <n v="0"/>
    <n v="0"/>
    <x v="2"/>
  </r>
  <r>
    <x v="6"/>
    <x v="1"/>
    <x v="0"/>
    <x v="0"/>
    <x v="8"/>
    <x v="1"/>
    <x v="1"/>
    <n v="4.3099999999999996"/>
    <n v="28601.42"/>
    <n v="79846.41"/>
    <x v="2"/>
  </r>
  <r>
    <x v="6"/>
    <x v="1"/>
    <x v="0"/>
    <x v="1"/>
    <x v="30"/>
    <x v="1"/>
    <x v="1"/>
    <n v="0"/>
    <n v="0"/>
    <n v="0"/>
    <x v="2"/>
  </r>
  <r>
    <x v="6"/>
    <x v="1"/>
    <x v="0"/>
    <x v="1"/>
    <x v="9"/>
    <x v="1"/>
    <x v="1"/>
    <n v="4.8899999999999997"/>
    <n v="32450.33"/>
    <n v="97924.89"/>
    <x v="2"/>
  </r>
  <r>
    <x v="6"/>
    <x v="1"/>
    <x v="0"/>
    <x v="1"/>
    <x v="31"/>
    <x v="1"/>
    <x v="1"/>
    <n v="0"/>
    <n v="0"/>
    <n v="0"/>
    <x v="2"/>
  </r>
  <r>
    <x v="6"/>
    <x v="1"/>
    <x v="0"/>
    <x v="1"/>
    <x v="10"/>
    <x v="1"/>
    <x v="1"/>
    <n v="31.47"/>
    <n v="208836.81"/>
    <n v="624812.92000000004"/>
    <x v="2"/>
  </r>
  <r>
    <x v="6"/>
    <x v="1"/>
    <x v="0"/>
    <x v="1"/>
    <x v="11"/>
    <x v="1"/>
    <x v="1"/>
    <n v="31.69"/>
    <n v="210296.74"/>
    <n v="599625.68999999994"/>
    <x v="2"/>
  </r>
  <r>
    <x v="6"/>
    <x v="1"/>
    <x v="0"/>
    <x v="1"/>
    <x v="12"/>
    <x v="1"/>
    <x v="1"/>
    <n v="2.57"/>
    <n v="17054.669999999998"/>
    <n v="51139.61"/>
    <x v="2"/>
  </r>
  <r>
    <x v="6"/>
    <x v="1"/>
    <x v="0"/>
    <x v="1"/>
    <x v="13"/>
    <x v="1"/>
    <x v="1"/>
    <n v="12.04"/>
    <n v="79898.16"/>
    <n v="238647.13"/>
    <x v="2"/>
  </r>
  <r>
    <x v="6"/>
    <x v="1"/>
    <x v="0"/>
    <x v="1"/>
    <x v="14"/>
    <x v="1"/>
    <x v="1"/>
    <n v="8.02"/>
    <n v="53221.2"/>
    <n v="155888.34"/>
    <x v="2"/>
  </r>
  <r>
    <x v="6"/>
    <x v="1"/>
    <x v="0"/>
    <x v="1"/>
    <x v="15"/>
    <x v="1"/>
    <x v="1"/>
    <n v="1.77"/>
    <n v="11745.83"/>
    <n v="35688.85"/>
    <x v="2"/>
  </r>
  <r>
    <x v="6"/>
    <x v="1"/>
    <x v="0"/>
    <x v="1"/>
    <x v="16"/>
    <x v="1"/>
    <x v="1"/>
    <n v="9.3000000000000007"/>
    <n v="61715.360000000001"/>
    <n v="178180.92"/>
    <x v="2"/>
  </r>
  <r>
    <x v="6"/>
    <x v="1"/>
    <x v="0"/>
    <x v="1"/>
    <x v="17"/>
    <x v="1"/>
    <x v="1"/>
    <n v="5.9"/>
    <n v="39152.75"/>
    <n v="114142.93"/>
    <x v="2"/>
  </r>
  <r>
    <x v="6"/>
    <x v="1"/>
    <x v="0"/>
    <x v="1"/>
    <x v="18"/>
    <x v="1"/>
    <x v="1"/>
    <n v="24.21"/>
    <n v="160659.01"/>
    <n v="489820.73"/>
    <x v="2"/>
  </r>
  <r>
    <x v="6"/>
    <x v="1"/>
    <x v="0"/>
    <x v="1"/>
    <x v="19"/>
    <x v="1"/>
    <x v="1"/>
    <n v="9.65"/>
    <n v="64037.98"/>
    <n v="189288.89"/>
    <x v="2"/>
  </r>
  <r>
    <x v="6"/>
    <x v="1"/>
    <x v="0"/>
    <x v="1"/>
    <x v="20"/>
    <x v="1"/>
    <x v="1"/>
    <n v="26.74"/>
    <n v="177448.24"/>
    <n v="516079.01"/>
    <x v="2"/>
  </r>
  <r>
    <x v="6"/>
    <x v="1"/>
    <x v="0"/>
    <x v="2"/>
    <x v="21"/>
    <x v="1"/>
    <x v="1"/>
    <n v="1.1100000000000001"/>
    <n v="7366.03"/>
    <n v="19747.080000000002"/>
    <x v="2"/>
  </r>
  <r>
    <x v="6"/>
    <x v="1"/>
    <x v="0"/>
    <x v="2"/>
    <x v="22"/>
    <x v="1"/>
    <x v="1"/>
    <n v="17.63"/>
    <n v="116993.74"/>
    <n v="312535.01"/>
    <x v="2"/>
  </r>
  <r>
    <x v="6"/>
    <x v="1"/>
    <x v="0"/>
    <x v="2"/>
    <x v="29"/>
    <x v="1"/>
    <x v="1"/>
    <n v="2.67"/>
    <n v="17718.28"/>
    <n v="50263.17"/>
    <x v="2"/>
  </r>
  <r>
    <x v="6"/>
    <x v="1"/>
    <x v="0"/>
    <x v="2"/>
    <x v="23"/>
    <x v="1"/>
    <x v="1"/>
    <n v="3.04"/>
    <n v="20173.62"/>
    <n v="56133.14"/>
    <x v="2"/>
  </r>
  <r>
    <x v="6"/>
    <x v="1"/>
    <x v="0"/>
    <x v="2"/>
    <x v="24"/>
    <x v="1"/>
    <x v="1"/>
    <n v="1.94"/>
    <n v="12873.96"/>
    <n v="35005.72"/>
    <x v="2"/>
  </r>
  <r>
    <x v="6"/>
    <x v="1"/>
    <x v="0"/>
    <x v="3"/>
    <x v="25"/>
    <x v="1"/>
    <x v="1"/>
    <n v="11.84"/>
    <n v="78570.95"/>
    <n v="236049.1"/>
    <x v="2"/>
  </r>
  <r>
    <x v="6"/>
    <x v="1"/>
    <x v="0"/>
    <x v="3"/>
    <x v="26"/>
    <x v="1"/>
    <x v="1"/>
    <n v="25.46"/>
    <n v="168954.09"/>
    <n v="511519.65"/>
    <x v="2"/>
  </r>
  <r>
    <x v="6"/>
    <x v="1"/>
    <x v="0"/>
    <x v="3"/>
    <x v="27"/>
    <x v="1"/>
    <x v="1"/>
    <n v="36.21"/>
    <n v="240291.73"/>
    <n v="713730.26"/>
    <x v="2"/>
  </r>
  <r>
    <x v="6"/>
    <x v="1"/>
    <x v="1"/>
    <x v="0"/>
    <x v="0"/>
    <x v="0"/>
    <x v="0"/>
    <n v="2.16"/>
    <n v="5881.2"/>
    <n v="20813.32"/>
    <x v="2"/>
  </r>
  <r>
    <x v="6"/>
    <x v="1"/>
    <x v="1"/>
    <x v="0"/>
    <x v="1"/>
    <x v="0"/>
    <x v="0"/>
    <n v="2.4"/>
    <n v="6534.67"/>
    <n v="23103.21"/>
    <x v="2"/>
  </r>
  <r>
    <x v="6"/>
    <x v="1"/>
    <x v="1"/>
    <x v="0"/>
    <x v="2"/>
    <x v="0"/>
    <x v="0"/>
    <n v="0"/>
    <n v="0"/>
    <n v="0"/>
    <x v="2"/>
  </r>
  <r>
    <x v="6"/>
    <x v="1"/>
    <x v="1"/>
    <x v="0"/>
    <x v="3"/>
    <x v="0"/>
    <x v="0"/>
    <n v="1.41"/>
    <n v="3839.12"/>
    <n v="13605.44"/>
    <x v="2"/>
  </r>
  <r>
    <x v="6"/>
    <x v="1"/>
    <x v="1"/>
    <x v="0"/>
    <x v="4"/>
    <x v="0"/>
    <x v="0"/>
    <n v="0"/>
    <n v="0"/>
    <n v="0"/>
    <x v="2"/>
  </r>
  <r>
    <x v="6"/>
    <x v="1"/>
    <x v="1"/>
    <x v="0"/>
    <x v="5"/>
    <x v="0"/>
    <x v="0"/>
    <n v="0"/>
    <n v="0"/>
    <n v="0"/>
    <x v="2"/>
  </r>
  <r>
    <x v="6"/>
    <x v="1"/>
    <x v="1"/>
    <x v="0"/>
    <x v="6"/>
    <x v="0"/>
    <x v="0"/>
    <n v="0"/>
    <n v="0"/>
    <n v="0"/>
    <x v="2"/>
  </r>
  <r>
    <x v="6"/>
    <x v="1"/>
    <x v="1"/>
    <x v="0"/>
    <x v="8"/>
    <x v="0"/>
    <x v="0"/>
    <n v="0"/>
    <n v="0"/>
    <n v="0"/>
    <x v="2"/>
  </r>
  <r>
    <x v="6"/>
    <x v="1"/>
    <x v="1"/>
    <x v="1"/>
    <x v="10"/>
    <x v="0"/>
    <x v="0"/>
    <n v="0.93"/>
    <n v="2532.19"/>
    <n v="8922.23"/>
    <x v="2"/>
  </r>
  <r>
    <x v="6"/>
    <x v="1"/>
    <x v="1"/>
    <x v="1"/>
    <x v="11"/>
    <x v="0"/>
    <x v="0"/>
    <n v="0"/>
    <n v="0"/>
    <n v="0"/>
    <x v="2"/>
  </r>
  <r>
    <x v="6"/>
    <x v="1"/>
    <x v="1"/>
    <x v="1"/>
    <x v="13"/>
    <x v="0"/>
    <x v="0"/>
    <n v="0"/>
    <n v="0"/>
    <n v="0"/>
    <x v="2"/>
  </r>
  <r>
    <x v="6"/>
    <x v="1"/>
    <x v="1"/>
    <x v="1"/>
    <x v="14"/>
    <x v="0"/>
    <x v="0"/>
    <n v="0"/>
    <n v="0"/>
    <n v="0"/>
    <x v="2"/>
  </r>
  <r>
    <x v="6"/>
    <x v="1"/>
    <x v="1"/>
    <x v="1"/>
    <x v="16"/>
    <x v="0"/>
    <x v="0"/>
    <n v="0"/>
    <n v="0"/>
    <n v="0"/>
    <x v="2"/>
  </r>
  <r>
    <x v="6"/>
    <x v="1"/>
    <x v="1"/>
    <x v="1"/>
    <x v="17"/>
    <x v="0"/>
    <x v="0"/>
    <n v="0"/>
    <n v="0"/>
    <n v="0"/>
    <x v="2"/>
  </r>
  <r>
    <x v="6"/>
    <x v="1"/>
    <x v="1"/>
    <x v="1"/>
    <x v="18"/>
    <x v="0"/>
    <x v="0"/>
    <n v="0"/>
    <n v="0"/>
    <n v="0"/>
    <x v="2"/>
  </r>
  <r>
    <x v="6"/>
    <x v="1"/>
    <x v="1"/>
    <x v="1"/>
    <x v="19"/>
    <x v="0"/>
    <x v="0"/>
    <n v="0"/>
    <n v="0"/>
    <n v="0"/>
    <x v="2"/>
  </r>
  <r>
    <x v="6"/>
    <x v="1"/>
    <x v="1"/>
    <x v="1"/>
    <x v="20"/>
    <x v="0"/>
    <x v="0"/>
    <n v="1.1100000000000001"/>
    <n v="3022.29"/>
    <n v="10642.71"/>
    <x v="2"/>
  </r>
  <r>
    <x v="6"/>
    <x v="1"/>
    <x v="1"/>
    <x v="2"/>
    <x v="21"/>
    <x v="0"/>
    <x v="0"/>
    <n v="1.1100000000000001"/>
    <n v="3022.29"/>
    <n v="10733.12"/>
    <x v="2"/>
  </r>
  <r>
    <x v="6"/>
    <x v="1"/>
    <x v="1"/>
    <x v="2"/>
    <x v="22"/>
    <x v="0"/>
    <x v="0"/>
    <n v="0"/>
    <n v="0"/>
    <n v="0"/>
    <x v="2"/>
  </r>
  <r>
    <x v="6"/>
    <x v="1"/>
    <x v="1"/>
    <x v="2"/>
    <x v="29"/>
    <x v="0"/>
    <x v="0"/>
    <n v="0"/>
    <n v="0"/>
    <n v="0"/>
    <x v="2"/>
  </r>
  <r>
    <x v="6"/>
    <x v="1"/>
    <x v="1"/>
    <x v="2"/>
    <x v="24"/>
    <x v="0"/>
    <x v="0"/>
    <n v="0"/>
    <n v="0"/>
    <n v="0"/>
    <x v="2"/>
  </r>
  <r>
    <x v="6"/>
    <x v="1"/>
    <x v="1"/>
    <x v="3"/>
    <x v="25"/>
    <x v="0"/>
    <x v="0"/>
    <n v="0"/>
    <n v="0"/>
    <n v="0"/>
    <x v="2"/>
  </r>
  <r>
    <x v="6"/>
    <x v="1"/>
    <x v="1"/>
    <x v="3"/>
    <x v="26"/>
    <x v="0"/>
    <x v="0"/>
    <n v="1.86"/>
    <n v="5064.37"/>
    <n v="17906.259999999998"/>
    <x v="2"/>
  </r>
  <r>
    <x v="6"/>
    <x v="1"/>
    <x v="1"/>
    <x v="3"/>
    <x v="27"/>
    <x v="0"/>
    <x v="0"/>
    <n v="1.33"/>
    <n v="3621.3"/>
    <n v="12849.94"/>
    <x v="2"/>
  </r>
  <r>
    <x v="6"/>
    <x v="1"/>
    <x v="1"/>
    <x v="0"/>
    <x v="0"/>
    <x v="0"/>
    <x v="1"/>
    <n v="1.68"/>
    <n v="4574.2700000000004"/>
    <n v="16188.13"/>
    <x v="2"/>
  </r>
  <r>
    <x v="6"/>
    <x v="1"/>
    <x v="1"/>
    <x v="0"/>
    <x v="1"/>
    <x v="0"/>
    <x v="1"/>
    <n v="4.12"/>
    <n v="11217.85"/>
    <n v="39646.25"/>
    <x v="2"/>
  </r>
  <r>
    <x v="6"/>
    <x v="1"/>
    <x v="1"/>
    <x v="0"/>
    <x v="2"/>
    <x v="0"/>
    <x v="1"/>
    <n v="2.12"/>
    <n v="5772.29"/>
    <n v="20409.13"/>
    <x v="2"/>
  </r>
  <r>
    <x v="6"/>
    <x v="1"/>
    <x v="1"/>
    <x v="0"/>
    <x v="3"/>
    <x v="0"/>
    <x v="1"/>
    <n v="4.04"/>
    <n v="11000.03"/>
    <n v="38872.69"/>
    <x v="2"/>
  </r>
  <r>
    <x v="6"/>
    <x v="1"/>
    <x v="1"/>
    <x v="0"/>
    <x v="4"/>
    <x v="0"/>
    <x v="1"/>
    <n v="1.4"/>
    <n v="3811.89"/>
    <n v="13444.08"/>
    <x v="2"/>
  </r>
  <r>
    <x v="6"/>
    <x v="1"/>
    <x v="1"/>
    <x v="0"/>
    <x v="5"/>
    <x v="0"/>
    <x v="1"/>
    <n v="3.03"/>
    <n v="8250.02"/>
    <n v="29203.32"/>
    <x v="2"/>
  </r>
  <r>
    <x v="6"/>
    <x v="1"/>
    <x v="1"/>
    <x v="0"/>
    <x v="6"/>
    <x v="0"/>
    <x v="1"/>
    <n v="0.48"/>
    <n v="1306.93"/>
    <n v="4574.76"/>
    <x v="2"/>
  </r>
  <r>
    <x v="6"/>
    <x v="1"/>
    <x v="1"/>
    <x v="0"/>
    <x v="8"/>
    <x v="0"/>
    <x v="1"/>
    <n v="2.0699999999999998"/>
    <n v="5636.15"/>
    <n v="19973.41"/>
    <x v="2"/>
  </r>
  <r>
    <x v="6"/>
    <x v="1"/>
    <x v="1"/>
    <x v="1"/>
    <x v="10"/>
    <x v="0"/>
    <x v="1"/>
    <n v="2.69"/>
    <n v="7324.28"/>
    <n v="25874.47"/>
    <x v="2"/>
  </r>
  <r>
    <x v="6"/>
    <x v="1"/>
    <x v="1"/>
    <x v="1"/>
    <x v="11"/>
    <x v="0"/>
    <x v="1"/>
    <n v="5.32"/>
    <n v="14485.19"/>
    <n v="51196.36"/>
    <x v="2"/>
  </r>
  <r>
    <x v="6"/>
    <x v="1"/>
    <x v="1"/>
    <x v="1"/>
    <x v="13"/>
    <x v="0"/>
    <x v="1"/>
    <n v="2.09"/>
    <n v="5690.61"/>
    <n v="20083.45"/>
    <x v="2"/>
  </r>
  <r>
    <x v="6"/>
    <x v="1"/>
    <x v="1"/>
    <x v="1"/>
    <x v="14"/>
    <x v="0"/>
    <x v="1"/>
    <n v="1.48"/>
    <n v="4029.71"/>
    <n v="14205.34"/>
    <x v="2"/>
  </r>
  <r>
    <x v="6"/>
    <x v="1"/>
    <x v="1"/>
    <x v="1"/>
    <x v="16"/>
    <x v="0"/>
    <x v="1"/>
    <n v="1.29"/>
    <n v="3512.39"/>
    <n v="12405.66"/>
    <x v="2"/>
  </r>
  <r>
    <x v="6"/>
    <x v="1"/>
    <x v="1"/>
    <x v="1"/>
    <x v="17"/>
    <x v="0"/>
    <x v="1"/>
    <n v="0.99"/>
    <n v="2695.55"/>
    <n v="9484.7900000000009"/>
    <x v="2"/>
  </r>
  <r>
    <x v="6"/>
    <x v="1"/>
    <x v="1"/>
    <x v="1"/>
    <x v="18"/>
    <x v="0"/>
    <x v="1"/>
    <n v="7.8"/>
    <n v="21237.68"/>
    <n v="75097.649999999994"/>
    <x v="2"/>
  </r>
  <r>
    <x v="6"/>
    <x v="1"/>
    <x v="1"/>
    <x v="1"/>
    <x v="19"/>
    <x v="0"/>
    <x v="1"/>
    <n v="1.75"/>
    <n v="4764.87"/>
    <n v="16809.37"/>
    <x v="2"/>
  </r>
  <r>
    <x v="6"/>
    <x v="1"/>
    <x v="1"/>
    <x v="1"/>
    <x v="20"/>
    <x v="0"/>
    <x v="1"/>
    <n v="8.3800000000000008"/>
    <n v="22816.9"/>
    <n v="80707.210000000006"/>
    <x v="2"/>
  </r>
  <r>
    <x v="6"/>
    <x v="1"/>
    <x v="1"/>
    <x v="2"/>
    <x v="21"/>
    <x v="0"/>
    <x v="1"/>
    <n v="0"/>
    <n v="0"/>
    <n v="0"/>
    <x v="2"/>
  </r>
  <r>
    <x v="6"/>
    <x v="1"/>
    <x v="1"/>
    <x v="2"/>
    <x v="22"/>
    <x v="0"/>
    <x v="1"/>
    <n v="2.86"/>
    <n v="7787.15"/>
    <n v="27562.48"/>
    <x v="2"/>
  </r>
  <r>
    <x v="6"/>
    <x v="1"/>
    <x v="1"/>
    <x v="2"/>
    <x v="29"/>
    <x v="0"/>
    <x v="1"/>
    <n v="1.89"/>
    <n v="5146.05"/>
    <n v="18209.05"/>
    <x v="2"/>
  </r>
  <r>
    <x v="6"/>
    <x v="1"/>
    <x v="1"/>
    <x v="2"/>
    <x v="24"/>
    <x v="0"/>
    <x v="1"/>
    <n v="2.13"/>
    <n v="5799.52"/>
    <n v="20491.03"/>
    <x v="2"/>
  </r>
  <r>
    <x v="6"/>
    <x v="1"/>
    <x v="1"/>
    <x v="3"/>
    <x v="25"/>
    <x v="0"/>
    <x v="1"/>
    <n v="1.39"/>
    <n v="3784.66"/>
    <n v="13384.69"/>
    <x v="2"/>
  </r>
  <r>
    <x v="6"/>
    <x v="1"/>
    <x v="1"/>
    <x v="3"/>
    <x v="26"/>
    <x v="0"/>
    <x v="1"/>
    <n v="0.89"/>
    <n v="2423.27"/>
    <n v="8526.7900000000009"/>
    <x v="2"/>
  </r>
  <r>
    <x v="6"/>
    <x v="1"/>
    <x v="1"/>
    <x v="3"/>
    <x v="27"/>
    <x v="0"/>
    <x v="1"/>
    <n v="5.26"/>
    <n v="14321.82"/>
    <n v="50596.65"/>
    <x v="2"/>
  </r>
  <r>
    <x v="6"/>
    <x v="1"/>
    <x v="1"/>
    <x v="0"/>
    <x v="0"/>
    <x v="1"/>
    <x v="0"/>
    <n v="4.01"/>
    <n v="10918.35"/>
    <n v="25222.57"/>
    <x v="2"/>
  </r>
  <r>
    <x v="6"/>
    <x v="1"/>
    <x v="1"/>
    <x v="0"/>
    <x v="1"/>
    <x v="1"/>
    <x v="0"/>
    <n v="5.27"/>
    <n v="14349.05"/>
    <n v="32592.06"/>
    <x v="2"/>
  </r>
  <r>
    <x v="6"/>
    <x v="1"/>
    <x v="1"/>
    <x v="0"/>
    <x v="2"/>
    <x v="1"/>
    <x v="0"/>
    <n v="1.1000000000000001"/>
    <n v="2995.06"/>
    <n v="6602.92"/>
    <x v="2"/>
  </r>
  <r>
    <x v="6"/>
    <x v="1"/>
    <x v="1"/>
    <x v="0"/>
    <x v="3"/>
    <x v="1"/>
    <x v="0"/>
    <n v="5.1100000000000003"/>
    <n v="13913.41"/>
    <n v="31804.43"/>
    <x v="2"/>
  </r>
  <r>
    <x v="6"/>
    <x v="1"/>
    <x v="1"/>
    <x v="0"/>
    <x v="28"/>
    <x v="1"/>
    <x v="0"/>
    <n v="0"/>
    <n v="0"/>
    <n v="0"/>
    <x v="2"/>
  </r>
  <r>
    <x v="6"/>
    <x v="1"/>
    <x v="1"/>
    <x v="0"/>
    <x v="4"/>
    <x v="1"/>
    <x v="0"/>
    <n v="3.87"/>
    <n v="10537.16"/>
    <n v="23815.13"/>
    <x v="2"/>
  </r>
  <r>
    <x v="6"/>
    <x v="1"/>
    <x v="1"/>
    <x v="0"/>
    <x v="5"/>
    <x v="1"/>
    <x v="0"/>
    <n v="0.6"/>
    <n v="1633.67"/>
    <n v="3777.67"/>
    <x v="2"/>
  </r>
  <r>
    <x v="6"/>
    <x v="1"/>
    <x v="1"/>
    <x v="0"/>
    <x v="6"/>
    <x v="1"/>
    <x v="0"/>
    <n v="0"/>
    <n v="0"/>
    <n v="0"/>
    <x v="2"/>
  </r>
  <r>
    <x v="6"/>
    <x v="1"/>
    <x v="1"/>
    <x v="0"/>
    <x v="7"/>
    <x v="1"/>
    <x v="0"/>
    <n v="0"/>
    <n v="0"/>
    <n v="0"/>
    <x v="2"/>
  </r>
  <r>
    <x v="6"/>
    <x v="1"/>
    <x v="1"/>
    <x v="0"/>
    <x v="8"/>
    <x v="1"/>
    <x v="0"/>
    <n v="0"/>
    <n v="0"/>
    <n v="0"/>
    <x v="2"/>
  </r>
  <r>
    <x v="6"/>
    <x v="1"/>
    <x v="1"/>
    <x v="1"/>
    <x v="30"/>
    <x v="1"/>
    <x v="0"/>
    <n v="0.51"/>
    <n v="1388.62"/>
    <n v="3376.95"/>
    <x v="2"/>
  </r>
  <r>
    <x v="6"/>
    <x v="1"/>
    <x v="1"/>
    <x v="1"/>
    <x v="9"/>
    <x v="1"/>
    <x v="0"/>
    <n v="0"/>
    <n v="0"/>
    <n v="0"/>
    <x v="2"/>
  </r>
  <r>
    <x v="6"/>
    <x v="1"/>
    <x v="1"/>
    <x v="1"/>
    <x v="31"/>
    <x v="1"/>
    <x v="0"/>
    <n v="2.29"/>
    <n v="6235.17"/>
    <n v="15290.04"/>
    <x v="2"/>
  </r>
  <r>
    <x v="6"/>
    <x v="1"/>
    <x v="1"/>
    <x v="1"/>
    <x v="10"/>
    <x v="1"/>
    <x v="0"/>
    <n v="6.18"/>
    <n v="16826.78"/>
    <n v="40597.94"/>
    <x v="2"/>
  </r>
  <r>
    <x v="6"/>
    <x v="1"/>
    <x v="1"/>
    <x v="1"/>
    <x v="11"/>
    <x v="1"/>
    <x v="0"/>
    <n v="4.32"/>
    <n v="11762.41"/>
    <n v="27036.79"/>
    <x v="2"/>
  </r>
  <r>
    <x v="6"/>
    <x v="1"/>
    <x v="1"/>
    <x v="1"/>
    <x v="12"/>
    <x v="1"/>
    <x v="0"/>
    <n v="1.67"/>
    <n v="4547.04"/>
    <n v="11024.03"/>
    <x v="2"/>
  </r>
  <r>
    <x v="6"/>
    <x v="1"/>
    <x v="1"/>
    <x v="1"/>
    <x v="13"/>
    <x v="1"/>
    <x v="0"/>
    <n v="1.21"/>
    <n v="3294.56"/>
    <n v="7922.23"/>
    <x v="2"/>
  </r>
  <r>
    <x v="6"/>
    <x v="1"/>
    <x v="1"/>
    <x v="1"/>
    <x v="14"/>
    <x v="1"/>
    <x v="0"/>
    <n v="9.3000000000000007"/>
    <n v="25321.85"/>
    <n v="59775.71"/>
    <x v="2"/>
  </r>
  <r>
    <x v="6"/>
    <x v="1"/>
    <x v="1"/>
    <x v="1"/>
    <x v="15"/>
    <x v="1"/>
    <x v="0"/>
    <n v="0.96"/>
    <n v="2613.87"/>
    <n v="6410.2"/>
    <x v="2"/>
  </r>
  <r>
    <x v="6"/>
    <x v="1"/>
    <x v="1"/>
    <x v="1"/>
    <x v="16"/>
    <x v="1"/>
    <x v="0"/>
    <n v="1.81"/>
    <n v="4928.2299999999996"/>
    <n v="11436.65"/>
    <x v="2"/>
  </r>
  <r>
    <x v="6"/>
    <x v="1"/>
    <x v="1"/>
    <x v="1"/>
    <x v="17"/>
    <x v="1"/>
    <x v="0"/>
    <n v="5.66"/>
    <n v="15410.93"/>
    <n v="36150.53"/>
    <x v="2"/>
  </r>
  <r>
    <x v="6"/>
    <x v="1"/>
    <x v="1"/>
    <x v="1"/>
    <x v="18"/>
    <x v="1"/>
    <x v="0"/>
    <n v="0"/>
    <n v="0"/>
    <n v="0"/>
    <x v="2"/>
  </r>
  <r>
    <x v="6"/>
    <x v="1"/>
    <x v="1"/>
    <x v="1"/>
    <x v="19"/>
    <x v="1"/>
    <x v="0"/>
    <n v="5.65"/>
    <n v="15383.71"/>
    <n v="36680.01"/>
    <x v="2"/>
  </r>
  <r>
    <x v="6"/>
    <x v="1"/>
    <x v="1"/>
    <x v="1"/>
    <x v="20"/>
    <x v="1"/>
    <x v="0"/>
    <n v="5.23"/>
    <n v="14240.14"/>
    <n v="33348.31"/>
    <x v="2"/>
  </r>
  <r>
    <x v="6"/>
    <x v="1"/>
    <x v="1"/>
    <x v="2"/>
    <x v="21"/>
    <x v="1"/>
    <x v="0"/>
    <n v="0"/>
    <n v="0"/>
    <n v="0"/>
    <x v="2"/>
  </r>
  <r>
    <x v="6"/>
    <x v="1"/>
    <x v="1"/>
    <x v="2"/>
    <x v="22"/>
    <x v="1"/>
    <x v="0"/>
    <n v="2.69"/>
    <n v="7324.28"/>
    <n v="15781.55"/>
    <x v="2"/>
  </r>
  <r>
    <x v="6"/>
    <x v="1"/>
    <x v="1"/>
    <x v="2"/>
    <x v="29"/>
    <x v="1"/>
    <x v="0"/>
    <n v="0"/>
    <n v="0"/>
    <n v="0"/>
    <x v="2"/>
  </r>
  <r>
    <x v="6"/>
    <x v="1"/>
    <x v="1"/>
    <x v="2"/>
    <x v="23"/>
    <x v="1"/>
    <x v="0"/>
    <n v="0"/>
    <n v="0"/>
    <n v="0"/>
    <x v="2"/>
  </r>
  <r>
    <x v="6"/>
    <x v="1"/>
    <x v="1"/>
    <x v="2"/>
    <x v="24"/>
    <x v="1"/>
    <x v="0"/>
    <n v="2.14"/>
    <n v="5826.75"/>
    <n v="12782.77"/>
    <x v="2"/>
  </r>
  <r>
    <x v="6"/>
    <x v="1"/>
    <x v="1"/>
    <x v="3"/>
    <x v="25"/>
    <x v="1"/>
    <x v="0"/>
    <n v="4"/>
    <n v="10891.12"/>
    <n v="26380"/>
    <x v="2"/>
  </r>
  <r>
    <x v="6"/>
    <x v="1"/>
    <x v="1"/>
    <x v="3"/>
    <x v="26"/>
    <x v="1"/>
    <x v="0"/>
    <n v="0.95"/>
    <n v="2586.64"/>
    <n v="6307.54"/>
    <x v="2"/>
  </r>
  <r>
    <x v="6"/>
    <x v="1"/>
    <x v="1"/>
    <x v="3"/>
    <x v="27"/>
    <x v="1"/>
    <x v="0"/>
    <n v="6.33"/>
    <n v="17235.2"/>
    <n v="41260.57"/>
    <x v="2"/>
  </r>
  <r>
    <x v="6"/>
    <x v="1"/>
    <x v="1"/>
    <x v="0"/>
    <x v="0"/>
    <x v="1"/>
    <x v="1"/>
    <n v="7.75"/>
    <n v="21101.55"/>
    <n v="48800.18"/>
    <x v="2"/>
  </r>
  <r>
    <x v="6"/>
    <x v="1"/>
    <x v="1"/>
    <x v="0"/>
    <x v="1"/>
    <x v="1"/>
    <x v="1"/>
    <n v="7.53"/>
    <n v="20502.53"/>
    <n v="46603.59"/>
    <x v="2"/>
  </r>
  <r>
    <x v="6"/>
    <x v="1"/>
    <x v="1"/>
    <x v="0"/>
    <x v="2"/>
    <x v="1"/>
    <x v="1"/>
    <n v="5.43"/>
    <n v="14784.7"/>
    <n v="32464.37"/>
    <x v="2"/>
  </r>
  <r>
    <x v="6"/>
    <x v="1"/>
    <x v="1"/>
    <x v="0"/>
    <x v="3"/>
    <x v="1"/>
    <x v="1"/>
    <n v="17.600000000000001"/>
    <n v="47920.93"/>
    <n v="109428.79"/>
    <x v="2"/>
  </r>
  <r>
    <x v="6"/>
    <x v="1"/>
    <x v="1"/>
    <x v="0"/>
    <x v="28"/>
    <x v="1"/>
    <x v="1"/>
    <n v="2.3199999999999998"/>
    <n v="6316.85"/>
    <n v="14636.21"/>
    <x v="2"/>
  </r>
  <r>
    <x v="6"/>
    <x v="1"/>
    <x v="1"/>
    <x v="0"/>
    <x v="4"/>
    <x v="1"/>
    <x v="1"/>
    <n v="4.43"/>
    <n v="12061.92"/>
    <n v="27279.15"/>
    <x v="2"/>
  </r>
  <r>
    <x v="6"/>
    <x v="1"/>
    <x v="1"/>
    <x v="0"/>
    <x v="5"/>
    <x v="1"/>
    <x v="1"/>
    <n v="11.24"/>
    <n v="30604.05"/>
    <n v="71303.58"/>
    <x v="2"/>
  </r>
  <r>
    <x v="6"/>
    <x v="1"/>
    <x v="1"/>
    <x v="0"/>
    <x v="6"/>
    <x v="1"/>
    <x v="1"/>
    <n v="2.77"/>
    <n v="7542.1"/>
    <n v="17491.32"/>
    <x v="2"/>
  </r>
  <r>
    <x v="6"/>
    <x v="1"/>
    <x v="1"/>
    <x v="0"/>
    <x v="7"/>
    <x v="1"/>
    <x v="1"/>
    <n v="2.8"/>
    <n v="7623.78"/>
    <n v="17999.48"/>
    <x v="2"/>
  </r>
  <r>
    <x v="6"/>
    <x v="1"/>
    <x v="1"/>
    <x v="0"/>
    <x v="8"/>
    <x v="1"/>
    <x v="1"/>
    <n v="2.2999999999999998"/>
    <n v="6262.39"/>
    <n v="14076.62"/>
    <x v="2"/>
  </r>
  <r>
    <x v="6"/>
    <x v="1"/>
    <x v="1"/>
    <x v="1"/>
    <x v="30"/>
    <x v="1"/>
    <x v="1"/>
    <n v="0"/>
    <n v="0"/>
    <n v="0"/>
    <x v="2"/>
  </r>
  <r>
    <x v="6"/>
    <x v="1"/>
    <x v="1"/>
    <x v="1"/>
    <x v="9"/>
    <x v="1"/>
    <x v="1"/>
    <n v="0.46"/>
    <n v="1252.48"/>
    <n v="3036.13"/>
    <x v="2"/>
  </r>
  <r>
    <x v="6"/>
    <x v="1"/>
    <x v="1"/>
    <x v="1"/>
    <x v="31"/>
    <x v="1"/>
    <x v="1"/>
    <n v="0"/>
    <n v="0"/>
    <n v="0"/>
    <x v="2"/>
  </r>
  <r>
    <x v="6"/>
    <x v="1"/>
    <x v="1"/>
    <x v="1"/>
    <x v="10"/>
    <x v="1"/>
    <x v="1"/>
    <n v="16.809999999999999"/>
    <n v="45769.93"/>
    <n v="110357.77"/>
    <x v="2"/>
  </r>
  <r>
    <x v="6"/>
    <x v="1"/>
    <x v="1"/>
    <x v="1"/>
    <x v="11"/>
    <x v="1"/>
    <x v="1"/>
    <n v="14.35"/>
    <n v="39071.89"/>
    <n v="89762.14"/>
    <x v="2"/>
  </r>
  <r>
    <x v="6"/>
    <x v="1"/>
    <x v="1"/>
    <x v="1"/>
    <x v="12"/>
    <x v="1"/>
    <x v="1"/>
    <n v="0.79"/>
    <n v="2151"/>
    <n v="5221.91"/>
    <x v="2"/>
  </r>
  <r>
    <x v="6"/>
    <x v="1"/>
    <x v="1"/>
    <x v="1"/>
    <x v="13"/>
    <x v="1"/>
    <x v="1"/>
    <n v="5.7"/>
    <n v="15519.85"/>
    <n v="37347.65"/>
    <x v="2"/>
  </r>
  <r>
    <x v="6"/>
    <x v="1"/>
    <x v="1"/>
    <x v="1"/>
    <x v="14"/>
    <x v="1"/>
    <x v="1"/>
    <n v="4.34"/>
    <n v="11816.87"/>
    <n v="27932.57"/>
    <x v="2"/>
  </r>
  <r>
    <x v="6"/>
    <x v="1"/>
    <x v="1"/>
    <x v="1"/>
    <x v="15"/>
    <x v="1"/>
    <x v="1"/>
    <n v="2.37"/>
    <n v="6452.99"/>
    <n v="15734.12"/>
    <x v="2"/>
  </r>
  <r>
    <x v="6"/>
    <x v="1"/>
    <x v="1"/>
    <x v="1"/>
    <x v="16"/>
    <x v="1"/>
    <x v="1"/>
    <n v="5.3"/>
    <n v="14430.73"/>
    <n v="33572.11"/>
    <x v="2"/>
  </r>
  <r>
    <x v="6"/>
    <x v="1"/>
    <x v="1"/>
    <x v="1"/>
    <x v="17"/>
    <x v="1"/>
    <x v="1"/>
    <n v="2"/>
    <n v="5445.56"/>
    <n v="12791.72"/>
    <x v="2"/>
  </r>
  <r>
    <x v="6"/>
    <x v="1"/>
    <x v="1"/>
    <x v="1"/>
    <x v="18"/>
    <x v="1"/>
    <x v="1"/>
    <n v="0"/>
    <n v="0"/>
    <n v="0"/>
    <x v="2"/>
  </r>
  <r>
    <x v="6"/>
    <x v="1"/>
    <x v="1"/>
    <x v="1"/>
    <x v="19"/>
    <x v="1"/>
    <x v="1"/>
    <n v="9.74"/>
    <n v="26519.88"/>
    <n v="63202.47"/>
    <x v="2"/>
  </r>
  <r>
    <x v="6"/>
    <x v="1"/>
    <x v="1"/>
    <x v="1"/>
    <x v="20"/>
    <x v="1"/>
    <x v="1"/>
    <n v="11.87"/>
    <n v="32319.4"/>
    <n v="75748.31"/>
    <x v="2"/>
  </r>
  <r>
    <x v="6"/>
    <x v="1"/>
    <x v="1"/>
    <x v="2"/>
    <x v="21"/>
    <x v="1"/>
    <x v="1"/>
    <n v="2.23"/>
    <n v="6071.8"/>
    <n v="13099.22"/>
    <x v="2"/>
  </r>
  <r>
    <x v="6"/>
    <x v="1"/>
    <x v="1"/>
    <x v="2"/>
    <x v="22"/>
    <x v="1"/>
    <x v="1"/>
    <n v="9.25"/>
    <n v="25185.72"/>
    <n v="54249.09"/>
    <x v="2"/>
  </r>
  <r>
    <x v="6"/>
    <x v="1"/>
    <x v="1"/>
    <x v="2"/>
    <x v="29"/>
    <x v="1"/>
    <x v="1"/>
    <n v="2.65"/>
    <n v="7215.37"/>
    <n v="16521.77"/>
    <x v="2"/>
  </r>
  <r>
    <x v="6"/>
    <x v="1"/>
    <x v="1"/>
    <x v="2"/>
    <x v="23"/>
    <x v="1"/>
    <x v="1"/>
    <n v="1.49"/>
    <n v="4056.94"/>
    <n v="9071.75"/>
    <x v="2"/>
  </r>
  <r>
    <x v="6"/>
    <x v="1"/>
    <x v="1"/>
    <x v="2"/>
    <x v="24"/>
    <x v="1"/>
    <x v="1"/>
    <n v="1.88"/>
    <n v="5118.83"/>
    <n v="11248.84"/>
    <x v="2"/>
  </r>
  <r>
    <x v="6"/>
    <x v="1"/>
    <x v="1"/>
    <x v="3"/>
    <x v="25"/>
    <x v="1"/>
    <x v="1"/>
    <n v="5.39"/>
    <n v="14675.78"/>
    <n v="35555.65"/>
    <x v="2"/>
  </r>
  <r>
    <x v="6"/>
    <x v="1"/>
    <x v="1"/>
    <x v="3"/>
    <x v="26"/>
    <x v="1"/>
    <x v="1"/>
    <n v="7.65"/>
    <n v="20829.27"/>
    <n v="50792.3"/>
    <x v="2"/>
  </r>
  <r>
    <x v="6"/>
    <x v="1"/>
    <x v="1"/>
    <x v="3"/>
    <x v="27"/>
    <x v="1"/>
    <x v="1"/>
    <n v="19.170000000000002"/>
    <n v="52195.69"/>
    <n v="124912.15"/>
    <x v="2"/>
  </r>
  <r>
    <x v="6"/>
    <x v="1"/>
    <x v="2"/>
    <x v="0"/>
    <x v="0"/>
    <x v="0"/>
    <x v="0"/>
    <n v="2.3199999999999998"/>
    <n v="12573.75"/>
    <n v="54288.66"/>
    <x v="2"/>
  </r>
  <r>
    <x v="6"/>
    <x v="1"/>
    <x v="2"/>
    <x v="0"/>
    <x v="1"/>
    <x v="0"/>
    <x v="0"/>
    <n v="3.91"/>
    <n v="21191.11"/>
    <n v="91527.89"/>
    <x v="2"/>
  </r>
  <r>
    <x v="6"/>
    <x v="1"/>
    <x v="2"/>
    <x v="0"/>
    <x v="2"/>
    <x v="0"/>
    <x v="0"/>
    <n v="0"/>
    <n v="0"/>
    <n v="0"/>
    <x v="2"/>
  </r>
  <r>
    <x v="6"/>
    <x v="1"/>
    <x v="2"/>
    <x v="0"/>
    <x v="3"/>
    <x v="0"/>
    <x v="0"/>
    <n v="1.64"/>
    <n v="8888.34"/>
    <n v="38435.4"/>
    <x v="2"/>
  </r>
  <r>
    <x v="6"/>
    <x v="1"/>
    <x v="2"/>
    <x v="0"/>
    <x v="4"/>
    <x v="0"/>
    <x v="0"/>
    <n v="0"/>
    <n v="0"/>
    <n v="0"/>
    <x v="2"/>
  </r>
  <r>
    <x v="6"/>
    <x v="1"/>
    <x v="2"/>
    <x v="0"/>
    <x v="5"/>
    <x v="0"/>
    <x v="0"/>
    <n v="0"/>
    <n v="0"/>
    <n v="0"/>
    <x v="2"/>
  </r>
  <r>
    <x v="6"/>
    <x v="1"/>
    <x v="2"/>
    <x v="0"/>
    <x v="6"/>
    <x v="0"/>
    <x v="0"/>
    <n v="0"/>
    <n v="0"/>
    <n v="0"/>
    <x v="2"/>
  </r>
  <r>
    <x v="6"/>
    <x v="1"/>
    <x v="2"/>
    <x v="0"/>
    <x v="8"/>
    <x v="0"/>
    <x v="0"/>
    <n v="0"/>
    <n v="0"/>
    <n v="0"/>
    <x v="2"/>
  </r>
  <r>
    <x v="6"/>
    <x v="1"/>
    <x v="2"/>
    <x v="1"/>
    <x v="10"/>
    <x v="0"/>
    <x v="0"/>
    <n v="1.57"/>
    <n v="8508.9599999999991"/>
    <n v="36884.46"/>
    <x v="2"/>
  </r>
  <r>
    <x v="6"/>
    <x v="1"/>
    <x v="2"/>
    <x v="1"/>
    <x v="11"/>
    <x v="0"/>
    <x v="0"/>
    <n v="0"/>
    <n v="0"/>
    <n v="0"/>
    <x v="2"/>
  </r>
  <r>
    <x v="6"/>
    <x v="1"/>
    <x v="2"/>
    <x v="1"/>
    <x v="13"/>
    <x v="0"/>
    <x v="0"/>
    <n v="0"/>
    <n v="0"/>
    <n v="0"/>
    <x v="2"/>
  </r>
  <r>
    <x v="6"/>
    <x v="1"/>
    <x v="2"/>
    <x v="1"/>
    <x v="14"/>
    <x v="0"/>
    <x v="0"/>
    <n v="0"/>
    <n v="0"/>
    <n v="0"/>
    <x v="2"/>
  </r>
  <r>
    <x v="6"/>
    <x v="1"/>
    <x v="2"/>
    <x v="1"/>
    <x v="16"/>
    <x v="0"/>
    <x v="0"/>
    <n v="0"/>
    <n v="0"/>
    <n v="0"/>
    <x v="2"/>
  </r>
  <r>
    <x v="6"/>
    <x v="1"/>
    <x v="2"/>
    <x v="1"/>
    <x v="17"/>
    <x v="0"/>
    <x v="0"/>
    <n v="0"/>
    <n v="0"/>
    <n v="0"/>
    <x v="2"/>
  </r>
  <r>
    <x v="6"/>
    <x v="1"/>
    <x v="2"/>
    <x v="1"/>
    <x v="18"/>
    <x v="0"/>
    <x v="0"/>
    <n v="0"/>
    <n v="0"/>
    <n v="0"/>
    <x v="2"/>
  </r>
  <r>
    <x v="6"/>
    <x v="1"/>
    <x v="2"/>
    <x v="1"/>
    <x v="19"/>
    <x v="0"/>
    <x v="0"/>
    <n v="0"/>
    <n v="0"/>
    <n v="0"/>
    <x v="2"/>
  </r>
  <r>
    <x v="6"/>
    <x v="1"/>
    <x v="2"/>
    <x v="1"/>
    <x v="20"/>
    <x v="0"/>
    <x v="0"/>
    <n v="1.94"/>
    <n v="10514.26"/>
    <n v="45487.03"/>
    <x v="2"/>
  </r>
  <r>
    <x v="6"/>
    <x v="1"/>
    <x v="2"/>
    <x v="2"/>
    <x v="21"/>
    <x v="0"/>
    <x v="0"/>
    <n v="2.5099999999999998"/>
    <n v="13603.5"/>
    <n v="58856.62"/>
    <x v="2"/>
  </r>
  <r>
    <x v="6"/>
    <x v="1"/>
    <x v="2"/>
    <x v="2"/>
    <x v="22"/>
    <x v="0"/>
    <x v="0"/>
    <n v="0"/>
    <n v="0"/>
    <n v="0"/>
    <x v="2"/>
  </r>
  <r>
    <x v="6"/>
    <x v="1"/>
    <x v="2"/>
    <x v="2"/>
    <x v="29"/>
    <x v="0"/>
    <x v="0"/>
    <n v="0"/>
    <n v="0"/>
    <n v="0"/>
    <x v="2"/>
  </r>
  <r>
    <x v="6"/>
    <x v="1"/>
    <x v="2"/>
    <x v="2"/>
    <x v="24"/>
    <x v="0"/>
    <x v="0"/>
    <n v="0"/>
    <n v="0"/>
    <n v="0"/>
    <x v="2"/>
  </r>
  <r>
    <x v="6"/>
    <x v="1"/>
    <x v="2"/>
    <x v="3"/>
    <x v="25"/>
    <x v="0"/>
    <x v="0"/>
    <n v="0"/>
    <n v="0"/>
    <n v="0"/>
    <x v="2"/>
  </r>
  <r>
    <x v="6"/>
    <x v="1"/>
    <x v="2"/>
    <x v="3"/>
    <x v="26"/>
    <x v="0"/>
    <x v="0"/>
    <n v="1.95"/>
    <n v="10568.45"/>
    <n v="45717.95"/>
    <x v="2"/>
  </r>
  <r>
    <x v="6"/>
    <x v="1"/>
    <x v="2"/>
    <x v="3"/>
    <x v="27"/>
    <x v="0"/>
    <x v="0"/>
    <n v="1.66"/>
    <n v="8996.74"/>
    <n v="38959.339999999997"/>
    <x v="2"/>
  </r>
  <r>
    <x v="6"/>
    <x v="1"/>
    <x v="2"/>
    <x v="0"/>
    <x v="0"/>
    <x v="0"/>
    <x v="1"/>
    <n v="2.41"/>
    <n v="13061.53"/>
    <n v="56460.2"/>
    <x v="2"/>
  </r>
  <r>
    <x v="6"/>
    <x v="1"/>
    <x v="2"/>
    <x v="0"/>
    <x v="1"/>
    <x v="0"/>
    <x v="1"/>
    <n v="6.64"/>
    <n v="35986.94"/>
    <n v="155541.26"/>
    <x v="2"/>
  </r>
  <r>
    <x v="6"/>
    <x v="1"/>
    <x v="2"/>
    <x v="0"/>
    <x v="2"/>
    <x v="0"/>
    <x v="1"/>
    <n v="5.64"/>
    <n v="30567.22"/>
    <n v="132249.51"/>
    <x v="2"/>
  </r>
  <r>
    <x v="6"/>
    <x v="1"/>
    <x v="2"/>
    <x v="0"/>
    <x v="3"/>
    <x v="0"/>
    <x v="1"/>
    <n v="4.47"/>
    <n v="24226.15"/>
    <n v="104823.82"/>
    <x v="2"/>
  </r>
  <r>
    <x v="6"/>
    <x v="1"/>
    <x v="2"/>
    <x v="0"/>
    <x v="4"/>
    <x v="0"/>
    <x v="1"/>
    <n v="1.47"/>
    <n v="7966.99"/>
    <n v="34481.56"/>
    <x v="2"/>
  </r>
  <r>
    <x v="6"/>
    <x v="1"/>
    <x v="2"/>
    <x v="0"/>
    <x v="5"/>
    <x v="0"/>
    <x v="1"/>
    <n v="5.08"/>
    <n v="27532.18"/>
    <n v="118949.14"/>
    <x v="2"/>
  </r>
  <r>
    <x v="6"/>
    <x v="1"/>
    <x v="2"/>
    <x v="0"/>
    <x v="6"/>
    <x v="0"/>
    <x v="1"/>
    <n v="2.48"/>
    <n v="13440.91"/>
    <n v="58233.48"/>
    <x v="2"/>
  </r>
  <r>
    <x v="6"/>
    <x v="1"/>
    <x v="2"/>
    <x v="0"/>
    <x v="8"/>
    <x v="0"/>
    <x v="1"/>
    <n v="4.3"/>
    <n v="23304.799999999999"/>
    <n v="100694.02"/>
    <x v="2"/>
  </r>
  <r>
    <x v="6"/>
    <x v="1"/>
    <x v="2"/>
    <x v="1"/>
    <x v="10"/>
    <x v="0"/>
    <x v="1"/>
    <n v="5.28"/>
    <n v="28616.12"/>
    <n v="123671.41"/>
    <x v="2"/>
  </r>
  <r>
    <x v="6"/>
    <x v="1"/>
    <x v="2"/>
    <x v="1"/>
    <x v="11"/>
    <x v="0"/>
    <x v="1"/>
    <n v="8.07"/>
    <n v="43737.14"/>
    <n v="189031.33"/>
    <x v="2"/>
  </r>
  <r>
    <x v="6"/>
    <x v="1"/>
    <x v="2"/>
    <x v="1"/>
    <x v="13"/>
    <x v="0"/>
    <x v="1"/>
    <n v="3.32"/>
    <n v="17993.47"/>
    <n v="77700.03"/>
    <x v="2"/>
  </r>
  <r>
    <x v="6"/>
    <x v="1"/>
    <x v="2"/>
    <x v="1"/>
    <x v="14"/>
    <x v="0"/>
    <x v="1"/>
    <n v="1.66"/>
    <n v="8996.74"/>
    <n v="38810.67"/>
    <x v="2"/>
  </r>
  <r>
    <x v="6"/>
    <x v="1"/>
    <x v="2"/>
    <x v="1"/>
    <x v="16"/>
    <x v="0"/>
    <x v="1"/>
    <n v="2.06"/>
    <n v="11164.62"/>
    <n v="48239.58"/>
    <x v="2"/>
  </r>
  <r>
    <x v="6"/>
    <x v="1"/>
    <x v="2"/>
    <x v="1"/>
    <x v="17"/>
    <x v="0"/>
    <x v="1"/>
    <n v="1.18"/>
    <n v="6395.27"/>
    <n v="27725.360000000001"/>
    <x v="2"/>
  </r>
  <r>
    <x v="6"/>
    <x v="1"/>
    <x v="2"/>
    <x v="1"/>
    <x v="18"/>
    <x v="0"/>
    <x v="1"/>
    <n v="12.93"/>
    <n v="70076.98"/>
    <n v="302993.68"/>
    <x v="2"/>
  </r>
  <r>
    <x v="6"/>
    <x v="1"/>
    <x v="2"/>
    <x v="1"/>
    <x v="19"/>
    <x v="0"/>
    <x v="1"/>
    <n v="4.3600000000000003"/>
    <n v="23629.98"/>
    <n v="102190.94"/>
    <x v="2"/>
  </r>
  <r>
    <x v="6"/>
    <x v="1"/>
    <x v="2"/>
    <x v="1"/>
    <x v="20"/>
    <x v="0"/>
    <x v="1"/>
    <n v="12.2"/>
    <n v="66120.58"/>
    <n v="285918.5"/>
    <x v="2"/>
  </r>
  <r>
    <x v="6"/>
    <x v="1"/>
    <x v="2"/>
    <x v="2"/>
    <x v="21"/>
    <x v="0"/>
    <x v="1"/>
    <n v="0"/>
    <n v="0"/>
    <n v="0"/>
    <x v="2"/>
  </r>
  <r>
    <x v="6"/>
    <x v="1"/>
    <x v="2"/>
    <x v="2"/>
    <x v="22"/>
    <x v="0"/>
    <x v="1"/>
    <n v="5.56"/>
    <n v="30133.64"/>
    <n v="130309.96"/>
    <x v="2"/>
  </r>
  <r>
    <x v="6"/>
    <x v="1"/>
    <x v="2"/>
    <x v="2"/>
    <x v="29"/>
    <x v="0"/>
    <x v="1"/>
    <n v="2.5299999999999998"/>
    <n v="13711.89"/>
    <n v="59193.82"/>
    <x v="2"/>
  </r>
  <r>
    <x v="6"/>
    <x v="1"/>
    <x v="2"/>
    <x v="2"/>
    <x v="24"/>
    <x v="0"/>
    <x v="1"/>
    <n v="2.31"/>
    <n v="12519.55"/>
    <n v="54241.82"/>
    <x v="2"/>
  </r>
  <r>
    <x v="6"/>
    <x v="1"/>
    <x v="2"/>
    <x v="3"/>
    <x v="25"/>
    <x v="0"/>
    <x v="1"/>
    <n v="1.86"/>
    <n v="10080.68"/>
    <n v="43697"/>
    <x v="2"/>
  </r>
  <r>
    <x v="6"/>
    <x v="1"/>
    <x v="2"/>
    <x v="3"/>
    <x v="26"/>
    <x v="0"/>
    <x v="1"/>
    <n v="1.58"/>
    <n v="8563.16"/>
    <n v="37009.769999999997"/>
    <x v="2"/>
  </r>
  <r>
    <x v="6"/>
    <x v="1"/>
    <x v="2"/>
    <x v="3"/>
    <x v="27"/>
    <x v="0"/>
    <x v="1"/>
    <n v="8.5"/>
    <n v="46067.62"/>
    <n v="199125.52"/>
    <x v="2"/>
  </r>
  <r>
    <x v="6"/>
    <x v="1"/>
    <x v="2"/>
    <x v="0"/>
    <x v="0"/>
    <x v="1"/>
    <x v="0"/>
    <n v="4"/>
    <n v="21678.880000000001"/>
    <n v="61339.81"/>
    <x v="2"/>
  </r>
  <r>
    <x v="6"/>
    <x v="1"/>
    <x v="2"/>
    <x v="0"/>
    <x v="1"/>
    <x v="1"/>
    <x v="0"/>
    <n v="14.98"/>
    <n v="81187.41"/>
    <n v="225675.44"/>
    <x v="2"/>
  </r>
  <r>
    <x v="6"/>
    <x v="1"/>
    <x v="2"/>
    <x v="0"/>
    <x v="2"/>
    <x v="1"/>
    <x v="0"/>
    <n v="6.34"/>
    <n v="34361.019999999997"/>
    <n v="92224.24"/>
    <x v="2"/>
  </r>
  <r>
    <x v="6"/>
    <x v="1"/>
    <x v="2"/>
    <x v="0"/>
    <x v="3"/>
    <x v="1"/>
    <x v="0"/>
    <n v="12.25"/>
    <n v="66391.570000000007"/>
    <n v="185526.9"/>
    <x v="2"/>
  </r>
  <r>
    <x v="6"/>
    <x v="1"/>
    <x v="2"/>
    <x v="0"/>
    <x v="28"/>
    <x v="1"/>
    <x v="0"/>
    <n v="0"/>
    <n v="0"/>
    <n v="0"/>
    <x v="2"/>
  </r>
  <r>
    <x v="6"/>
    <x v="1"/>
    <x v="2"/>
    <x v="0"/>
    <x v="4"/>
    <x v="1"/>
    <x v="0"/>
    <n v="7.41"/>
    <n v="40160.129999999997"/>
    <n v="111214.65"/>
    <x v="2"/>
  </r>
  <r>
    <x v="6"/>
    <x v="1"/>
    <x v="2"/>
    <x v="0"/>
    <x v="5"/>
    <x v="1"/>
    <x v="0"/>
    <n v="2.42"/>
    <n v="13115.72"/>
    <n v="37397.730000000003"/>
    <x v="2"/>
  </r>
  <r>
    <x v="6"/>
    <x v="1"/>
    <x v="2"/>
    <x v="0"/>
    <x v="6"/>
    <x v="1"/>
    <x v="0"/>
    <n v="0"/>
    <n v="0"/>
    <n v="0"/>
    <x v="2"/>
  </r>
  <r>
    <x v="6"/>
    <x v="1"/>
    <x v="2"/>
    <x v="0"/>
    <x v="7"/>
    <x v="1"/>
    <x v="0"/>
    <n v="0"/>
    <n v="0"/>
    <n v="0"/>
    <x v="2"/>
  </r>
  <r>
    <x v="6"/>
    <x v="1"/>
    <x v="2"/>
    <x v="0"/>
    <x v="8"/>
    <x v="1"/>
    <x v="0"/>
    <n v="0"/>
    <n v="0"/>
    <n v="0"/>
    <x v="2"/>
  </r>
  <r>
    <x v="6"/>
    <x v="1"/>
    <x v="2"/>
    <x v="1"/>
    <x v="30"/>
    <x v="1"/>
    <x v="0"/>
    <n v="3.74"/>
    <n v="20269.75"/>
    <n v="60354.42"/>
    <x v="2"/>
  </r>
  <r>
    <x v="6"/>
    <x v="1"/>
    <x v="2"/>
    <x v="1"/>
    <x v="9"/>
    <x v="1"/>
    <x v="0"/>
    <n v="0"/>
    <n v="0"/>
    <n v="0"/>
    <x v="2"/>
  </r>
  <r>
    <x v="6"/>
    <x v="1"/>
    <x v="2"/>
    <x v="1"/>
    <x v="31"/>
    <x v="1"/>
    <x v="0"/>
    <n v="1.24"/>
    <n v="6720.45"/>
    <n v="20120.25"/>
    <x v="2"/>
  </r>
  <r>
    <x v="6"/>
    <x v="1"/>
    <x v="2"/>
    <x v="1"/>
    <x v="10"/>
    <x v="1"/>
    <x v="0"/>
    <n v="7.94"/>
    <n v="43032.58"/>
    <n v="126911.92"/>
    <x v="2"/>
  </r>
  <r>
    <x v="6"/>
    <x v="1"/>
    <x v="2"/>
    <x v="1"/>
    <x v="11"/>
    <x v="1"/>
    <x v="0"/>
    <n v="11.05"/>
    <n v="59887.91"/>
    <n v="168257.04"/>
    <x v="2"/>
  </r>
  <r>
    <x v="6"/>
    <x v="1"/>
    <x v="2"/>
    <x v="1"/>
    <x v="12"/>
    <x v="1"/>
    <x v="0"/>
    <n v="0.71"/>
    <n v="3848"/>
    <n v="11399.87"/>
    <x v="2"/>
  </r>
  <r>
    <x v="6"/>
    <x v="1"/>
    <x v="2"/>
    <x v="1"/>
    <x v="13"/>
    <x v="1"/>
    <x v="0"/>
    <n v="2.2599999999999998"/>
    <n v="12248.57"/>
    <n v="36142.089999999997"/>
    <x v="2"/>
  </r>
  <r>
    <x v="6"/>
    <x v="1"/>
    <x v="2"/>
    <x v="1"/>
    <x v="14"/>
    <x v="1"/>
    <x v="0"/>
    <n v="13.45"/>
    <n v="72895.23"/>
    <n v="210549.23"/>
    <x v="2"/>
  </r>
  <r>
    <x v="6"/>
    <x v="1"/>
    <x v="2"/>
    <x v="1"/>
    <x v="15"/>
    <x v="1"/>
    <x v="0"/>
    <n v="1.49"/>
    <n v="8075.38"/>
    <n v="24201.52"/>
    <x v="2"/>
  </r>
  <r>
    <x v="6"/>
    <x v="1"/>
    <x v="2"/>
    <x v="1"/>
    <x v="16"/>
    <x v="1"/>
    <x v="0"/>
    <n v="6.76"/>
    <n v="36637.31"/>
    <n v="104245.63"/>
    <x v="2"/>
  </r>
  <r>
    <x v="6"/>
    <x v="1"/>
    <x v="2"/>
    <x v="1"/>
    <x v="17"/>
    <x v="1"/>
    <x v="0"/>
    <n v="10.99"/>
    <n v="59562.720000000001"/>
    <n v="170952.26"/>
    <x v="2"/>
  </r>
  <r>
    <x v="6"/>
    <x v="1"/>
    <x v="2"/>
    <x v="1"/>
    <x v="18"/>
    <x v="1"/>
    <x v="0"/>
    <n v="5.4"/>
    <n v="29266.49"/>
    <n v="87950.43"/>
    <x v="2"/>
  </r>
  <r>
    <x v="6"/>
    <x v="1"/>
    <x v="2"/>
    <x v="1"/>
    <x v="19"/>
    <x v="1"/>
    <x v="0"/>
    <n v="11.29"/>
    <n v="61188.639999999999"/>
    <n v="178268.89"/>
    <x v="2"/>
  </r>
  <r>
    <x v="6"/>
    <x v="1"/>
    <x v="2"/>
    <x v="1"/>
    <x v="20"/>
    <x v="1"/>
    <x v="0"/>
    <n v="16.03"/>
    <n v="86878.11"/>
    <n v="249148.1"/>
    <x v="2"/>
  </r>
  <r>
    <x v="6"/>
    <x v="1"/>
    <x v="2"/>
    <x v="2"/>
    <x v="21"/>
    <x v="1"/>
    <x v="0"/>
    <n v="0"/>
    <n v="0"/>
    <n v="0"/>
    <x v="2"/>
  </r>
  <r>
    <x v="6"/>
    <x v="1"/>
    <x v="2"/>
    <x v="2"/>
    <x v="22"/>
    <x v="1"/>
    <x v="0"/>
    <n v="9.7799999999999994"/>
    <n v="53004.86"/>
    <n v="139626.04999999999"/>
    <x v="2"/>
  </r>
  <r>
    <x v="6"/>
    <x v="1"/>
    <x v="2"/>
    <x v="2"/>
    <x v="29"/>
    <x v="1"/>
    <x v="0"/>
    <n v="0"/>
    <n v="0"/>
    <n v="0"/>
    <x v="2"/>
  </r>
  <r>
    <x v="6"/>
    <x v="1"/>
    <x v="2"/>
    <x v="2"/>
    <x v="23"/>
    <x v="1"/>
    <x v="0"/>
    <n v="0"/>
    <n v="0"/>
    <n v="0"/>
    <x v="2"/>
  </r>
  <r>
    <x v="6"/>
    <x v="1"/>
    <x v="2"/>
    <x v="2"/>
    <x v="24"/>
    <x v="1"/>
    <x v="0"/>
    <n v="4.32"/>
    <n v="23413.19"/>
    <n v="62820.04"/>
    <x v="2"/>
  </r>
  <r>
    <x v="6"/>
    <x v="1"/>
    <x v="2"/>
    <x v="3"/>
    <x v="25"/>
    <x v="1"/>
    <x v="0"/>
    <n v="7.99"/>
    <n v="43303.56"/>
    <n v="128336.09"/>
    <x v="2"/>
  </r>
  <r>
    <x v="6"/>
    <x v="1"/>
    <x v="2"/>
    <x v="3"/>
    <x v="26"/>
    <x v="1"/>
    <x v="0"/>
    <n v="2.62"/>
    <n v="14199.67"/>
    <n v="42424.29"/>
    <x v="2"/>
  </r>
  <r>
    <x v="6"/>
    <x v="1"/>
    <x v="2"/>
    <x v="3"/>
    <x v="27"/>
    <x v="1"/>
    <x v="0"/>
    <n v="13.5"/>
    <n v="73166.22"/>
    <n v="214155.88"/>
    <x v="2"/>
  </r>
  <r>
    <x v="6"/>
    <x v="1"/>
    <x v="2"/>
    <x v="0"/>
    <x v="0"/>
    <x v="1"/>
    <x v="1"/>
    <n v="13.66"/>
    <n v="74033.38"/>
    <n v="209355.44"/>
    <x v="2"/>
  </r>
  <r>
    <x v="6"/>
    <x v="1"/>
    <x v="2"/>
    <x v="0"/>
    <x v="1"/>
    <x v="1"/>
    <x v="1"/>
    <n v="20.49"/>
    <n v="111050.06"/>
    <n v="308753.76"/>
    <x v="2"/>
  </r>
  <r>
    <x v="6"/>
    <x v="1"/>
    <x v="2"/>
    <x v="0"/>
    <x v="2"/>
    <x v="1"/>
    <x v="1"/>
    <n v="17.79"/>
    <n v="96416.82"/>
    <n v="258985.89"/>
    <x v="2"/>
  </r>
  <r>
    <x v="6"/>
    <x v="1"/>
    <x v="2"/>
    <x v="0"/>
    <x v="3"/>
    <x v="1"/>
    <x v="1"/>
    <n v="25.55"/>
    <n v="138473.85"/>
    <n v="386891.47"/>
    <x v="2"/>
  </r>
  <r>
    <x v="6"/>
    <x v="1"/>
    <x v="2"/>
    <x v="0"/>
    <x v="28"/>
    <x v="1"/>
    <x v="1"/>
    <n v="5.56"/>
    <n v="30133.64"/>
    <n v="85168.59"/>
    <x v="2"/>
  </r>
  <r>
    <x v="6"/>
    <x v="1"/>
    <x v="2"/>
    <x v="0"/>
    <x v="4"/>
    <x v="1"/>
    <x v="1"/>
    <n v="6.63"/>
    <n v="35932.74"/>
    <n v="99438.98"/>
    <x v="2"/>
  </r>
  <r>
    <x v="6"/>
    <x v="1"/>
    <x v="2"/>
    <x v="0"/>
    <x v="5"/>
    <x v="1"/>
    <x v="1"/>
    <n v="18.850000000000001"/>
    <n v="102161.72"/>
    <n v="291168.05"/>
    <x v="2"/>
  </r>
  <r>
    <x v="6"/>
    <x v="1"/>
    <x v="2"/>
    <x v="0"/>
    <x v="6"/>
    <x v="1"/>
    <x v="1"/>
    <n v="3.23"/>
    <n v="17505.7"/>
    <n v="49755.89"/>
    <x v="2"/>
  </r>
  <r>
    <x v="6"/>
    <x v="1"/>
    <x v="2"/>
    <x v="0"/>
    <x v="7"/>
    <x v="1"/>
    <x v="1"/>
    <n v="4.4400000000000004"/>
    <n v="24063.56"/>
    <n v="69522.52"/>
    <x v="2"/>
  </r>
  <r>
    <x v="6"/>
    <x v="1"/>
    <x v="2"/>
    <x v="0"/>
    <x v="8"/>
    <x v="1"/>
    <x v="1"/>
    <n v="4.58"/>
    <n v="24822.32"/>
    <n v="68370.36"/>
    <x v="2"/>
  </r>
  <r>
    <x v="6"/>
    <x v="1"/>
    <x v="2"/>
    <x v="1"/>
    <x v="30"/>
    <x v="1"/>
    <x v="1"/>
    <n v="0"/>
    <n v="0"/>
    <n v="0"/>
    <x v="2"/>
  </r>
  <r>
    <x v="6"/>
    <x v="1"/>
    <x v="2"/>
    <x v="1"/>
    <x v="9"/>
    <x v="1"/>
    <x v="1"/>
    <n v="10.38"/>
    <n v="56256.69"/>
    <n v="167365.42000000001"/>
    <x v="2"/>
  </r>
  <r>
    <x v="6"/>
    <x v="1"/>
    <x v="2"/>
    <x v="1"/>
    <x v="31"/>
    <x v="1"/>
    <x v="1"/>
    <n v="0"/>
    <n v="0"/>
    <n v="0"/>
    <x v="2"/>
  </r>
  <r>
    <x v="6"/>
    <x v="1"/>
    <x v="2"/>
    <x v="1"/>
    <x v="10"/>
    <x v="1"/>
    <x v="1"/>
    <n v="35.69"/>
    <n v="193429.81"/>
    <n v="570406.31000000006"/>
    <x v="2"/>
  </r>
  <r>
    <x v="6"/>
    <x v="1"/>
    <x v="2"/>
    <x v="1"/>
    <x v="11"/>
    <x v="1"/>
    <x v="1"/>
    <n v="32.44"/>
    <n v="175815.72"/>
    <n v="494172.24"/>
    <x v="2"/>
  </r>
  <r>
    <x v="6"/>
    <x v="1"/>
    <x v="2"/>
    <x v="1"/>
    <x v="12"/>
    <x v="1"/>
    <x v="1"/>
    <n v="3.38"/>
    <n v="18318.650000000001"/>
    <n v="54149.39"/>
    <x v="2"/>
  </r>
  <r>
    <x v="6"/>
    <x v="1"/>
    <x v="2"/>
    <x v="1"/>
    <x v="13"/>
    <x v="1"/>
    <x v="1"/>
    <n v="14.72"/>
    <n v="79778.28"/>
    <n v="234923.58"/>
    <x v="2"/>
  </r>
  <r>
    <x v="6"/>
    <x v="1"/>
    <x v="2"/>
    <x v="1"/>
    <x v="14"/>
    <x v="1"/>
    <x v="1"/>
    <n v="8.6300000000000008"/>
    <n v="46772.18"/>
    <n v="135111.79999999999"/>
    <x v="2"/>
  </r>
  <r>
    <x v="6"/>
    <x v="1"/>
    <x v="2"/>
    <x v="1"/>
    <x v="15"/>
    <x v="1"/>
    <x v="1"/>
    <n v="1.58"/>
    <n v="8563.16"/>
    <n v="25625.14"/>
    <x v="2"/>
  </r>
  <r>
    <x v="6"/>
    <x v="1"/>
    <x v="2"/>
    <x v="1"/>
    <x v="16"/>
    <x v="1"/>
    <x v="1"/>
    <n v="11.5"/>
    <n v="62326.78"/>
    <n v="177352.95"/>
    <x v="2"/>
  </r>
  <r>
    <x v="6"/>
    <x v="1"/>
    <x v="2"/>
    <x v="1"/>
    <x v="17"/>
    <x v="1"/>
    <x v="1"/>
    <n v="5.89"/>
    <n v="31922.15"/>
    <n v="91644.51"/>
    <x v="2"/>
  </r>
  <r>
    <x v="6"/>
    <x v="1"/>
    <x v="2"/>
    <x v="1"/>
    <x v="18"/>
    <x v="1"/>
    <x v="1"/>
    <n v="22.96"/>
    <n v="124436.77"/>
    <n v="374030.94"/>
    <x v="2"/>
  </r>
  <r>
    <x v="6"/>
    <x v="1"/>
    <x v="2"/>
    <x v="1"/>
    <x v="19"/>
    <x v="1"/>
    <x v="1"/>
    <n v="17.23"/>
    <n v="93381.78"/>
    <n v="272240.08"/>
    <x v="2"/>
  </r>
  <r>
    <x v="6"/>
    <x v="1"/>
    <x v="2"/>
    <x v="1"/>
    <x v="20"/>
    <x v="1"/>
    <x v="1"/>
    <n v="30.94"/>
    <n v="167686.14000000001"/>
    <n v="480788.49"/>
    <x v="2"/>
  </r>
  <r>
    <x v="6"/>
    <x v="1"/>
    <x v="2"/>
    <x v="2"/>
    <x v="21"/>
    <x v="1"/>
    <x v="1"/>
    <n v="3.31"/>
    <n v="17939.27"/>
    <n v="47305.23"/>
    <x v="2"/>
  </r>
  <r>
    <x v="6"/>
    <x v="1"/>
    <x v="2"/>
    <x v="2"/>
    <x v="22"/>
    <x v="1"/>
    <x v="1"/>
    <n v="21.01"/>
    <n v="113868.32"/>
    <n v="299892.46999999997"/>
    <x v="2"/>
  </r>
  <r>
    <x v="6"/>
    <x v="1"/>
    <x v="2"/>
    <x v="2"/>
    <x v="29"/>
    <x v="1"/>
    <x v="1"/>
    <n v="3.7"/>
    <n v="20052.96"/>
    <n v="56105.47"/>
    <x v="2"/>
  </r>
  <r>
    <x v="6"/>
    <x v="1"/>
    <x v="2"/>
    <x v="2"/>
    <x v="23"/>
    <x v="1"/>
    <x v="1"/>
    <n v="2.36"/>
    <n v="12790.54"/>
    <n v="35114.839999999997"/>
    <x v="2"/>
  </r>
  <r>
    <x v="6"/>
    <x v="1"/>
    <x v="2"/>
    <x v="2"/>
    <x v="24"/>
    <x v="1"/>
    <x v="1"/>
    <n v="3.03"/>
    <n v="16421.75"/>
    <n v="43974.03"/>
    <x v="2"/>
  </r>
  <r>
    <x v="6"/>
    <x v="1"/>
    <x v="2"/>
    <x v="3"/>
    <x v="25"/>
    <x v="1"/>
    <x v="1"/>
    <n v="10.81"/>
    <n v="58587.17"/>
    <n v="173465.27"/>
    <x v="2"/>
  </r>
  <r>
    <x v="6"/>
    <x v="1"/>
    <x v="2"/>
    <x v="3"/>
    <x v="26"/>
    <x v="1"/>
    <x v="1"/>
    <n v="25.11"/>
    <n v="136089.17000000001"/>
    <n v="406061.11"/>
    <x v="2"/>
  </r>
  <r>
    <x v="6"/>
    <x v="1"/>
    <x v="2"/>
    <x v="3"/>
    <x v="27"/>
    <x v="1"/>
    <x v="1"/>
    <n v="37.58"/>
    <n v="203673.08"/>
    <n v="596199.41"/>
    <x v="2"/>
  </r>
  <r>
    <x v="6"/>
    <x v="1"/>
    <x v="3"/>
    <x v="0"/>
    <x v="0"/>
    <x v="0"/>
    <x v="0"/>
    <n v="2.14"/>
    <n v="12890.93"/>
    <n v="58895.91"/>
    <x v="2"/>
  </r>
  <r>
    <x v="6"/>
    <x v="1"/>
    <x v="3"/>
    <x v="0"/>
    <x v="1"/>
    <x v="0"/>
    <x v="0"/>
    <n v="4.83"/>
    <n v="29094.95"/>
    <n v="132771.39000000001"/>
    <x v="2"/>
  </r>
  <r>
    <x v="6"/>
    <x v="1"/>
    <x v="3"/>
    <x v="0"/>
    <x v="2"/>
    <x v="0"/>
    <x v="0"/>
    <n v="0"/>
    <n v="0"/>
    <n v="0"/>
    <x v="2"/>
  </r>
  <r>
    <x v="6"/>
    <x v="1"/>
    <x v="3"/>
    <x v="0"/>
    <x v="3"/>
    <x v="0"/>
    <x v="0"/>
    <n v="2.04"/>
    <n v="12288.55"/>
    <n v="55943.66"/>
    <x v="2"/>
  </r>
  <r>
    <x v="6"/>
    <x v="1"/>
    <x v="3"/>
    <x v="0"/>
    <x v="4"/>
    <x v="0"/>
    <x v="0"/>
    <n v="0"/>
    <n v="0"/>
    <n v="0"/>
    <x v="2"/>
  </r>
  <r>
    <x v="6"/>
    <x v="1"/>
    <x v="3"/>
    <x v="0"/>
    <x v="5"/>
    <x v="0"/>
    <x v="0"/>
    <n v="0"/>
    <n v="0"/>
    <n v="0"/>
    <x v="2"/>
  </r>
  <r>
    <x v="6"/>
    <x v="1"/>
    <x v="3"/>
    <x v="0"/>
    <x v="6"/>
    <x v="0"/>
    <x v="0"/>
    <n v="0"/>
    <n v="0"/>
    <n v="0"/>
    <x v="2"/>
  </r>
  <r>
    <x v="6"/>
    <x v="1"/>
    <x v="3"/>
    <x v="0"/>
    <x v="8"/>
    <x v="0"/>
    <x v="0"/>
    <n v="0"/>
    <n v="0"/>
    <n v="0"/>
    <x v="2"/>
  </r>
  <r>
    <x v="6"/>
    <x v="1"/>
    <x v="3"/>
    <x v="1"/>
    <x v="10"/>
    <x v="0"/>
    <x v="0"/>
    <n v="1.91"/>
    <n v="11505.46"/>
    <n v="52626.35"/>
    <x v="2"/>
  </r>
  <r>
    <x v="6"/>
    <x v="1"/>
    <x v="3"/>
    <x v="1"/>
    <x v="11"/>
    <x v="0"/>
    <x v="0"/>
    <n v="0"/>
    <n v="0"/>
    <n v="0"/>
    <x v="2"/>
  </r>
  <r>
    <x v="6"/>
    <x v="1"/>
    <x v="3"/>
    <x v="1"/>
    <x v="13"/>
    <x v="0"/>
    <x v="0"/>
    <n v="0"/>
    <n v="0"/>
    <n v="0"/>
    <x v="2"/>
  </r>
  <r>
    <x v="6"/>
    <x v="1"/>
    <x v="3"/>
    <x v="1"/>
    <x v="14"/>
    <x v="0"/>
    <x v="0"/>
    <n v="0"/>
    <n v="0"/>
    <n v="0"/>
    <x v="2"/>
  </r>
  <r>
    <x v="6"/>
    <x v="1"/>
    <x v="3"/>
    <x v="1"/>
    <x v="16"/>
    <x v="0"/>
    <x v="0"/>
    <n v="0"/>
    <n v="0"/>
    <n v="0"/>
    <x v="2"/>
  </r>
  <r>
    <x v="6"/>
    <x v="1"/>
    <x v="3"/>
    <x v="1"/>
    <x v="17"/>
    <x v="0"/>
    <x v="0"/>
    <n v="0"/>
    <n v="0"/>
    <n v="0"/>
    <x v="2"/>
  </r>
  <r>
    <x v="6"/>
    <x v="1"/>
    <x v="3"/>
    <x v="1"/>
    <x v="18"/>
    <x v="0"/>
    <x v="0"/>
    <n v="0"/>
    <n v="0"/>
    <n v="0"/>
    <x v="2"/>
  </r>
  <r>
    <x v="6"/>
    <x v="1"/>
    <x v="3"/>
    <x v="1"/>
    <x v="19"/>
    <x v="0"/>
    <x v="0"/>
    <n v="0"/>
    <n v="0"/>
    <n v="0"/>
    <x v="2"/>
  </r>
  <r>
    <x v="6"/>
    <x v="1"/>
    <x v="3"/>
    <x v="1"/>
    <x v="20"/>
    <x v="0"/>
    <x v="0"/>
    <n v="2.4"/>
    <n v="14457.12"/>
    <n v="65921.820000000007"/>
    <x v="2"/>
  </r>
  <r>
    <x v="6"/>
    <x v="1"/>
    <x v="3"/>
    <x v="2"/>
    <x v="21"/>
    <x v="0"/>
    <x v="0"/>
    <n v="3.35"/>
    <n v="20179.73"/>
    <n v="91937.84"/>
    <x v="2"/>
  </r>
  <r>
    <x v="6"/>
    <x v="1"/>
    <x v="3"/>
    <x v="2"/>
    <x v="22"/>
    <x v="0"/>
    <x v="0"/>
    <n v="0"/>
    <n v="0"/>
    <n v="0"/>
    <x v="2"/>
  </r>
  <r>
    <x v="6"/>
    <x v="1"/>
    <x v="3"/>
    <x v="2"/>
    <x v="29"/>
    <x v="0"/>
    <x v="0"/>
    <n v="0"/>
    <n v="0"/>
    <n v="0"/>
    <x v="2"/>
  </r>
  <r>
    <x v="6"/>
    <x v="1"/>
    <x v="3"/>
    <x v="2"/>
    <x v="24"/>
    <x v="0"/>
    <x v="0"/>
    <n v="0"/>
    <n v="0"/>
    <n v="0"/>
    <x v="2"/>
  </r>
  <r>
    <x v="6"/>
    <x v="1"/>
    <x v="3"/>
    <x v="3"/>
    <x v="25"/>
    <x v="0"/>
    <x v="0"/>
    <n v="0"/>
    <n v="0"/>
    <n v="0"/>
    <x v="2"/>
  </r>
  <r>
    <x v="6"/>
    <x v="1"/>
    <x v="3"/>
    <x v="3"/>
    <x v="26"/>
    <x v="0"/>
    <x v="0"/>
    <n v="3.07"/>
    <n v="18493.07"/>
    <n v="84274.82"/>
    <x v="2"/>
  </r>
  <r>
    <x v="6"/>
    <x v="1"/>
    <x v="3"/>
    <x v="3"/>
    <x v="27"/>
    <x v="0"/>
    <x v="0"/>
    <n v="1.94"/>
    <n v="11686.17"/>
    <n v="53186.07"/>
    <x v="2"/>
  </r>
  <r>
    <x v="6"/>
    <x v="1"/>
    <x v="3"/>
    <x v="0"/>
    <x v="0"/>
    <x v="0"/>
    <x v="1"/>
    <n v="2.33"/>
    <n v="14035.45"/>
    <n v="64017.29"/>
    <x v="2"/>
  </r>
  <r>
    <x v="6"/>
    <x v="1"/>
    <x v="3"/>
    <x v="0"/>
    <x v="1"/>
    <x v="0"/>
    <x v="1"/>
    <n v="7.16"/>
    <n v="43130.41"/>
    <n v="196825.04"/>
    <x v="2"/>
  </r>
  <r>
    <x v="6"/>
    <x v="1"/>
    <x v="3"/>
    <x v="0"/>
    <x v="2"/>
    <x v="0"/>
    <x v="1"/>
    <n v="6.08"/>
    <n v="36624.699999999997"/>
    <n v="167080.72"/>
    <x v="2"/>
  </r>
  <r>
    <x v="6"/>
    <x v="1"/>
    <x v="3"/>
    <x v="0"/>
    <x v="3"/>
    <x v="0"/>
    <x v="1"/>
    <n v="9.07"/>
    <n v="54635.87"/>
    <n v="249203.58"/>
    <x v="2"/>
  </r>
  <r>
    <x v="6"/>
    <x v="1"/>
    <x v="3"/>
    <x v="0"/>
    <x v="4"/>
    <x v="0"/>
    <x v="1"/>
    <n v="2.0499999999999998"/>
    <n v="12348.79"/>
    <n v="56236.67"/>
    <x v="2"/>
  </r>
  <r>
    <x v="6"/>
    <x v="1"/>
    <x v="3"/>
    <x v="0"/>
    <x v="5"/>
    <x v="0"/>
    <x v="1"/>
    <n v="4.8899999999999997"/>
    <n v="29456.38"/>
    <n v="134478.92000000001"/>
    <x v="2"/>
  </r>
  <r>
    <x v="6"/>
    <x v="1"/>
    <x v="3"/>
    <x v="0"/>
    <x v="6"/>
    <x v="0"/>
    <x v="1"/>
    <n v="2.4900000000000002"/>
    <n v="14999.26"/>
    <n v="68444.710000000006"/>
    <x v="2"/>
  </r>
  <r>
    <x v="6"/>
    <x v="1"/>
    <x v="3"/>
    <x v="0"/>
    <x v="8"/>
    <x v="0"/>
    <x v="1"/>
    <n v="3.02"/>
    <n v="18191.88"/>
    <n v="82896.41"/>
    <x v="2"/>
  </r>
  <r>
    <x v="6"/>
    <x v="1"/>
    <x v="3"/>
    <x v="1"/>
    <x v="10"/>
    <x v="0"/>
    <x v="1"/>
    <n v="4.74"/>
    <n v="28552.81"/>
    <n v="130312.87"/>
    <x v="2"/>
  </r>
  <r>
    <x v="6"/>
    <x v="1"/>
    <x v="3"/>
    <x v="1"/>
    <x v="11"/>
    <x v="0"/>
    <x v="1"/>
    <n v="13.95"/>
    <n v="84032.01"/>
    <n v="383505.71"/>
    <x v="2"/>
  </r>
  <r>
    <x v="6"/>
    <x v="1"/>
    <x v="3"/>
    <x v="1"/>
    <x v="13"/>
    <x v="0"/>
    <x v="1"/>
    <n v="5.64"/>
    <n v="33974.230000000003"/>
    <n v="154917.73000000001"/>
    <x v="2"/>
  </r>
  <r>
    <x v="6"/>
    <x v="1"/>
    <x v="3"/>
    <x v="1"/>
    <x v="14"/>
    <x v="0"/>
    <x v="1"/>
    <n v="1.93"/>
    <n v="11625.93"/>
    <n v="53096.76"/>
    <x v="2"/>
  </r>
  <r>
    <x v="6"/>
    <x v="1"/>
    <x v="3"/>
    <x v="1"/>
    <x v="16"/>
    <x v="0"/>
    <x v="1"/>
    <n v="2.2999999999999998"/>
    <n v="13854.74"/>
    <n v="63239.839999999997"/>
    <x v="2"/>
  </r>
  <r>
    <x v="6"/>
    <x v="1"/>
    <x v="3"/>
    <x v="1"/>
    <x v="17"/>
    <x v="0"/>
    <x v="1"/>
    <n v="1.74"/>
    <n v="10481.41"/>
    <n v="47778.44"/>
    <x v="2"/>
  </r>
  <r>
    <x v="6"/>
    <x v="1"/>
    <x v="3"/>
    <x v="1"/>
    <x v="18"/>
    <x v="0"/>
    <x v="1"/>
    <n v="16.46"/>
    <n v="99151.75"/>
    <n v="452382.3"/>
    <x v="2"/>
  </r>
  <r>
    <x v="6"/>
    <x v="1"/>
    <x v="3"/>
    <x v="1"/>
    <x v="19"/>
    <x v="0"/>
    <x v="1"/>
    <n v="4.67"/>
    <n v="28131.15"/>
    <n v="128357.45"/>
    <x v="2"/>
  </r>
  <r>
    <x v="6"/>
    <x v="1"/>
    <x v="3"/>
    <x v="1"/>
    <x v="20"/>
    <x v="0"/>
    <x v="1"/>
    <n v="12.55"/>
    <n v="75598.69"/>
    <n v="344821.81"/>
    <x v="2"/>
  </r>
  <r>
    <x v="6"/>
    <x v="1"/>
    <x v="3"/>
    <x v="2"/>
    <x v="21"/>
    <x v="0"/>
    <x v="1"/>
    <n v="0"/>
    <n v="0"/>
    <n v="0"/>
    <x v="2"/>
  </r>
  <r>
    <x v="6"/>
    <x v="1"/>
    <x v="3"/>
    <x v="2"/>
    <x v="22"/>
    <x v="0"/>
    <x v="1"/>
    <n v="5.71"/>
    <n v="34395.9"/>
    <n v="156847.84"/>
    <x v="2"/>
  </r>
  <r>
    <x v="6"/>
    <x v="1"/>
    <x v="3"/>
    <x v="2"/>
    <x v="29"/>
    <x v="0"/>
    <x v="1"/>
    <n v="3.47"/>
    <n v="20902.59"/>
    <n v="95315.05"/>
    <x v="2"/>
  </r>
  <r>
    <x v="6"/>
    <x v="1"/>
    <x v="3"/>
    <x v="2"/>
    <x v="24"/>
    <x v="0"/>
    <x v="1"/>
    <n v="2.5299999999999998"/>
    <n v="15240.21"/>
    <n v="69496.75"/>
    <x v="2"/>
  </r>
  <r>
    <x v="6"/>
    <x v="1"/>
    <x v="3"/>
    <x v="3"/>
    <x v="25"/>
    <x v="0"/>
    <x v="1"/>
    <n v="2.78"/>
    <n v="16746.16"/>
    <n v="76459.5"/>
    <x v="2"/>
  </r>
  <r>
    <x v="6"/>
    <x v="1"/>
    <x v="3"/>
    <x v="3"/>
    <x v="26"/>
    <x v="0"/>
    <x v="1"/>
    <n v="2.97"/>
    <n v="17890.689999999999"/>
    <n v="81721.039999999994"/>
    <x v="2"/>
  </r>
  <r>
    <x v="6"/>
    <x v="1"/>
    <x v="3"/>
    <x v="3"/>
    <x v="27"/>
    <x v="0"/>
    <x v="1"/>
    <n v="8.31"/>
    <n v="50057.78"/>
    <n v="228256.87"/>
    <x v="2"/>
  </r>
  <r>
    <x v="6"/>
    <x v="1"/>
    <x v="3"/>
    <x v="0"/>
    <x v="0"/>
    <x v="1"/>
    <x v="0"/>
    <n v="4.6100000000000003"/>
    <n v="27769.72"/>
    <n v="82894.880000000005"/>
    <x v="2"/>
  </r>
  <r>
    <x v="6"/>
    <x v="1"/>
    <x v="3"/>
    <x v="0"/>
    <x v="1"/>
    <x v="1"/>
    <x v="0"/>
    <n v="12.79"/>
    <n v="77044.399999999994"/>
    <n v="226026.13"/>
    <x v="2"/>
  </r>
  <r>
    <x v="6"/>
    <x v="1"/>
    <x v="3"/>
    <x v="0"/>
    <x v="2"/>
    <x v="1"/>
    <x v="0"/>
    <n v="4.7699999999999996"/>
    <n v="28733.53"/>
    <n v="81484.08"/>
    <x v="2"/>
  </r>
  <r>
    <x v="6"/>
    <x v="1"/>
    <x v="3"/>
    <x v="0"/>
    <x v="3"/>
    <x v="1"/>
    <x v="0"/>
    <n v="10.220000000000001"/>
    <n v="61563.24"/>
    <n v="181531.76"/>
    <x v="2"/>
  </r>
  <r>
    <x v="6"/>
    <x v="1"/>
    <x v="3"/>
    <x v="0"/>
    <x v="28"/>
    <x v="1"/>
    <x v="0"/>
    <n v="0"/>
    <n v="0"/>
    <n v="0"/>
    <x v="2"/>
  </r>
  <r>
    <x v="6"/>
    <x v="1"/>
    <x v="3"/>
    <x v="0"/>
    <x v="4"/>
    <x v="1"/>
    <x v="0"/>
    <n v="6.93"/>
    <n v="41744.93"/>
    <n v="121920.17"/>
    <x v="2"/>
  </r>
  <r>
    <x v="6"/>
    <x v="1"/>
    <x v="3"/>
    <x v="0"/>
    <x v="5"/>
    <x v="1"/>
    <x v="0"/>
    <n v="3.04"/>
    <n v="18312.349999999999"/>
    <n v="55102.879999999997"/>
    <x v="2"/>
  </r>
  <r>
    <x v="6"/>
    <x v="1"/>
    <x v="3"/>
    <x v="0"/>
    <x v="6"/>
    <x v="1"/>
    <x v="0"/>
    <n v="0"/>
    <n v="0"/>
    <n v="0"/>
    <x v="2"/>
  </r>
  <r>
    <x v="6"/>
    <x v="1"/>
    <x v="3"/>
    <x v="0"/>
    <x v="7"/>
    <x v="1"/>
    <x v="0"/>
    <n v="0"/>
    <n v="0"/>
    <n v="0"/>
    <x v="2"/>
  </r>
  <r>
    <x v="6"/>
    <x v="1"/>
    <x v="3"/>
    <x v="0"/>
    <x v="8"/>
    <x v="1"/>
    <x v="0"/>
    <n v="0"/>
    <n v="0"/>
    <n v="0"/>
    <x v="2"/>
  </r>
  <r>
    <x v="6"/>
    <x v="1"/>
    <x v="3"/>
    <x v="1"/>
    <x v="30"/>
    <x v="1"/>
    <x v="0"/>
    <n v="5.67"/>
    <n v="34154.949999999997"/>
    <n v="107405.41"/>
    <x v="2"/>
  </r>
  <r>
    <x v="6"/>
    <x v="1"/>
    <x v="3"/>
    <x v="1"/>
    <x v="9"/>
    <x v="1"/>
    <x v="0"/>
    <n v="0"/>
    <n v="0"/>
    <n v="0"/>
    <x v="2"/>
  </r>
  <r>
    <x v="6"/>
    <x v="1"/>
    <x v="3"/>
    <x v="1"/>
    <x v="31"/>
    <x v="1"/>
    <x v="0"/>
    <n v="2.09"/>
    <n v="12589.74"/>
    <n v="39978.519999999997"/>
    <x v="2"/>
  </r>
  <r>
    <x v="6"/>
    <x v="1"/>
    <x v="3"/>
    <x v="1"/>
    <x v="10"/>
    <x v="1"/>
    <x v="0"/>
    <n v="11.46"/>
    <n v="69032.75"/>
    <n v="214749.48"/>
    <x v="2"/>
  </r>
  <r>
    <x v="6"/>
    <x v="1"/>
    <x v="3"/>
    <x v="1"/>
    <x v="11"/>
    <x v="1"/>
    <x v="0"/>
    <n v="8.48"/>
    <n v="51081.82"/>
    <n v="151423.72"/>
    <x v="2"/>
  </r>
  <r>
    <x v="6"/>
    <x v="1"/>
    <x v="3"/>
    <x v="1"/>
    <x v="12"/>
    <x v="1"/>
    <x v="0"/>
    <n v="1.59"/>
    <n v="9577.84"/>
    <n v="29924.45"/>
    <x v="2"/>
  </r>
  <r>
    <x v="6"/>
    <x v="1"/>
    <x v="3"/>
    <x v="1"/>
    <x v="13"/>
    <x v="1"/>
    <x v="0"/>
    <n v="2.2400000000000002"/>
    <n v="13493.31"/>
    <n v="41953.55"/>
    <x v="2"/>
  </r>
  <r>
    <x v="6"/>
    <x v="1"/>
    <x v="3"/>
    <x v="1"/>
    <x v="14"/>
    <x v="1"/>
    <x v="0"/>
    <n v="20.05"/>
    <n v="120777.19"/>
    <n v="368015.52"/>
    <x v="2"/>
  </r>
  <r>
    <x v="6"/>
    <x v="1"/>
    <x v="3"/>
    <x v="1"/>
    <x v="15"/>
    <x v="1"/>
    <x v="0"/>
    <n v="1.84"/>
    <n v="11083.79"/>
    <n v="35029.300000000003"/>
    <x v="2"/>
  </r>
  <r>
    <x v="6"/>
    <x v="1"/>
    <x v="3"/>
    <x v="1"/>
    <x v="16"/>
    <x v="1"/>
    <x v="0"/>
    <n v="4.95"/>
    <n v="29817.81"/>
    <n v="89446.54"/>
    <x v="2"/>
  </r>
  <r>
    <x v="6"/>
    <x v="1"/>
    <x v="3"/>
    <x v="1"/>
    <x v="17"/>
    <x v="1"/>
    <x v="0"/>
    <n v="6.38"/>
    <n v="38431.839999999997"/>
    <n v="116388.83"/>
    <x v="2"/>
  </r>
  <r>
    <x v="6"/>
    <x v="1"/>
    <x v="3"/>
    <x v="1"/>
    <x v="18"/>
    <x v="1"/>
    <x v="0"/>
    <n v="4.5199999999999996"/>
    <n v="27227.58"/>
    <n v="86335.06"/>
    <x v="2"/>
  </r>
  <r>
    <x v="6"/>
    <x v="1"/>
    <x v="3"/>
    <x v="1"/>
    <x v="19"/>
    <x v="1"/>
    <x v="0"/>
    <n v="11.08"/>
    <n v="66743.7"/>
    <n v="205189.45"/>
    <x v="2"/>
  </r>
  <r>
    <x v="6"/>
    <x v="1"/>
    <x v="3"/>
    <x v="1"/>
    <x v="20"/>
    <x v="1"/>
    <x v="0"/>
    <n v="13.88"/>
    <n v="83610.34"/>
    <n v="252937.14"/>
    <x v="2"/>
  </r>
  <r>
    <x v="6"/>
    <x v="1"/>
    <x v="3"/>
    <x v="2"/>
    <x v="21"/>
    <x v="1"/>
    <x v="0"/>
    <n v="0"/>
    <n v="0"/>
    <n v="0"/>
    <x v="2"/>
  </r>
  <r>
    <x v="6"/>
    <x v="1"/>
    <x v="3"/>
    <x v="2"/>
    <x v="22"/>
    <x v="1"/>
    <x v="0"/>
    <n v="6.51"/>
    <n v="39214.94"/>
    <n v="109027.43"/>
    <x v="2"/>
  </r>
  <r>
    <x v="6"/>
    <x v="1"/>
    <x v="3"/>
    <x v="2"/>
    <x v="29"/>
    <x v="1"/>
    <x v="0"/>
    <n v="0"/>
    <n v="0"/>
    <n v="0"/>
    <x v="2"/>
  </r>
  <r>
    <x v="6"/>
    <x v="1"/>
    <x v="3"/>
    <x v="2"/>
    <x v="23"/>
    <x v="1"/>
    <x v="0"/>
    <n v="0"/>
    <n v="0"/>
    <n v="0"/>
    <x v="2"/>
  </r>
  <r>
    <x v="6"/>
    <x v="1"/>
    <x v="3"/>
    <x v="2"/>
    <x v="24"/>
    <x v="1"/>
    <x v="0"/>
    <n v="2.67"/>
    <n v="16083.55"/>
    <n v="45571.18"/>
    <x v="2"/>
  </r>
  <r>
    <x v="6"/>
    <x v="1"/>
    <x v="3"/>
    <x v="3"/>
    <x v="25"/>
    <x v="1"/>
    <x v="0"/>
    <n v="8.15"/>
    <n v="49093.97"/>
    <n v="153355.64000000001"/>
    <x v="2"/>
  </r>
  <r>
    <x v="6"/>
    <x v="1"/>
    <x v="3"/>
    <x v="3"/>
    <x v="26"/>
    <x v="1"/>
    <x v="0"/>
    <n v="5.86"/>
    <n v="35299.47"/>
    <n v="111133.56"/>
    <x v="2"/>
  </r>
  <r>
    <x v="6"/>
    <x v="1"/>
    <x v="3"/>
    <x v="3"/>
    <x v="27"/>
    <x v="1"/>
    <x v="0"/>
    <n v="15.81"/>
    <n v="95236.28"/>
    <n v="294120.45"/>
    <x v="2"/>
  </r>
  <r>
    <x v="6"/>
    <x v="1"/>
    <x v="3"/>
    <x v="0"/>
    <x v="0"/>
    <x v="1"/>
    <x v="1"/>
    <n v="11.57"/>
    <n v="69695.37"/>
    <n v="208019.22"/>
    <x v="2"/>
  </r>
  <r>
    <x v="6"/>
    <x v="1"/>
    <x v="3"/>
    <x v="0"/>
    <x v="1"/>
    <x v="1"/>
    <x v="1"/>
    <n v="16.7"/>
    <n v="100597.46"/>
    <n v="295129.65999999997"/>
    <x v="2"/>
  </r>
  <r>
    <x v="6"/>
    <x v="1"/>
    <x v="3"/>
    <x v="0"/>
    <x v="2"/>
    <x v="1"/>
    <x v="1"/>
    <n v="17.8"/>
    <n v="107223.64"/>
    <n v="303713.39"/>
    <x v="2"/>
  </r>
  <r>
    <x v="6"/>
    <x v="1"/>
    <x v="3"/>
    <x v="0"/>
    <x v="3"/>
    <x v="1"/>
    <x v="1"/>
    <n v="24.63"/>
    <n v="148366.19"/>
    <n v="437266.28"/>
    <x v="2"/>
  </r>
  <r>
    <x v="6"/>
    <x v="1"/>
    <x v="3"/>
    <x v="0"/>
    <x v="28"/>
    <x v="1"/>
    <x v="1"/>
    <n v="2.63"/>
    <n v="15842.59"/>
    <n v="47284.02"/>
    <x v="2"/>
  </r>
  <r>
    <x v="6"/>
    <x v="1"/>
    <x v="3"/>
    <x v="0"/>
    <x v="4"/>
    <x v="1"/>
    <x v="1"/>
    <n v="10.44"/>
    <n v="62888.47"/>
    <n v="183651.9"/>
    <x v="2"/>
  </r>
  <r>
    <x v="6"/>
    <x v="1"/>
    <x v="3"/>
    <x v="0"/>
    <x v="5"/>
    <x v="1"/>
    <x v="1"/>
    <n v="25.03"/>
    <n v="150775.71"/>
    <n v="453417.97"/>
    <x v="2"/>
  </r>
  <r>
    <x v="6"/>
    <x v="1"/>
    <x v="3"/>
    <x v="0"/>
    <x v="6"/>
    <x v="1"/>
    <x v="1"/>
    <n v="1.27"/>
    <n v="7650.23"/>
    <n v="22974.37"/>
    <x v="2"/>
  </r>
  <r>
    <x v="6"/>
    <x v="1"/>
    <x v="3"/>
    <x v="0"/>
    <x v="7"/>
    <x v="1"/>
    <x v="1"/>
    <n v="4.54"/>
    <n v="27348.05"/>
    <n v="83373.39"/>
    <x v="2"/>
  </r>
  <r>
    <x v="6"/>
    <x v="1"/>
    <x v="3"/>
    <x v="0"/>
    <x v="8"/>
    <x v="1"/>
    <x v="1"/>
    <n v="3.5"/>
    <n v="21083.3"/>
    <n v="61268.83"/>
    <x v="2"/>
  </r>
  <r>
    <x v="6"/>
    <x v="1"/>
    <x v="3"/>
    <x v="1"/>
    <x v="30"/>
    <x v="1"/>
    <x v="1"/>
    <n v="0"/>
    <n v="0"/>
    <n v="0"/>
    <x v="2"/>
  </r>
  <r>
    <x v="6"/>
    <x v="1"/>
    <x v="3"/>
    <x v="1"/>
    <x v="9"/>
    <x v="1"/>
    <x v="1"/>
    <n v="4.72"/>
    <n v="28432.34"/>
    <n v="89279.87"/>
    <x v="2"/>
  </r>
  <r>
    <x v="6"/>
    <x v="1"/>
    <x v="3"/>
    <x v="1"/>
    <x v="31"/>
    <x v="1"/>
    <x v="1"/>
    <n v="0"/>
    <n v="0"/>
    <n v="0"/>
    <x v="2"/>
  </r>
  <r>
    <x v="6"/>
    <x v="1"/>
    <x v="3"/>
    <x v="1"/>
    <x v="10"/>
    <x v="1"/>
    <x v="1"/>
    <n v="31.14"/>
    <n v="187581.13"/>
    <n v="583594"/>
    <x v="2"/>
  </r>
  <r>
    <x v="6"/>
    <x v="1"/>
    <x v="3"/>
    <x v="1"/>
    <x v="11"/>
    <x v="1"/>
    <x v="1"/>
    <n v="30.45"/>
    <n v="183424.71"/>
    <n v="543889.30000000005"/>
    <x v="2"/>
  </r>
  <r>
    <x v="6"/>
    <x v="1"/>
    <x v="3"/>
    <x v="1"/>
    <x v="12"/>
    <x v="1"/>
    <x v="1"/>
    <n v="3.89"/>
    <n v="23432.58"/>
    <n v="73148.639999999999"/>
    <x v="2"/>
  </r>
  <r>
    <x v="6"/>
    <x v="1"/>
    <x v="3"/>
    <x v="1"/>
    <x v="13"/>
    <x v="1"/>
    <x v="1"/>
    <n v="11.55"/>
    <n v="69574.89"/>
    <n v="216222.12"/>
    <x v="2"/>
  </r>
  <r>
    <x v="6"/>
    <x v="1"/>
    <x v="3"/>
    <x v="1"/>
    <x v="14"/>
    <x v="1"/>
    <x v="1"/>
    <n v="10.46"/>
    <n v="63008.95"/>
    <n v="192108.73"/>
    <x v="2"/>
  </r>
  <r>
    <x v="6"/>
    <x v="1"/>
    <x v="3"/>
    <x v="1"/>
    <x v="15"/>
    <x v="1"/>
    <x v="1"/>
    <n v="2.2799999999999998"/>
    <n v="13734.26"/>
    <n v="43369.61"/>
    <x v="2"/>
  </r>
  <r>
    <x v="6"/>
    <x v="1"/>
    <x v="3"/>
    <x v="1"/>
    <x v="16"/>
    <x v="1"/>
    <x v="1"/>
    <n v="9.89"/>
    <n v="59575.38"/>
    <n v="178893.08"/>
    <x v="2"/>
  </r>
  <r>
    <x v="6"/>
    <x v="1"/>
    <x v="3"/>
    <x v="1"/>
    <x v="17"/>
    <x v="1"/>
    <x v="1"/>
    <n v="3.79"/>
    <n v="22830.2"/>
    <n v="69204.17"/>
    <x v="2"/>
  </r>
  <r>
    <x v="6"/>
    <x v="1"/>
    <x v="3"/>
    <x v="1"/>
    <x v="18"/>
    <x v="1"/>
    <x v="1"/>
    <n v="19.93"/>
    <n v="120054.33"/>
    <n v="380659.11"/>
    <x v="2"/>
  </r>
  <r>
    <x v="6"/>
    <x v="1"/>
    <x v="3"/>
    <x v="1"/>
    <x v="19"/>
    <x v="1"/>
    <x v="1"/>
    <n v="14.48"/>
    <n v="87224.62"/>
    <n v="268200.38"/>
    <x v="2"/>
  </r>
  <r>
    <x v="6"/>
    <x v="1"/>
    <x v="3"/>
    <x v="1"/>
    <x v="20"/>
    <x v="1"/>
    <x v="1"/>
    <n v="25.78"/>
    <n v="155293.56"/>
    <n v="469740.4"/>
    <x v="2"/>
  </r>
  <r>
    <x v="6"/>
    <x v="1"/>
    <x v="3"/>
    <x v="2"/>
    <x v="21"/>
    <x v="1"/>
    <x v="1"/>
    <n v="2.58"/>
    <n v="15541.4"/>
    <n v="43186.5"/>
    <x v="2"/>
  </r>
  <r>
    <x v="6"/>
    <x v="1"/>
    <x v="3"/>
    <x v="2"/>
    <x v="22"/>
    <x v="1"/>
    <x v="1"/>
    <n v="13.11"/>
    <n v="78972.02"/>
    <n v="219452.64"/>
    <x v="2"/>
  </r>
  <r>
    <x v="6"/>
    <x v="1"/>
    <x v="3"/>
    <x v="2"/>
    <x v="29"/>
    <x v="1"/>
    <x v="1"/>
    <n v="3.56"/>
    <n v="21444.73"/>
    <n v="63323.67"/>
    <x v="2"/>
  </r>
  <r>
    <x v="6"/>
    <x v="1"/>
    <x v="3"/>
    <x v="2"/>
    <x v="23"/>
    <x v="1"/>
    <x v="1"/>
    <n v="0.8"/>
    <n v="4819.04"/>
    <n v="14026.06"/>
    <x v="2"/>
  </r>
  <r>
    <x v="6"/>
    <x v="1"/>
    <x v="3"/>
    <x v="2"/>
    <x v="24"/>
    <x v="1"/>
    <x v="1"/>
    <n v="2.76"/>
    <n v="16625.689999999999"/>
    <n v="47041.22"/>
    <x v="2"/>
  </r>
  <r>
    <x v="6"/>
    <x v="1"/>
    <x v="3"/>
    <x v="3"/>
    <x v="25"/>
    <x v="1"/>
    <x v="1"/>
    <n v="9.81"/>
    <n v="59093.48"/>
    <n v="184686.37"/>
    <x v="2"/>
  </r>
  <r>
    <x v="6"/>
    <x v="1"/>
    <x v="3"/>
    <x v="3"/>
    <x v="26"/>
    <x v="1"/>
    <x v="1"/>
    <n v="24.4"/>
    <n v="146980.72"/>
    <n v="462780.06"/>
    <x v="2"/>
  </r>
  <r>
    <x v="6"/>
    <x v="1"/>
    <x v="3"/>
    <x v="3"/>
    <x v="27"/>
    <x v="1"/>
    <x v="1"/>
    <n v="31.44"/>
    <n v="189388.27"/>
    <n v="585008.81000000006"/>
    <x v="2"/>
  </r>
  <r>
    <x v="6"/>
    <x v="1"/>
    <x v="4"/>
    <x v="0"/>
    <x v="0"/>
    <x v="0"/>
    <x v="0"/>
    <n v="1.57"/>
    <n v="8277.24"/>
    <n v="38501.919999999998"/>
    <x v="2"/>
  </r>
  <r>
    <x v="6"/>
    <x v="1"/>
    <x v="4"/>
    <x v="0"/>
    <x v="1"/>
    <x v="0"/>
    <x v="0"/>
    <n v="2.81"/>
    <n v="14814.69"/>
    <n v="68849.42"/>
    <x v="2"/>
  </r>
  <r>
    <x v="6"/>
    <x v="1"/>
    <x v="4"/>
    <x v="0"/>
    <x v="2"/>
    <x v="0"/>
    <x v="0"/>
    <n v="0"/>
    <n v="0"/>
    <n v="0"/>
    <x v="2"/>
  </r>
  <r>
    <x v="6"/>
    <x v="1"/>
    <x v="4"/>
    <x v="0"/>
    <x v="3"/>
    <x v="0"/>
    <x v="0"/>
    <n v="1.84"/>
    <n v="9700.7199999999993"/>
    <n v="44971.61"/>
    <x v="2"/>
  </r>
  <r>
    <x v="6"/>
    <x v="1"/>
    <x v="4"/>
    <x v="0"/>
    <x v="4"/>
    <x v="0"/>
    <x v="0"/>
    <n v="0"/>
    <n v="0"/>
    <n v="0"/>
    <x v="2"/>
  </r>
  <r>
    <x v="6"/>
    <x v="1"/>
    <x v="4"/>
    <x v="0"/>
    <x v="5"/>
    <x v="0"/>
    <x v="0"/>
    <n v="0"/>
    <n v="0"/>
    <n v="0"/>
    <x v="2"/>
  </r>
  <r>
    <x v="6"/>
    <x v="1"/>
    <x v="4"/>
    <x v="0"/>
    <x v="6"/>
    <x v="0"/>
    <x v="0"/>
    <n v="0"/>
    <n v="0"/>
    <n v="0"/>
    <x v="2"/>
  </r>
  <r>
    <x v="6"/>
    <x v="1"/>
    <x v="4"/>
    <x v="0"/>
    <x v="8"/>
    <x v="0"/>
    <x v="0"/>
    <n v="0"/>
    <n v="0"/>
    <n v="0"/>
    <x v="2"/>
  </r>
  <r>
    <x v="6"/>
    <x v="1"/>
    <x v="4"/>
    <x v="1"/>
    <x v="10"/>
    <x v="0"/>
    <x v="0"/>
    <n v="0.92"/>
    <n v="4850.3599999999997"/>
    <n v="22439.279999999999"/>
    <x v="2"/>
  </r>
  <r>
    <x v="6"/>
    <x v="1"/>
    <x v="4"/>
    <x v="1"/>
    <x v="11"/>
    <x v="0"/>
    <x v="0"/>
    <n v="0"/>
    <n v="0"/>
    <n v="0"/>
    <x v="2"/>
  </r>
  <r>
    <x v="6"/>
    <x v="1"/>
    <x v="4"/>
    <x v="1"/>
    <x v="13"/>
    <x v="0"/>
    <x v="0"/>
    <n v="0"/>
    <n v="0"/>
    <n v="0"/>
    <x v="2"/>
  </r>
  <r>
    <x v="6"/>
    <x v="1"/>
    <x v="4"/>
    <x v="1"/>
    <x v="14"/>
    <x v="0"/>
    <x v="0"/>
    <n v="0"/>
    <n v="0"/>
    <n v="0"/>
    <x v="2"/>
  </r>
  <r>
    <x v="6"/>
    <x v="1"/>
    <x v="4"/>
    <x v="1"/>
    <x v="16"/>
    <x v="0"/>
    <x v="0"/>
    <n v="0"/>
    <n v="0"/>
    <n v="0"/>
    <x v="2"/>
  </r>
  <r>
    <x v="6"/>
    <x v="1"/>
    <x v="4"/>
    <x v="1"/>
    <x v="17"/>
    <x v="0"/>
    <x v="0"/>
    <n v="0"/>
    <n v="0"/>
    <n v="0"/>
    <x v="2"/>
  </r>
  <r>
    <x v="6"/>
    <x v="1"/>
    <x v="4"/>
    <x v="1"/>
    <x v="18"/>
    <x v="0"/>
    <x v="0"/>
    <n v="0"/>
    <n v="0"/>
    <n v="0"/>
    <x v="2"/>
  </r>
  <r>
    <x v="6"/>
    <x v="1"/>
    <x v="4"/>
    <x v="1"/>
    <x v="19"/>
    <x v="0"/>
    <x v="0"/>
    <n v="0"/>
    <n v="0"/>
    <n v="0"/>
    <x v="2"/>
  </r>
  <r>
    <x v="6"/>
    <x v="1"/>
    <x v="4"/>
    <x v="1"/>
    <x v="20"/>
    <x v="0"/>
    <x v="0"/>
    <n v="1.56"/>
    <n v="8224.52"/>
    <n v="38121.56"/>
    <x v="2"/>
  </r>
  <r>
    <x v="6"/>
    <x v="1"/>
    <x v="4"/>
    <x v="2"/>
    <x v="21"/>
    <x v="0"/>
    <x v="0"/>
    <n v="1.48"/>
    <n v="7802.75"/>
    <n v="36300.49"/>
    <x v="2"/>
  </r>
  <r>
    <x v="6"/>
    <x v="1"/>
    <x v="4"/>
    <x v="2"/>
    <x v="22"/>
    <x v="0"/>
    <x v="0"/>
    <n v="0"/>
    <n v="0"/>
    <n v="0"/>
    <x v="2"/>
  </r>
  <r>
    <x v="6"/>
    <x v="1"/>
    <x v="4"/>
    <x v="2"/>
    <x v="29"/>
    <x v="0"/>
    <x v="0"/>
    <n v="0"/>
    <n v="0"/>
    <n v="0"/>
    <x v="2"/>
  </r>
  <r>
    <x v="6"/>
    <x v="1"/>
    <x v="4"/>
    <x v="2"/>
    <x v="24"/>
    <x v="0"/>
    <x v="0"/>
    <n v="0"/>
    <n v="0"/>
    <n v="0"/>
    <x v="2"/>
  </r>
  <r>
    <x v="6"/>
    <x v="1"/>
    <x v="4"/>
    <x v="3"/>
    <x v="25"/>
    <x v="0"/>
    <x v="0"/>
    <n v="0"/>
    <n v="0"/>
    <n v="0"/>
    <x v="2"/>
  </r>
  <r>
    <x v="6"/>
    <x v="1"/>
    <x v="4"/>
    <x v="3"/>
    <x v="26"/>
    <x v="0"/>
    <x v="0"/>
    <n v="1.27"/>
    <n v="6695.61"/>
    <n v="31049.5"/>
    <x v="2"/>
  </r>
  <r>
    <x v="6"/>
    <x v="1"/>
    <x v="4"/>
    <x v="3"/>
    <x v="27"/>
    <x v="0"/>
    <x v="0"/>
    <n v="1.32"/>
    <n v="6959.21"/>
    <n v="32433.360000000001"/>
    <x v="2"/>
  </r>
  <r>
    <x v="6"/>
    <x v="1"/>
    <x v="4"/>
    <x v="0"/>
    <x v="0"/>
    <x v="0"/>
    <x v="1"/>
    <n v="0.92"/>
    <n v="4850.3599999999997"/>
    <n v="22648.19"/>
    <x v="2"/>
  </r>
  <r>
    <x v="6"/>
    <x v="1"/>
    <x v="4"/>
    <x v="0"/>
    <x v="1"/>
    <x v="0"/>
    <x v="1"/>
    <n v="4.3099999999999996"/>
    <n v="22722.880000000001"/>
    <n v="105698.41"/>
    <x v="2"/>
  </r>
  <r>
    <x v="6"/>
    <x v="1"/>
    <x v="4"/>
    <x v="0"/>
    <x v="2"/>
    <x v="0"/>
    <x v="1"/>
    <n v="4.6900000000000004"/>
    <n v="24726.29"/>
    <n v="114953.84"/>
    <x v="2"/>
  </r>
  <r>
    <x v="6"/>
    <x v="1"/>
    <x v="4"/>
    <x v="0"/>
    <x v="3"/>
    <x v="0"/>
    <x v="1"/>
    <n v="3.12"/>
    <n v="16449.05"/>
    <n v="76451.740000000005"/>
    <x v="2"/>
  </r>
  <r>
    <x v="6"/>
    <x v="1"/>
    <x v="4"/>
    <x v="0"/>
    <x v="4"/>
    <x v="0"/>
    <x v="1"/>
    <n v="1.86"/>
    <n v="9806.16"/>
    <n v="45620.84"/>
    <x v="2"/>
  </r>
  <r>
    <x v="6"/>
    <x v="1"/>
    <x v="4"/>
    <x v="0"/>
    <x v="5"/>
    <x v="0"/>
    <x v="1"/>
    <n v="1.3"/>
    <n v="6853.77"/>
    <n v="31745.119999999999"/>
    <x v="2"/>
  </r>
  <r>
    <x v="6"/>
    <x v="1"/>
    <x v="4"/>
    <x v="0"/>
    <x v="6"/>
    <x v="0"/>
    <x v="1"/>
    <n v="2.02"/>
    <n v="10649.7"/>
    <n v="49616.17"/>
    <x v="2"/>
  </r>
  <r>
    <x v="6"/>
    <x v="1"/>
    <x v="4"/>
    <x v="0"/>
    <x v="8"/>
    <x v="0"/>
    <x v="1"/>
    <n v="2.5499999999999998"/>
    <n v="13443.93"/>
    <n v="62516.3"/>
    <x v="2"/>
  </r>
  <r>
    <x v="6"/>
    <x v="1"/>
    <x v="4"/>
    <x v="1"/>
    <x v="10"/>
    <x v="0"/>
    <x v="1"/>
    <n v="1.28"/>
    <n v="6748.33"/>
    <n v="31414.99"/>
    <x v="2"/>
  </r>
  <r>
    <x v="6"/>
    <x v="1"/>
    <x v="4"/>
    <x v="1"/>
    <x v="11"/>
    <x v="0"/>
    <x v="1"/>
    <n v="7.94"/>
    <n v="41860.71"/>
    <n v="194625.16"/>
    <x v="2"/>
  </r>
  <r>
    <x v="6"/>
    <x v="1"/>
    <x v="4"/>
    <x v="1"/>
    <x v="13"/>
    <x v="0"/>
    <x v="1"/>
    <n v="1.29"/>
    <n v="6801.05"/>
    <n v="31537.4"/>
    <x v="2"/>
  </r>
  <r>
    <x v="6"/>
    <x v="1"/>
    <x v="4"/>
    <x v="1"/>
    <x v="14"/>
    <x v="0"/>
    <x v="1"/>
    <n v="1.57"/>
    <n v="8277.24"/>
    <n v="38501.14"/>
    <x v="2"/>
  </r>
  <r>
    <x v="6"/>
    <x v="1"/>
    <x v="4"/>
    <x v="1"/>
    <x v="16"/>
    <x v="0"/>
    <x v="1"/>
    <n v="0.83"/>
    <n v="4375.87"/>
    <n v="20229.939999999999"/>
    <x v="2"/>
  </r>
  <r>
    <x v="6"/>
    <x v="1"/>
    <x v="4"/>
    <x v="1"/>
    <x v="17"/>
    <x v="0"/>
    <x v="1"/>
    <n v="2.63"/>
    <n v="13865.7"/>
    <n v="64500.41"/>
    <x v="2"/>
  </r>
  <r>
    <x v="6"/>
    <x v="1"/>
    <x v="4"/>
    <x v="1"/>
    <x v="18"/>
    <x v="0"/>
    <x v="1"/>
    <n v="8"/>
    <n v="42177.04"/>
    <n v="196000.6"/>
    <x v="2"/>
  </r>
  <r>
    <x v="6"/>
    <x v="1"/>
    <x v="4"/>
    <x v="1"/>
    <x v="19"/>
    <x v="0"/>
    <x v="1"/>
    <n v="3.24"/>
    <n v="17081.7"/>
    <n v="79484.58"/>
    <x v="2"/>
  </r>
  <r>
    <x v="6"/>
    <x v="1"/>
    <x v="4"/>
    <x v="1"/>
    <x v="20"/>
    <x v="0"/>
    <x v="1"/>
    <n v="5.58"/>
    <n v="29418.49"/>
    <n v="136789.12"/>
    <x v="2"/>
  </r>
  <r>
    <x v="6"/>
    <x v="1"/>
    <x v="4"/>
    <x v="2"/>
    <x v="21"/>
    <x v="0"/>
    <x v="1"/>
    <n v="0"/>
    <n v="0"/>
    <n v="0"/>
    <x v="2"/>
  </r>
  <r>
    <x v="6"/>
    <x v="1"/>
    <x v="4"/>
    <x v="2"/>
    <x v="22"/>
    <x v="0"/>
    <x v="1"/>
    <n v="3.44"/>
    <n v="18136.13"/>
    <n v="84228.77"/>
    <x v="2"/>
  </r>
  <r>
    <x v="6"/>
    <x v="1"/>
    <x v="4"/>
    <x v="2"/>
    <x v="29"/>
    <x v="0"/>
    <x v="1"/>
    <n v="1.49"/>
    <n v="7855.47"/>
    <n v="36518.22"/>
    <x v="2"/>
  </r>
  <r>
    <x v="6"/>
    <x v="1"/>
    <x v="4"/>
    <x v="2"/>
    <x v="24"/>
    <x v="0"/>
    <x v="1"/>
    <n v="1.61"/>
    <n v="8488.1299999999992"/>
    <n v="39414.07"/>
    <x v="2"/>
  </r>
  <r>
    <x v="6"/>
    <x v="1"/>
    <x v="4"/>
    <x v="3"/>
    <x v="25"/>
    <x v="0"/>
    <x v="1"/>
    <n v="1.48"/>
    <n v="7802.75"/>
    <n v="36352.11"/>
    <x v="2"/>
  </r>
  <r>
    <x v="6"/>
    <x v="1"/>
    <x v="4"/>
    <x v="3"/>
    <x v="26"/>
    <x v="0"/>
    <x v="1"/>
    <n v="1.5"/>
    <n v="7908.2"/>
    <n v="36694.86"/>
    <x v="2"/>
  </r>
  <r>
    <x v="6"/>
    <x v="1"/>
    <x v="4"/>
    <x v="3"/>
    <x v="27"/>
    <x v="0"/>
    <x v="1"/>
    <n v="5.39"/>
    <n v="28416.78"/>
    <n v="132050.1"/>
    <x v="2"/>
  </r>
  <r>
    <x v="6"/>
    <x v="1"/>
    <x v="4"/>
    <x v="0"/>
    <x v="0"/>
    <x v="1"/>
    <x v="0"/>
    <n v="3.36"/>
    <n v="17714.36"/>
    <n v="53885.05"/>
    <x v="2"/>
  </r>
  <r>
    <x v="6"/>
    <x v="1"/>
    <x v="4"/>
    <x v="0"/>
    <x v="1"/>
    <x v="1"/>
    <x v="0"/>
    <n v="12.05"/>
    <n v="63529.17"/>
    <n v="189888.5"/>
    <x v="2"/>
  </r>
  <r>
    <x v="6"/>
    <x v="1"/>
    <x v="4"/>
    <x v="0"/>
    <x v="2"/>
    <x v="1"/>
    <x v="0"/>
    <n v="6.5"/>
    <n v="34268.85"/>
    <n v="98906.12"/>
    <x v="2"/>
  </r>
  <r>
    <x v="6"/>
    <x v="1"/>
    <x v="4"/>
    <x v="0"/>
    <x v="3"/>
    <x v="1"/>
    <x v="0"/>
    <n v="7.31"/>
    <n v="38539.269999999997"/>
    <n v="115765.22"/>
    <x v="2"/>
  </r>
  <r>
    <x v="6"/>
    <x v="1"/>
    <x v="4"/>
    <x v="0"/>
    <x v="28"/>
    <x v="1"/>
    <x v="0"/>
    <n v="0"/>
    <n v="0"/>
    <n v="0"/>
    <x v="2"/>
  </r>
  <r>
    <x v="6"/>
    <x v="1"/>
    <x v="4"/>
    <x v="0"/>
    <x v="4"/>
    <x v="1"/>
    <x v="0"/>
    <n v="7.58"/>
    <n v="39962.75"/>
    <n v="118802.38"/>
    <x v="2"/>
  </r>
  <r>
    <x v="6"/>
    <x v="1"/>
    <x v="4"/>
    <x v="0"/>
    <x v="5"/>
    <x v="1"/>
    <x v="0"/>
    <n v="3.06"/>
    <n v="16132.72"/>
    <n v="49469.52"/>
    <x v="2"/>
  </r>
  <r>
    <x v="6"/>
    <x v="1"/>
    <x v="4"/>
    <x v="0"/>
    <x v="6"/>
    <x v="1"/>
    <x v="0"/>
    <n v="0"/>
    <n v="0"/>
    <n v="0"/>
    <x v="2"/>
  </r>
  <r>
    <x v="6"/>
    <x v="1"/>
    <x v="4"/>
    <x v="0"/>
    <x v="7"/>
    <x v="1"/>
    <x v="0"/>
    <n v="0"/>
    <n v="0"/>
    <n v="0"/>
    <x v="2"/>
  </r>
  <r>
    <x v="6"/>
    <x v="1"/>
    <x v="4"/>
    <x v="0"/>
    <x v="8"/>
    <x v="1"/>
    <x v="0"/>
    <n v="0"/>
    <n v="0"/>
    <n v="0"/>
    <x v="2"/>
  </r>
  <r>
    <x v="6"/>
    <x v="1"/>
    <x v="4"/>
    <x v="1"/>
    <x v="30"/>
    <x v="1"/>
    <x v="0"/>
    <n v="3.82"/>
    <n v="20139.54"/>
    <n v="64522.75"/>
    <x v="2"/>
  </r>
  <r>
    <x v="6"/>
    <x v="1"/>
    <x v="4"/>
    <x v="1"/>
    <x v="9"/>
    <x v="1"/>
    <x v="0"/>
    <n v="0"/>
    <n v="0"/>
    <n v="0"/>
    <x v="2"/>
  </r>
  <r>
    <x v="6"/>
    <x v="1"/>
    <x v="4"/>
    <x v="1"/>
    <x v="31"/>
    <x v="1"/>
    <x v="0"/>
    <n v="0"/>
    <n v="0"/>
    <n v="0"/>
    <x v="2"/>
  </r>
  <r>
    <x v="6"/>
    <x v="1"/>
    <x v="4"/>
    <x v="1"/>
    <x v="10"/>
    <x v="1"/>
    <x v="0"/>
    <n v="10.76"/>
    <n v="56728.12"/>
    <n v="179751.22"/>
    <x v="2"/>
  </r>
  <r>
    <x v="6"/>
    <x v="1"/>
    <x v="4"/>
    <x v="1"/>
    <x v="11"/>
    <x v="1"/>
    <x v="0"/>
    <n v="7.37"/>
    <n v="38855.599999999999"/>
    <n v="117451.1"/>
    <x v="2"/>
  </r>
  <r>
    <x v="6"/>
    <x v="1"/>
    <x v="4"/>
    <x v="1"/>
    <x v="12"/>
    <x v="1"/>
    <x v="0"/>
    <n v="2.75"/>
    <n v="14498.36"/>
    <n v="46174.39"/>
    <x v="2"/>
  </r>
  <r>
    <x v="6"/>
    <x v="1"/>
    <x v="4"/>
    <x v="1"/>
    <x v="13"/>
    <x v="1"/>
    <x v="0"/>
    <n v="4.42"/>
    <n v="23302.81"/>
    <n v="73711.61"/>
    <x v="2"/>
  </r>
  <r>
    <x v="6"/>
    <x v="1"/>
    <x v="4"/>
    <x v="1"/>
    <x v="14"/>
    <x v="1"/>
    <x v="0"/>
    <n v="15.35"/>
    <n v="80927.199999999997"/>
    <n v="251189.83"/>
    <x v="2"/>
  </r>
  <r>
    <x v="6"/>
    <x v="1"/>
    <x v="4"/>
    <x v="1"/>
    <x v="15"/>
    <x v="1"/>
    <x v="0"/>
    <n v="0"/>
    <n v="0"/>
    <n v="0"/>
    <x v="2"/>
  </r>
  <r>
    <x v="6"/>
    <x v="1"/>
    <x v="4"/>
    <x v="1"/>
    <x v="16"/>
    <x v="1"/>
    <x v="0"/>
    <n v="6.48"/>
    <n v="34163.4"/>
    <n v="104413.84"/>
    <x v="2"/>
  </r>
  <r>
    <x v="6"/>
    <x v="1"/>
    <x v="4"/>
    <x v="1"/>
    <x v="17"/>
    <x v="1"/>
    <x v="0"/>
    <n v="5.94"/>
    <n v="31316.45"/>
    <n v="96596.76"/>
    <x v="2"/>
  </r>
  <r>
    <x v="6"/>
    <x v="1"/>
    <x v="4"/>
    <x v="1"/>
    <x v="18"/>
    <x v="1"/>
    <x v="0"/>
    <n v="7.34"/>
    <n v="38697.43"/>
    <n v="125078.81"/>
    <x v="2"/>
  </r>
  <r>
    <x v="6"/>
    <x v="1"/>
    <x v="4"/>
    <x v="1"/>
    <x v="19"/>
    <x v="1"/>
    <x v="0"/>
    <n v="13.01"/>
    <n v="68590.41"/>
    <n v="214889.06"/>
    <x v="2"/>
  </r>
  <r>
    <x v="6"/>
    <x v="1"/>
    <x v="4"/>
    <x v="1"/>
    <x v="20"/>
    <x v="1"/>
    <x v="0"/>
    <n v="14.18"/>
    <n v="74758.8"/>
    <n v="230309.66"/>
    <x v="2"/>
  </r>
  <r>
    <x v="6"/>
    <x v="1"/>
    <x v="4"/>
    <x v="2"/>
    <x v="21"/>
    <x v="1"/>
    <x v="0"/>
    <n v="0"/>
    <n v="0"/>
    <n v="0"/>
    <x v="2"/>
  </r>
  <r>
    <x v="6"/>
    <x v="1"/>
    <x v="4"/>
    <x v="2"/>
    <x v="22"/>
    <x v="1"/>
    <x v="0"/>
    <n v="9.0299999999999994"/>
    <n v="47607.33"/>
    <n v="134769.69"/>
    <x v="2"/>
  </r>
  <r>
    <x v="6"/>
    <x v="1"/>
    <x v="4"/>
    <x v="2"/>
    <x v="29"/>
    <x v="1"/>
    <x v="0"/>
    <n v="0"/>
    <n v="0"/>
    <n v="0"/>
    <x v="2"/>
  </r>
  <r>
    <x v="6"/>
    <x v="1"/>
    <x v="4"/>
    <x v="2"/>
    <x v="23"/>
    <x v="1"/>
    <x v="0"/>
    <n v="0"/>
    <n v="0"/>
    <n v="0"/>
    <x v="2"/>
  </r>
  <r>
    <x v="6"/>
    <x v="1"/>
    <x v="4"/>
    <x v="2"/>
    <x v="24"/>
    <x v="1"/>
    <x v="0"/>
    <n v="2.44"/>
    <n v="12864"/>
    <n v="37053.99"/>
    <x v="2"/>
  </r>
  <r>
    <x v="6"/>
    <x v="1"/>
    <x v="4"/>
    <x v="3"/>
    <x v="25"/>
    <x v="1"/>
    <x v="0"/>
    <n v="9.0500000000000007"/>
    <n v="47712.78"/>
    <n v="151922.87"/>
    <x v="2"/>
  </r>
  <r>
    <x v="6"/>
    <x v="1"/>
    <x v="4"/>
    <x v="3"/>
    <x v="26"/>
    <x v="1"/>
    <x v="0"/>
    <n v="6.01"/>
    <n v="31685.5"/>
    <n v="101562.08"/>
    <x v="2"/>
  </r>
  <r>
    <x v="6"/>
    <x v="1"/>
    <x v="4"/>
    <x v="3"/>
    <x v="27"/>
    <x v="1"/>
    <x v="0"/>
    <n v="10.51"/>
    <n v="55410.09"/>
    <n v="174432.42"/>
    <x v="2"/>
  </r>
  <r>
    <x v="6"/>
    <x v="1"/>
    <x v="4"/>
    <x v="0"/>
    <x v="0"/>
    <x v="1"/>
    <x v="1"/>
    <n v="8.2799999999999994"/>
    <n v="43653.24"/>
    <n v="132640.13"/>
    <x v="2"/>
  </r>
  <r>
    <x v="6"/>
    <x v="1"/>
    <x v="4"/>
    <x v="0"/>
    <x v="1"/>
    <x v="1"/>
    <x v="1"/>
    <n v="19"/>
    <n v="100170.47"/>
    <n v="299394.75"/>
    <x v="2"/>
  </r>
  <r>
    <x v="6"/>
    <x v="1"/>
    <x v="4"/>
    <x v="0"/>
    <x v="2"/>
    <x v="1"/>
    <x v="1"/>
    <n v="20.78"/>
    <n v="109554.86"/>
    <n v="316199.88"/>
    <x v="2"/>
  </r>
  <r>
    <x v="6"/>
    <x v="1"/>
    <x v="4"/>
    <x v="0"/>
    <x v="3"/>
    <x v="1"/>
    <x v="1"/>
    <n v="24.81"/>
    <n v="130801.55"/>
    <n v="392693.78"/>
    <x v="2"/>
  </r>
  <r>
    <x v="6"/>
    <x v="1"/>
    <x v="4"/>
    <x v="0"/>
    <x v="28"/>
    <x v="1"/>
    <x v="1"/>
    <n v="2.66"/>
    <n v="14023.87"/>
    <n v="42645.52"/>
    <x v="2"/>
  </r>
  <r>
    <x v="6"/>
    <x v="1"/>
    <x v="4"/>
    <x v="0"/>
    <x v="4"/>
    <x v="1"/>
    <x v="1"/>
    <n v="7.49"/>
    <n v="39488.25"/>
    <n v="117436.84"/>
    <x v="2"/>
  </r>
  <r>
    <x v="6"/>
    <x v="1"/>
    <x v="4"/>
    <x v="0"/>
    <x v="5"/>
    <x v="1"/>
    <x v="1"/>
    <n v="24.16"/>
    <n v="127374.66"/>
    <n v="390102.5"/>
    <x v="2"/>
  </r>
  <r>
    <x v="6"/>
    <x v="1"/>
    <x v="4"/>
    <x v="0"/>
    <x v="6"/>
    <x v="1"/>
    <x v="1"/>
    <n v="4.67"/>
    <n v="24620.85"/>
    <n v="75137.06"/>
    <x v="2"/>
  </r>
  <r>
    <x v="6"/>
    <x v="1"/>
    <x v="4"/>
    <x v="0"/>
    <x v="7"/>
    <x v="1"/>
    <x v="1"/>
    <n v="3.29"/>
    <n v="17345.310000000001"/>
    <n v="53873.82"/>
    <x v="2"/>
  </r>
  <r>
    <x v="6"/>
    <x v="1"/>
    <x v="4"/>
    <x v="0"/>
    <x v="8"/>
    <x v="1"/>
    <x v="1"/>
    <n v="3.63"/>
    <n v="19137.830000000002"/>
    <n v="56640.07"/>
    <x v="2"/>
  </r>
  <r>
    <x v="6"/>
    <x v="1"/>
    <x v="4"/>
    <x v="1"/>
    <x v="30"/>
    <x v="1"/>
    <x v="1"/>
    <n v="0"/>
    <n v="0"/>
    <n v="0"/>
    <x v="2"/>
  </r>
  <r>
    <x v="6"/>
    <x v="1"/>
    <x v="4"/>
    <x v="1"/>
    <x v="9"/>
    <x v="1"/>
    <x v="1"/>
    <n v="5.37"/>
    <n v="28311.34"/>
    <n v="90592.5"/>
    <x v="2"/>
  </r>
  <r>
    <x v="6"/>
    <x v="1"/>
    <x v="4"/>
    <x v="1"/>
    <x v="31"/>
    <x v="1"/>
    <x v="1"/>
    <n v="0"/>
    <n v="0"/>
    <n v="0"/>
    <x v="2"/>
  </r>
  <r>
    <x v="6"/>
    <x v="1"/>
    <x v="4"/>
    <x v="1"/>
    <x v="10"/>
    <x v="1"/>
    <x v="1"/>
    <n v="29.64"/>
    <n v="156265.93"/>
    <n v="495411.9"/>
    <x v="2"/>
  </r>
  <r>
    <x v="6"/>
    <x v="1"/>
    <x v="4"/>
    <x v="1"/>
    <x v="11"/>
    <x v="1"/>
    <x v="1"/>
    <n v="27.79"/>
    <n v="146512.49"/>
    <n v="442605.18"/>
    <x v="2"/>
  </r>
  <r>
    <x v="6"/>
    <x v="1"/>
    <x v="4"/>
    <x v="1"/>
    <x v="12"/>
    <x v="1"/>
    <x v="1"/>
    <n v="3.2"/>
    <n v="16870.82"/>
    <n v="53621.87"/>
    <x v="2"/>
  </r>
  <r>
    <x v="6"/>
    <x v="1"/>
    <x v="4"/>
    <x v="1"/>
    <x v="13"/>
    <x v="1"/>
    <x v="1"/>
    <n v="12.56"/>
    <n v="66217.95"/>
    <n v="209572.23"/>
    <x v="2"/>
  </r>
  <r>
    <x v="6"/>
    <x v="1"/>
    <x v="4"/>
    <x v="1"/>
    <x v="14"/>
    <x v="1"/>
    <x v="1"/>
    <n v="7.15"/>
    <n v="37695.730000000003"/>
    <n v="117031.63"/>
    <x v="2"/>
  </r>
  <r>
    <x v="6"/>
    <x v="1"/>
    <x v="4"/>
    <x v="1"/>
    <x v="15"/>
    <x v="1"/>
    <x v="1"/>
    <n v="0"/>
    <n v="0"/>
    <n v="0"/>
    <x v="2"/>
  </r>
  <r>
    <x v="6"/>
    <x v="1"/>
    <x v="4"/>
    <x v="1"/>
    <x v="16"/>
    <x v="1"/>
    <x v="1"/>
    <n v="8.75"/>
    <n v="46131.14"/>
    <n v="141099.78"/>
    <x v="2"/>
  </r>
  <r>
    <x v="6"/>
    <x v="1"/>
    <x v="4"/>
    <x v="1"/>
    <x v="17"/>
    <x v="1"/>
    <x v="1"/>
    <n v="4.9000000000000004"/>
    <n v="25833.439999999999"/>
    <n v="79797.33"/>
    <x v="2"/>
  </r>
  <r>
    <x v="6"/>
    <x v="1"/>
    <x v="4"/>
    <x v="1"/>
    <x v="18"/>
    <x v="1"/>
    <x v="1"/>
    <n v="33.549999999999997"/>
    <n v="176879.96"/>
    <n v="571347.64"/>
    <x v="2"/>
  </r>
  <r>
    <x v="6"/>
    <x v="1"/>
    <x v="4"/>
    <x v="1"/>
    <x v="19"/>
    <x v="1"/>
    <x v="1"/>
    <n v="14.58"/>
    <n v="76867.66"/>
    <n v="240848.81"/>
    <x v="2"/>
  </r>
  <r>
    <x v="6"/>
    <x v="1"/>
    <x v="4"/>
    <x v="1"/>
    <x v="20"/>
    <x v="1"/>
    <x v="1"/>
    <n v="23.31"/>
    <n v="122893.35"/>
    <n v="378668.65"/>
    <x v="2"/>
  </r>
  <r>
    <x v="6"/>
    <x v="1"/>
    <x v="4"/>
    <x v="2"/>
    <x v="21"/>
    <x v="1"/>
    <x v="1"/>
    <n v="1.41"/>
    <n v="7433.7"/>
    <n v="21053.7"/>
    <x v="2"/>
  </r>
  <r>
    <x v="6"/>
    <x v="1"/>
    <x v="4"/>
    <x v="2"/>
    <x v="22"/>
    <x v="1"/>
    <x v="1"/>
    <n v="13.8"/>
    <n v="72755.39"/>
    <n v="205968.77"/>
    <x v="2"/>
  </r>
  <r>
    <x v="6"/>
    <x v="1"/>
    <x v="4"/>
    <x v="2"/>
    <x v="29"/>
    <x v="1"/>
    <x v="1"/>
    <n v="2.14"/>
    <n v="11282.36"/>
    <n v="33912.51"/>
    <x v="2"/>
  </r>
  <r>
    <x v="6"/>
    <x v="1"/>
    <x v="4"/>
    <x v="2"/>
    <x v="23"/>
    <x v="1"/>
    <x v="1"/>
    <n v="2.17"/>
    <n v="11440.52"/>
    <n v="33725.449999999997"/>
    <x v="2"/>
  </r>
  <r>
    <x v="6"/>
    <x v="1"/>
    <x v="4"/>
    <x v="2"/>
    <x v="24"/>
    <x v="1"/>
    <x v="1"/>
    <n v="3.66"/>
    <n v="19296"/>
    <n v="55580.98"/>
    <x v="2"/>
  </r>
  <r>
    <x v="6"/>
    <x v="1"/>
    <x v="4"/>
    <x v="3"/>
    <x v="25"/>
    <x v="1"/>
    <x v="1"/>
    <n v="8.52"/>
    <n v="44918.55"/>
    <n v="143072.99"/>
    <x v="2"/>
  </r>
  <r>
    <x v="6"/>
    <x v="1"/>
    <x v="4"/>
    <x v="3"/>
    <x v="26"/>
    <x v="1"/>
    <x v="1"/>
    <n v="16.170000000000002"/>
    <n v="85250.34"/>
    <n v="273436.38"/>
    <x v="2"/>
  </r>
  <r>
    <x v="6"/>
    <x v="1"/>
    <x v="4"/>
    <x v="3"/>
    <x v="27"/>
    <x v="1"/>
    <x v="1"/>
    <n v="24"/>
    <n v="126531.12"/>
    <n v="398116.36"/>
    <x v="2"/>
  </r>
  <r>
    <x v="6"/>
    <x v="1"/>
    <x v="5"/>
    <x v="0"/>
    <x v="0"/>
    <x v="0"/>
    <x v="0"/>
    <n v="2.13"/>
    <n v="11921.42"/>
    <n v="48892.73"/>
    <x v="2"/>
  </r>
  <r>
    <x v="6"/>
    <x v="1"/>
    <x v="5"/>
    <x v="0"/>
    <x v="1"/>
    <x v="0"/>
    <x v="0"/>
    <n v="3.75"/>
    <n v="20988.41"/>
    <n v="86025.73"/>
    <x v="2"/>
  </r>
  <r>
    <x v="6"/>
    <x v="1"/>
    <x v="5"/>
    <x v="0"/>
    <x v="2"/>
    <x v="0"/>
    <x v="0"/>
    <n v="0"/>
    <n v="0"/>
    <n v="0"/>
    <x v="2"/>
  </r>
  <r>
    <x v="6"/>
    <x v="1"/>
    <x v="5"/>
    <x v="0"/>
    <x v="3"/>
    <x v="0"/>
    <x v="0"/>
    <n v="1.56"/>
    <n v="8731.18"/>
    <n v="35933.15"/>
    <x v="2"/>
  </r>
  <r>
    <x v="6"/>
    <x v="1"/>
    <x v="5"/>
    <x v="0"/>
    <x v="4"/>
    <x v="0"/>
    <x v="0"/>
    <n v="0"/>
    <n v="0"/>
    <n v="0"/>
    <x v="2"/>
  </r>
  <r>
    <x v="6"/>
    <x v="1"/>
    <x v="5"/>
    <x v="0"/>
    <x v="5"/>
    <x v="0"/>
    <x v="0"/>
    <n v="0"/>
    <n v="0"/>
    <n v="0"/>
    <x v="2"/>
  </r>
  <r>
    <x v="6"/>
    <x v="1"/>
    <x v="5"/>
    <x v="0"/>
    <x v="6"/>
    <x v="0"/>
    <x v="0"/>
    <n v="0"/>
    <n v="0"/>
    <n v="0"/>
    <x v="2"/>
  </r>
  <r>
    <x v="6"/>
    <x v="1"/>
    <x v="5"/>
    <x v="0"/>
    <x v="8"/>
    <x v="0"/>
    <x v="0"/>
    <n v="0"/>
    <n v="0"/>
    <n v="0"/>
    <x v="2"/>
  </r>
  <r>
    <x v="6"/>
    <x v="1"/>
    <x v="5"/>
    <x v="1"/>
    <x v="10"/>
    <x v="0"/>
    <x v="0"/>
    <n v="1.48"/>
    <n v="8283.43"/>
    <n v="33926.92"/>
    <x v="2"/>
  </r>
  <r>
    <x v="6"/>
    <x v="1"/>
    <x v="5"/>
    <x v="1"/>
    <x v="11"/>
    <x v="0"/>
    <x v="0"/>
    <n v="0"/>
    <n v="0"/>
    <n v="0"/>
    <x v="2"/>
  </r>
  <r>
    <x v="6"/>
    <x v="1"/>
    <x v="5"/>
    <x v="1"/>
    <x v="13"/>
    <x v="0"/>
    <x v="0"/>
    <n v="0"/>
    <n v="0"/>
    <n v="0"/>
    <x v="2"/>
  </r>
  <r>
    <x v="6"/>
    <x v="1"/>
    <x v="5"/>
    <x v="1"/>
    <x v="14"/>
    <x v="0"/>
    <x v="0"/>
    <n v="0"/>
    <n v="0"/>
    <n v="0"/>
    <x v="2"/>
  </r>
  <r>
    <x v="6"/>
    <x v="1"/>
    <x v="5"/>
    <x v="1"/>
    <x v="16"/>
    <x v="0"/>
    <x v="0"/>
    <n v="0"/>
    <n v="0"/>
    <n v="0"/>
    <x v="2"/>
  </r>
  <r>
    <x v="6"/>
    <x v="1"/>
    <x v="5"/>
    <x v="1"/>
    <x v="17"/>
    <x v="0"/>
    <x v="0"/>
    <n v="0"/>
    <n v="0"/>
    <n v="0"/>
    <x v="2"/>
  </r>
  <r>
    <x v="6"/>
    <x v="1"/>
    <x v="5"/>
    <x v="1"/>
    <x v="18"/>
    <x v="0"/>
    <x v="0"/>
    <n v="0"/>
    <n v="0"/>
    <n v="0"/>
    <x v="2"/>
  </r>
  <r>
    <x v="6"/>
    <x v="1"/>
    <x v="5"/>
    <x v="1"/>
    <x v="19"/>
    <x v="0"/>
    <x v="0"/>
    <n v="0"/>
    <n v="0"/>
    <n v="0"/>
    <x v="2"/>
  </r>
  <r>
    <x v="6"/>
    <x v="1"/>
    <x v="5"/>
    <x v="1"/>
    <x v="20"/>
    <x v="0"/>
    <x v="0"/>
    <n v="1.76"/>
    <n v="9850.56"/>
    <n v="40469.1"/>
    <x v="2"/>
  </r>
  <r>
    <x v="6"/>
    <x v="1"/>
    <x v="5"/>
    <x v="2"/>
    <x v="21"/>
    <x v="0"/>
    <x v="0"/>
    <n v="2.0699999999999998"/>
    <n v="11585.6"/>
    <n v="47588.22"/>
    <x v="2"/>
  </r>
  <r>
    <x v="6"/>
    <x v="1"/>
    <x v="5"/>
    <x v="2"/>
    <x v="22"/>
    <x v="0"/>
    <x v="0"/>
    <n v="0"/>
    <n v="0"/>
    <n v="0"/>
    <x v="2"/>
  </r>
  <r>
    <x v="6"/>
    <x v="1"/>
    <x v="5"/>
    <x v="2"/>
    <x v="29"/>
    <x v="0"/>
    <x v="0"/>
    <n v="0"/>
    <n v="0"/>
    <n v="0"/>
    <x v="2"/>
  </r>
  <r>
    <x v="6"/>
    <x v="1"/>
    <x v="5"/>
    <x v="2"/>
    <x v="24"/>
    <x v="0"/>
    <x v="0"/>
    <n v="0"/>
    <n v="0"/>
    <n v="0"/>
    <x v="2"/>
  </r>
  <r>
    <x v="6"/>
    <x v="1"/>
    <x v="5"/>
    <x v="3"/>
    <x v="25"/>
    <x v="0"/>
    <x v="0"/>
    <n v="0"/>
    <n v="0"/>
    <n v="0"/>
    <x v="2"/>
  </r>
  <r>
    <x v="6"/>
    <x v="1"/>
    <x v="5"/>
    <x v="3"/>
    <x v="26"/>
    <x v="0"/>
    <x v="0"/>
    <n v="1.76"/>
    <n v="9850.56"/>
    <n v="40406.5"/>
    <x v="2"/>
  </r>
  <r>
    <x v="6"/>
    <x v="1"/>
    <x v="5"/>
    <x v="3"/>
    <x v="27"/>
    <x v="0"/>
    <x v="0"/>
    <n v="1.69"/>
    <n v="9458.7800000000007"/>
    <n v="38712.69"/>
    <x v="2"/>
  </r>
  <r>
    <x v="6"/>
    <x v="1"/>
    <x v="5"/>
    <x v="0"/>
    <x v="0"/>
    <x v="0"/>
    <x v="1"/>
    <n v="1.76"/>
    <n v="9850.56"/>
    <n v="40389.65"/>
    <x v="2"/>
  </r>
  <r>
    <x v="6"/>
    <x v="1"/>
    <x v="5"/>
    <x v="0"/>
    <x v="1"/>
    <x v="0"/>
    <x v="1"/>
    <n v="4.32"/>
    <n v="24178.65"/>
    <n v="99260.45"/>
    <x v="2"/>
  </r>
  <r>
    <x v="6"/>
    <x v="1"/>
    <x v="5"/>
    <x v="0"/>
    <x v="2"/>
    <x v="0"/>
    <x v="1"/>
    <n v="4.6100000000000003"/>
    <n v="25801.759999999998"/>
    <n v="105865.9"/>
    <x v="2"/>
  </r>
  <r>
    <x v="6"/>
    <x v="1"/>
    <x v="5"/>
    <x v="0"/>
    <x v="3"/>
    <x v="0"/>
    <x v="1"/>
    <n v="5.71"/>
    <n v="31958.36"/>
    <n v="131050.3"/>
    <x v="2"/>
  </r>
  <r>
    <x v="6"/>
    <x v="1"/>
    <x v="5"/>
    <x v="0"/>
    <x v="4"/>
    <x v="0"/>
    <x v="1"/>
    <n v="0.47"/>
    <n v="2630.55"/>
    <n v="10690.54"/>
    <x v="2"/>
  </r>
  <r>
    <x v="6"/>
    <x v="1"/>
    <x v="5"/>
    <x v="0"/>
    <x v="5"/>
    <x v="0"/>
    <x v="1"/>
    <n v="3.42"/>
    <n v="19141.43"/>
    <n v="78465.350000000006"/>
    <x v="2"/>
  </r>
  <r>
    <x v="6"/>
    <x v="1"/>
    <x v="5"/>
    <x v="0"/>
    <x v="6"/>
    <x v="0"/>
    <x v="1"/>
    <n v="1.37"/>
    <n v="7667.77"/>
    <n v="31364.01"/>
    <x v="2"/>
  </r>
  <r>
    <x v="6"/>
    <x v="1"/>
    <x v="5"/>
    <x v="0"/>
    <x v="8"/>
    <x v="0"/>
    <x v="1"/>
    <n v="1.93"/>
    <n v="10802.04"/>
    <n v="44388.83"/>
    <x v="2"/>
  </r>
  <r>
    <x v="6"/>
    <x v="1"/>
    <x v="5"/>
    <x v="1"/>
    <x v="10"/>
    <x v="0"/>
    <x v="1"/>
    <n v="3.23"/>
    <n v="18078.02"/>
    <n v="74215.13"/>
    <x v="2"/>
  </r>
  <r>
    <x v="6"/>
    <x v="1"/>
    <x v="5"/>
    <x v="1"/>
    <x v="11"/>
    <x v="0"/>
    <x v="1"/>
    <n v="9.0500000000000007"/>
    <n v="50652.04"/>
    <n v="207717.28"/>
    <x v="2"/>
  </r>
  <r>
    <x v="6"/>
    <x v="1"/>
    <x v="5"/>
    <x v="1"/>
    <x v="13"/>
    <x v="0"/>
    <x v="1"/>
    <n v="5.16"/>
    <n v="28880.06"/>
    <n v="118392.84"/>
    <x v="2"/>
  </r>
  <r>
    <x v="6"/>
    <x v="1"/>
    <x v="5"/>
    <x v="1"/>
    <x v="14"/>
    <x v="0"/>
    <x v="1"/>
    <n v="1.18"/>
    <n v="6604.35"/>
    <n v="27193.17"/>
    <x v="2"/>
  </r>
  <r>
    <x v="6"/>
    <x v="1"/>
    <x v="5"/>
    <x v="1"/>
    <x v="16"/>
    <x v="0"/>
    <x v="1"/>
    <n v="0.76"/>
    <n v="4253.6499999999996"/>
    <n v="17357.2"/>
    <x v="2"/>
  </r>
  <r>
    <x v="6"/>
    <x v="1"/>
    <x v="5"/>
    <x v="1"/>
    <x v="17"/>
    <x v="0"/>
    <x v="1"/>
    <n v="1.73"/>
    <n v="9682.65"/>
    <n v="39830.39"/>
    <x v="2"/>
  </r>
  <r>
    <x v="6"/>
    <x v="1"/>
    <x v="5"/>
    <x v="1"/>
    <x v="18"/>
    <x v="0"/>
    <x v="1"/>
    <n v="10.71"/>
    <n v="59942.91"/>
    <n v="245931.88"/>
    <x v="2"/>
  </r>
  <r>
    <x v="6"/>
    <x v="1"/>
    <x v="5"/>
    <x v="1"/>
    <x v="19"/>
    <x v="0"/>
    <x v="1"/>
    <n v="4.55"/>
    <n v="25465.94"/>
    <n v="104560.73"/>
    <x v="2"/>
  </r>
  <r>
    <x v="6"/>
    <x v="1"/>
    <x v="5"/>
    <x v="1"/>
    <x v="20"/>
    <x v="0"/>
    <x v="1"/>
    <n v="10.48"/>
    <n v="58655.62"/>
    <n v="240566.31"/>
    <x v="2"/>
  </r>
  <r>
    <x v="6"/>
    <x v="1"/>
    <x v="5"/>
    <x v="2"/>
    <x v="21"/>
    <x v="0"/>
    <x v="1"/>
    <n v="0"/>
    <n v="0"/>
    <n v="0"/>
    <x v="2"/>
  </r>
  <r>
    <x v="6"/>
    <x v="1"/>
    <x v="5"/>
    <x v="2"/>
    <x v="22"/>
    <x v="0"/>
    <x v="1"/>
    <n v="2.86"/>
    <n v="16007.16"/>
    <n v="65590.960000000006"/>
    <x v="2"/>
  </r>
  <r>
    <x v="6"/>
    <x v="1"/>
    <x v="5"/>
    <x v="2"/>
    <x v="29"/>
    <x v="0"/>
    <x v="1"/>
    <n v="1.79"/>
    <n v="10018.469999999999"/>
    <n v="41155.69"/>
    <x v="2"/>
  </r>
  <r>
    <x v="6"/>
    <x v="1"/>
    <x v="5"/>
    <x v="2"/>
    <x v="24"/>
    <x v="0"/>
    <x v="1"/>
    <n v="2.0299999999999998"/>
    <n v="11361.73"/>
    <n v="46593.37"/>
    <x v="2"/>
  </r>
  <r>
    <x v="6"/>
    <x v="1"/>
    <x v="5"/>
    <x v="3"/>
    <x v="25"/>
    <x v="0"/>
    <x v="1"/>
    <n v="1.38"/>
    <n v="7723.74"/>
    <n v="31664.87"/>
    <x v="2"/>
  </r>
  <r>
    <x v="6"/>
    <x v="1"/>
    <x v="5"/>
    <x v="3"/>
    <x v="26"/>
    <x v="0"/>
    <x v="1"/>
    <n v="1.48"/>
    <n v="8283.43"/>
    <n v="34026.53"/>
    <x v="2"/>
  </r>
  <r>
    <x v="6"/>
    <x v="1"/>
    <x v="5"/>
    <x v="3"/>
    <x v="27"/>
    <x v="0"/>
    <x v="1"/>
    <n v="6.42"/>
    <n v="35932.160000000003"/>
    <n v="147476.93"/>
    <x v="2"/>
  </r>
  <r>
    <x v="6"/>
    <x v="1"/>
    <x v="5"/>
    <x v="0"/>
    <x v="0"/>
    <x v="1"/>
    <x v="0"/>
    <n v="3.78"/>
    <n v="21156.32"/>
    <n v="56794.79"/>
    <x v="2"/>
  </r>
  <r>
    <x v="6"/>
    <x v="1"/>
    <x v="5"/>
    <x v="0"/>
    <x v="1"/>
    <x v="1"/>
    <x v="0"/>
    <n v="10.81"/>
    <n v="60502.6"/>
    <n v="159563.26999999999"/>
    <x v="2"/>
  </r>
  <r>
    <x v="6"/>
    <x v="1"/>
    <x v="5"/>
    <x v="0"/>
    <x v="2"/>
    <x v="1"/>
    <x v="0"/>
    <n v="4.3899999999999997"/>
    <n v="24570.43"/>
    <n v="62603.31"/>
    <x v="2"/>
  </r>
  <r>
    <x v="6"/>
    <x v="1"/>
    <x v="5"/>
    <x v="0"/>
    <x v="3"/>
    <x v="1"/>
    <x v="0"/>
    <n v="7.12"/>
    <n v="39850"/>
    <n v="105691.9"/>
    <x v="2"/>
  </r>
  <r>
    <x v="6"/>
    <x v="1"/>
    <x v="5"/>
    <x v="0"/>
    <x v="28"/>
    <x v="1"/>
    <x v="0"/>
    <n v="0"/>
    <n v="0"/>
    <n v="0"/>
    <x v="2"/>
  </r>
  <r>
    <x v="6"/>
    <x v="1"/>
    <x v="5"/>
    <x v="0"/>
    <x v="4"/>
    <x v="1"/>
    <x v="0"/>
    <n v="3.94"/>
    <n v="22051.83"/>
    <n v="57877.33"/>
    <x v="2"/>
  </r>
  <r>
    <x v="6"/>
    <x v="1"/>
    <x v="5"/>
    <x v="0"/>
    <x v="5"/>
    <x v="1"/>
    <x v="0"/>
    <n v="2.72"/>
    <n v="15223.6"/>
    <n v="41206.660000000003"/>
    <x v="2"/>
  </r>
  <r>
    <x v="6"/>
    <x v="1"/>
    <x v="5"/>
    <x v="0"/>
    <x v="6"/>
    <x v="1"/>
    <x v="0"/>
    <n v="0"/>
    <n v="0"/>
    <n v="0"/>
    <x v="2"/>
  </r>
  <r>
    <x v="6"/>
    <x v="1"/>
    <x v="5"/>
    <x v="0"/>
    <x v="7"/>
    <x v="1"/>
    <x v="0"/>
    <n v="0"/>
    <n v="0"/>
    <n v="0"/>
    <x v="2"/>
  </r>
  <r>
    <x v="6"/>
    <x v="1"/>
    <x v="5"/>
    <x v="0"/>
    <x v="8"/>
    <x v="1"/>
    <x v="0"/>
    <n v="0"/>
    <n v="0"/>
    <n v="0"/>
    <x v="2"/>
  </r>
  <r>
    <x v="6"/>
    <x v="1"/>
    <x v="5"/>
    <x v="1"/>
    <x v="30"/>
    <x v="1"/>
    <x v="0"/>
    <n v="1.69"/>
    <n v="9458.7800000000007"/>
    <n v="26800.66"/>
    <x v="2"/>
  </r>
  <r>
    <x v="6"/>
    <x v="1"/>
    <x v="5"/>
    <x v="1"/>
    <x v="9"/>
    <x v="1"/>
    <x v="0"/>
    <n v="0"/>
    <n v="0"/>
    <n v="0"/>
    <x v="2"/>
  </r>
  <r>
    <x v="6"/>
    <x v="1"/>
    <x v="5"/>
    <x v="1"/>
    <x v="31"/>
    <x v="1"/>
    <x v="0"/>
    <n v="3.25"/>
    <n v="18189.96"/>
    <n v="51898.59"/>
    <x v="2"/>
  </r>
  <r>
    <x v="6"/>
    <x v="1"/>
    <x v="5"/>
    <x v="1"/>
    <x v="10"/>
    <x v="1"/>
    <x v="0"/>
    <n v="6.27"/>
    <n v="35092.629999999997"/>
    <n v="98268.28"/>
    <x v="2"/>
  </r>
  <r>
    <x v="6"/>
    <x v="1"/>
    <x v="5"/>
    <x v="1"/>
    <x v="11"/>
    <x v="1"/>
    <x v="0"/>
    <n v="6.44"/>
    <n v="36044.1"/>
    <n v="96130.87"/>
    <x v="2"/>
  </r>
  <r>
    <x v="6"/>
    <x v="1"/>
    <x v="5"/>
    <x v="1"/>
    <x v="12"/>
    <x v="1"/>
    <x v="0"/>
    <n v="0.87"/>
    <n v="4869.3100000000004"/>
    <n v="13706.27"/>
    <x v="2"/>
  </r>
  <r>
    <x v="6"/>
    <x v="1"/>
    <x v="5"/>
    <x v="1"/>
    <x v="13"/>
    <x v="1"/>
    <x v="0"/>
    <n v="6.66"/>
    <n v="37275.42"/>
    <n v="104168.89"/>
    <x v="2"/>
  </r>
  <r>
    <x v="6"/>
    <x v="1"/>
    <x v="5"/>
    <x v="1"/>
    <x v="14"/>
    <x v="1"/>
    <x v="0"/>
    <n v="10.79"/>
    <n v="60390.66"/>
    <n v="165540.73000000001"/>
    <x v="2"/>
  </r>
  <r>
    <x v="6"/>
    <x v="1"/>
    <x v="5"/>
    <x v="1"/>
    <x v="15"/>
    <x v="1"/>
    <x v="0"/>
    <n v="1.51"/>
    <n v="8451.33"/>
    <n v="23893.24"/>
    <x v="2"/>
  </r>
  <r>
    <x v="6"/>
    <x v="1"/>
    <x v="5"/>
    <x v="1"/>
    <x v="16"/>
    <x v="1"/>
    <x v="0"/>
    <n v="3.71"/>
    <n v="20764.54"/>
    <n v="56068.27"/>
    <x v="2"/>
  </r>
  <r>
    <x v="6"/>
    <x v="1"/>
    <x v="5"/>
    <x v="1"/>
    <x v="17"/>
    <x v="1"/>
    <x v="0"/>
    <n v="3.93"/>
    <n v="21995.86"/>
    <n v="59927.85"/>
    <x v="2"/>
  </r>
  <r>
    <x v="6"/>
    <x v="1"/>
    <x v="5"/>
    <x v="1"/>
    <x v="18"/>
    <x v="1"/>
    <x v="0"/>
    <n v="6.31"/>
    <n v="35316.5"/>
    <n v="100739.26"/>
    <x v="2"/>
  </r>
  <r>
    <x v="6"/>
    <x v="1"/>
    <x v="5"/>
    <x v="1"/>
    <x v="19"/>
    <x v="1"/>
    <x v="0"/>
    <n v="6.14"/>
    <n v="34365.03"/>
    <n v="94984.56"/>
    <x v="2"/>
  </r>
  <r>
    <x v="6"/>
    <x v="1"/>
    <x v="5"/>
    <x v="1"/>
    <x v="20"/>
    <x v="1"/>
    <x v="0"/>
    <n v="9.3000000000000007"/>
    <n v="52051.26"/>
    <n v="141596.38"/>
    <x v="2"/>
  </r>
  <r>
    <x v="6"/>
    <x v="1"/>
    <x v="5"/>
    <x v="2"/>
    <x v="21"/>
    <x v="1"/>
    <x v="0"/>
    <n v="0"/>
    <n v="0"/>
    <n v="0"/>
    <x v="2"/>
  </r>
  <r>
    <x v="6"/>
    <x v="1"/>
    <x v="5"/>
    <x v="2"/>
    <x v="22"/>
    <x v="1"/>
    <x v="0"/>
    <n v="5.07"/>
    <n v="28376.33"/>
    <n v="70960.78"/>
    <x v="2"/>
  </r>
  <r>
    <x v="6"/>
    <x v="1"/>
    <x v="5"/>
    <x v="2"/>
    <x v="29"/>
    <x v="1"/>
    <x v="0"/>
    <n v="0"/>
    <n v="0"/>
    <n v="0"/>
    <x v="2"/>
  </r>
  <r>
    <x v="6"/>
    <x v="1"/>
    <x v="5"/>
    <x v="2"/>
    <x v="23"/>
    <x v="1"/>
    <x v="0"/>
    <n v="0"/>
    <n v="0"/>
    <n v="0"/>
    <x v="2"/>
  </r>
  <r>
    <x v="6"/>
    <x v="1"/>
    <x v="5"/>
    <x v="2"/>
    <x v="24"/>
    <x v="1"/>
    <x v="0"/>
    <n v="0.91"/>
    <n v="5093.1899999999996"/>
    <n v="12934.66"/>
    <x v="2"/>
  </r>
  <r>
    <x v="6"/>
    <x v="1"/>
    <x v="5"/>
    <x v="3"/>
    <x v="25"/>
    <x v="1"/>
    <x v="0"/>
    <n v="4.26"/>
    <n v="23842.84"/>
    <n v="67012.84"/>
    <x v="2"/>
  </r>
  <r>
    <x v="6"/>
    <x v="1"/>
    <x v="5"/>
    <x v="3"/>
    <x v="26"/>
    <x v="1"/>
    <x v="0"/>
    <n v="4.59"/>
    <n v="25689.82"/>
    <n v="72750.509999999995"/>
    <x v="2"/>
  </r>
  <r>
    <x v="6"/>
    <x v="1"/>
    <x v="5"/>
    <x v="3"/>
    <x v="27"/>
    <x v="1"/>
    <x v="0"/>
    <n v="10.59"/>
    <n v="59271.28"/>
    <n v="164643.94"/>
    <x v="2"/>
  </r>
  <r>
    <x v="6"/>
    <x v="1"/>
    <x v="5"/>
    <x v="0"/>
    <x v="0"/>
    <x v="1"/>
    <x v="1"/>
    <n v="6.02"/>
    <n v="33693.4"/>
    <n v="90355.35"/>
    <x v="2"/>
  </r>
  <r>
    <x v="6"/>
    <x v="1"/>
    <x v="5"/>
    <x v="0"/>
    <x v="1"/>
    <x v="1"/>
    <x v="1"/>
    <n v="11.95"/>
    <n v="66883.070000000007"/>
    <n v="176486.65"/>
    <x v="2"/>
  </r>
  <r>
    <x v="6"/>
    <x v="1"/>
    <x v="5"/>
    <x v="0"/>
    <x v="2"/>
    <x v="1"/>
    <x v="1"/>
    <n v="9.4700000000000006"/>
    <n v="53002.74"/>
    <n v="135026.75"/>
    <x v="2"/>
  </r>
  <r>
    <x v="6"/>
    <x v="1"/>
    <x v="5"/>
    <x v="0"/>
    <x v="3"/>
    <x v="1"/>
    <x v="1"/>
    <n v="16.18"/>
    <n v="90558"/>
    <n v="240029.28"/>
    <x v="2"/>
  </r>
  <r>
    <x v="6"/>
    <x v="1"/>
    <x v="5"/>
    <x v="0"/>
    <x v="28"/>
    <x v="1"/>
    <x v="1"/>
    <n v="0.87"/>
    <n v="4869.3100000000004"/>
    <n v="13080.51"/>
    <x v="2"/>
  </r>
  <r>
    <x v="6"/>
    <x v="1"/>
    <x v="5"/>
    <x v="0"/>
    <x v="4"/>
    <x v="1"/>
    <x v="1"/>
    <n v="5.51"/>
    <n v="30838.97"/>
    <n v="81028.259999999995"/>
    <x v="2"/>
  </r>
  <r>
    <x v="6"/>
    <x v="1"/>
    <x v="5"/>
    <x v="0"/>
    <x v="5"/>
    <x v="1"/>
    <x v="1"/>
    <n v="22.39"/>
    <n v="125314.81"/>
    <n v="338810.35"/>
    <x v="2"/>
  </r>
  <r>
    <x v="6"/>
    <x v="1"/>
    <x v="5"/>
    <x v="0"/>
    <x v="6"/>
    <x v="1"/>
    <x v="1"/>
    <n v="0.88"/>
    <n v="4925.28"/>
    <n v="13275.86"/>
    <x v="2"/>
  </r>
  <r>
    <x v="6"/>
    <x v="1"/>
    <x v="5"/>
    <x v="0"/>
    <x v="7"/>
    <x v="1"/>
    <x v="1"/>
    <n v="3.1"/>
    <n v="17350.419999999998"/>
    <n v="47511.66"/>
    <x v="2"/>
  </r>
  <r>
    <x v="6"/>
    <x v="1"/>
    <x v="5"/>
    <x v="0"/>
    <x v="8"/>
    <x v="1"/>
    <x v="1"/>
    <n v="1.54"/>
    <n v="8619.24"/>
    <n v="22484.1"/>
    <x v="2"/>
  </r>
  <r>
    <x v="6"/>
    <x v="1"/>
    <x v="5"/>
    <x v="1"/>
    <x v="30"/>
    <x v="1"/>
    <x v="1"/>
    <n v="0"/>
    <n v="0"/>
    <n v="0"/>
    <x v="2"/>
  </r>
  <r>
    <x v="6"/>
    <x v="1"/>
    <x v="5"/>
    <x v="1"/>
    <x v="9"/>
    <x v="1"/>
    <x v="1"/>
    <n v="3.77"/>
    <n v="21100.35"/>
    <n v="59495.01"/>
    <x v="2"/>
  </r>
  <r>
    <x v="6"/>
    <x v="1"/>
    <x v="5"/>
    <x v="1"/>
    <x v="31"/>
    <x v="1"/>
    <x v="1"/>
    <n v="0"/>
    <n v="0"/>
    <n v="0"/>
    <x v="2"/>
  </r>
  <r>
    <x v="6"/>
    <x v="1"/>
    <x v="5"/>
    <x v="1"/>
    <x v="10"/>
    <x v="1"/>
    <x v="1"/>
    <n v="24.84"/>
    <n v="139027.24"/>
    <n v="388978.61"/>
    <x v="2"/>
  </r>
  <r>
    <x v="6"/>
    <x v="1"/>
    <x v="5"/>
    <x v="1"/>
    <x v="11"/>
    <x v="1"/>
    <x v="1"/>
    <n v="20.440000000000001"/>
    <n v="114400.84"/>
    <n v="305111.03999999998"/>
    <x v="2"/>
  </r>
  <r>
    <x v="6"/>
    <x v="1"/>
    <x v="5"/>
    <x v="1"/>
    <x v="12"/>
    <x v="1"/>
    <x v="1"/>
    <n v="2.5299999999999998"/>
    <n v="14160.18"/>
    <n v="39748.19"/>
    <x v="2"/>
  </r>
  <r>
    <x v="6"/>
    <x v="1"/>
    <x v="5"/>
    <x v="1"/>
    <x v="13"/>
    <x v="1"/>
    <x v="1"/>
    <n v="11.48"/>
    <n v="64252.53"/>
    <n v="179491.01"/>
    <x v="2"/>
  </r>
  <r>
    <x v="6"/>
    <x v="1"/>
    <x v="5"/>
    <x v="1"/>
    <x v="14"/>
    <x v="1"/>
    <x v="1"/>
    <n v="5.22"/>
    <n v="29215.87"/>
    <n v="80100.350000000006"/>
    <x v="2"/>
  </r>
  <r>
    <x v="6"/>
    <x v="1"/>
    <x v="5"/>
    <x v="1"/>
    <x v="15"/>
    <x v="1"/>
    <x v="1"/>
    <n v="1.51"/>
    <n v="8451.33"/>
    <n v="23893.24"/>
    <x v="2"/>
  </r>
  <r>
    <x v="6"/>
    <x v="1"/>
    <x v="5"/>
    <x v="1"/>
    <x v="16"/>
    <x v="1"/>
    <x v="1"/>
    <n v="7.16"/>
    <n v="40073.879999999997"/>
    <n v="108201.93"/>
    <x v="2"/>
  </r>
  <r>
    <x v="6"/>
    <x v="1"/>
    <x v="5"/>
    <x v="1"/>
    <x v="17"/>
    <x v="1"/>
    <x v="1"/>
    <n v="3.42"/>
    <n v="19141.43"/>
    <n v="52111.17"/>
    <x v="2"/>
  </r>
  <r>
    <x v="6"/>
    <x v="1"/>
    <x v="5"/>
    <x v="1"/>
    <x v="18"/>
    <x v="1"/>
    <x v="1"/>
    <n v="25.16"/>
    <n v="140818.26"/>
    <n v="401577.04"/>
    <x v="2"/>
  </r>
  <r>
    <x v="6"/>
    <x v="1"/>
    <x v="5"/>
    <x v="1"/>
    <x v="19"/>
    <x v="1"/>
    <x v="1"/>
    <n v="9.14"/>
    <n v="51155.76"/>
    <n v="141397.47"/>
    <x v="2"/>
  </r>
  <r>
    <x v="6"/>
    <x v="1"/>
    <x v="5"/>
    <x v="1"/>
    <x v="20"/>
    <x v="1"/>
    <x v="1"/>
    <n v="18.079999999999998"/>
    <n v="101192.13"/>
    <n v="275326.3"/>
    <x v="2"/>
  </r>
  <r>
    <x v="6"/>
    <x v="1"/>
    <x v="5"/>
    <x v="2"/>
    <x v="21"/>
    <x v="1"/>
    <x v="1"/>
    <n v="2.02"/>
    <n v="11305.76"/>
    <n v="28298.44"/>
    <x v="2"/>
  </r>
  <r>
    <x v="6"/>
    <x v="1"/>
    <x v="5"/>
    <x v="2"/>
    <x v="22"/>
    <x v="1"/>
    <x v="1"/>
    <n v="10.66"/>
    <n v="59663.06"/>
    <n v="149017.64000000001"/>
    <x v="2"/>
  </r>
  <r>
    <x v="6"/>
    <x v="1"/>
    <x v="5"/>
    <x v="2"/>
    <x v="29"/>
    <x v="1"/>
    <x v="1"/>
    <n v="1.72"/>
    <n v="9626.69"/>
    <n v="25529.81"/>
    <x v="2"/>
  </r>
  <r>
    <x v="6"/>
    <x v="1"/>
    <x v="5"/>
    <x v="2"/>
    <x v="23"/>
    <x v="1"/>
    <x v="1"/>
    <n v="1.87"/>
    <n v="10466.219999999999"/>
    <n v="27224.12"/>
    <x v="2"/>
  </r>
  <r>
    <x v="6"/>
    <x v="1"/>
    <x v="5"/>
    <x v="2"/>
    <x v="24"/>
    <x v="1"/>
    <x v="1"/>
    <n v="1.4"/>
    <n v="7835.67"/>
    <n v="19989.919999999998"/>
    <x v="2"/>
  </r>
  <r>
    <x v="6"/>
    <x v="1"/>
    <x v="5"/>
    <x v="3"/>
    <x v="25"/>
    <x v="1"/>
    <x v="1"/>
    <n v="7.56"/>
    <n v="42312.639999999999"/>
    <n v="118981.99"/>
    <x v="2"/>
  </r>
  <r>
    <x v="6"/>
    <x v="1"/>
    <x v="5"/>
    <x v="3"/>
    <x v="26"/>
    <x v="1"/>
    <x v="1"/>
    <n v="11.09"/>
    <n v="62069.73"/>
    <n v="175699.34"/>
    <x v="2"/>
  </r>
  <r>
    <x v="6"/>
    <x v="1"/>
    <x v="5"/>
    <x v="3"/>
    <x v="27"/>
    <x v="1"/>
    <x v="1"/>
    <n v="27.95"/>
    <n v="156433.63"/>
    <n v="434552.03"/>
    <x v="2"/>
  </r>
  <r>
    <x v="6"/>
    <x v="1"/>
    <x v="6"/>
    <x v="0"/>
    <x v="0"/>
    <x v="0"/>
    <x v="0"/>
    <n v="2.14"/>
    <n v="5682.28"/>
    <n v="20000.419999999998"/>
    <x v="2"/>
  </r>
  <r>
    <x v="6"/>
    <x v="1"/>
    <x v="6"/>
    <x v="0"/>
    <x v="1"/>
    <x v="0"/>
    <x v="0"/>
    <n v="2.92"/>
    <n v="7753.39"/>
    <n v="27386.91"/>
    <x v="2"/>
  </r>
  <r>
    <x v="6"/>
    <x v="1"/>
    <x v="6"/>
    <x v="0"/>
    <x v="2"/>
    <x v="0"/>
    <x v="0"/>
    <n v="0"/>
    <n v="0"/>
    <n v="0"/>
    <x v="2"/>
  </r>
  <r>
    <x v="6"/>
    <x v="1"/>
    <x v="6"/>
    <x v="0"/>
    <x v="3"/>
    <x v="0"/>
    <x v="0"/>
    <n v="1.38"/>
    <n v="3664.27"/>
    <n v="12966.46"/>
    <x v="2"/>
  </r>
  <r>
    <x v="6"/>
    <x v="1"/>
    <x v="6"/>
    <x v="0"/>
    <x v="4"/>
    <x v="0"/>
    <x v="0"/>
    <n v="0"/>
    <n v="0"/>
    <n v="0"/>
    <x v="2"/>
  </r>
  <r>
    <x v="6"/>
    <x v="1"/>
    <x v="6"/>
    <x v="0"/>
    <x v="5"/>
    <x v="0"/>
    <x v="0"/>
    <n v="0"/>
    <n v="0"/>
    <n v="0"/>
    <x v="2"/>
  </r>
  <r>
    <x v="6"/>
    <x v="1"/>
    <x v="6"/>
    <x v="0"/>
    <x v="6"/>
    <x v="0"/>
    <x v="0"/>
    <n v="0"/>
    <n v="0"/>
    <n v="0"/>
    <x v="2"/>
  </r>
  <r>
    <x v="6"/>
    <x v="1"/>
    <x v="6"/>
    <x v="0"/>
    <x v="8"/>
    <x v="0"/>
    <x v="0"/>
    <n v="0"/>
    <n v="0"/>
    <n v="0"/>
    <x v="2"/>
  </r>
  <r>
    <x v="6"/>
    <x v="1"/>
    <x v="6"/>
    <x v="1"/>
    <x v="10"/>
    <x v="0"/>
    <x v="0"/>
    <n v="2.4900000000000002"/>
    <n v="6611.62"/>
    <n v="23346.13"/>
    <x v="2"/>
  </r>
  <r>
    <x v="6"/>
    <x v="1"/>
    <x v="6"/>
    <x v="1"/>
    <x v="11"/>
    <x v="0"/>
    <x v="0"/>
    <n v="0"/>
    <n v="0"/>
    <n v="0"/>
    <x v="2"/>
  </r>
  <r>
    <x v="6"/>
    <x v="1"/>
    <x v="6"/>
    <x v="1"/>
    <x v="13"/>
    <x v="0"/>
    <x v="0"/>
    <n v="0"/>
    <n v="0"/>
    <n v="0"/>
    <x v="2"/>
  </r>
  <r>
    <x v="6"/>
    <x v="1"/>
    <x v="6"/>
    <x v="1"/>
    <x v="14"/>
    <x v="0"/>
    <x v="0"/>
    <n v="0"/>
    <n v="0"/>
    <n v="0"/>
    <x v="2"/>
  </r>
  <r>
    <x v="6"/>
    <x v="1"/>
    <x v="6"/>
    <x v="1"/>
    <x v="16"/>
    <x v="0"/>
    <x v="0"/>
    <n v="0"/>
    <n v="0"/>
    <n v="0"/>
    <x v="2"/>
  </r>
  <r>
    <x v="6"/>
    <x v="1"/>
    <x v="6"/>
    <x v="1"/>
    <x v="17"/>
    <x v="0"/>
    <x v="0"/>
    <n v="0"/>
    <n v="0"/>
    <n v="0"/>
    <x v="2"/>
  </r>
  <r>
    <x v="6"/>
    <x v="1"/>
    <x v="6"/>
    <x v="1"/>
    <x v="18"/>
    <x v="0"/>
    <x v="0"/>
    <n v="0"/>
    <n v="0"/>
    <n v="0"/>
    <x v="2"/>
  </r>
  <r>
    <x v="6"/>
    <x v="1"/>
    <x v="6"/>
    <x v="1"/>
    <x v="19"/>
    <x v="0"/>
    <x v="0"/>
    <n v="0"/>
    <n v="0"/>
    <n v="0"/>
    <x v="2"/>
  </r>
  <r>
    <x v="6"/>
    <x v="1"/>
    <x v="6"/>
    <x v="1"/>
    <x v="20"/>
    <x v="0"/>
    <x v="0"/>
    <n v="1.29"/>
    <n v="3425.3"/>
    <n v="12057.49"/>
    <x v="2"/>
  </r>
  <r>
    <x v="6"/>
    <x v="1"/>
    <x v="6"/>
    <x v="2"/>
    <x v="21"/>
    <x v="0"/>
    <x v="0"/>
    <n v="1.3"/>
    <n v="3451.85"/>
    <n v="12182.73"/>
    <x v="2"/>
  </r>
  <r>
    <x v="6"/>
    <x v="1"/>
    <x v="6"/>
    <x v="2"/>
    <x v="22"/>
    <x v="0"/>
    <x v="0"/>
    <n v="0"/>
    <n v="0"/>
    <n v="0"/>
    <x v="2"/>
  </r>
  <r>
    <x v="6"/>
    <x v="1"/>
    <x v="6"/>
    <x v="2"/>
    <x v="29"/>
    <x v="0"/>
    <x v="0"/>
    <n v="0"/>
    <n v="0"/>
    <n v="0"/>
    <x v="2"/>
  </r>
  <r>
    <x v="6"/>
    <x v="1"/>
    <x v="6"/>
    <x v="2"/>
    <x v="24"/>
    <x v="0"/>
    <x v="0"/>
    <n v="0"/>
    <n v="0"/>
    <n v="0"/>
    <x v="2"/>
  </r>
  <r>
    <x v="6"/>
    <x v="1"/>
    <x v="6"/>
    <x v="3"/>
    <x v="25"/>
    <x v="0"/>
    <x v="0"/>
    <n v="0"/>
    <n v="0"/>
    <n v="0"/>
    <x v="2"/>
  </r>
  <r>
    <x v="6"/>
    <x v="1"/>
    <x v="6"/>
    <x v="3"/>
    <x v="26"/>
    <x v="0"/>
    <x v="0"/>
    <n v="1.49"/>
    <n v="3956.35"/>
    <n v="13921.29"/>
    <x v="2"/>
  </r>
  <r>
    <x v="6"/>
    <x v="1"/>
    <x v="6"/>
    <x v="3"/>
    <x v="27"/>
    <x v="0"/>
    <x v="0"/>
    <n v="1.48"/>
    <n v="3929.8"/>
    <n v="13847.61"/>
    <x v="2"/>
  </r>
  <r>
    <x v="6"/>
    <x v="1"/>
    <x v="6"/>
    <x v="0"/>
    <x v="0"/>
    <x v="0"/>
    <x v="1"/>
    <n v="1.67"/>
    <n v="4434.3"/>
    <n v="15652.51"/>
    <x v="2"/>
  </r>
  <r>
    <x v="6"/>
    <x v="1"/>
    <x v="6"/>
    <x v="0"/>
    <x v="1"/>
    <x v="0"/>
    <x v="1"/>
    <n v="6.12"/>
    <n v="16250.25"/>
    <n v="57314.87"/>
    <x v="2"/>
  </r>
  <r>
    <x v="6"/>
    <x v="1"/>
    <x v="6"/>
    <x v="0"/>
    <x v="2"/>
    <x v="0"/>
    <x v="1"/>
    <n v="2.79"/>
    <n v="7408.2"/>
    <n v="26165.61"/>
    <x v="2"/>
  </r>
  <r>
    <x v="6"/>
    <x v="1"/>
    <x v="6"/>
    <x v="0"/>
    <x v="3"/>
    <x v="0"/>
    <x v="1"/>
    <n v="5.54"/>
    <n v="14710.2"/>
    <n v="51865.84"/>
    <x v="2"/>
  </r>
  <r>
    <x v="6"/>
    <x v="1"/>
    <x v="6"/>
    <x v="0"/>
    <x v="4"/>
    <x v="0"/>
    <x v="1"/>
    <n v="1.96"/>
    <n v="5204.33"/>
    <n v="18313.66"/>
    <x v="2"/>
  </r>
  <r>
    <x v="6"/>
    <x v="1"/>
    <x v="6"/>
    <x v="0"/>
    <x v="5"/>
    <x v="0"/>
    <x v="1"/>
    <n v="3.49"/>
    <n v="9266.89"/>
    <n v="32695.99"/>
    <x v="2"/>
  </r>
  <r>
    <x v="6"/>
    <x v="1"/>
    <x v="6"/>
    <x v="0"/>
    <x v="6"/>
    <x v="0"/>
    <x v="1"/>
    <n v="1.74"/>
    <n v="4620.17"/>
    <n v="16337.58"/>
    <x v="2"/>
  </r>
  <r>
    <x v="6"/>
    <x v="1"/>
    <x v="6"/>
    <x v="0"/>
    <x v="8"/>
    <x v="0"/>
    <x v="1"/>
    <n v="2.7"/>
    <n v="7169.23"/>
    <n v="25248.42"/>
    <x v="2"/>
  </r>
  <r>
    <x v="6"/>
    <x v="1"/>
    <x v="6"/>
    <x v="1"/>
    <x v="10"/>
    <x v="0"/>
    <x v="1"/>
    <n v="3.51"/>
    <n v="9320"/>
    <n v="32857.519999999997"/>
    <x v="2"/>
  </r>
  <r>
    <x v="6"/>
    <x v="1"/>
    <x v="6"/>
    <x v="1"/>
    <x v="11"/>
    <x v="0"/>
    <x v="1"/>
    <n v="13.45"/>
    <n v="35713.379999999997"/>
    <n v="125960.88"/>
    <x v="2"/>
  </r>
  <r>
    <x v="6"/>
    <x v="1"/>
    <x v="6"/>
    <x v="1"/>
    <x v="13"/>
    <x v="0"/>
    <x v="1"/>
    <n v="3.59"/>
    <n v="9532.42"/>
    <n v="33668.339999999997"/>
    <x v="2"/>
  </r>
  <r>
    <x v="6"/>
    <x v="1"/>
    <x v="6"/>
    <x v="1"/>
    <x v="14"/>
    <x v="0"/>
    <x v="1"/>
    <n v="1.43"/>
    <n v="3797.04"/>
    <n v="13389.8"/>
    <x v="2"/>
  </r>
  <r>
    <x v="6"/>
    <x v="1"/>
    <x v="6"/>
    <x v="1"/>
    <x v="16"/>
    <x v="0"/>
    <x v="1"/>
    <n v="1.66"/>
    <n v="4407.75"/>
    <n v="15522.91"/>
    <x v="2"/>
  </r>
  <r>
    <x v="6"/>
    <x v="1"/>
    <x v="6"/>
    <x v="1"/>
    <x v="17"/>
    <x v="0"/>
    <x v="1"/>
    <n v="1.03"/>
    <n v="2734.93"/>
    <n v="9689.68"/>
    <x v="2"/>
  </r>
  <r>
    <x v="6"/>
    <x v="1"/>
    <x v="6"/>
    <x v="1"/>
    <x v="18"/>
    <x v="0"/>
    <x v="1"/>
    <n v="9.57"/>
    <n v="25410.93"/>
    <n v="89673.61"/>
    <x v="2"/>
  </r>
  <r>
    <x v="6"/>
    <x v="1"/>
    <x v="6"/>
    <x v="1"/>
    <x v="19"/>
    <x v="0"/>
    <x v="1"/>
    <n v="3.34"/>
    <n v="8868.6"/>
    <n v="31301.19"/>
    <x v="2"/>
  </r>
  <r>
    <x v="6"/>
    <x v="1"/>
    <x v="6"/>
    <x v="1"/>
    <x v="20"/>
    <x v="0"/>
    <x v="1"/>
    <n v="8.09"/>
    <n v="21481.13"/>
    <n v="75789.960000000006"/>
    <x v="2"/>
  </r>
  <r>
    <x v="6"/>
    <x v="1"/>
    <x v="6"/>
    <x v="2"/>
    <x v="21"/>
    <x v="0"/>
    <x v="1"/>
    <n v="0"/>
    <n v="0"/>
    <n v="0"/>
    <x v="2"/>
  </r>
  <r>
    <x v="6"/>
    <x v="1"/>
    <x v="6"/>
    <x v="2"/>
    <x v="22"/>
    <x v="0"/>
    <x v="1"/>
    <n v="2.56"/>
    <n v="6797.49"/>
    <n v="23981.73"/>
    <x v="2"/>
  </r>
  <r>
    <x v="6"/>
    <x v="1"/>
    <x v="6"/>
    <x v="2"/>
    <x v="29"/>
    <x v="0"/>
    <x v="1"/>
    <n v="1.22"/>
    <n v="3239.43"/>
    <n v="11383.63"/>
    <x v="2"/>
  </r>
  <r>
    <x v="6"/>
    <x v="1"/>
    <x v="6"/>
    <x v="2"/>
    <x v="24"/>
    <x v="0"/>
    <x v="1"/>
    <n v="1.28"/>
    <n v="3398.75"/>
    <n v="12007"/>
    <x v="2"/>
  </r>
  <r>
    <x v="6"/>
    <x v="1"/>
    <x v="6"/>
    <x v="3"/>
    <x v="25"/>
    <x v="0"/>
    <x v="1"/>
    <n v="1.5"/>
    <n v="3982.91"/>
    <n v="14030.58"/>
    <x v="2"/>
  </r>
  <r>
    <x v="6"/>
    <x v="1"/>
    <x v="6"/>
    <x v="3"/>
    <x v="26"/>
    <x v="0"/>
    <x v="1"/>
    <n v="1.02"/>
    <n v="2708.38"/>
    <n v="9570.89"/>
    <x v="2"/>
  </r>
  <r>
    <x v="6"/>
    <x v="1"/>
    <x v="6"/>
    <x v="3"/>
    <x v="27"/>
    <x v="0"/>
    <x v="1"/>
    <n v="7.3"/>
    <n v="19383.47"/>
    <n v="68372.56"/>
    <x v="2"/>
  </r>
  <r>
    <x v="6"/>
    <x v="1"/>
    <x v="6"/>
    <x v="0"/>
    <x v="0"/>
    <x v="1"/>
    <x v="0"/>
    <n v="2.96"/>
    <n v="7859.6"/>
    <n v="18156.349999999999"/>
    <x v="2"/>
  </r>
  <r>
    <x v="6"/>
    <x v="1"/>
    <x v="6"/>
    <x v="0"/>
    <x v="1"/>
    <x v="1"/>
    <x v="0"/>
    <n v="11.26"/>
    <n v="29898.34"/>
    <n v="67802.350000000006"/>
    <x v="2"/>
  </r>
  <r>
    <x v="6"/>
    <x v="1"/>
    <x v="6"/>
    <x v="0"/>
    <x v="2"/>
    <x v="1"/>
    <x v="0"/>
    <n v="2.86"/>
    <n v="7594.07"/>
    <n v="16650.22"/>
    <x v="2"/>
  </r>
  <r>
    <x v="6"/>
    <x v="1"/>
    <x v="6"/>
    <x v="0"/>
    <x v="3"/>
    <x v="1"/>
    <x v="0"/>
    <n v="10.09"/>
    <n v="26791.67"/>
    <n v="61037.05"/>
    <x v="2"/>
  </r>
  <r>
    <x v="6"/>
    <x v="1"/>
    <x v="6"/>
    <x v="0"/>
    <x v="28"/>
    <x v="1"/>
    <x v="0"/>
    <n v="0"/>
    <n v="0"/>
    <n v="0"/>
    <x v="2"/>
  </r>
  <r>
    <x v="6"/>
    <x v="1"/>
    <x v="6"/>
    <x v="0"/>
    <x v="4"/>
    <x v="1"/>
    <x v="0"/>
    <n v="2.79"/>
    <n v="7408.2"/>
    <n v="16751.310000000001"/>
    <x v="2"/>
  </r>
  <r>
    <x v="6"/>
    <x v="1"/>
    <x v="6"/>
    <x v="0"/>
    <x v="5"/>
    <x v="1"/>
    <x v="0"/>
    <n v="2.68"/>
    <n v="7116.12"/>
    <n v="16572.12"/>
    <x v="2"/>
  </r>
  <r>
    <x v="6"/>
    <x v="1"/>
    <x v="6"/>
    <x v="0"/>
    <x v="6"/>
    <x v="1"/>
    <x v="0"/>
    <n v="0"/>
    <n v="0"/>
    <n v="0"/>
    <x v="2"/>
  </r>
  <r>
    <x v="6"/>
    <x v="1"/>
    <x v="6"/>
    <x v="0"/>
    <x v="7"/>
    <x v="1"/>
    <x v="0"/>
    <n v="0"/>
    <n v="0"/>
    <n v="0"/>
    <x v="2"/>
  </r>
  <r>
    <x v="6"/>
    <x v="1"/>
    <x v="6"/>
    <x v="0"/>
    <x v="8"/>
    <x v="1"/>
    <x v="0"/>
    <n v="0"/>
    <n v="0"/>
    <n v="0"/>
    <x v="2"/>
  </r>
  <r>
    <x v="6"/>
    <x v="1"/>
    <x v="6"/>
    <x v="1"/>
    <x v="30"/>
    <x v="1"/>
    <x v="0"/>
    <n v="1.1599999999999999"/>
    <n v="3080.11"/>
    <n v="7467.16"/>
    <x v="2"/>
  </r>
  <r>
    <x v="6"/>
    <x v="1"/>
    <x v="6"/>
    <x v="1"/>
    <x v="9"/>
    <x v="1"/>
    <x v="0"/>
    <n v="0"/>
    <n v="0"/>
    <n v="0"/>
    <x v="2"/>
  </r>
  <r>
    <x v="6"/>
    <x v="1"/>
    <x v="6"/>
    <x v="1"/>
    <x v="31"/>
    <x v="1"/>
    <x v="0"/>
    <n v="0.77"/>
    <n v="2044.56"/>
    <n v="5021.8500000000004"/>
    <x v="2"/>
  </r>
  <r>
    <x v="6"/>
    <x v="1"/>
    <x v="6"/>
    <x v="1"/>
    <x v="10"/>
    <x v="1"/>
    <x v="0"/>
    <n v="9.5"/>
    <n v="25225.07"/>
    <n v="60713.69"/>
    <x v="2"/>
  </r>
  <r>
    <x v="6"/>
    <x v="1"/>
    <x v="6"/>
    <x v="1"/>
    <x v="11"/>
    <x v="1"/>
    <x v="0"/>
    <n v="6.98"/>
    <n v="18533.78"/>
    <n v="42500.1"/>
    <x v="2"/>
  </r>
  <r>
    <x v="6"/>
    <x v="1"/>
    <x v="6"/>
    <x v="1"/>
    <x v="12"/>
    <x v="1"/>
    <x v="0"/>
    <n v="1.74"/>
    <n v="4620.17"/>
    <n v="11147.35"/>
    <x v="2"/>
  </r>
  <r>
    <x v="6"/>
    <x v="1"/>
    <x v="6"/>
    <x v="1"/>
    <x v="13"/>
    <x v="1"/>
    <x v="0"/>
    <n v="1.48"/>
    <n v="3929.8"/>
    <n v="9417.27"/>
    <x v="2"/>
  </r>
  <r>
    <x v="6"/>
    <x v="1"/>
    <x v="6"/>
    <x v="1"/>
    <x v="14"/>
    <x v="1"/>
    <x v="0"/>
    <n v="10.130000000000001"/>
    <n v="26897.89"/>
    <n v="63396.78"/>
    <x v="2"/>
  </r>
  <r>
    <x v="6"/>
    <x v="1"/>
    <x v="6"/>
    <x v="1"/>
    <x v="15"/>
    <x v="1"/>
    <x v="0"/>
    <n v="2.13"/>
    <n v="5655.73"/>
    <n v="13765.69"/>
    <x v="2"/>
  </r>
  <r>
    <x v="6"/>
    <x v="1"/>
    <x v="6"/>
    <x v="1"/>
    <x v="16"/>
    <x v="1"/>
    <x v="0"/>
    <n v="4.0199999999999996"/>
    <n v="10674.19"/>
    <n v="24800.78"/>
    <x v="2"/>
  </r>
  <r>
    <x v="6"/>
    <x v="1"/>
    <x v="6"/>
    <x v="1"/>
    <x v="17"/>
    <x v="1"/>
    <x v="0"/>
    <n v="4.07"/>
    <n v="10806.95"/>
    <n v="25304.17"/>
    <x v="2"/>
  </r>
  <r>
    <x v="6"/>
    <x v="1"/>
    <x v="6"/>
    <x v="1"/>
    <x v="18"/>
    <x v="1"/>
    <x v="0"/>
    <n v="5.92"/>
    <n v="15719.2"/>
    <n v="38525.85"/>
    <x v="2"/>
  </r>
  <r>
    <x v="6"/>
    <x v="1"/>
    <x v="6"/>
    <x v="1"/>
    <x v="19"/>
    <x v="1"/>
    <x v="0"/>
    <n v="8.82"/>
    <n v="23419.48"/>
    <n v="55684.84"/>
    <x v="2"/>
  </r>
  <r>
    <x v="6"/>
    <x v="1"/>
    <x v="6"/>
    <x v="1"/>
    <x v="20"/>
    <x v="1"/>
    <x v="0"/>
    <n v="10.119999999999999"/>
    <n v="26871.33"/>
    <n v="62859.03"/>
    <x v="2"/>
  </r>
  <r>
    <x v="6"/>
    <x v="1"/>
    <x v="6"/>
    <x v="2"/>
    <x v="21"/>
    <x v="1"/>
    <x v="0"/>
    <n v="0"/>
    <n v="0"/>
    <n v="0"/>
    <x v="2"/>
  </r>
  <r>
    <x v="6"/>
    <x v="1"/>
    <x v="6"/>
    <x v="2"/>
    <x v="22"/>
    <x v="1"/>
    <x v="0"/>
    <n v="4.24"/>
    <n v="11258.34"/>
    <n v="24179.91"/>
    <x v="2"/>
  </r>
  <r>
    <x v="6"/>
    <x v="1"/>
    <x v="6"/>
    <x v="2"/>
    <x v="29"/>
    <x v="1"/>
    <x v="0"/>
    <n v="0"/>
    <n v="0"/>
    <n v="0"/>
    <x v="2"/>
  </r>
  <r>
    <x v="6"/>
    <x v="1"/>
    <x v="6"/>
    <x v="2"/>
    <x v="23"/>
    <x v="1"/>
    <x v="0"/>
    <n v="0"/>
    <n v="0"/>
    <n v="0"/>
    <x v="2"/>
  </r>
  <r>
    <x v="6"/>
    <x v="1"/>
    <x v="6"/>
    <x v="2"/>
    <x v="24"/>
    <x v="1"/>
    <x v="0"/>
    <n v="2.0699999999999998"/>
    <n v="5496.41"/>
    <n v="12002.83"/>
    <x v="2"/>
  </r>
  <r>
    <x v="6"/>
    <x v="1"/>
    <x v="6"/>
    <x v="3"/>
    <x v="25"/>
    <x v="1"/>
    <x v="0"/>
    <n v="4.0599999999999996"/>
    <n v="10780.4"/>
    <n v="26046.59"/>
    <x v="2"/>
  </r>
  <r>
    <x v="6"/>
    <x v="1"/>
    <x v="6"/>
    <x v="3"/>
    <x v="26"/>
    <x v="1"/>
    <x v="0"/>
    <n v="2.69"/>
    <n v="7142.68"/>
    <n v="17384.75"/>
    <x v="2"/>
  </r>
  <r>
    <x v="6"/>
    <x v="1"/>
    <x v="6"/>
    <x v="3"/>
    <x v="27"/>
    <x v="1"/>
    <x v="0"/>
    <n v="9.16"/>
    <n v="24322.27"/>
    <n v="58111.71"/>
    <x v="2"/>
  </r>
  <r>
    <x v="6"/>
    <x v="1"/>
    <x v="6"/>
    <x v="0"/>
    <x v="0"/>
    <x v="1"/>
    <x v="1"/>
    <n v="4.26"/>
    <n v="11311.45"/>
    <n v="26099.75"/>
    <x v="2"/>
  </r>
  <r>
    <x v="6"/>
    <x v="1"/>
    <x v="6"/>
    <x v="0"/>
    <x v="1"/>
    <x v="1"/>
    <x v="1"/>
    <n v="20.11"/>
    <n v="53397.48"/>
    <n v="121146.84"/>
    <x v="2"/>
  </r>
  <r>
    <x v="6"/>
    <x v="1"/>
    <x v="6"/>
    <x v="0"/>
    <x v="2"/>
    <x v="1"/>
    <x v="1"/>
    <n v="11.71"/>
    <n v="31093.21"/>
    <n v="68114.53"/>
    <x v="2"/>
  </r>
  <r>
    <x v="6"/>
    <x v="1"/>
    <x v="6"/>
    <x v="0"/>
    <x v="3"/>
    <x v="1"/>
    <x v="1"/>
    <n v="22.26"/>
    <n v="59106.31"/>
    <n v="134702.46"/>
    <x v="2"/>
  </r>
  <r>
    <x v="6"/>
    <x v="1"/>
    <x v="6"/>
    <x v="0"/>
    <x v="28"/>
    <x v="1"/>
    <x v="1"/>
    <n v="1.59"/>
    <n v="4221.88"/>
    <n v="9766.51"/>
    <x v="2"/>
  </r>
  <r>
    <x v="6"/>
    <x v="1"/>
    <x v="6"/>
    <x v="0"/>
    <x v="4"/>
    <x v="1"/>
    <x v="1"/>
    <n v="5.48"/>
    <n v="14550.88"/>
    <n v="32882.199999999997"/>
    <x v="2"/>
  </r>
  <r>
    <x v="6"/>
    <x v="1"/>
    <x v="6"/>
    <x v="0"/>
    <x v="5"/>
    <x v="1"/>
    <x v="1"/>
    <n v="14.64"/>
    <n v="38873.15"/>
    <n v="90344.76"/>
    <x v="2"/>
  </r>
  <r>
    <x v="6"/>
    <x v="1"/>
    <x v="6"/>
    <x v="0"/>
    <x v="6"/>
    <x v="1"/>
    <x v="1"/>
    <n v="2.1"/>
    <n v="5576.07"/>
    <n v="12906.94"/>
    <x v="2"/>
  </r>
  <r>
    <x v="6"/>
    <x v="1"/>
    <x v="6"/>
    <x v="0"/>
    <x v="7"/>
    <x v="1"/>
    <x v="1"/>
    <n v="2.15"/>
    <n v="5708.83"/>
    <n v="13457.71"/>
    <x v="2"/>
  </r>
  <r>
    <x v="6"/>
    <x v="1"/>
    <x v="6"/>
    <x v="0"/>
    <x v="8"/>
    <x v="1"/>
    <x v="1"/>
    <n v="3.84"/>
    <n v="10196.24"/>
    <n v="22922.32"/>
    <x v="2"/>
  </r>
  <r>
    <x v="6"/>
    <x v="1"/>
    <x v="6"/>
    <x v="1"/>
    <x v="30"/>
    <x v="1"/>
    <x v="1"/>
    <n v="0"/>
    <n v="0"/>
    <n v="0"/>
    <x v="2"/>
  </r>
  <r>
    <x v="6"/>
    <x v="1"/>
    <x v="6"/>
    <x v="1"/>
    <x v="9"/>
    <x v="1"/>
    <x v="1"/>
    <n v="4.3899999999999997"/>
    <n v="11656.64"/>
    <n v="28287.98"/>
    <x v="2"/>
  </r>
  <r>
    <x v="6"/>
    <x v="1"/>
    <x v="6"/>
    <x v="1"/>
    <x v="31"/>
    <x v="1"/>
    <x v="1"/>
    <n v="0"/>
    <n v="0"/>
    <n v="0"/>
    <x v="2"/>
  </r>
  <r>
    <x v="6"/>
    <x v="1"/>
    <x v="6"/>
    <x v="1"/>
    <x v="10"/>
    <x v="1"/>
    <x v="1"/>
    <n v="23.72"/>
    <n v="62983"/>
    <n v="151505.73000000001"/>
    <x v="2"/>
  </r>
  <r>
    <x v="6"/>
    <x v="1"/>
    <x v="6"/>
    <x v="1"/>
    <x v="11"/>
    <x v="1"/>
    <x v="1"/>
    <n v="23.78"/>
    <n v="63142.32"/>
    <n v="144815.15"/>
    <x v="2"/>
  </r>
  <r>
    <x v="6"/>
    <x v="1"/>
    <x v="6"/>
    <x v="1"/>
    <x v="12"/>
    <x v="1"/>
    <x v="1"/>
    <n v="1.65"/>
    <n v="4381.2"/>
    <n v="10560.65"/>
    <x v="2"/>
  </r>
  <r>
    <x v="6"/>
    <x v="1"/>
    <x v="6"/>
    <x v="1"/>
    <x v="13"/>
    <x v="1"/>
    <x v="1"/>
    <n v="12.33"/>
    <n v="32739.48"/>
    <n v="78661.89"/>
    <x v="2"/>
  </r>
  <r>
    <x v="6"/>
    <x v="1"/>
    <x v="6"/>
    <x v="1"/>
    <x v="14"/>
    <x v="1"/>
    <x v="1"/>
    <n v="7.86"/>
    <n v="20870.419999999998"/>
    <n v="49187.16"/>
    <x v="2"/>
  </r>
  <r>
    <x v="6"/>
    <x v="1"/>
    <x v="6"/>
    <x v="1"/>
    <x v="15"/>
    <x v="1"/>
    <x v="1"/>
    <n v="1.68"/>
    <n v="4460.8500000000004"/>
    <n v="10897.84"/>
    <x v="2"/>
  </r>
  <r>
    <x v="6"/>
    <x v="1"/>
    <x v="6"/>
    <x v="1"/>
    <x v="16"/>
    <x v="1"/>
    <x v="1"/>
    <n v="8.66"/>
    <n v="22994.639999999999"/>
    <n v="53375.59"/>
    <x v="2"/>
  </r>
  <r>
    <x v="6"/>
    <x v="1"/>
    <x v="6"/>
    <x v="1"/>
    <x v="17"/>
    <x v="1"/>
    <x v="1"/>
    <n v="3.46"/>
    <n v="9187.23"/>
    <n v="21535.46"/>
    <x v="2"/>
  </r>
  <r>
    <x v="6"/>
    <x v="1"/>
    <x v="6"/>
    <x v="1"/>
    <x v="18"/>
    <x v="1"/>
    <x v="1"/>
    <n v="21.84"/>
    <n v="57991.1"/>
    <n v="142205.70000000001"/>
    <x v="2"/>
  </r>
  <r>
    <x v="6"/>
    <x v="1"/>
    <x v="6"/>
    <x v="1"/>
    <x v="19"/>
    <x v="1"/>
    <x v="1"/>
    <n v="14.41"/>
    <n v="38262.44"/>
    <n v="90970.28"/>
    <x v="2"/>
  </r>
  <r>
    <x v="6"/>
    <x v="1"/>
    <x v="6"/>
    <x v="1"/>
    <x v="20"/>
    <x v="1"/>
    <x v="1"/>
    <n v="21.97"/>
    <n v="58336.28"/>
    <n v="136463.19"/>
    <x v="2"/>
  </r>
  <r>
    <x v="6"/>
    <x v="1"/>
    <x v="6"/>
    <x v="2"/>
    <x v="21"/>
    <x v="1"/>
    <x v="1"/>
    <n v="1.97"/>
    <n v="5230.88"/>
    <n v="11249.95"/>
    <x v="2"/>
  </r>
  <r>
    <x v="6"/>
    <x v="1"/>
    <x v="6"/>
    <x v="2"/>
    <x v="22"/>
    <x v="1"/>
    <x v="1"/>
    <n v="9.23"/>
    <n v="24508.14"/>
    <n v="52626.86"/>
    <x v="2"/>
  </r>
  <r>
    <x v="6"/>
    <x v="1"/>
    <x v="6"/>
    <x v="2"/>
    <x v="29"/>
    <x v="1"/>
    <x v="1"/>
    <n v="2.5"/>
    <n v="6638.18"/>
    <n v="15131"/>
    <x v="2"/>
  </r>
  <r>
    <x v="6"/>
    <x v="1"/>
    <x v="6"/>
    <x v="2"/>
    <x v="23"/>
    <x v="1"/>
    <x v="1"/>
    <n v="0.94"/>
    <n v="2495.9499999999998"/>
    <n v="5557.65"/>
    <x v="2"/>
  </r>
  <r>
    <x v="6"/>
    <x v="1"/>
    <x v="6"/>
    <x v="2"/>
    <x v="24"/>
    <x v="1"/>
    <x v="1"/>
    <n v="1.29"/>
    <n v="3425.3"/>
    <n v="7501.77"/>
    <x v="2"/>
  </r>
  <r>
    <x v="6"/>
    <x v="1"/>
    <x v="6"/>
    <x v="3"/>
    <x v="25"/>
    <x v="1"/>
    <x v="1"/>
    <n v="7.69"/>
    <n v="20419.03"/>
    <n v="49322.26"/>
    <x v="2"/>
  </r>
  <r>
    <x v="6"/>
    <x v="1"/>
    <x v="6"/>
    <x v="3"/>
    <x v="26"/>
    <x v="1"/>
    <x v="1"/>
    <n v="13.36"/>
    <n v="35474.410000000003"/>
    <n v="86362.95"/>
    <x v="2"/>
  </r>
  <r>
    <x v="6"/>
    <x v="1"/>
    <x v="6"/>
    <x v="3"/>
    <x v="27"/>
    <x v="1"/>
    <x v="1"/>
    <n v="27.06"/>
    <n v="71851.61"/>
    <n v="171594.02"/>
    <x v="2"/>
  </r>
  <r>
    <x v="6"/>
    <x v="1"/>
    <x v="7"/>
    <x v="0"/>
    <x v="0"/>
    <x v="0"/>
    <x v="0"/>
    <n v="1.1599999999999999"/>
    <n v="5508.54"/>
    <n v="21411.43"/>
    <x v="2"/>
  </r>
  <r>
    <x v="6"/>
    <x v="1"/>
    <x v="7"/>
    <x v="0"/>
    <x v="1"/>
    <x v="0"/>
    <x v="0"/>
    <n v="3.24"/>
    <n v="15385.92"/>
    <n v="60092.83"/>
    <x v="2"/>
  </r>
  <r>
    <x v="6"/>
    <x v="1"/>
    <x v="7"/>
    <x v="0"/>
    <x v="2"/>
    <x v="0"/>
    <x v="0"/>
    <n v="0"/>
    <n v="0"/>
    <n v="0"/>
    <x v="2"/>
  </r>
  <r>
    <x v="6"/>
    <x v="1"/>
    <x v="7"/>
    <x v="0"/>
    <x v="3"/>
    <x v="0"/>
    <x v="0"/>
    <n v="1.37"/>
    <n v="6505.77"/>
    <n v="25326.27"/>
    <x v="2"/>
  </r>
  <r>
    <x v="6"/>
    <x v="1"/>
    <x v="7"/>
    <x v="0"/>
    <x v="4"/>
    <x v="0"/>
    <x v="0"/>
    <n v="0"/>
    <n v="0"/>
    <n v="0"/>
    <x v="2"/>
  </r>
  <r>
    <x v="6"/>
    <x v="1"/>
    <x v="7"/>
    <x v="0"/>
    <x v="5"/>
    <x v="0"/>
    <x v="0"/>
    <n v="0"/>
    <n v="0"/>
    <n v="0"/>
    <x v="2"/>
  </r>
  <r>
    <x v="6"/>
    <x v="1"/>
    <x v="7"/>
    <x v="0"/>
    <x v="6"/>
    <x v="0"/>
    <x v="0"/>
    <n v="0"/>
    <n v="0"/>
    <n v="0"/>
    <x v="2"/>
  </r>
  <r>
    <x v="6"/>
    <x v="1"/>
    <x v="7"/>
    <x v="0"/>
    <x v="8"/>
    <x v="0"/>
    <x v="0"/>
    <n v="0"/>
    <n v="0"/>
    <n v="0"/>
    <x v="2"/>
  </r>
  <r>
    <x v="6"/>
    <x v="1"/>
    <x v="7"/>
    <x v="1"/>
    <x v="10"/>
    <x v="0"/>
    <x v="0"/>
    <n v="0.92"/>
    <n v="4368.84"/>
    <n v="17086.939999999999"/>
    <x v="2"/>
  </r>
  <r>
    <x v="6"/>
    <x v="1"/>
    <x v="7"/>
    <x v="1"/>
    <x v="11"/>
    <x v="0"/>
    <x v="0"/>
    <n v="0"/>
    <n v="0"/>
    <n v="0"/>
    <x v="2"/>
  </r>
  <r>
    <x v="6"/>
    <x v="1"/>
    <x v="7"/>
    <x v="1"/>
    <x v="13"/>
    <x v="0"/>
    <x v="0"/>
    <n v="0"/>
    <n v="0"/>
    <n v="0"/>
    <x v="2"/>
  </r>
  <r>
    <x v="6"/>
    <x v="1"/>
    <x v="7"/>
    <x v="1"/>
    <x v="14"/>
    <x v="0"/>
    <x v="0"/>
    <n v="0"/>
    <n v="0"/>
    <n v="0"/>
    <x v="2"/>
  </r>
  <r>
    <x v="6"/>
    <x v="1"/>
    <x v="7"/>
    <x v="1"/>
    <x v="16"/>
    <x v="0"/>
    <x v="0"/>
    <n v="0"/>
    <n v="0"/>
    <n v="0"/>
    <x v="2"/>
  </r>
  <r>
    <x v="6"/>
    <x v="1"/>
    <x v="7"/>
    <x v="1"/>
    <x v="17"/>
    <x v="0"/>
    <x v="0"/>
    <n v="0"/>
    <n v="0"/>
    <n v="0"/>
    <x v="2"/>
  </r>
  <r>
    <x v="6"/>
    <x v="1"/>
    <x v="7"/>
    <x v="1"/>
    <x v="18"/>
    <x v="0"/>
    <x v="0"/>
    <n v="0"/>
    <n v="0"/>
    <n v="0"/>
    <x v="2"/>
  </r>
  <r>
    <x v="6"/>
    <x v="1"/>
    <x v="7"/>
    <x v="1"/>
    <x v="19"/>
    <x v="0"/>
    <x v="0"/>
    <n v="0"/>
    <n v="0"/>
    <n v="0"/>
    <x v="2"/>
  </r>
  <r>
    <x v="6"/>
    <x v="1"/>
    <x v="7"/>
    <x v="1"/>
    <x v="20"/>
    <x v="0"/>
    <x v="0"/>
    <n v="1.47"/>
    <n v="6980.65"/>
    <n v="27202.61"/>
    <x v="2"/>
  </r>
  <r>
    <x v="6"/>
    <x v="1"/>
    <x v="7"/>
    <x v="2"/>
    <x v="21"/>
    <x v="0"/>
    <x v="0"/>
    <n v="1.2"/>
    <n v="5698.49"/>
    <n v="22314.3"/>
    <x v="2"/>
  </r>
  <r>
    <x v="6"/>
    <x v="1"/>
    <x v="7"/>
    <x v="2"/>
    <x v="22"/>
    <x v="0"/>
    <x v="0"/>
    <n v="0"/>
    <n v="0"/>
    <n v="0"/>
    <x v="2"/>
  </r>
  <r>
    <x v="6"/>
    <x v="1"/>
    <x v="7"/>
    <x v="2"/>
    <x v="29"/>
    <x v="0"/>
    <x v="0"/>
    <n v="0"/>
    <n v="0"/>
    <n v="0"/>
    <x v="2"/>
  </r>
  <r>
    <x v="6"/>
    <x v="1"/>
    <x v="7"/>
    <x v="2"/>
    <x v="24"/>
    <x v="0"/>
    <x v="0"/>
    <n v="0"/>
    <n v="0"/>
    <n v="0"/>
    <x v="2"/>
  </r>
  <r>
    <x v="6"/>
    <x v="1"/>
    <x v="7"/>
    <x v="3"/>
    <x v="25"/>
    <x v="0"/>
    <x v="0"/>
    <n v="0"/>
    <n v="0"/>
    <n v="0"/>
    <x v="2"/>
  </r>
  <r>
    <x v="6"/>
    <x v="1"/>
    <x v="7"/>
    <x v="3"/>
    <x v="26"/>
    <x v="0"/>
    <x v="0"/>
    <n v="1.76"/>
    <n v="8357.7800000000007"/>
    <n v="32704.76"/>
    <x v="2"/>
  </r>
  <r>
    <x v="6"/>
    <x v="1"/>
    <x v="7"/>
    <x v="3"/>
    <x v="27"/>
    <x v="0"/>
    <x v="0"/>
    <n v="2.21"/>
    <n v="10494.72"/>
    <n v="40917.1"/>
    <x v="2"/>
  </r>
  <r>
    <x v="6"/>
    <x v="1"/>
    <x v="7"/>
    <x v="0"/>
    <x v="0"/>
    <x v="0"/>
    <x v="1"/>
    <n v="1.1599999999999999"/>
    <n v="5508.54"/>
    <n v="21411.43"/>
    <x v="2"/>
  </r>
  <r>
    <x v="6"/>
    <x v="1"/>
    <x v="7"/>
    <x v="0"/>
    <x v="1"/>
    <x v="0"/>
    <x v="1"/>
    <n v="5.05"/>
    <n v="23981.14"/>
    <n v="93527.93"/>
    <x v="2"/>
  </r>
  <r>
    <x v="6"/>
    <x v="1"/>
    <x v="7"/>
    <x v="0"/>
    <x v="2"/>
    <x v="0"/>
    <x v="1"/>
    <n v="4.25"/>
    <n v="20182.150000000001"/>
    <n v="78780.33"/>
    <x v="2"/>
  </r>
  <r>
    <x v="6"/>
    <x v="1"/>
    <x v="7"/>
    <x v="0"/>
    <x v="3"/>
    <x v="0"/>
    <x v="1"/>
    <n v="3.69"/>
    <n v="17522.849999999999"/>
    <n v="68380.929999999993"/>
    <x v="2"/>
  </r>
  <r>
    <x v="6"/>
    <x v="1"/>
    <x v="7"/>
    <x v="0"/>
    <x v="4"/>
    <x v="0"/>
    <x v="1"/>
    <n v="1.25"/>
    <n v="5935.93"/>
    <n v="23142.080000000002"/>
    <x v="2"/>
  </r>
  <r>
    <x v="6"/>
    <x v="1"/>
    <x v="7"/>
    <x v="0"/>
    <x v="5"/>
    <x v="0"/>
    <x v="1"/>
    <n v="3.61"/>
    <n v="17142.95"/>
    <n v="66860.399999999994"/>
    <x v="2"/>
  </r>
  <r>
    <x v="6"/>
    <x v="1"/>
    <x v="7"/>
    <x v="0"/>
    <x v="6"/>
    <x v="0"/>
    <x v="1"/>
    <n v="1.74"/>
    <n v="8262.81"/>
    <n v="32311.62"/>
    <x v="2"/>
  </r>
  <r>
    <x v="6"/>
    <x v="1"/>
    <x v="7"/>
    <x v="0"/>
    <x v="8"/>
    <x v="0"/>
    <x v="1"/>
    <n v="2.4500000000000002"/>
    <n v="11634.41"/>
    <n v="45493.62"/>
    <x v="2"/>
  </r>
  <r>
    <x v="6"/>
    <x v="1"/>
    <x v="7"/>
    <x v="1"/>
    <x v="10"/>
    <x v="0"/>
    <x v="1"/>
    <n v="3.96"/>
    <n v="18805.009999999998"/>
    <n v="73473.86"/>
    <x v="2"/>
  </r>
  <r>
    <x v="6"/>
    <x v="1"/>
    <x v="7"/>
    <x v="1"/>
    <x v="11"/>
    <x v="0"/>
    <x v="1"/>
    <n v="8.41"/>
    <n v="39936.9"/>
    <n v="155925.34"/>
    <x v="2"/>
  </r>
  <r>
    <x v="6"/>
    <x v="1"/>
    <x v="7"/>
    <x v="1"/>
    <x v="13"/>
    <x v="0"/>
    <x v="1"/>
    <n v="3.78"/>
    <n v="17950.240000000002"/>
    <n v="69998.710000000006"/>
    <x v="2"/>
  </r>
  <r>
    <x v="6"/>
    <x v="1"/>
    <x v="7"/>
    <x v="1"/>
    <x v="14"/>
    <x v="0"/>
    <x v="1"/>
    <n v="1.18"/>
    <n v="5603.51"/>
    <n v="21882.27"/>
    <x v="2"/>
  </r>
  <r>
    <x v="6"/>
    <x v="1"/>
    <x v="7"/>
    <x v="1"/>
    <x v="16"/>
    <x v="0"/>
    <x v="1"/>
    <n v="1.74"/>
    <n v="8262.81"/>
    <n v="32271.63"/>
    <x v="2"/>
  </r>
  <r>
    <x v="6"/>
    <x v="1"/>
    <x v="7"/>
    <x v="1"/>
    <x v="17"/>
    <x v="0"/>
    <x v="1"/>
    <n v="2.11"/>
    <n v="10019.84"/>
    <n v="39125.99"/>
    <x v="2"/>
  </r>
  <r>
    <x v="6"/>
    <x v="1"/>
    <x v="7"/>
    <x v="1"/>
    <x v="18"/>
    <x v="0"/>
    <x v="1"/>
    <n v="9.58"/>
    <n v="45492.93"/>
    <n v="177610.82"/>
    <x v="2"/>
  </r>
  <r>
    <x v="6"/>
    <x v="1"/>
    <x v="7"/>
    <x v="1"/>
    <x v="19"/>
    <x v="0"/>
    <x v="1"/>
    <n v="3.24"/>
    <n v="15385.92"/>
    <n v="59973.23"/>
    <x v="2"/>
  </r>
  <r>
    <x v="6"/>
    <x v="1"/>
    <x v="7"/>
    <x v="1"/>
    <x v="20"/>
    <x v="0"/>
    <x v="1"/>
    <n v="9.08"/>
    <n v="43118.559999999998"/>
    <n v="168316.13"/>
    <x v="2"/>
  </r>
  <r>
    <x v="6"/>
    <x v="1"/>
    <x v="7"/>
    <x v="2"/>
    <x v="21"/>
    <x v="0"/>
    <x v="1"/>
    <n v="0"/>
    <n v="0"/>
    <n v="0"/>
    <x v="2"/>
  </r>
  <r>
    <x v="6"/>
    <x v="1"/>
    <x v="7"/>
    <x v="2"/>
    <x v="22"/>
    <x v="0"/>
    <x v="1"/>
    <n v="4.3099999999999996"/>
    <n v="20467.07"/>
    <n v="79814.33"/>
    <x v="2"/>
  </r>
  <r>
    <x v="6"/>
    <x v="1"/>
    <x v="7"/>
    <x v="2"/>
    <x v="29"/>
    <x v="0"/>
    <x v="1"/>
    <n v="1.4"/>
    <n v="6648.24"/>
    <n v="25955.37"/>
    <x v="2"/>
  </r>
  <r>
    <x v="6"/>
    <x v="1"/>
    <x v="7"/>
    <x v="2"/>
    <x v="24"/>
    <x v="0"/>
    <x v="1"/>
    <n v="1.93"/>
    <n v="9165.07"/>
    <n v="35708.720000000001"/>
    <x v="2"/>
  </r>
  <r>
    <x v="6"/>
    <x v="1"/>
    <x v="7"/>
    <x v="3"/>
    <x v="25"/>
    <x v="0"/>
    <x v="1"/>
    <n v="2.4"/>
    <n v="11396.98"/>
    <n v="44500.01"/>
    <x v="2"/>
  </r>
  <r>
    <x v="6"/>
    <x v="1"/>
    <x v="7"/>
    <x v="3"/>
    <x v="26"/>
    <x v="0"/>
    <x v="1"/>
    <n v="1.86"/>
    <n v="8832.66"/>
    <n v="34426.06"/>
    <x v="2"/>
  </r>
  <r>
    <x v="6"/>
    <x v="1"/>
    <x v="7"/>
    <x v="3"/>
    <x v="27"/>
    <x v="0"/>
    <x v="1"/>
    <n v="5.43"/>
    <n v="25785.66"/>
    <n v="100719.01"/>
    <x v="2"/>
  </r>
  <r>
    <x v="6"/>
    <x v="1"/>
    <x v="7"/>
    <x v="0"/>
    <x v="0"/>
    <x v="1"/>
    <x v="0"/>
    <n v="2.37"/>
    <n v="11254.51"/>
    <n v="28769.67"/>
    <x v="2"/>
  </r>
  <r>
    <x v="6"/>
    <x v="1"/>
    <x v="7"/>
    <x v="0"/>
    <x v="1"/>
    <x v="1"/>
    <x v="0"/>
    <n v="12.19"/>
    <n v="57887.14"/>
    <n v="145306.09"/>
    <x v="2"/>
  </r>
  <r>
    <x v="6"/>
    <x v="1"/>
    <x v="7"/>
    <x v="0"/>
    <x v="2"/>
    <x v="1"/>
    <x v="0"/>
    <n v="3.35"/>
    <n v="15908.28"/>
    <n v="38529.279999999999"/>
    <x v="2"/>
  </r>
  <r>
    <x v="6"/>
    <x v="1"/>
    <x v="7"/>
    <x v="0"/>
    <x v="3"/>
    <x v="1"/>
    <x v="0"/>
    <n v="12.33"/>
    <n v="58551.96"/>
    <n v="147615.19"/>
    <x v="2"/>
  </r>
  <r>
    <x v="6"/>
    <x v="1"/>
    <x v="7"/>
    <x v="0"/>
    <x v="28"/>
    <x v="1"/>
    <x v="0"/>
    <n v="0"/>
    <n v="0"/>
    <n v="0"/>
    <x v="2"/>
  </r>
  <r>
    <x v="6"/>
    <x v="1"/>
    <x v="7"/>
    <x v="0"/>
    <x v="4"/>
    <x v="1"/>
    <x v="0"/>
    <n v="5.47"/>
    <n v="25975.61"/>
    <n v="64915.18"/>
    <x v="2"/>
  </r>
  <r>
    <x v="6"/>
    <x v="1"/>
    <x v="7"/>
    <x v="0"/>
    <x v="5"/>
    <x v="1"/>
    <x v="0"/>
    <n v="1.82"/>
    <n v="8642.7099999999991"/>
    <n v="22237.24"/>
    <x v="2"/>
  </r>
  <r>
    <x v="6"/>
    <x v="1"/>
    <x v="7"/>
    <x v="0"/>
    <x v="6"/>
    <x v="1"/>
    <x v="0"/>
    <n v="0"/>
    <n v="0"/>
    <n v="0"/>
    <x v="2"/>
  </r>
  <r>
    <x v="6"/>
    <x v="1"/>
    <x v="7"/>
    <x v="0"/>
    <x v="7"/>
    <x v="1"/>
    <x v="0"/>
    <n v="0"/>
    <n v="0"/>
    <n v="0"/>
    <x v="2"/>
  </r>
  <r>
    <x v="6"/>
    <x v="1"/>
    <x v="7"/>
    <x v="0"/>
    <x v="8"/>
    <x v="1"/>
    <x v="0"/>
    <n v="0"/>
    <n v="0"/>
    <n v="0"/>
    <x v="2"/>
  </r>
  <r>
    <x v="6"/>
    <x v="1"/>
    <x v="7"/>
    <x v="1"/>
    <x v="30"/>
    <x v="1"/>
    <x v="0"/>
    <n v="1.31"/>
    <n v="6220.85"/>
    <n v="16753.04"/>
    <x v="2"/>
  </r>
  <r>
    <x v="6"/>
    <x v="1"/>
    <x v="7"/>
    <x v="1"/>
    <x v="9"/>
    <x v="1"/>
    <x v="0"/>
    <n v="0"/>
    <n v="0"/>
    <n v="0"/>
    <x v="2"/>
  </r>
  <r>
    <x v="6"/>
    <x v="1"/>
    <x v="7"/>
    <x v="1"/>
    <x v="31"/>
    <x v="1"/>
    <x v="0"/>
    <n v="1.58"/>
    <n v="7503.01"/>
    <n v="20391.91"/>
    <x v="2"/>
  </r>
  <r>
    <x v="6"/>
    <x v="1"/>
    <x v="7"/>
    <x v="1"/>
    <x v="10"/>
    <x v="1"/>
    <x v="0"/>
    <n v="4.9800000000000004"/>
    <n v="23648.73"/>
    <n v="62910.87"/>
    <x v="2"/>
  </r>
  <r>
    <x v="6"/>
    <x v="1"/>
    <x v="7"/>
    <x v="1"/>
    <x v="11"/>
    <x v="1"/>
    <x v="0"/>
    <n v="6.02"/>
    <n v="28587.41"/>
    <n v="72518.62"/>
    <x v="2"/>
  </r>
  <r>
    <x v="6"/>
    <x v="1"/>
    <x v="7"/>
    <x v="1"/>
    <x v="12"/>
    <x v="1"/>
    <x v="0"/>
    <n v="2.39"/>
    <n v="11349.49"/>
    <n v="30261.22"/>
    <x v="2"/>
  </r>
  <r>
    <x v="6"/>
    <x v="1"/>
    <x v="7"/>
    <x v="1"/>
    <x v="13"/>
    <x v="1"/>
    <x v="0"/>
    <n v="1.21"/>
    <n v="5745.98"/>
    <n v="15249.83"/>
    <x v="2"/>
  </r>
  <r>
    <x v="6"/>
    <x v="1"/>
    <x v="7"/>
    <x v="1"/>
    <x v="14"/>
    <x v="1"/>
    <x v="0"/>
    <n v="11.57"/>
    <n v="54942.92"/>
    <n v="143251.72"/>
    <x v="2"/>
  </r>
  <r>
    <x v="6"/>
    <x v="1"/>
    <x v="7"/>
    <x v="1"/>
    <x v="15"/>
    <x v="1"/>
    <x v="0"/>
    <n v="4.45"/>
    <n v="21131.89"/>
    <n v="57045.19"/>
    <x v="2"/>
  </r>
  <r>
    <x v="6"/>
    <x v="1"/>
    <x v="7"/>
    <x v="1"/>
    <x v="16"/>
    <x v="1"/>
    <x v="0"/>
    <n v="2.35"/>
    <n v="11159.54"/>
    <n v="28667.87"/>
    <x v="2"/>
  </r>
  <r>
    <x v="6"/>
    <x v="1"/>
    <x v="7"/>
    <x v="1"/>
    <x v="17"/>
    <x v="1"/>
    <x v="0"/>
    <n v="7.5"/>
    <n v="35615.550000000003"/>
    <n v="92271.49"/>
    <x v="2"/>
  </r>
  <r>
    <x v="6"/>
    <x v="1"/>
    <x v="7"/>
    <x v="1"/>
    <x v="18"/>
    <x v="1"/>
    <x v="0"/>
    <n v="5.97"/>
    <n v="28349.98"/>
    <n v="76896.7"/>
    <x v="2"/>
  </r>
  <r>
    <x v="6"/>
    <x v="1"/>
    <x v="7"/>
    <x v="1"/>
    <x v="19"/>
    <x v="1"/>
    <x v="0"/>
    <n v="7.33"/>
    <n v="34808.26"/>
    <n v="91536.42"/>
    <x v="2"/>
  </r>
  <r>
    <x v="6"/>
    <x v="1"/>
    <x v="7"/>
    <x v="1"/>
    <x v="20"/>
    <x v="1"/>
    <x v="0"/>
    <n v="7.52"/>
    <n v="35710.519999999997"/>
    <n v="92425.46"/>
    <x v="2"/>
  </r>
  <r>
    <x v="6"/>
    <x v="1"/>
    <x v="7"/>
    <x v="2"/>
    <x v="21"/>
    <x v="1"/>
    <x v="0"/>
    <n v="0"/>
    <n v="0"/>
    <n v="0"/>
    <x v="2"/>
  </r>
  <r>
    <x v="6"/>
    <x v="1"/>
    <x v="7"/>
    <x v="2"/>
    <x v="22"/>
    <x v="1"/>
    <x v="0"/>
    <n v="5.05"/>
    <n v="23981.14"/>
    <n v="57056.74"/>
    <x v="2"/>
  </r>
  <r>
    <x v="6"/>
    <x v="1"/>
    <x v="7"/>
    <x v="2"/>
    <x v="29"/>
    <x v="1"/>
    <x v="0"/>
    <n v="0"/>
    <n v="0"/>
    <n v="0"/>
    <x v="2"/>
  </r>
  <r>
    <x v="6"/>
    <x v="1"/>
    <x v="7"/>
    <x v="2"/>
    <x v="23"/>
    <x v="1"/>
    <x v="0"/>
    <n v="0"/>
    <n v="0"/>
    <n v="0"/>
    <x v="2"/>
  </r>
  <r>
    <x v="6"/>
    <x v="1"/>
    <x v="7"/>
    <x v="2"/>
    <x v="24"/>
    <x v="1"/>
    <x v="0"/>
    <n v="2.08"/>
    <n v="9877.3799999999992"/>
    <n v="23849.040000000001"/>
    <x v="2"/>
  </r>
  <r>
    <x v="6"/>
    <x v="1"/>
    <x v="7"/>
    <x v="3"/>
    <x v="25"/>
    <x v="1"/>
    <x v="0"/>
    <n v="4.7300000000000004"/>
    <n v="22461.54"/>
    <n v="60051.33"/>
    <x v="2"/>
  </r>
  <r>
    <x v="6"/>
    <x v="1"/>
    <x v="7"/>
    <x v="3"/>
    <x v="26"/>
    <x v="1"/>
    <x v="0"/>
    <n v="5.4"/>
    <n v="25643.200000000001"/>
    <n v="69044.759999999995"/>
    <x v="2"/>
  </r>
  <r>
    <x v="6"/>
    <x v="1"/>
    <x v="7"/>
    <x v="3"/>
    <x v="27"/>
    <x v="1"/>
    <x v="0"/>
    <n v="9.7899999999999991"/>
    <n v="46490.16"/>
    <n v="122914.71"/>
    <x v="2"/>
  </r>
  <r>
    <x v="6"/>
    <x v="1"/>
    <x v="7"/>
    <x v="0"/>
    <x v="0"/>
    <x v="1"/>
    <x v="1"/>
    <n v="4.03"/>
    <n v="19137.419999999998"/>
    <n v="48908.44"/>
    <x v="2"/>
  </r>
  <r>
    <x v="6"/>
    <x v="1"/>
    <x v="7"/>
    <x v="0"/>
    <x v="1"/>
    <x v="1"/>
    <x v="1"/>
    <n v="21.89"/>
    <n v="103949.92"/>
    <n v="260890.48"/>
    <x v="2"/>
  </r>
  <r>
    <x v="6"/>
    <x v="1"/>
    <x v="7"/>
    <x v="0"/>
    <x v="2"/>
    <x v="1"/>
    <x v="1"/>
    <n v="8.5"/>
    <n v="40364.29"/>
    <n v="97805.09"/>
    <x v="2"/>
  </r>
  <r>
    <x v="6"/>
    <x v="1"/>
    <x v="7"/>
    <x v="0"/>
    <x v="3"/>
    <x v="1"/>
    <x v="1"/>
    <n v="21.79"/>
    <n v="103475.04"/>
    <n v="260925.45"/>
    <x v="2"/>
  </r>
  <r>
    <x v="6"/>
    <x v="1"/>
    <x v="7"/>
    <x v="0"/>
    <x v="28"/>
    <x v="1"/>
    <x v="1"/>
    <n v="2.74"/>
    <n v="13011.55"/>
    <n v="33237.300000000003"/>
    <x v="2"/>
  </r>
  <r>
    <x v="6"/>
    <x v="1"/>
    <x v="7"/>
    <x v="0"/>
    <x v="4"/>
    <x v="1"/>
    <x v="1"/>
    <n v="5.91"/>
    <n v="28065.05"/>
    <n v="70150.28"/>
    <x v="2"/>
  </r>
  <r>
    <x v="6"/>
    <x v="1"/>
    <x v="7"/>
    <x v="0"/>
    <x v="5"/>
    <x v="1"/>
    <x v="1"/>
    <n v="13.78"/>
    <n v="65437.64"/>
    <n v="168367.7"/>
    <x v="2"/>
  </r>
  <r>
    <x v="6"/>
    <x v="1"/>
    <x v="7"/>
    <x v="0"/>
    <x v="6"/>
    <x v="1"/>
    <x v="1"/>
    <n v="1.75"/>
    <n v="8310.2999999999993"/>
    <n v="21343.11"/>
    <x v="2"/>
  </r>
  <r>
    <x v="6"/>
    <x v="1"/>
    <x v="7"/>
    <x v="0"/>
    <x v="7"/>
    <x v="1"/>
    <x v="1"/>
    <n v="5.0599999999999996"/>
    <n v="24028.62"/>
    <n v="62659.87"/>
    <x v="2"/>
  </r>
  <r>
    <x v="6"/>
    <x v="1"/>
    <x v="7"/>
    <x v="0"/>
    <x v="8"/>
    <x v="1"/>
    <x v="1"/>
    <n v="3"/>
    <n v="14246.22"/>
    <n v="35428.93"/>
    <x v="2"/>
  </r>
  <r>
    <x v="6"/>
    <x v="1"/>
    <x v="7"/>
    <x v="1"/>
    <x v="30"/>
    <x v="1"/>
    <x v="1"/>
    <n v="0"/>
    <n v="0"/>
    <n v="0"/>
    <x v="2"/>
  </r>
  <r>
    <x v="6"/>
    <x v="1"/>
    <x v="7"/>
    <x v="1"/>
    <x v="9"/>
    <x v="1"/>
    <x v="1"/>
    <n v="1.8"/>
    <n v="8547.73"/>
    <n v="22944.1"/>
    <x v="2"/>
  </r>
  <r>
    <x v="6"/>
    <x v="1"/>
    <x v="7"/>
    <x v="1"/>
    <x v="31"/>
    <x v="1"/>
    <x v="1"/>
    <n v="0"/>
    <n v="0"/>
    <n v="0"/>
    <x v="2"/>
  </r>
  <r>
    <x v="6"/>
    <x v="1"/>
    <x v="7"/>
    <x v="1"/>
    <x v="10"/>
    <x v="1"/>
    <x v="1"/>
    <n v="28.72"/>
    <n v="136383.81"/>
    <n v="363117.15"/>
    <x v="2"/>
  </r>
  <r>
    <x v="6"/>
    <x v="1"/>
    <x v="7"/>
    <x v="1"/>
    <x v="11"/>
    <x v="1"/>
    <x v="1"/>
    <n v="19.45"/>
    <n v="92362.99"/>
    <n v="234290.93"/>
    <x v="2"/>
  </r>
  <r>
    <x v="6"/>
    <x v="1"/>
    <x v="7"/>
    <x v="1"/>
    <x v="12"/>
    <x v="1"/>
    <x v="1"/>
    <n v="2.65"/>
    <n v="12584.16"/>
    <n v="33623.57"/>
    <x v="2"/>
  </r>
  <r>
    <x v="6"/>
    <x v="1"/>
    <x v="7"/>
    <x v="1"/>
    <x v="13"/>
    <x v="1"/>
    <x v="1"/>
    <n v="10.1"/>
    <n v="47962.27"/>
    <n v="127444.99"/>
    <x v="2"/>
  </r>
  <r>
    <x v="6"/>
    <x v="1"/>
    <x v="7"/>
    <x v="1"/>
    <x v="14"/>
    <x v="1"/>
    <x v="1"/>
    <n v="7.83"/>
    <n v="37182.629999999997"/>
    <n v="96937.25"/>
    <x v="2"/>
  </r>
  <r>
    <x v="6"/>
    <x v="1"/>
    <x v="7"/>
    <x v="1"/>
    <x v="15"/>
    <x v="1"/>
    <x v="1"/>
    <n v="2.23"/>
    <n v="10589.69"/>
    <n v="28522.59"/>
    <x v="2"/>
  </r>
  <r>
    <x v="6"/>
    <x v="1"/>
    <x v="7"/>
    <x v="1"/>
    <x v="16"/>
    <x v="1"/>
    <x v="1"/>
    <n v="7.97"/>
    <n v="37847.46"/>
    <n v="97266"/>
    <x v="2"/>
  </r>
  <r>
    <x v="6"/>
    <x v="1"/>
    <x v="7"/>
    <x v="1"/>
    <x v="17"/>
    <x v="1"/>
    <x v="1"/>
    <n v="6.19"/>
    <n v="29394.7"/>
    <n v="76177.63"/>
    <x v="2"/>
  </r>
  <r>
    <x v="6"/>
    <x v="1"/>
    <x v="7"/>
    <x v="1"/>
    <x v="18"/>
    <x v="1"/>
    <x v="1"/>
    <n v="19.95"/>
    <n v="94737.36"/>
    <n v="256971.27"/>
    <x v="2"/>
  </r>
  <r>
    <x v="6"/>
    <x v="1"/>
    <x v="7"/>
    <x v="1"/>
    <x v="19"/>
    <x v="1"/>
    <x v="1"/>
    <n v="13.52"/>
    <n v="64202.96"/>
    <n v="168906.48"/>
    <x v="2"/>
  </r>
  <r>
    <x v="6"/>
    <x v="1"/>
    <x v="7"/>
    <x v="1"/>
    <x v="20"/>
    <x v="1"/>
    <x v="1"/>
    <n v="11.19"/>
    <n v="53138.400000000001"/>
    <n v="137546.54999999999"/>
    <x v="2"/>
  </r>
  <r>
    <x v="6"/>
    <x v="1"/>
    <x v="7"/>
    <x v="2"/>
    <x v="21"/>
    <x v="1"/>
    <x v="1"/>
    <n v="0.72"/>
    <n v="3419.09"/>
    <n v="8119.84"/>
    <x v="2"/>
  </r>
  <r>
    <x v="6"/>
    <x v="1"/>
    <x v="7"/>
    <x v="2"/>
    <x v="22"/>
    <x v="1"/>
    <x v="1"/>
    <n v="11.99"/>
    <n v="56937.39"/>
    <n v="135326.89000000001"/>
    <x v="2"/>
  </r>
  <r>
    <x v="6"/>
    <x v="1"/>
    <x v="7"/>
    <x v="2"/>
    <x v="29"/>
    <x v="1"/>
    <x v="1"/>
    <n v="5.31"/>
    <n v="25215.81"/>
    <n v="63739.19"/>
    <x v="2"/>
  </r>
  <r>
    <x v="6"/>
    <x v="1"/>
    <x v="7"/>
    <x v="2"/>
    <x v="23"/>
    <x v="1"/>
    <x v="1"/>
    <n v="2.99"/>
    <n v="14198.73"/>
    <n v="35112.71"/>
    <x v="2"/>
  </r>
  <r>
    <x v="6"/>
    <x v="1"/>
    <x v="7"/>
    <x v="2"/>
    <x v="24"/>
    <x v="1"/>
    <x v="1"/>
    <n v="3.89"/>
    <n v="18472.599999999999"/>
    <n v="44716.95"/>
    <x v="2"/>
  </r>
  <r>
    <x v="6"/>
    <x v="1"/>
    <x v="7"/>
    <x v="3"/>
    <x v="25"/>
    <x v="1"/>
    <x v="1"/>
    <n v="4.26"/>
    <n v="20229.63"/>
    <n v="54120.33"/>
    <x v="2"/>
  </r>
  <r>
    <x v="6"/>
    <x v="1"/>
    <x v="7"/>
    <x v="3"/>
    <x v="26"/>
    <x v="1"/>
    <x v="1"/>
    <n v="16.8"/>
    <n v="79778.83"/>
    <n v="214929.67"/>
    <x v="2"/>
  </r>
  <r>
    <x v="6"/>
    <x v="1"/>
    <x v="7"/>
    <x v="3"/>
    <x v="27"/>
    <x v="1"/>
    <x v="1"/>
    <n v="28.08"/>
    <n v="133344.62"/>
    <n v="352428.03"/>
    <x v="2"/>
  </r>
  <r>
    <x v="6"/>
    <x v="1"/>
    <x v="8"/>
    <x v="0"/>
    <x v="0"/>
    <x v="0"/>
    <x v="0"/>
    <n v="2.41"/>
    <n v="8112.45"/>
    <n v="29097.67"/>
    <x v="2"/>
  </r>
  <r>
    <x v="6"/>
    <x v="1"/>
    <x v="8"/>
    <x v="0"/>
    <x v="1"/>
    <x v="0"/>
    <x v="0"/>
    <n v="6.1"/>
    <n v="20533.580000000002"/>
    <n v="73716.399999999994"/>
    <x v="2"/>
  </r>
  <r>
    <x v="6"/>
    <x v="1"/>
    <x v="8"/>
    <x v="0"/>
    <x v="2"/>
    <x v="0"/>
    <x v="0"/>
    <n v="0"/>
    <n v="0"/>
    <n v="0"/>
    <x v="2"/>
  </r>
  <r>
    <x v="6"/>
    <x v="1"/>
    <x v="8"/>
    <x v="0"/>
    <x v="3"/>
    <x v="0"/>
    <x v="0"/>
    <n v="2.86"/>
    <n v="9627.2199999999993"/>
    <n v="34589.74"/>
    <x v="2"/>
  </r>
  <r>
    <x v="6"/>
    <x v="1"/>
    <x v="8"/>
    <x v="0"/>
    <x v="4"/>
    <x v="0"/>
    <x v="0"/>
    <n v="0"/>
    <n v="0"/>
    <n v="0"/>
    <x v="2"/>
  </r>
  <r>
    <x v="6"/>
    <x v="1"/>
    <x v="8"/>
    <x v="0"/>
    <x v="5"/>
    <x v="0"/>
    <x v="0"/>
    <n v="0"/>
    <n v="0"/>
    <n v="0"/>
    <x v="2"/>
  </r>
  <r>
    <x v="6"/>
    <x v="1"/>
    <x v="8"/>
    <x v="0"/>
    <x v="6"/>
    <x v="0"/>
    <x v="0"/>
    <n v="0"/>
    <n v="0"/>
    <n v="0"/>
    <x v="2"/>
  </r>
  <r>
    <x v="6"/>
    <x v="1"/>
    <x v="8"/>
    <x v="0"/>
    <x v="8"/>
    <x v="0"/>
    <x v="0"/>
    <n v="0"/>
    <n v="0"/>
    <n v="0"/>
    <x v="2"/>
  </r>
  <r>
    <x v="6"/>
    <x v="1"/>
    <x v="8"/>
    <x v="1"/>
    <x v="10"/>
    <x v="0"/>
    <x v="0"/>
    <n v="1.66"/>
    <n v="5587.83"/>
    <n v="20032.47"/>
    <x v="2"/>
  </r>
  <r>
    <x v="6"/>
    <x v="1"/>
    <x v="8"/>
    <x v="1"/>
    <x v="11"/>
    <x v="0"/>
    <x v="0"/>
    <n v="0"/>
    <n v="0"/>
    <n v="0"/>
    <x v="2"/>
  </r>
  <r>
    <x v="6"/>
    <x v="1"/>
    <x v="8"/>
    <x v="1"/>
    <x v="13"/>
    <x v="0"/>
    <x v="0"/>
    <n v="0"/>
    <n v="0"/>
    <n v="0"/>
    <x v="2"/>
  </r>
  <r>
    <x v="6"/>
    <x v="1"/>
    <x v="8"/>
    <x v="1"/>
    <x v="14"/>
    <x v="0"/>
    <x v="0"/>
    <n v="0"/>
    <n v="0"/>
    <n v="0"/>
    <x v="2"/>
  </r>
  <r>
    <x v="6"/>
    <x v="1"/>
    <x v="8"/>
    <x v="1"/>
    <x v="16"/>
    <x v="0"/>
    <x v="0"/>
    <n v="0"/>
    <n v="0"/>
    <n v="0"/>
    <x v="2"/>
  </r>
  <r>
    <x v="6"/>
    <x v="1"/>
    <x v="8"/>
    <x v="1"/>
    <x v="17"/>
    <x v="0"/>
    <x v="0"/>
    <n v="0"/>
    <n v="0"/>
    <n v="0"/>
    <x v="2"/>
  </r>
  <r>
    <x v="6"/>
    <x v="1"/>
    <x v="8"/>
    <x v="1"/>
    <x v="18"/>
    <x v="0"/>
    <x v="0"/>
    <n v="0"/>
    <n v="0"/>
    <n v="0"/>
    <x v="2"/>
  </r>
  <r>
    <x v="6"/>
    <x v="1"/>
    <x v="8"/>
    <x v="1"/>
    <x v="19"/>
    <x v="0"/>
    <x v="0"/>
    <n v="0"/>
    <n v="0"/>
    <n v="0"/>
    <x v="2"/>
  </r>
  <r>
    <x v="6"/>
    <x v="1"/>
    <x v="8"/>
    <x v="1"/>
    <x v="20"/>
    <x v="0"/>
    <x v="0"/>
    <n v="3.41"/>
    <n v="11478.61"/>
    <n v="41183.68"/>
    <x v="2"/>
  </r>
  <r>
    <x v="6"/>
    <x v="1"/>
    <x v="8"/>
    <x v="2"/>
    <x v="21"/>
    <x v="0"/>
    <x v="0"/>
    <n v="3.06"/>
    <n v="10300.450000000001"/>
    <n v="37000.32"/>
    <x v="2"/>
  </r>
  <r>
    <x v="6"/>
    <x v="1"/>
    <x v="8"/>
    <x v="2"/>
    <x v="22"/>
    <x v="0"/>
    <x v="0"/>
    <n v="0"/>
    <n v="0"/>
    <n v="0"/>
    <x v="2"/>
  </r>
  <r>
    <x v="6"/>
    <x v="1"/>
    <x v="8"/>
    <x v="2"/>
    <x v="29"/>
    <x v="0"/>
    <x v="0"/>
    <n v="0"/>
    <n v="0"/>
    <n v="0"/>
    <x v="2"/>
  </r>
  <r>
    <x v="6"/>
    <x v="1"/>
    <x v="8"/>
    <x v="2"/>
    <x v="24"/>
    <x v="0"/>
    <x v="0"/>
    <n v="0"/>
    <n v="0"/>
    <n v="0"/>
    <x v="2"/>
  </r>
  <r>
    <x v="6"/>
    <x v="1"/>
    <x v="8"/>
    <x v="3"/>
    <x v="25"/>
    <x v="0"/>
    <x v="0"/>
    <n v="0"/>
    <n v="0"/>
    <n v="0"/>
    <x v="2"/>
  </r>
  <r>
    <x v="6"/>
    <x v="1"/>
    <x v="8"/>
    <x v="3"/>
    <x v="26"/>
    <x v="0"/>
    <x v="0"/>
    <n v="2.78"/>
    <n v="9357.92"/>
    <n v="33545.440000000002"/>
    <x v="2"/>
  </r>
  <r>
    <x v="6"/>
    <x v="1"/>
    <x v="8"/>
    <x v="3"/>
    <x v="27"/>
    <x v="0"/>
    <x v="0"/>
    <n v="2.86"/>
    <n v="9627.2199999999993"/>
    <n v="34533.31"/>
    <x v="2"/>
  </r>
  <r>
    <x v="6"/>
    <x v="1"/>
    <x v="8"/>
    <x v="0"/>
    <x v="0"/>
    <x v="0"/>
    <x v="1"/>
    <n v="2.13"/>
    <n v="7169.92"/>
    <n v="25740.25"/>
    <x v="2"/>
  </r>
  <r>
    <x v="6"/>
    <x v="1"/>
    <x v="8"/>
    <x v="0"/>
    <x v="1"/>
    <x v="0"/>
    <x v="1"/>
    <n v="7.05"/>
    <n v="23731.43"/>
    <n v="85193.21"/>
    <x v="2"/>
  </r>
  <r>
    <x v="6"/>
    <x v="1"/>
    <x v="8"/>
    <x v="0"/>
    <x v="2"/>
    <x v="0"/>
    <x v="1"/>
    <n v="4.9800000000000004"/>
    <n v="16763.48"/>
    <n v="60160.36"/>
    <x v="2"/>
  </r>
  <r>
    <x v="6"/>
    <x v="1"/>
    <x v="8"/>
    <x v="0"/>
    <x v="3"/>
    <x v="0"/>
    <x v="1"/>
    <n v="9.24"/>
    <n v="31103.32"/>
    <n v="111579.82"/>
    <x v="2"/>
  </r>
  <r>
    <x v="6"/>
    <x v="1"/>
    <x v="8"/>
    <x v="0"/>
    <x v="4"/>
    <x v="0"/>
    <x v="1"/>
    <n v="2.7"/>
    <n v="9088.6299999999992"/>
    <n v="32563.66"/>
    <x v="2"/>
  </r>
  <r>
    <x v="6"/>
    <x v="1"/>
    <x v="8"/>
    <x v="0"/>
    <x v="5"/>
    <x v="0"/>
    <x v="1"/>
    <n v="4.8600000000000003"/>
    <n v="16359.54"/>
    <n v="58738.66"/>
    <x v="2"/>
  </r>
  <r>
    <x v="6"/>
    <x v="1"/>
    <x v="8"/>
    <x v="0"/>
    <x v="6"/>
    <x v="0"/>
    <x v="1"/>
    <n v="0"/>
    <n v="0"/>
    <n v="0"/>
    <x v="2"/>
  </r>
  <r>
    <x v="6"/>
    <x v="1"/>
    <x v="8"/>
    <x v="0"/>
    <x v="8"/>
    <x v="0"/>
    <x v="1"/>
    <n v="3.96"/>
    <n v="13329.99"/>
    <n v="47838.66"/>
    <x v="2"/>
  </r>
  <r>
    <x v="6"/>
    <x v="1"/>
    <x v="8"/>
    <x v="1"/>
    <x v="10"/>
    <x v="0"/>
    <x v="1"/>
    <n v="5.62"/>
    <n v="18917.82"/>
    <n v="67887.83"/>
    <x v="2"/>
  </r>
  <r>
    <x v="6"/>
    <x v="1"/>
    <x v="8"/>
    <x v="1"/>
    <x v="11"/>
    <x v="0"/>
    <x v="1"/>
    <n v="13.87"/>
    <n v="46688.639999999999"/>
    <n v="167511.60999999999"/>
    <x v="2"/>
  </r>
  <r>
    <x v="6"/>
    <x v="1"/>
    <x v="8"/>
    <x v="1"/>
    <x v="13"/>
    <x v="0"/>
    <x v="1"/>
    <n v="6.09"/>
    <n v="20499.91"/>
    <n v="73551.820000000007"/>
    <x v="2"/>
  </r>
  <r>
    <x v="6"/>
    <x v="1"/>
    <x v="8"/>
    <x v="1"/>
    <x v="14"/>
    <x v="0"/>
    <x v="1"/>
    <n v="2.84"/>
    <n v="9559.89"/>
    <n v="34304.97"/>
    <x v="2"/>
  </r>
  <r>
    <x v="6"/>
    <x v="1"/>
    <x v="8"/>
    <x v="1"/>
    <x v="16"/>
    <x v="0"/>
    <x v="1"/>
    <n v="2.77"/>
    <n v="9324.26"/>
    <n v="33426.559999999998"/>
    <x v="2"/>
  </r>
  <r>
    <x v="6"/>
    <x v="1"/>
    <x v="8"/>
    <x v="1"/>
    <x v="17"/>
    <x v="0"/>
    <x v="1"/>
    <n v="2.4900000000000002"/>
    <n v="8381.74"/>
    <n v="30020.32"/>
    <x v="2"/>
  </r>
  <r>
    <x v="6"/>
    <x v="1"/>
    <x v="8"/>
    <x v="1"/>
    <x v="18"/>
    <x v="0"/>
    <x v="1"/>
    <n v="16.87"/>
    <n v="56787.12"/>
    <n v="203771.18"/>
    <x v="2"/>
  </r>
  <r>
    <x v="6"/>
    <x v="1"/>
    <x v="8"/>
    <x v="1"/>
    <x v="19"/>
    <x v="0"/>
    <x v="1"/>
    <n v="4.62"/>
    <n v="15551.66"/>
    <n v="55754.1"/>
    <x v="2"/>
  </r>
  <r>
    <x v="6"/>
    <x v="1"/>
    <x v="8"/>
    <x v="1"/>
    <x v="20"/>
    <x v="0"/>
    <x v="1"/>
    <n v="14.93"/>
    <n v="50256.77"/>
    <n v="180317.75"/>
    <x v="2"/>
  </r>
  <r>
    <x v="6"/>
    <x v="1"/>
    <x v="8"/>
    <x v="2"/>
    <x v="21"/>
    <x v="0"/>
    <x v="1"/>
    <n v="0"/>
    <n v="0"/>
    <n v="0"/>
    <x v="2"/>
  </r>
  <r>
    <x v="6"/>
    <x v="1"/>
    <x v="8"/>
    <x v="2"/>
    <x v="22"/>
    <x v="0"/>
    <x v="1"/>
    <n v="5.85"/>
    <n v="19692.04"/>
    <n v="70662.02"/>
    <x v="2"/>
  </r>
  <r>
    <x v="6"/>
    <x v="1"/>
    <x v="8"/>
    <x v="2"/>
    <x v="29"/>
    <x v="0"/>
    <x v="1"/>
    <n v="2.44"/>
    <n v="8213.43"/>
    <n v="29460.91"/>
    <x v="2"/>
  </r>
  <r>
    <x v="6"/>
    <x v="1"/>
    <x v="8"/>
    <x v="2"/>
    <x v="24"/>
    <x v="0"/>
    <x v="1"/>
    <n v="4.05"/>
    <n v="13632.95"/>
    <n v="48966.6"/>
    <x v="2"/>
  </r>
  <r>
    <x v="6"/>
    <x v="1"/>
    <x v="8"/>
    <x v="3"/>
    <x v="25"/>
    <x v="0"/>
    <x v="1"/>
    <n v="3.7"/>
    <n v="12454.79"/>
    <n v="44678.78"/>
    <x v="2"/>
  </r>
  <r>
    <x v="6"/>
    <x v="1"/>
    <x v="8"/>
    <x v="3"/>
    <x v="26"/>
    <x v="0"/>
    <x v="1"/>
    <n v="2.7"/>
    <n v="9088.6299999999992"/>
    <n v="32558.81"/>
    <x v="2"/>
  </r>
  <r>
    <x v="6"/>
    <x v="1"/>
    <x v="8"/>
    <x v="3"/>
    <x v="27"/>
    <x v="0"/>
    <x v="1"/>
    <n v="10.24"/>
    <n v="34469.480000000003"/>
    <n v="123651.52"/>
    <x v="2"/>
  </r>
  <r>
    <x v="6"/>
    <x v="1"/>
    <x v="8"/>
    <x v="0"/>
    <x v="0"/>
    <x v="1"/>
    <x v="0"/>
    <n v="5.61"/>
    <n v="18884.16"/>
    <n v="44323.55"/>
    <x v="2"/>
  </r>
  <r>
    <x v="6"/>
    <x v="1"/>
    <x v="8"/>
    <x v="0"/>
    <x v="1"/>
    <x v="1"/>
    <x v="0"/>
    <n v="17.39"/>
    <n v="58537.52"/>
    <n v="135018.48000000001"/>
    <x v="2"/>
  </r>
  <r>
    <x v="6"/>
    <x v="1"/>
    <x v="8"/>
    <x v="0"/>
    <x v="2"/>
    <x v="1"/>
    <x v="0"/>
    <n v="7.78"/>
    <n v="26188.720000000001"/>
    <n v="58345.75"/>
    <x v="2"/>
  </r>
  <r>
    <x v="6"/>
    <x v="1"/>
    <x v="8"/>
    <x v="0"/>
    <x v="3"/>
    <x v="1"/>
    <x v="0"/>
    <n v="15.31"/>
    <n v="51535.91"/>
    <n v="119401.14"/>
    <x v="2"/>
  </r>
  <r>
    <x v="6"/>
    <x v="1"/>
    <x v="8"/>
    <x v="0"/>
    <x v="28"/>
    <x v="1"/>
    <x v="0"/>
    <n v="0"/>
    <n v="0"/>
    <n v="0"/>
    <x v="2"/>
  </r>
  <r>
    <x v="6"/>
    <x v="1"/>
    <x v="8"/>
    <x v="0"/>
    <x v="4"/>
    <x v="1"/>
    <x v="0"/>
    <n v="10.79"/>
    <n v="36320.870000000003"/>
    <n v="83376.039999999994"/>
    <x v="2"/>
  </r>
  <r>
    <x v="6"/>
    <x v="1"/>
    <x v="8"/>
    <x v="0"/>
    <x v="5"/>
    <x v="1"/>
    <x v="0"/>
    <n v="2.74"/>
    <n v="9223.2800000000007"/>
    <n v="21783.15"/>
    <x v="2"/>
  </r>
  <r>
    <x v="6"/>
    <x v="1"/>
    <x v="8"/>
    <x v="0"/>
    <x v="6"/>
    <x v="1"/>
    <x v="0"/>
    <n v="0"/>
    <n v="0"/>
    <n v="0"/>
    <x v="2"/>
  </r>
  <r>
    <x v="6"/>
    <x v="1"/>
    <x v="8"/>
    <x v="0"/>
    <x v="7"/>
    <x v="1"/>
    <x v="0"/>
    <n v="0"/>
    <n v="0"/>
    <n v="0"/>
    <x v="2"/>
  </r>
  <r>
    <x v="6"/>
    <x v="1"/>
    <x v="8"/>
    <x v="0"/>
    <x v="8"/>
    <x v="1"/>
    <x v="0"/>
    <n v="0"/>
    <n v="0"/>
    <n v="0"/>
    <x v="2"/>
  </r>
  <r>
    <x v="6"/>
    <x v="1"/>
    <x v="8"/>
    <x v="1"/>
    <x v="30"/>
    <x v="1"/>
    <x v="0"/>
    <n v="3.8"/>
    <n v="12791.41"/>
    <n v="31627.29"/>
    <x v="2"/>
  </r>
  <r>
    <x v="6"/>
    <x v="1"/>
    <x v="8"/>
    <x v="1"/>
    <x v="9"/>
    <x v="1"/>
    <x v="0"/>
    <n v="0"/>
    <n v="0"/>
    <n v="0"/>
    <x v="2"/>
  </r>
  <r>
    <x v="6"/>
    <x v="1"/>
    <x v="8"/>
    <x v="1"/>
    <x v="31"/>
    <x v="1"/>
    <x v="0"/>
    <n v="2.4700000000000002"/>
    <n v="8314.42"/>
    <n v="20745.080000000002"/>
    <x v="2"/>
  </r>
  <r>
    <x v="6"/>
    <x v="1"/>
    <x v="8"/>
    <x v="1"/>
    <x v="10"/>
    <x v="1"/>
    <x v="0"/>
    <n v="13.36"/>
    <n v="44971.9"/>
    <n v="110065.2"/>
    <x v="2"/>
  </r>
  <r>
    <x v="6"/>
    <x v="1"/>
    <x v="8"/>
    <x v="1"/>
    <x v="11"/>
    <x v="1"/>
    <x v="0"/>
    <n v="7.76"/>
    <n v="26121.4"/>
    <n v="60890.94"/>
    <x v="2"/>
  </r>
  <r>
    <x v="6"/>
    <x v="1"/>
    <x v="8"/>
    <x v="1"/>
    <x v="12"/>
    <x v="1"/>
    <x v="0"/>
    <n v="2.2000000000000002"/>
    <n v="7405.55"/>
    <n v="18201.55"/>
    <x v="2"/>
  </r>
  <r>
    <x v="6"/>
    <x v="1"/>
    <x v="8"/>
    <x v="1"/>
    <x v="13"/>
    <x v="1"/>
    <x v="0"/>
    <n v="4"/>
    <n v="13464.64"/>
    <n v="32861.64"/>
    <x v="2"/>
  </r>
  <r>
    <x v="6"/>
    <x v="1"/>
    <x v="8"/>
    <x v="1"/>
    <x v="14"/>
    <x v="1"/>
    <x v="0"/>
    <n v="19"/>
    <n v="63957.04"/>
    <n v="153250.13"/>
    <x v="2"/>
  </r>
  <r>
    <x v="6"/>
    <x v="1"/>
    <x v="8"/>
    <x v="1"/>
    <x v="15"/>
    <x v="1"/>
    <x v="0"/>
    <n v="2.4500000000000002"/>
    <n v="8247.09"/>
    <n v="20406.61"/>
    <x v="2"/>
  </r>
  <r>
    <x v="6"/>
    <x v="1"/>
    <x v="8"/>
    <x v="1"/>
    <x v="16"/>
    <x v="1"/>
    <x v="0"/>
    <n v="8.89"/>
    <n v="29925.16"/>
    <n v="70681.350000000006"/>
    <x v="2"/>
  </r>
  <r>
    <x v="6"/>
    <x v="1"/>
    <x v="8"/>
    <x v="1"/>
    <x v="17"/>
    <x v="1"/>
    <x v="0"/>
    <n v="8.44"/>
    <n v="28410.39"/>
    <n v="67675.460000000006"/>
    <x v="2"/>
  </r>
  <r>
    <x v="6"/>
    <x v="1"/>
    <x v="8"/>
    <x v="1"/>
    <x v="18"/>
    <x v="1"/>
    <x v="0"/>
    <n v="6.17"/>
    <n v="20769.21"/>
    <n v="51825.04"/>
    <x v="2"/>
  </r>
  <r>
    <x v="6"/>
    <x v="1"/>
    <x v="8"/>
    <x v="1"/>
    <x v="19"/>
    <x v="1"/>
    <x v="0"/>
    <n v="10.01"/>
    <n v="33695.26"/>
    <n v="81484.22"/>
    <x v="2"/>
  </r>
  <r>
    <x v="6"/>
    <x v="1"/>
    <x v="8"/>
    <x v="1"/>
    <x v="20"/>
    <x v="1"/>
    <x v="0"/>
    <n v="14.24"/>
    <n v="47934.12"/>
    <n v="113984.25"/>
    <x v="2"/>
  </r>
  <r>
    <x v="6"/>
    <x v="1"/>
    <x v="8"/>
    <x v="2"/>
    <x v="21"/>
    <x v="1"/>
    <x v="0"/>
    <n v="0"/>
    <n v="0"/>
    <n v="0"/>
    <x v="2"/>
  </r>
  <r>
    <x v="6"/>
    <x v="1"/>
    <x v="8"/>
    <x v="2"/>
    <x v="22"/>
    <x v="1"/>
    <x v="0"/>
    <n v="6.74"/>
    <n v="22687.919999999998"/>
    <n v="49597.71"/>
    <x v="2"/>
  </r>
  <r>
    <x v="6"/>
    <x v="1"/>
    <x v="8"/>
    <x v="2"/>
    <x v="29"/>
    <x v="1"/>
    <x v="0"/>
    <n v="0"/>
    <n v="0"/>
    <n v="0"/>
    <x v="2"/>
  </r>
  <r>
    <x v="6"/>
    <x v="1"/>
    <x v="8"/>
    <x v="2"/>
    <x v="23"/>
    <x v="1"/>
    <x v="0"/>
    <n v="0"/>
    <n v="0"/>
    <n v="0"/>
    <x v="2"/>
  </r>
  <r>
    <x v="6"/>
    <x v="1"/>
    <x v="8"/>
    <x v="2"/>
    <x v="24"/>
    <x v="1"/>
    <x v="0"/>
    <n v="2.2000000000000002"/>
    <n v="7405.55"/>
    <n v="16499.53"/>
    <x v="2"/>
  </r>
  <r>
    <x v="6"/>
    <x v="1"/>
    <x v="8"/>
    <x v="3"/>
    <x v="25"/>
    <x v="1"/>
    <x v="0"/>
    <n v="9.86"/>
    <n v="33190.339999999997"/>
    <n v="81525.320000000007"/>
    <x v="2"/>
  </r>
  <r>
    <x v="6"/>
    <x v="1"/>
    <x v="8"/>
    <x v="3"/>
    <x v="26"/>
    <x v="1"/>
    <x v="0"/>
    <n v="6.98"/>
    <n v="23495.8"/>
    <n v="58124.55"/>
    <x v="2"/>
  </r>
  <r>
    <x v="6"/>
    <x v="1"/>
    <x v="8"/>
    <x v="3"/>
    <x v="27"/>
    <x v="1"/>
    <x v="0"/>
    <n v="13.97"/>
    <n v="47025.26"/>
    <n v="114251.14"/>
    <x v="2"/>
  </r>
  <r>
    <x v="6"/>
    <x v="1"/>
    <x v="8"/>
    <x v="0"/>
    <x v="0"/>
    <x v="1"/>
    <x v="1"/>
    <n v="9.32"/>
    <n v="31372.61"/>
    <n v="73645.279999999999"/>
    <x v="2"/>
  </r>
  <r>
    <x v="6"/>
    <x v="1"/>
    <x v="8"/>
    <x v="0"/>
    <x v="1"/>
    <x v="1"/>
    <x v="1"/>
    <n v="23.13"/>
    <n v="77859.28"/>
    <n v="179587.69"/>
    <x v="2"/>
  </r>
  <r>
    <x v="6"/>
    <x v="1"/>
    <x v="8"/>
    <x v="0"/>
    <x v="2"/>
    <x v="1"/>
    <x v="1"/>
    <n v="15.39"/>
    <n v="51805.2"/>
    <n v="115394.93"/>
    <x v="2"/>
  </r>
  <r>
    <x v="6"/>
    <x v="1"/>
    <x v="8"/>
    <x v="0"/>
    <x v="3"/>
    <x v="1"/>
    <x v="1"/>
    <n v="36.520000000000003"/>
    <n v="122932.16"/>
    <n v="284934.53000000003"/>
    <x v="2"/>
  </r>
  <r>
    <x v="6"/>
    <x v="1"/>
    <x v="8"/>
    <x v="0"/>
    <x v="28"/>
    <x v="1"/>
    <x v="1"/>
    <n v="1.86"/>
    <n v="6261.06"/>
    <n v="14684.86"/>
    <x v="2"/>
  </r>
  <r>
    <x v="6"/>
    <x v="1"/>
    <x v="8"/>
    <x v="0"/>
    <x v="4"/>
    <x v="1"/>
    <x v="1"/>
    <n v="10.79"/>
    <n v="36320.870000000003"/>
    <n v="83376.039999999994"/>
    <x v="2"/>
  </r>
  <r>
    <x v="6"/>
    <x v="1"/>
    <x v="8"/>
    <x v="0"/>
    <x v="5"/>
    <x v="1"/>
    <x v="1"/>
    <n v="29.73"/>
    <n v="100075.94"/>
    <n v="236610.11"/>
    <x v="2"/>
  </r>
  <r>
    <x v="6"/>
    <x v="1"/>
    <x v="8"/>
    <x v="0"/>
    <x v="6"/>
    <x v="1"/>
    <x v="1"/>
    <n v="3"/>
    <n v="10098.48"/>
    <n v="23799.599999999999"/>
    <x v="2"/>
  </r>
  <r>
    <x v="6"/>
    <x v="1"/>
    <x v="8"/>
    <x v="0"/>
    <x v="7"/>
    <x v="1"/>
    <x v="1"/>
    <n v="3.83"/>
    <n v="12892.39"/>
    <n v="30875.07"/>
    <x v="2"/>
  </r>
  <r>
    <x v="6"/>
    <x v="1"/>
    <x v="8"/>
    <x v="0"/>
    <x v="8"/>
    <x v="1"/>
    <x v="1"/>
    <n v="5.64"/>
    <n v="18985.14"/>
    <n v="43407.99"/>
    <x v="2"/>
  </r>
  <r>
    <x v="6"/>
    <x v="1"/>
    <x v="8"/>
    <x v="1"/>
    <x v="30"/>
    <x v="1"/>
    <x v="1"/>
    <n v="0"/>
    <n v="0"/>
    <n v="0"/>
    <x v="2"/>
  </r>
  <r>
    <x v="6"/>
    <x v="1"/>
    <x v="8"/>
    <x v="1"/>
    <x v="9"/>
    <x v="1"/>
    <x v="1"/>
    <n v="5.33"/>
    <n v="17941.63"/>
    <n v="44247.4"/>
    <x v="2"/>
  </r>
  <r>
    <x v="6"/>
    <x v="1"/>
    <x v="8"/>
    <x v="1"/>
    <x v="31"/>
    <x v="1"/>
    <x v="1"/>
    <n v="0"/>
    <n v="0"/>
    <n v="0"/>
    <x v="2"/>
  </r>
  <r>
    <x v="6"/>
    <x v="1"/>
    <x v="8"/>
    <x v="1"/>
    <x v="10"/>
    <x v="1"/>
    <x v="1"/>
    <n v="29.74"/>
    <n v="100109.6"/>
    <n v="244925.31"/>
    <x v="2"/>
  </r>
  <r>
    <x v="6"/>
    <x v="1"/>
    <x v="8"/>
    <x v="1"/>
    <x v="11"/>
    <x v="1"/>
    <x v="1"/>
    <n v="32.840000000000003"/>
    <n v="110544.69"/>
    <n v="257771.63"/>
    <x v="2"/>
  </r>
  <r>
    <x v="6"/>
    <x v="1"/>
    <x v="8"/>
    <x v="1"/>
    <x v="12"/>
    <x v="1"/>
    <x v="1"/>
    <n v="3.97"/>
    <n v="13363.66"/>
    <n v="32762.79"/>
    <x v="2"/>
  </r>
  <r>
    <x v="6"/>
    <x v="1"/>
    <x v="8"/>
    <x v="1"/>
    <x v="13"/>
    <x v="1"/>
    <x v="1"/>
    <n v="17.98"/>
    <n v="60523.56"/>
    <n v="147877.39000000001"/>
    <x v="2"/>
  </r>
  <r>
    <x v="6"/>
    <x v="1"/>
    <x v="8"/>
    <x v="1"/>
    <x v="14"/>
    <x v="1"/>
    <x v="1"/>
    <n v="10.63"/>
    <n v="35782.28"/>
    <n v="85786.76"/>
    <x v="2"/>
  </r>
  <r>
    <x v="6"/>
    <x v="1"/>
    <x v="8"/>
    <x v="1"/>
    <x v="15"/>
    <x v="1"/>
    <x v="1"/>
    <n v="2.36"/>
    <n v="7944.14"/>
    <n v="19677.810000000001"/>
    <x v="2"/>
  </r>
  <r>
    <x v="6"/>
    <x v="1"/>
    <x v="8"/>
    <x v="1"/>
    <x v="16"/>
    <x v="1"/>
    <x v="1"/>
    <n v="10.64"/>
    <n v="35815.94"/>
    <n v="84540.44"/>
    <x v="2"/>
  </r>
  <r>
    <x v="6"/>
    <x v="1"/>
    <x v="8"/>
    <x v="1"/>
    <x v="17"/>
    <x v="1"/>
    <x v="1"/>
    <n v="7.48"/>
    <n v="25178.880000000001"/>
    <n v="60000.92"/>
    <x v="2"/>
  </r>
  <r>
    <x v="6"/>
    <x v="1"/>
    <x v="8"/>
    <x v="1"/>
    <x v="18"/>
    <x v="1"/>
    <x v="1"/>
    <n v="23.85"/>
    <n v="80282.92"/>
    <n v="200208.32"/>
    <x v="2"/>
  </r>
  <r>
    <x v="6"/>
    <x v="1"/>
    <x v="8"/>
    <x v="1"/>
    <x v="19"/>
    <x v="1"/>
    <x v="1"/>
    <n v="15.93"/>
    <n v="53622.93"/>
    <n v="129666.19"/>
    <x v="2"/>
  </r>
  <r>
    <x v="6"/>
    <x v="1"/>
    <x v="8"/>
    <x v="1"/>
    <x v="20"/>
    <x v="1"/>
    <x v="1"/>
    <n v="26.5"/>
    <n v="89203.24"/>
    <n v="212175.49"/>
    <x v="2"/>
  </r>
  <r>
    <x v="6"/>
    <x v="1"/>
    <x v="8"/>
    <x v="2"/>
    <x v="21"/>
    <x v="1"/>
    <x v="1"/>
    <n v="3.35"/>
    <n v="11276.64"/>
    <n v="24632.78"/>
    <x v="2"/>
  </r>
  <r>
    <x v="6"/>
    <x v="1"/>
    <x v="8"/>
    <x v="2"/>
    <x v="22"/>
    <x v="1"/>
    <x v="1"/>
    <n v="13.55"/>
    <n v="45611.47"/>
    <n v="99642.25"/>
    <x v="2"/>
  </r>
  <r>
    <x v="6"/>
    <x v="1"/>
    <x v="8"/>
    <x v="2"/>
    <x v="29"/>
    <x v="1"/>
    <x v="1"/>
    <n v="0.57999999999999996"/>
    <n v="1952.37"/>
    <n v="4539.17"/>
    <x v="2"/>
  </r>
  <r>
    <x v="6"/>
    <x v="1"/>
    <x v="8"/>
    <x v="2"/>
    <x v="23"/>
    <x v="1"/>
    <x v="1"/>
    <n v="2.0299999999999998"/>
    <n v="6833.3"/>
    <n v="15569.77"/>
    <x v="2"/>
  </r>
  <r>
    <x v="6"/>
    <x v="1"/>
    <x v="8"/>
    <x v="2"/>
    <x v="24"/>
    <x v="1"/>
    <x v="1"/>
    <n v="3.56"/>
    <n v="11983.53"/>
    <n v="26653.09"/>
    <x v="2"/>
  </r>
  <r>
    <x v="6"/>
    <x v="1"/>
    <x v="8"/>
    <x v="3"/>
    <x v="25"/>
    <x v="1"/>
    <x v="1"/>
    <n v="10.029999999999999"/>
    <n v="33762.58"/>
    <n v="82968.240000000005"/>
    <x v="2"/>
  </r>
  <r>
    <x v="6"/>
    <x v="1"/>
    <x v="8"/>
    <x v="3"/>
    <x v="26"/>
    <x v="1"/>
    <x v="1"/>
    <n v="18"/>
    <n v="60590.879999999997"/>
    <n v="150016.69"/>
    <x v="2"/>
  </r>
  <r>
    <x v="6"/>
    <x v="1"/>
    <x v="8"/>
    <x v="3"/>
    <x v="27"/>
    <x v="1"/>
    <x v="1"/>
    <n v="44.44"/>
    <n v="149592.15"/>
    <n v="363332.83"/>
    <x v="2"/>
  </r>
  <r>
    <x v="6"/>
    <x v="1"/>
    <x v="9"/>
    <x v="0"/>
    <x v="0"/>
    <x v="0"/>
    <x v="0"/>
    <n v="1.29"/>
    <n v="3482.75"/>
    <n v="12103.89"/>
    <x v="2"/>
  </r>
  <r>
    <x v="6"/>
    <x v="1"/>
    <x v="9"/>
    <x v="0"/>
    <x v="1"/>
    <x v="0"/>
    <x v="0"/>
    <n v="3.89"/>
    <n v="10502.26"/>
    <n v="36463.019999999997"/>
    <x v="2"/>
  </r>
  <r>
    <x v="6"/>
    <x v="1"/>
    <x v="9"/>
    <x v="0"/>
    <x v="2"/>
    <x v="0"/>
    <x v="0"/>
    <n v="0"/>
    <n v="0"/>
    <n v="0"/>
    <x v="2"/>
  </r>
  <r>
    <x v="6"/>
    <x v="1"/>
    <x v="9"/>
    <x v="0"/>
    <x v="3"/>
    <x v="0"/>
    <x v="0"/>
    <n v="1.83"/>
    <n v="4940.6499999999996"/>
    <n v="17150.54"/>
    <x v="2"/>
  </r>
  <r>
    <x v="6"/>
    <x v="1"/>
    <x v="9"/>
    <x v="0"/>
    <x v="4"/>
    <x v="0"/>
    <x v="0"/>
    <n v="0"/>
    <n v="0"/>
    <n v="0"/>
    <x v="2"/>
  </r>
  <r>
    <x v="6"/>
    <x v="1"/>
    <x v="9"/>
    <x v="0"/>
    <x v="5"/>
    <x v="0"/>
    <x v="0"/>
    <n v="0"/>
    <n v="0"/>
    <n v="0"/>
    <x v="2"/>
  </r>
  <r>
    <x v="6"/>
    <x v="1"/>
    <x v="9"/>
    <x v="0"/>
    <x v="6"/>
    <x v="0"/>
    <x v="0"/>
    <n v="0"/>
    <n v="0"/>
    <n v="0"/>
    <x v="2"/>
  </r>
  <r>
    <x v="6"/>
    <x v="1"/>
    <x v="9"/>
    <x v="0"/>
    <x v="8"/>
    <x v="0"/>
    <x v="0"/>
    <n v="0"/>
    <n v="0"/>
    <n v="0"/>
    <x v="2"/>
  </r>
  <r>
    <x v="6"/>
    <x v="1"/>
    <x v="9"/>
    <x v="1"/>
    <x v="10"/>
    <x v="0"/>
    <x v="0"/>
    <n v="1.67"/>
    <n v="4508.68"/>
    <n v="15621.86"/>
    <x v="2"/>
  </r>
  <r>
    <x v="6"/>
    <x v="1"/>
    <x v="9"/>
    <x v="1"/>
    <x v="11"/>
    <x v="0"/>
    <x v="0"/>
    <n v="0"/>
    <n v="0"/>
    <n v="0"/>
    <x v="2"/>
  </r>
  <r>
    <x v="6"/>
    <x v="1"/>
    <x v="9"/>
    <x v="1"/>
    <x v="13"/>
    <x v="0"/>
    <x v="0"/>
    <n v="0"/>
    <n v="0"/>
    <n v="0"/>
    <x v="2"/>
  </r>
  <r>
    <x v="6"/>
    <x v="1"/>
    <x v="9"/>
    <x v="1"/>
    <x v="14"/>
    <x v="0"/>
    <x v="0"/>
    <n v="0"/>
    <n v="0"/>
    <n v="0"/>
    <x v="2"/>
  </r>
  <r>
    <x v="6"/>
    <x v="1"/>
    <x v="9"/>
    <x v="1"/>
    <x v="16"/>
    <x v="0"/>
    <x v="0"/>
    <n v="0"/>
    <n v="0"/>
    <n v="0"/>
    <x v="2"/>
  </r>
  <r>
    <x v="6"/>
    <x v="1"/>
    <x v="9"/>
    <x v="1"/>
    <x v="17"/>
    <x v="0"/>
    <x v="0"/>
    <n v="0"/>
    <n v="0"/>
    <n v="0"/>
    <x v="2"/>
  </r>
  <r>
    <x v="6"/>
    <x v="1"/>
    <x v="9"/>
    <x v="1"/>
    <x v="18"/>
    <x v="0"/>
    <x v="0"/>
    <n v="0"/>
    <n v="0"/>
    <n v="0"/>
    <x v="2"/>
  </r>
  <r>
    <x v="6"/>
    <x v="1"/>
    <x v="9"/>
    <x v="1"/>
    <x v="19"/>
    <x v="0"/>
    <x v="0"/>
    <n v="0"/>
    <n v="0"/>
    <n v="0"/>
    <x v="2"/>
  </r>
  <r>
    <x v="6"/>
    <x v="1"/>
    <x v="9"/>
    <x v="1"/>
    <x v="20"/>
    <x v="0"/>
    <x v="0"/>
    <n v="1.85"/>
    <n v="4994.6499999999996"/>
    <n v="17308.400000000001"/>
    <x v="2"/>
  </r>
  <r>
    <x v="6"/>
    <x v="1"/>
    <x v="9"/>
    <x v="2"/>
    <x v="21"/>
    <x v="0"/>
    <x v="0"/>
    <n v="2.5099999999999998"/>
    <n v="6776.52"/>
    <n v="23521.74"/>
    <x v="2"/>
  </r>
  <r>
    <x v="6"/>
    <x v="1"/>
    <x v="9"/>
    <x v="2"/>
    <x v="22"/>
    <x v="0"/>
    <x v="0"/>
    <n v="0"/>
    <n v="0"/>
    <n v="0"/>
    <x v="2"/>
  </r>
  <r>
    <x v="6"/>
    <x v="1"/>
    <x v="9"/>
    <x v="2"/>
    <x v="29"/>
    <x v="0"/>
    <x v="0"/>
    <n v="0"/>
    <n v="0"/>
    <n v="0"/>
    <x v="2"/>
  </r>
  <r>
    <x v="6"/>
    <x v="1"/>
    <x v="9"/>
    <x v="2"/>
    <x v="24"/>
    <x v="0"/>
    <x v="0"/>
    <n v="0"/>
    <n v="0"/>
    <n v="0"/>
    <x v="2"/>
  </r>
  <r>
    <x v="6"/>
    <x v="1"/>
    <x v="9"/>
    <x v="3"/>
    <x v="25"/>
    <x v="0"/>
    <x v="0"/>
    <n v="0"/>
    <n v="0"/>
    <n v="0"/>
    <x v="2"/>
  </r>
  <r>
    <x v="6"/>
    <x v="1"/>
    <x v="9"/>
    <x v="3"/>
    <x v="26"/>
    <x v="0"/>
    <x v="0"/>
    <n v="1.39"/>
    <n v="3752.74"/>
    <n v="13029.8"/>
    <x v="2"/>
  </r>
  <r>
    <x v="6"/>
    <x v="1"/>
    <x v="9"/>
    <x v="3"/>
    <x v="27"/>
    <x v="0"/>
    <x v="0"/>
    <n v="2.95"/>
    <n v="7964.44"/>
    <n v="27685.85"/>
    <x v="2"/>
  </r>
  <r>
    <x v="6"/>
    <x v="1"/>
    <x v="9"/>
    <x v="0"/>
    <x v="0"/>
    <x v="0"/>
    <x v="1"/>
    <n v="1.75"/>
    <n v="4724.67"/>
    <n v="16426.7"/>
    <x v="2"/>
  </r>
  <r>
    <x v="6"/>
    <x v="1"/>
    <x v="9"/>
    <x v="0"/>
    <x v="1"/>
    <x v="0"/>
    <x v="1"/>
    <n v="8.07"/>
    <n v="21787.47"/>
    <n v="75730.89"/>
    <x v="2"/>
  </r>
  <r>
    <x v="6"/>
    <x v="1"/>
    <x v="9"/>
    <x v="0"/>
    <x v="2"/>
    <x v="0"/>
    <x v="1"/>
    <n v="3.48"/>
    <n v="9395.34"/>
    <n v="32673.040000000001"/>
    <x v="2"/>
  </r>
  <r>
    <x v="6"/>
    <x v="1"/>
    <x v="9"/>
    <x v="0"/>
    <x v="3"/>
    <x v="0"/>
    <x v="1"/>
    <n v="5.9"/>
    <n v="15928.88"/>
    <n v="55349.47"/>
    <x v="2"/>
  </r>
  <r>
    <x v="6"/>
    <x v="1"/>
    <x v="9"/>
    <x v="0"/>
    <x v="4"/>
    <x v="0"/>
    <x v="1"/>
    <n v="1.67"/>
    <n v="4508.68"/>
    <n v="15699.21"/>
    <x v="2"/>
  </r>
  <r>
    <x v="6"/>
    <x v="1"/>
    <x v="9"/>
    <x v="0"/>
    <x v="5"/>
    <x v="0"/>
    <x v="1"/>
    <n v="1.96"/>
    <n v="5291.63"/>
    <n v="18418.13"/>
    <x v="2"/>
  </r>
  <r>
    <x v="6"/>
    <x v="1"/>
    <x v="9"/>
    <x v="0"/>
    <x v="6"/>
    <x v="0"/>
    <x v="1"/>
    <n v="2.02"/>
    <n v="5453.62"/>
    <n v="18937.46"/>
    <x v="2"/>
  </r>
  <r>
    <x v="6"/>
    <x v="1"/>
    <x v="9"/>
    <x v="0"/>
    <x v="8"/>
    <x v="0"/>
    <x v="1"/>
    <n v="3.49"/>
    <n v="9422.34"/>
    <n v="32766.87"/>
    <x v="2"/>
  </r>
  <r>
    <x v="6"/>
    <x v="1"/>
    <x v="9"/>
    <x v="1"/>
    <x v="10"/>
    <x v="0"/>
    <x v="1"/>
    <n v="5"/>
    <n v="13499.05"/>
    <n v="46865.58"/>
    <x v="2"/>
  </r>
  <r>
    <x v="6"/>
    <x v="1"/>
    <x v="9"/>
    <x v="1"/>
    <x v="11"/>
    <x v="0"/>
    <x v="1"/>
    <n v="10.51"/>
    <n v="28375"/>
    <n v="98570.53"/>
    <x v="2"/>
  </r>
  <r>
    <x v="6"/>
    <x v="1"/>
    <x v="9"/>
    <x v="1"/>
    <x v="13"/>
    <x v="0"/>
    <x v="1"/>
    <n v="1.75"/>
    <n v="4724.67"/>
    <n v="16384.66"/>
    <x v="2"/>
  </r>
  <r>
    <x v="6"/>
    <x v="1"/>
    <x v="9"/>
    <x v="1"/>
    <x v="14"/>
    <x v="0"/>
    <x v="1"/>
    <n v="1.94"/>
    <n v="5237.63"/>
    <n v="18187.240000000002"/>
    <x v="2"/>
  </r>
  <r>
    <x v="6"/>
    <x v="1"/>
    <x v="9"/>
    <x v="1"/>
    <x v="16"/>
    <x v="0"/>
    <x v="1"/>
    <n v="1.55"/>
    <n v="4184.71"/>
    <n v="14498.16"/>
    <x v="2"/>
  </r>
  <r>
    <x v="6"/>
    <x v="1"/>
    <x v="9"/>
    <x v="1"/>
    <x v="17"/>
    <x v="0"/>
    <x v="1"/>
    <n v="2.19"/>
    <n v="5912.58"/>
    <n v="20531.89"/>
    <x v="2"/>
  </r>
  <r>
    <x v="6"/>
    <x v="1"/>
    <x v="9"/>
    <x v="1"/>
    <x v="18"/>
    <x v="0"/>
    <x v="1"/>
    <n v="11.12"/>
    <n v="30021.89"/>
    <n v="104341.55"/>
    <x v="2"/>
  </r>
  <r>
    <x v="6"/>
    <x v="1"/>
    <x v="9"/>
    <x v="1"/>
    <x v="19"/>
    <x v="0"/>
    <x v="1"/>
    <n v="3.7"/>
    <n v="9989.2999999999993"/>
    <n v="34699.72"/>
    <x v="2"/>
  </r>
  <r>
    <x v="6"/>
    <x v="1"/>
    <x v="9"/>
    <x v="1"/>
    <x v="20"/>
    <x v="0"/>
    <x v="1"/>
    <n v="10.43"/>
    <n v="28159.02"/>
    <n v="97792.47"/>
    <x v="2"/>
  </r>
  <r>
    <x v="6"/>
    <x v="1"/>
    <x v="9"/>
    <x v="2"/>
    <x v="21"/>
    <x v="0"/>
    <x v="1"/>
    <n v="0"/>
    <n v="0"/>
    <n v="0"/>
    <x v="2"/>
  </r>
  <r>
    <x v="6"/>
    <x v="1"/>
    <x v="9"/>
    <x v="2"/>
    <x v="22"/>
    <x v="0"/>
    <x v="1"/>
    <n v="3.42"/>
    <n v="9233.35"/>
    <n v="32051.46"/>
    <x v="2"/>
  </r>
  <r>
    <x v="6"/>
    <x v="1"/>
    <x v="9"/>
    <x v="2"/>
    <x v="29"/>
    <x v="0"/>
    <x v="1"/>
    <n v="2.4300000000000002"/>
    <n v="6560.54"/>
    <n v="22783.88"/>
    <x v="2"/>
  </r>
  <r>
    <x v="6"/>
    <x v="1"/>
    <x v="9"/>
    <x v="2"/>
    <x v="24"/>
    <x v="0"/>
    <x v="1"/>
    <n v="2.13"/>
    <n v="5750.6"/>
    <n v="19954.48"/>
    <x v="2"/>
  </r>
  <r>
    <x v="6"/>
    <x v="1"/>
    <x v="9"/>
    <x v="3"/>
    <x v="25"/>
    <x v="0"/>
    <x v="1"/>
    <n v="0.37"/>
    <n v="998.93"/>
    <n v="3478.64"/>
    <x v="2"/>
  </r>
  <r>
    <x v="6"/>
    <x v="1"/>
    <x v="9"/>
    <x v="3"/>
    <x v="26"/>
    <x v="0"/>
    <x v="1"/>
    <n v="1.1100000000000001"/>
    <n v="2996.79"/>
    <n v="10423.84"/>
    <x v="2"/>
  </r>
  <r>
    <x v="6"/>
    <x v="1"/>
    <x v="9"/>
    <x v="3"/>
    <x v="27"/>
    <x v="0"/>
    <x v="1"/>
    <n v="8.1199999999999992"/>
    <n v="21922.46"/>
    <n v="76136.08"/>
    <x v="2"/>
  </r>
  <r>
    <x v="6"/>
    <x v="1"/>
    <x v="9"/>
    <x v="0"/>
    <x v="0"/>
    <x v="1"/>
    <x v="0"/>
    <n v="4.26"/>
    <n v="11501.19"/>
    <n v="26109.15"/>
    <x v="2"/>
  </r>
  <r>
    <x v="6"/>
    <x v="1"/>
    <x v="9"/>
    <x v="0"/>
    <x v="1"/>
    <x v="1"/>
    <x v="0"/>
    <n v="13.67"/>
    <n v="36906.400000000001"/>
    <n v="82429.77"/>
    <x v="2"/>
  </r>
  <r>
    <x v="6"/>
    <x v="1"/>
    <x v="9"/>
    <x v="0"/>
    <x v="2"/>
    <x v="1"/>
    <x v="0"/>
    <n v="6.97"/>
    <n v="18817.68"/>
    <n v="40598.06"/>
    <x v="2"/>
  </r>
  <r>
    <x v="6"/>
    <x v="1"/>
    <x v="9"/>
    <x v="0"/>
    <x v="3"/>
    <x v="1"/>
    <x v="0"/>
    <n v="12.58"/>
    <n v="33963.61"/>
    <n v="76215.929999999993"/>
    <x v="2"/>
  </r>
  <r>
    <x v="6"/>
    <x v="1"/>
    <x v="9"/>
    <x v="0"/>
    <x v="28"/>
    <x v="1"/>
    <x v="0"/>
    <n v="0"/>
    <n v="0"/>
    <n v="0"/>
    <x v="2"/>
  </r>
  <r>
    <x v="6"/>
    <x v="1"/>
    <x v="9"/>
    <x v="0"/>
    <x v="4"/>
    <x v="1"/>
    <x v="0"/>
    <n v="8.68"/>
    <n v="23434.35"/>
    <n v="52105.65"/>
    <x v="2"/>
  </r>
  <r>
    <x v="6"/>
    <x v="1"/>
    <x v="9"/>
    <x v="0"/>
    <x v="5"/>
    <x v="1"/>
    <x v="0"/>
    <n v="2.7"/>
    <n v="7289.49"/>
    <n v="16672.48"/>
    <x v="2"/>
  </r>
  <r>
    <x v="6"/>
    <x v="1"/>
    <x v="9"/>
    <x v="0"/>
    <x v="6"/>
    <x v="1"/>
    <x v="0"/>
    <n v="0"/>
    <n v="0"/>
    <n v="0"/>
    <x v="2"/>
  </r>
  <r>
    <x v="6"/>
    <x v="1"/>
    <x v="9"/>
    <x v="0"/>
    <x v="7"/>
    <x v="1"/>
    <x v="0"/>
    <n v="0"/>
    <n v="0"/>
    <n v="0"/>
    <x v="2"/>
  </r>
  <r>
    <x v="6"/>
    <x v="1"/>
    <x v="9"/>
    <x v="0"/>
    <x v="8"/>
    <x v="1"/>
    <x v="0"/>
    <n v="0"/>
    <n v="0"/>
    <n v="0"/>
    <x v="2"/>
  </r>
  <r>
    <x v="6"/>
    <x v="1"/>
    <x v="9"/>
    <x v="1"/>
    <x v="30"/>
    <x v="1"/>
    <x v="0"/>
    <n v="1.37"/>
    <n v="3698.74"/>
    <n v="8822.18"/>
    <x v="2"/>
  </r>
  <r>
    <x v="6"/>
    <x v="1"/>
    <x v="9"/>
    <x v="1"/>
    <x v="9"/>
    <x v="1"/>
    <x v="0"/>
    <n v="0"/>
    <n v="0"/>
    <n v="0"/>
    <x v="2"/>
  </r>
  <r>
    <x v="6"/>
    <x v="1"/>
    <x v="9"/>
    <x v="1"/>
    <x v="31"/>
    <x v="1"/>
    <x v="0"/>
    <n v="0"/>
    <n v="0"/>
    <n v="0"/>
    <x v="2"/>
  </r>
  <r>
    <x v="6"/>
    <x v="1"/>
    <x v="9"/>
    <x v="1"/>
    <x v="10"/>
    <x v="1"/>
    <x v="0"/>
    <n v="3.8"/>
    <n v="10259.280000000001"/>
    <n v="24302.28"/>
    <x v="2"/>
  </r>
  <r>
    <x v="6"/>
    <x v="1"/>
    <x v="9"/>
    <x v="1"/>
    <x v="11"/>
    <x v="1"/>
    <x v="0"/>
    <n v="7.72"/>
    <n v="20842.53"/>
    <n v="47048.21"/>
    <x v="2"/>
  </r>
  <r>
    <x v="6"/>
    <x v="1"/>
    <x v="9"/>
    <x v="1"/>
    <x v="12"/>
    <x v="1"/>
    <x v="0"/>
    <n v="2.04"/>
    <n v="5507.61"/>
    <n v="13060.9"/>
    <x v="2"/>
  </r>
  <r>
    <x v="6"/>
    <x v="1"/>
    <x v="9"/>
    <x v="1"/>
    <x v="13"/>
    <x v="1"/>
    <x v="0"/>
    <n v="2.87"/>
    <n v="7748.45"/>
    <n v="18322.14"/>
    <x v="2"/>
  </r>
  <r>
    <x v="6"/>
    <x v="1"/>
    <x v="9"/>
    <x v="1"/>
    <x v="14"/>
    <x v="1"/>
    <x v="0"/>
    <n v="12.72"/>
    <n v="34341.58"/>
    <n v="79719.149999999994"/>
    <x v="2"/>
  </r>
  <r>
    <x v="6"/>
    <x v="1"/>
    <x v="9"/>
    <x v="1"/>
    <x v="15"/>
    <x v="1"/>
    <x v="0"/>
    <n v="1.94"/>
    <n v="5237.63"/>
    <n v="12580.6"/>
    <x v="2"/>
  </r>
  <r>
    <x v="6"/>
    <x v="1"/>
    <x v="9"/>
    <x v="1"/>
    <x v="16"/>
    <x v="1"/>
    <x v="0"/>
    <n v="6.4"/>
    <n v="17278.78"/>
    <n v="39496.910000000003"/>
    <x v="2"/>
  </r>
  <r>
    <x v="6"/>
    <x v="1"/>
    <x v="9"/>
    <x v="1"/>
    <x v="17"/>
    <x v="1"/>
    <x v="0"/>
    <n v="6.29"/>
    <n v="16981.8"/>
    <n v="39156.300000000003"/>
    <x v="2"/>
  </r>
  <r>
    <x v="6"/>
    <x v="1"/>
    <x v="9"/>
    <x v="1"/>
    <x v="18"/>
    <x v="1"/>
    <x v="0"/>
    <n v="7.87"/>
    <n v="21247.5"/>
    <n v="51298.96"/>
    <x v="2"/>
  </r>
  <r>
    <x v="6"/>
    <x v="1"/>
    <x v="9"/>
    <x v="1"/>
    <x v="19"/>
    <x v="1"/>
    <x v="0"/>
    <n v="6.8"/>
    <n v="18358.71"/>
    <n v="43011.07"/>
    <x v="2"/>
  </r>
  <r>
    <x v="6"/>
    <x v="1"/>
    <x v="9"/>
    <x v="1"/>
    <x v="20"/>
    <x v="1"/>
    <x v="0"/>
    <n v="12.45"/>
    <n v="33612.629999999997"/>
    <n v="77429.7"/>
    <x v="2"/>
  </r>
  <r>
    <x v="6"/>
    <x v="1"/>
    <x v="9"/>
    <x v="2"/>
    <x v="21"/>
    <x v="1"/>
    <x v="0"/>
    <n v="0"/>
    <n v="0"/>
    <n v="0"/>
    <x v="2"/>
  </r>
  <r>
    <x v="6"/>
    <x v="1"/>
    <x v="9"/>
    <x v="2"/>
    <x v="22"/>
    <x v="1"/>
    <x v="0"/>
    <n v="8.01"/>
    <n v="21625.48"/>
    <n v="45744.81"/>
    <x v="2"/>
  </r>
  <r>
    <x v="6"/>
    <x v="1"/>
    <x v="9"/>
    <x v="2"/>
    <x v="29"/>
    <x v="1"/>
    <x v="0"/>
    <n v="0"/>
    <n v="0"/>
    <n v="0"/>
    <x v="2"/>
  </r>
  <r>
    <x v="6"/>
    <x v="1"/>
    <x v="9"/>
    <x v="2"/>
    <x v="23"/>
    <x v="1"/>
    <x v="0"/>
    <n v="0"/>
    <n v="0"/>
    <n v="0"/>
    <x v="2"/>
  </r>
  <r>
    <x v="6"/>
    <x v="1"/>
    <x v="9"/>
    <x v="2"/>
    <x v="24"/>
    <x v="1"/>
    <x v="0"/>
    <n v="1.18"/>
    <n v="3185.78"/>
    <n v="6870.03"/>
    <x v="2"/>
  </r>
  <r>
    <x v="6"/>
    <x v="1"/>
    <x v="9"/>
    <x v="3"/>
    <x v="25"/>
    <x v="1"/>
    <x v="0"/>
    <n v="5.07"/>
    <n v="13688.04"/>
    <n v="32557.39"/>
    <x v="2"/>
  </r>
  <r>
    <x v="6"/>
    <x v="1"/>
    <x v="9"/>
    <x v="3"/>
    <x v="26"/>
    <x v="1"/>
    <x v="0"/>
    <n v="5.24"/>
    <n v="14147"/>
    <n v="33940.94"/>
    <x v="2"/>
  </r>
  <r>
    <x v="6"/>
    <x v="1"/>
    <x v="9"/>
    <x v="3"/>
    <x v="27"/>
    <x v="1"/>
    <x v="0"/>
    <n v="3.12"/>
    <n v="8423.41"/>
    <n v="19791.14"/>
    <x v="2"/>
  </r>
  <r>
    <x v="6"/>
    <x v="1"/>
    <x v="9"/>
    <x v="0"/>
    <x v="0"/>
    <x v="1"/>
    <x v="1"/>
    <n v="11.12"/>
    <n v="30021.89"/>
    <n v="68203.509999999995"/>
    <x v="2"/>
  </r>
  <r>
    <x v="6"/>
    <x v="1"/>
    <x v="9"/>
    <x v="0"/>
    <x v="1"/>
    <x v="1"/>
    <x v="1"/>
    <n v="24.1"/>
    <n v="65065.42"/>
    <n v="145366.01999999999"/>
    <x v="2"/>
  </r>
  <r>
    <x v="6"/>
    <x v="1"/>
    <x v="9"/>
    <x v="0"/>
    <x v="2"/>
    <x v="1"/>
    <x v="1"/>
    <n v="13.07"/>
    <n v="35286.519999999997"/>
    <n v="76121.36"/>
    <x v="2"/>
  </r>
  <r>
    <x v="6"/>
    <x v="1"/>
    <x v="9"/>
    <x v="0"/>
    <x v="3"/>
    <x v="1"/>
    <x v="1"/>
    <n v="25.59"/>
    <n v="69088.14"/>
    <n v="155059.99"/>
    <x v="2"/>
  </r>
  <r>
    <x v="6"/>
    <x v="1"/>
    <x v="9"/>
    <x v="0"/>
    <x v="28"/>
    <x v="1"/>
    <x v="1"/>
    <n v="3.82"/>
    <n v="10313.27"/>
    <n v="23460.93"/>
    <x v="2"/>
  </r>
  <r>
    <x v="6"/>
    <x v="1"/>
    <x v="9"/>
    <x v="0"/>
    <x v="4"/>
    <x v="1"/>
    <x v="1"/>
    <n v="8.24"/>
    <n v="22246.43"/>
    <n v="49474.06"/>
    <x v="2"/>
  </r>
  <r>
    <x v="6"/>
    <x v="1"/>
    <x v="9"/>
    <x v="0"/>
    <x v="5"/>
    <x v="1"/>
    <x v="1"/>
    <n v="20.97"/>
    <n v="56615.02"/>
    <n v="129615.11"/>
    <x v="2"/>
  </r>
  <r>
    <x v="6"/>
    <x v="1"/>
    <x v="9"/>
    <x v="0"/>
    <x v="6"/>
    <x v="1"/>
    <x v="1"/>
    <n v="2.2400000000000002"/>
    <n v="6047.57"/>
    <n v="13793.43"/>
    <x v="2"/>
  </r>
  <r>
    <x v="6"/>
    <x v="1"/>
    <x v="9"/>
    <x v="0"/>
    <x v="7"/>
    <x v="1"/>
    <x v="1"/>
    <n v="4.3099999999999996"/>
    <n v="11636.18"/>
    <n v="26980.17"/>
    <x v="2"/>
  </r>
  <r>
    <x v="6"/>
    <x v="1"/>
    <x v="9"/>
    <x v="0"/>
    <x v="8"/>
    <x v="1"/>
    <x v="1"/>
    <n v="2.74"/>
    <n v="7397.48"/>
    <n v="16381.77"/>
    <x v="2"/>
  </r>
  <r>
    <x v="6"/>
    <x v="1"/>
    <x v="9"/>
    <x v="1"/>
    <x v="30"/>
    <x v="1"/>
    <x v="1"/>
    <n v="0"/>
    <n v="0"/>
    <n v="0"/>
    <x v="2"/>
  </r>
  <r>
    <x v="6"/>
    <x v="1"/>
    <x v="9"/>
    <x v="1"/>
    <x v="9"/>
    <x v="1"/>
    <x v="1"/>
    <n v="3.91"/>
    <n v="10556.26"/>
    <n v="25227.25"/>
    <x v="2"/>
  </r>
  <r>
    <x v="6"/>
    <x v="1"/>
    <x v="9"/>
    <x v="1"/>
    <x v="31"/>
    <x v="1"/>
    <x v="1"/>
    <n v="0"/>
    <n v="0"/>
    <n v="0"/>
    <x v="2"/>
  </r>
  <r>
    <x v="6"/>
    <x v="1"/>
    <x v="9"/>
    <x v="1"/>
    <x v="10"/>
    <x v="1"/>
    <x v="1"/>
    <n v="22.02"/>
    <n v="59449.82"/>
    <n v="140870.82999999999"/>
    <x v="2"/>
  </r>
  <r>
    <x v="6"/>
    <x v="1"/>
    <x v="9"/>
    <x v="1"/>
    <x v="11"/>
    <x v="1"/>
    <x v="1"/>
    <n v="30.78"/>
    <n v="83100.149999999994"/>
    <n v="187664.21"/>
    <x v="2"/>
  </r>
  <r>
    <x v="6"/>
    <x v="1"/>
    <x v="9"/>
    <x v="1"/>
    <x v="12"/>
    <x v="1"/>
    <x v="1"/>
    <n v="3.1"/>
    <n v="8369.41"/>
    <n v="19875.29"/>
    <x v="2"/>
  </r>
  <r>
    <x v="6"/>
    <x v="1"/>
    <x v="9"/>
    <x v="1"/>
    <x v="13"/>
    <x v="1"/>
    <x v="1"/>
    <n v="11.21"/>
    <n v="30264.87"/>
    <n v="71622.92"/>
    <x v="2"/>
  </r>
  <r>
    <x v="6"/>
    <x v="1"/>
    <x v="9"/>
    <x v="1"/>
    <x v="14"/>
    <x v="1"/>
    <x v="1"/>
    <n v="5.49"/>
    <n v="14821.96"/>
    <n v="34399.360000000001"/>
    <x v="2"/>
  </r>
  <r>
    <x v="6"/>
    <x v="1"/>
    <x v="9"/>
    <x v="1"/>
    <x v="15"/>
    <x v="1"/>
    <x v="1"/>
    <n v="2.38"/>
    <n v="6425.55"/>
    <n v="15439.83"/>
    <x v="2"/>
  </r>
  <r>
    <x v="6"/>
    <x v="1"/>
    <x v="9"/>
    <x v="1"/>
    <x v="16"/>
    <x v="1"/>
    <x v="1"/>
    <n v="9.56"/>
    <n v="25810.18"/>
    <n v="58974.84"/>
    <x v="2"/>
  </r>
  <r>
    <x v="6"/>
    <x v="1"/>
    <x v="9"/>
    <x v="1"/>
    <x v="17"/>
    <x v="1"/>
    <x v="1"/>
    <n v="4.13"/>
    <n v="11150.22"/>
    <n v="25746.61"/>
    <x v="2"/>
  </r>
  <r>
    <x v="6"/>
    <x v="1"/>
    <x v="9"/>
    <x v="1"/>
    <x v="18"/>
    <x v="1"/>
    <x v="1"/>
    <n v="26.89"/>
    <n v="72597.89"/>
    <n v="175318.43"/>
    <x v="2"/>
  </r>
  <r>
    <x v="6"/>
    <x v="1"/>
    <x v="9"/>
    <x v="1"/>
    <x v="19"/>
    <x v="1"/>
    <x v="1"/>
    <n v="9.52"/>
    <n v="25702.19"/>
    <n v="60215.49"/>
    <x v="2"/>
  </r>
  <r>
    <x v="6"/>
    <x v="1"/>
    <x v="9"/>
    <x v="1"/>
    <x v="20"/>
    <x v="1"/>
    <x v="1"/>
    <n v="20.59"/>
    <n v="55589.09"/>
    <n v="128056.82"/>
    <x v="2"/>
  </r>
  <r>
    <x v="6"/>
    <x v="1"/>
    <x v="9"/>
    <x v="2"/>
    <x v="21"/>
    <x v="1"/>
    <x v="1"/>
    <n v="1.8"/>
    <n v="4859.66"/>
    <n v="10308.969999999999"/>
    <x v="2"/>
  </r>
  <r>
    <x v="6"/>
    <x v="1"/>
    <x v="9"/>
    <x v="2"/>
    <x v="22"/>
    <x v="1"/>
    <x v="1"/>
    <n v="10.79"/>
    <n v="29130.95"/>
    <n v="61635.11"/>
    <x v="2"/>
  </r>
  <r>
    <x v="6"/>
    <x v="1"/>
    <x v="9"/>
    <x v="2"/>
    <x v="29"/>
    <x v="1"/>
    <x v="1"/>
    <n v="1.67"/>
    <n v="4508.68"/>
    <n v="10108.32"/>
    <x v="2"/>
  </r>
  <r>
    <x v="6"/>
    <x v="1"/>
    <x v="9"/>
    <x v="2"/>
    <x v="23"/>
    <x v="1"/>
    <x v="1"/>
    <n v="1.8"/>
    <n v="4859.66"/>
    <n v="10687.12"/>
    <x v="2"/>
  </r>
  <r>
    <x v="6"/>
    <x v="1"/>
    <x v="9"/>
    <x v="2"/>
    <x v="24"/>
    <x v="1"/>
    <x v="1"/>
    <n v="2.19"/>
    <n v="5912.58"/>
    <n v="12758.62"/>
    <x v="2"/>
  </r>
  <r>
    <x v="6"/>
    <x v="1"/>
    <x v="9"/>
    <x v="3"/>
    <x v="25"/>
    <x v="1"/>
    <x v="1"/>
    <n v="8.56"/>
    <n v="23110.37"/>
    <n v="55010.77"/>
    <x v="2"/>
  </r>
  <r>
    <x v="6"/>
    <x v="1"/>
    <x v="9"/>
    <x v="3"/>
    <x v="26"/>
    <x v="1"/>
    <x v="1"/>
    <n v="16.78"/>
    <n v="45302.81"/>
    <n v="108611.02"/>
    <x v="2"/>
  </r>
  <r>
    <x v="6"/>
    <x v="1"/>
    <x v="9"/>
    <x v="3"/>
    <x v="27"/>
    <x v="1"/>
    <x v="1"/>
    <n v="10.76"/>
    <n v="29049.96"/>
    <n v="68317.490000000005"/>
    <x v="2"/>
  </r>
  <r>
    <x v="7"/>
    <x v="1"/>
    <x v="0"/>
    <x v="0"/>
    <x v="0"/>
    <x v="0"/>
    <x v="0"/>
    <n v="3.79"/>
    <n v="25150.67"/>
    <n v="110462.53"/>
    <x v="2"/>
  </r>
  <r>
    <x v="7"/>
    <x v="1"/>
    <x v="0"/>
    <x v="0"/>
    <x v="1"/>
    <x v="0"/>
    <x v="0"/>
    <n v="7.43"/>
    <n v="49305.93"/>
    <n v="216220.72"/>
    <x v="2"/>
  </r>
  <r>
    <x v="7"/>
    <x v="1"/>
    <x v="0"/>
    <x v="0"/>
    <x v="2"/>
    <x v="0"/>
    <x v="0"/>
    <n v="0"/>
    <n v="0"/>
    <n v="0"/>
    <x v="2"/>
  </r>
  <r>
    <x v="7"/>
    <x v="1"/>
    <x v="0"/>
    <x v="0"/>
    <x v="3"/>
    <x v="0"/>
    <x v="0"/>
    <n v="2.2400000000000002"/>
    <n v="14864.77"/>
    <n v="65226.29"/>
    <x v="2"/>
  </r>
  <r>
    <x v="7"/>
    <x v="1"/>
    <x v="0"/>
    <x v="0"/>
    <x v="4"/>
    <x v="0"/>
    <x v="0"/>
    <n v="0"/>
    <n v="0"/>
    <n v="0"/>
    <x v="2"/>
  </r>
  <r>
    <x v="7"/>
    <x v="1"/>
    <x v="0"/>
    <x v="0"/>
    <x v="5"/>
    <x v="0"/>
    <x v="0"/>
    <n v="0"/>
    <n v="0"/>
    <n v="0"/>
    <x v="2"/>
  </r>
  <r>
    <x v="7"/>
    <x v="1"/>
    <x v="0"/>
    <x v="0"/>
    <x v="6"/>
    <x v="0"/>
    <x v="0"/>
    <n v="0"/>
    <n v="0"/>
    <n v="0"/>
    <x v="2"/>
  </r>
  <r>
    <x v="7"/>
    <x v="1"/>
    <x v="0"/>
    <x v="0"/>
    <x v="8"/>
    <x v="0"/>
    <x v="0"/>
    <n v="0"/>
    <n v="0"/>
    <n v="0"/>
    <x v="2"/>
  </r>
  <r>
    <x v="7"/>
    <x v="1"/>
    <x v="0"/>
    <x v="1"/>
    <x v="10"/>
    <x v="0"/>
    <x v="0"/>
    <n v="2.34"/>
    <n v="15528.38"/>
    <n v="68109.899999999994"/>
    <x v="2"/>
  </r>
  <r>
    <x v="7"/>
    <x v="1"/>
    <x v="0"/>
    <x v="1"/>
    <x v="11"/>
    <x v="0"/>
    <x v="0"/>
    <n v="0"/>
    <n v="0"/>
    <n v="0"/>
    <x v="2"/>
  </r>
  <r>
    <x v="7"/>
    <x v="1"/>
    <x v="0"/>
    <x v="1"/>
    <x v="13"/>
    <x v="0"/>
    <x v="0"/>
    <n v="0"/>
    <n v="0"/>
    <n v="0"/>
    <x v="2"/>
  </r>
  <r>
    <x v="7"/>
    <x v="1"/>
    <x v="0"/>
    <x v="1"/>
    <x v="14"/>
    <x v="0"/>
    <x v="0"/>
    <n v="0"/>
    <n v="0"/>
    <n v="0"/>
    <x v="2"/>
  </r>
  <r>
    <x v="7"/>
    <x v="1"/>
    <x v="0"/>
    <x v="1"/>
    <x v="16"/>
    <x v="0"/>
    <x v="0"/>
    <n v="0"/>
    <n v="0"/>
    <n v="0"/>
    <x v="2"/>
  </r>
  <r>
    <x v="7"/>
    <x v="1"/>
    <x v="0"/>
    <x v="1"/>
    <x v="17"/>
    <x v="0"/>
    <x v="0"/>
    <n v="0"/>
    <n v="0"/>
    <n v="0"/>
    <x v="2"/>
  </r>
  <r>
    <x v="7"/>
    <x v="1"/>
    <x v="0"/>
    <x v="1"/>
    <x v="18"/>
    <x v="0"/>
    <x v="0"/>
    <n v="0"/>
    <n v="0"/>
    <n v="0"/>
    <x v="2"/>
  </r>
  <r>
    <x v="7"/>
    <x v="1"/>
    <x v="0"/>
    <x v="1"/>
    <x v="19"/>
    <x v="0"/>
    <x v="0"/>
    <n v="0"/>
    <n v="0"/>
    <n v="0"/>
    <x v="2"/>
  </r>
  <r>
    <x v="7"/>
    <x v="1"/>
    <x v="0"/>
    <x v="1"/>
    <x v="20"/>
    <x v="0"/>
    <x v="0"/>
    <n v="2.96"/>
    <n v="19642.740000000002"/>
    <n v="86134.52"/>
    <x v="2"/>
  </r>
  <r>
    <x v="7"/>
    <x v="1"/>
    <x v="0"/>
    <x v="2"/>
    <x v="21"/>
    <x v="0"/>
    <x v="0"/>
    <n v="2.5099999999999998"/>
    <n v="16656.509999999998"/>
    <n v="73068.06"/>
    <x v="2"/>
  </r>
  <r>
    <x v="7"/>
    <x v="1"/>
    <x v="0"/>
    <x v="2"/>
    <x v="22"/>
    <x v="0"/>
    <x v="0"/>
    <n v="0"/>
    <n v="0"/>
    <n v="0"/>
    <x v="2"/>
  </r>
  <r>
    <x v="7"/>
    <x v="1"/>
    <x v="0"/>
    <x v="2"/>
    <x v="29"/>
    <x v="0"/>
    <x v="0"/>
    <n v="0"/>
    <n v="0"/>
    <n v="0"/>
    <x v="2"/>
  </r>
  <r>
    <x v="7"/>
    <x v="1"/>
    <x v="0"/>
    <x v="2"/>
    <x v="24"/>
    <x v="0"/>
    <x v="0"/>
    <n v="0"/>
    <n v="0"/>
    <n v="0"/>
    <x v="2"/>
  </r>
  <r>
    <x v="7"/>
    <x v="1"/>
    <x v="0"/>
    <x v="3"/>
    <x v="25"/>
    <x v="0"/>
    <x v="0"/>
    <n v="0"/>
    <n v="0"/>
    <n v="0"/>
    <x v="2"/>
  </r>
  <r>
    <x v="7"/>
    <x v="1"/>
    <x v="0"/>
    <x v="3"/>
    <x v="26"/>
    <x v="0"/>
    <x v="0"/>
    <n v="2.71"/>
    <n v="17983.72"/>
    <n v="78871.570000000007"/>
    <x v="2"/>
  </r>
  <r>
    <x v="7"/>
    <x v="1"/>
    <x v="0"/>
    <x v="3"/>
    <x v="27"/>
    <x v="0"/>
    <x v="0"/>
    <n v="3.38"/>
    <n v="22429.88"/>
    <n v="98541.75"/>
    <x v="2"/>
  </r>
  <r>
    <x v="7"/>
    <x v="1"/>
    <x v="0"/>
    <x v="0"/>
    <x v="0"/>
    <x v="0"/>
    <x v="1"/>
    <n v="2.94"/>
    <n v="19510.02"/>
    <n v="85608.46"/>
    <x v="2"/>
  </r>
  <r>
    <x v="7"/>
    <x v="1"/>
    <x v="0"/>
    <x v="0"/>
    <x v="1"/>
    <x v="0"/>
    <x v="1"/>
    <n v="7.16"/>
    <n v="47514.19"/>
    <n v="208528.41"/>
    <x v="2"/>
  </r>
  <r>
    <x v="7"/>
    <x v="1"/>
    <x v="0"/>
    <x v="0"/>
    <x v="2"/>
    <x v="0"/>
    <x v="1"/>
    <n v="3.81"/>
    <n v="25283.39"/>
    <n v="111040.36"/>
    <x v="2"/>
  </r>
  <r>
    <x v="7"/>
    <x v="1"/>
    <x v="0"/>
    <x v="0"/>
    <x v="3"/>
    <x v="0"/>
    <x v="1"/>
    <n v="7.56"/>
    <n v="50168.61"/>
    <n v="220138.72"/>
    <x v="2"/>
  </r>
  <r>
    <x v="7"/>
    <x v="1"/>
    <x v="0"/>
    <x v="0"/>
    <x v="4"/>
    <x v="0"/>
    <x v="1"/>
    <n v="2.29"/>
    <n v="15196.58"/>
    <n v="66597.69"/>
    <x v="2"/>
  </r>
  <r>
    <x v="7"/>
    <x v="1"/>
    <x v="0"/>
    <x v="0"/>
    <x v="5"/>
    <x v="0"/>
    <x v="1"/>
    <n v="4.91"/>
    <n v="32583.05"/>
    <n v="143051.73000000001"/>
    <x v="2"/>
  </r>
  <r>
    <x v="7"/>
    <x v="1"/>
    <x v="0"/>
    <x v="0"/>
    <x v="6"/>
    <x v="0"/>
    <x v="1"/>
    <n v="3.04"/>
    <n v="20173.62"/>
    <n v="88384.94"/>
    <x v="2"/>
  </r>
  <r>
    <x v="7"/>
    <x v="1"/>
    <x v="0"/>
    <x v="0"/>
    <x v="8"/>
    <x v="0"/>
    <x v="1"/>
    <n v="4.96"/>
    <n v="32914.86"/>
    <n v="144296.76"/>
    <x v="2"/>
  </r>
  <r>
    <x v="7"/>
    <x v="1"/>
    <x v="0"/>
    <x v="1"/>
    <x v="10"/>
    <x v="0"/>
    <x v="1"/>
    <n v="4.87"/>
    <n v="32317.61"/>
    <n v="141668.57999999999"/>
    <x v="2"/>
  </r>
  <r>
    <x v="7"/>
    <x v="1"/>
    <x v="0"/>
    <x v="1"/>
    <x v="11"/>
    <x v="0"/>
    <x v="1"/>
    <n v="13.11"/>
    <n v="86998.75"/>
    <n v="381704.56"/>
    <x v="2"/>
  </r>
  <r>
    <x v="7"/>
    <x v="1"/>
    <x v="0"/>
    <x v="1"/>
    <x v="13"/>
    <x v="0"/>
    <x v="1"/>
    <n v="5.98"/>
    <n v="39683.64"/>
    <n v="173986.65"/>
    <x v="2"/>
  </r>
  <r>
    <x v="7"/>
    <x v="1"/>
    <x v="0"/>
    <x v="1"/>
    <x v="14"/>
    <x v="0"/>
    <x v="1"/>
    <n v="1.04"/>
    <n v="6901.5"/>
    <n v="30292.94"/>
    <x v="2"/>
  </r>
  <r>
    <x v="7"/>
    <x v="1"/>
    <x v="0"/>
    <x v="1"/>
    <x v="16"/>
    <x v="0"/>
    <x v="1"/>
    <n v="2.69"/>
    <n v="17851"/>
    <n v="78278.22"/>
    <x v="2"/>
  </r>
  <r>
    <x v="7"/>
    <x v="1"/>
    <x v="0"/>
    <x v="1"/>
    <x v="17"/>
    <x v="0"/>
    <x v="1"/>
    <n v="2.57"/>
    <n v="17054.669999999998"/>
    <n v="74775.520000000004"/>
    <x v="2"/>
  </r>
  <r>
    <x v="7"/>
    <x v="1"/>
    <x v="0"/>
    <x v="1"/>
    <x v="18"/>
    <x v="0"/>
    <x v="1"/>
    <n v="15.57"/>
    <n v="103323.45"/>
    <n v="453416.08"/>
    <x v="2"/>
  </r>
  <r>
    <x v="7"/>
    <x v="1"/>
    <x v="0"/>
    <x v="1"/>
    <x v="19"/>
    <x v="0"/>
    <x v="1"/>
    <n v="2.63"/>
    <n v="17452.84"/>
    <n v="76463.06"/>
    <x v="2"/>
  </r>
  <r>
    <x v="7"/>
    <x v="1"/>
    <x v="0"/>
    <x v="1"/>
    <x v="20"/>
    <x v="0"/>
    <x v="1"/>
    <n v="12.76"/>
    <n v="84676.13"/>
    <n v="371455.13"/>
    <x v="2"/>
  </r>
  <r>
    <x v="7"/>
    <x v="1"/>
    <x v="0"/>
    <x v="2"/>
    <x v="21"/>
    <x v="0"/>
    <x v="1"/>
    <n v="0"/>
    <n v="0"/>
    <n v="0"/>
    <x v="2"/>
  </r>
  <r>
    <x v="7"/>
    <x v="1"/>
    <x v="0"/>
    <x v="2"/>
    <x v="22"/>
    <x v="0"/>
    <x v="1"/>
    <n v="5.38"/>
    <n v="35702"/>
    <n v="156743.44"/>
    <x v="2"/>
  </r>
  <r>
    <x v="7"/>
    <x v="1"/>
    <x v="0"/>
    <x v="2"/>
    <x v="29"/>
    <x v="0"/>
    <x v="1"/>
    <n v="3.62"/>
    <n v="24022.54"/>
    <n v="105484.93"/>
    <x v="2"/>
  </r>
  <r>
    <x v="7"/>
    <x v="1"/>
    <x v="0"/>
    <x v="2"/>
    <x v="24"/>
    <x v="0"/>
    <x v="1"/>
    <n v="2.2400000000000002"/>
    <n v="14864.77"/>
    <n v="65161.21"/>
    <x v="2"/>
  </r>
  <r>
    <x v="7"/>
    <x v="1"/>
    <x v="0"/>
    <x v="3"/>
    <x v="25"/>
    <x v="0"/>
    <x v="1"/>
    <n v="2.0099999999999998"/>
    <n v="13338.48"/>
    <n v="58601"/>
    <x v="2"/>
  </r>
  <r>
    <x v="7"/>
    <x v="1"/>
    <x v="0"/>
    <x v="3"/>
    <x v="26"/>
    <x v="0"/>
    <x v="1"/>
    <n v="1.77"/>
    <n v="11745.83"/>
    <n v="51674.48"/>
    <x v="2"/>
  </r>
  <r>
    <x v="7"/>
    <x v="1"/>
    <x v="0"/>
    <x v="3"/>
    <x v="27"/>
    <x v="0"/>
    <x v="1"/>
    <n v="12.41"/>
    <n v="82353.5"/>
    <n v="361319.75"/>
    <x v="2"/>
  </r>
  <r>
    <x v="7"/>
    <x v="1"/>
    <x v="0"/>
    <x v="0"/>
    <x v="0"/>
    <x v="1"/>
    <x v="0"/>
    <n v="6.66"/>
    <n v="44196.160000000003"/>
    <n v="126861.03"/>
    <x v="2"/>
  </r>
  <r>
    <x v="7"/>
    <x v="1"/>
    <x v="0"/>
    <x v="0"/>
    <x v="1"/>
    <x v="1"/>
    <x v="0"/>
    <n v="11.1"/>
    <n v="73660.27"/>
    <n v="207880.34"/>
    <x v="2"/>
  </r>
  <r>
    <x v="7"/>
    <x v="1"/>
    <x v="0"/>
    <x v="0"/>
    <x v="2"/>
    <x v="1"/>
    <x v="0"/>
    <n v="4.84"/>
    <n v="32118.53"/>
    <n v="87481.16"/>
    <x v="2"/>
  </r>
  <r>
    <x v="7"/>
    <x v="1"/>
    <x v="0"/>
    <x v="0"/>
    <x v="3"/>
    <x v="1"/>
    <x v="0"/>
    <n v="10.76"/>
    <n v="71404.009999999995"/>
    <n v="202444.72"/>
    <x v="2"/>
  </r>
  <r>
    <x v="7"/>
    <x v="1"/>
    <x v="0"/>
    <x v="0"/>
    <x v="28"/>
    <x v="1"/>
    <x v="0"/>
    <n v="0"/>
    <n v="0"/>
    <n v="0"/>
    <x v="2"/>
  </r>
  <r>
    <x v="7"/>
    <x v="1"/>
    <x v="0"/>
    <x v="0"/>
    <x v="4"/>
    <x v="1"/>
    <x v="0"/>
    <n v="6.88"/>
    <n v="45656.09"/>
    <n v="128202.03"/>
    <x v="2"/>
  </r>
  <r>
    <x v="7"/>
    <x v="1"/>
    <x v="0"/>
    <x v="0"/>
    <x v="5"/>
    <x v="1"/>
    <x v="0"/>
    <n v="1.5"/>
    <n v="9954.09"/>
    <n v="28695.63"/>
    <x v="2"/>
  </r>
  <r>
    <x v="7"/>
    <x v="1"/>
    <x v="0"/>
    <x v="0"/>
    <x v="6"/>
    <x v="1"/>
    <x v="0"/>
    <n v="0"/>
    <n v="0"/>
    <n v="0"/>
    <x v="2"/>
  </r>
  <r>
    <x v="7"/>
    <x v="1"/>
    <x v="0"/>
    <x v="0"/>
    <x v="7"/>
    <x v="1"/>
    <x v="0"/>
    <n v="0"/>
    <n v="0"/>
    <n v="0"/>
    <x v="2"/>
  </r>
  <r>
    <x v="7"/>
    <x v="1"/>
    <x v="0"/>
    <x v="0"/>
    <x v="8"/>
    <x v="1"/>
    <x v="0"/>
    <n v="0"/>
    <n v="0"/>
    <n v="0"/>
    <x v="2"/>
  </r>
  <r>
    <x v="7"/>
    <x v="1"/>
    <x v="0"/>
    <x v="1"/>
    <x v="30"/>
    <x v="1"/>
    <x v="0"/>
    <n v="3.03"/>
    <n v="20107.259999999998"/>
    <n v="60862.36"/>
    <x v="2"/>
  </r>
  <r>
    <x v="7"/>
    <x v="1"/>
    <x v="0"/>
    <x v="1"/>
    <x v="9"/>
    <x v="1"/>
    <x v="0"/>
    <n v="0"/>
    <n v="0"/>
    <n v="0"/>
    <x v="2"/>
  </r>
  <r>
    <x v="7"/>
    <x v="1"/>
    <x v="0"/>
    <x v="1"/>
    <x v="31"/>
    <x v="1"/>
    <x v="0"/>
    <n v="3.77"/>
    <n v="25017.95"/>
    <n v="76345.789999999994"/>
    <x v="2"/>
  </r>
  <r>
    <x v="7"/>
    <x v="1"/>
    <x v="0"/>
    <x v="1"/>
    <x v="10"/>
    <x v="1"/>
    <x v="0"/>
    <n v="9.76"/>
    <n v="64767.95"/>
    <n v="193744.56"/>
    <x v="2"/>
  </r>
  <r>
    <x v="7"/>
    <x v="1"/>
    <x v="0"/>
    <x v="1"/>
    <x v="11"/>
    <x v="1"/>
    <x v="0"/>
    <n v="9.9499999999999993"/>
    <n v="66028.800000000003"/>
    <n v="188294.47"/>
    <x v="2"/>
  </r>
  <r>
    <x v="7"/>
    <x v="1"/>
    <x v="0"/>
    <x v="1"/>
    <x v="12"/>
    <x v="1"/>
    <x v="0"/>
    <n v="2.5099999999999998"/>
    <n v="16656.509999999998"/>
    <n v="50025.09"/>
    <x v="2"/>
  </r>
  <r>
    <x v="7"/>
    <x v="1"/>
    <x v="0"/>
    <x v="1"/>
    <x v="13"/>
    <x v="1"/>
    <x v="0"/>
    <n v="2.67"/>
    <n v="17718.28"/>
    <n v="52944.3"/>
    <x v="2"/>
  </r>
  <r>
    <x v="7"/>
    <x v="1"/>
    <x v="0"/>
    <x v="1"/>
    <x v="14"/>
    <x v="1"/>
    <x v="0"/>
    <n v="13.75"/>
    <n v="91245.83"/>
    <n v="267326.57"/>
    <x v="2"/>
  </r>
  <r>
    <x v="7"/>
    <x v="1"/>
    <x v="0"/>
    <x v="1"/>
    <x v="15"/>
    <x v="1"/>
    <x v="0"/>
    <n v="3.22"/>
    <n v="21368.11"/>
    <n v="64737.25"/>
    <x v="2"/>
  </r>
  <r>
    <x v="7"/>
    <x v="1"/>
    <x v="0"/>
    <x v="1"/>
    <x v="16"/>
    <x v="1"/>
    <x v="0"/>
    <n v="3.06"/>
    <n v="20306.34"/>
    <n v="58640"/>
    <x v="2"/>
  </r>
  <r>
    <x v="7"/>
    <x v="1"/>
    <x v="0"/>
    <x v="1"/>
    <x v="17"/>
    <x v="1"/>
    <x v="0"/>
    <n v="9"/>
    <n v="59724.54"/>
    <n v="173971.86"/>
    <x v="2"/>
  </r>
  <r>
    <x v="7"/>
    <x v="1"/>
    <x v="0"/>
    <x v="1"/>
    <x v="18"/>
    <x v="1"/>
    <x v="0"/>
    <n v="9.2899999999999991"/>
    <n v="61649"/>
    <n v="187966.41"/>
    <x v="2"/>
  </r>
  <r>
    <x v="7"/>
    <x v="1"/>
    <x v="0"/>
    <x v="1"/>
    <x v="19"/>
    <x v="1"/>
    <x v="0"/>
    <n v="9.7200000000000006"/>
    <n v="64502.5"/>
    <n v="190713.47"/>
    <x v="2"/>
  </r>
  <r>
    <x v="7"/>
    <x v="1"/>
    <x v="0"/>
    <x v="1"/>
    <x v="20"/>
    <x v="1"/>
    <x v="0"/>
    <n v="7.22"/>
    <n v="47912.35"/>
    <n v="139389.28"/>
    <x v="2"/>
  </r>
  <r>
    <x v="7"/>
    <x v="1"/>
    <x v="0"/>
    <x v="2"/>
    <x v="21"/>
    <x v="1"/>
    <x v="0"/>
    <n v="0"/>
    <n v="0"/>
    <n v="0"/>
    <x v="2"/>
  </r>
  <r>
    <x v="7"/>
    <x v="1"/>
    <x v="0"/>
    <x v="2"/>
    <x v="22"/>
    <x v="1"/>
    <x v="0"/>
    <n v="7.45"/>
    <n v="49438.65"/>
    <n v="132159.91"/>
    <x v="2"/>
  </r>
  <r>
    <x v="7"/>
    <x v="1"/>
    <x v="0"/>
    <x v="2"/>
    <x v="29"/>
    <x v="1"/>
    <x v="0"/>
    <n v="0"/>
    <n v="0"/>
    <n v="0"/>
    <x v="2"/>
  </r>
  <r>
    <x v="7"/>
    <x v="1"/>
    <x v="0"/>
    <x v="2"/>
    <x v="23"/>
    <x v="1"/>
    <x v="0"/>
    <n v="0"/>
    <n v="0"/>
    <n v="0"/>
    <x v="2"/>
  </r>
  <r>
    <x v="7"/>
    <x v="1"/>
    <x v="0"/>
    <x v="2"/>
    <x v="24"/>
    <x v="1"/>
    <x v="0"/>
    <n v="2.09"/>
    <n v="13869.37"/>
    <n v="37810.720000000001"/>
    <x v="2"/>
  </r>
  <r>
    <x v="7"/>
    <x v="1"/>
    <x v="0"/>
    <x v="3"/>
    <x v="25"/>
    <x v="1"/>
    <x v="0"/>
    <n v="8.69"/>
    <n v="57667.360000000001"/>
    <n v="173307.01"/>
    <x v="2"/>
  </r>
  <r>
    <x v="7"/>
    <x v="1"/>
    <x v="0"/>
    <x v="3"/>
    <x v="26"/>
    <x v="1"/>
    <x v="0"/>
    <n v="6.02"/>
    <n v="39949.08"/>
    <n v="120886.41"/>
    <x v="2"/>
  </r>
  <r>
    <x v="7"/>
    <x v="1"/>
    <x v="0"/>
    <x v="3"/>
    <x v="27"/>
    <x v="1"/>
    <x v="0"/>
    <n v="15.18"/>
    <n v="100735.39"/>
    <n v="299128.51"/>
    <x v="2"/>
  </r>
  <r>
    <x v="7"/>
    <x v="1"/>
    <x v="0"/>
    <x v="0"/>
    <x v="0"/>
    <x v="1"/>
    <x v="1"/>
    <n v="11.25"/>
    <n v="74655.679999999993"/>
    <n v="214180.97"/>
    <x v="2"/>
  </r>
  <r>
    <x v="7"/>
    <x v="1"/>
    <x v="0"/>
    <x v="0"/>
    <x v="1"/>
    <x v="1"/>
    <x v="1"/>
    <n v="20.8"/>
    <n v="138030.04999999999"/>
    <n v="389429.17"/>
    <x v="2"/>
  </r>
  <r>
    <x v="7"/>
    <x v="1"/>
    <x v="0"/>
    <x v="0"/>
    <x v="2"/>
    <x v="1"/>
    <x v="1"/>
    <n v="14.6"/>
    <n v="96886.48"/>
    <n v="264005.63"/>
    <x v="2"/>
  </r>
  <r>
    <x v="7"/>
    <x v="1"/>
    <x v="0"/>
    <x v="0"/>
    <x v="3"/>
    <x v="1"/>
    <x v="1"/>
    <n v="30.95"/>
    <n v="205386.06"/>
    <n v="582028.56000000006"/>
    <x v="2"/>
  </r>
  <r>
    <x v="7"/>
    <x v="1"/>
    <x v="0"/>
    <x v="0"/>
    <x v="28"/>
    <x v="1"/>
    <x v="1"/>
    <n v="2.35"/>
    <n v="15594.74"/>
    <n v="44680.33"/>
    <x v="2"/>
  </r>
  <r>
    <x v="7"/>
    <x v="1"/>
    <x v="0"/>
    <x v="0"/>
    <x v="4"/>
    <x v="1"/>
    <x v="1"/>
    <n v="9.6199999999999992"/>
    <n v="63838.9"/>
    <n v="179154.12"/>
    <x v="2"/>
  </r>
  <r>
    <x v="7"/>
    <x v="1"/>
    <x v="0"/>
    <x v="0"/>
    <x v="5"/>
    <x v="1"/>
    <x v="1"/>
    <n v="26.57"/>
    <n v="176320.11"/>
    <n v="509769.38"/>
    <x v="2"/>
  </r>
  <r>
    <x v="7"/>
    <x v="1"/>
    <x v="0"/>
    <x v="0"/>
    <x v="6"/>
    <x v="1"/>
    <x v="1"/>
    <n v="2.99"/>
    <n v="19841.82"/>
    <n v="57276.5"/>
    <x v="2"/>
  </r>
  <r>
    <x v="7"/>
    <x v="1"/>
    <x v="0"/>
    <x v="0"/>
    <x v="7"/>
    <x v="1"/>
    <x v="1"/>
    <n v="0.01"/>
    <n v="66.36"/>
    <n v="188.37"/>
    <x v="2"/>
  </r>
  <r>
    <x v="7"/>
    <x v="1"/>
    <x v="0"/>
    <x v="0"/>
    <x v="8"/>
    <x v="1"/>
    <x v="1"/>
    <n v="4.34"/>
    <n v="28800.5"/>
    <n v="80450.259999999995"/>
    <x v="2"/>
  </r>
  <r>
    <x v="7"/>
    <x v="1"/>
    <x v="0"/>
    <x v="1"/>
    <x v="30"/>
    <x v="1"/>
    <x v="1"/>
    <n v="0"/>
    <n v="0"/>
    <n v="0"/>
    <x v="2"/>
  </r>
  <r>
    <x v="7"/>
    <x v="1"/>
    <x v="0"/>
    <x v="1"/>
    <x v="9"/>
    <x v="1"/>
    <x v="1"/>
    <n v="4.93"/>
    <n v="32715.78"/>
    <n v="98730.16"/>
    <x v="2"/>
  </r>
  <r>
    <x v="7"/>
    <x v="1"/>
    <x v="0"/>
    <x v="1"/>
    <x v="31"/>
    <x v="1"/>
    <x v="1"/>
    <n v="0"/>
    <n v="0"/>
    <n v="0"/>
    <x v="2"/>
  </r>
  <r>
    <x v="7"/>
    <x v="1"/>
    <x v="0"/>
    <x v="1"/>
    <x v="10"/>
    <x v="1"/>
    <x v="1"/>
    <n v="31.73"/>
    <n v="210562.18"/>
    <n v="630106.17000000004"/>
    <x v="2"/>
  </r>
  <r>
    <x v="7"/>
    <x v="1"/>
    <x v="0"/>
    <x v="1"/>
    <x v="11"/>
    <x v="1"/>
    <x v="1"/>
    <n v="31.95"/>
    <n v="212022.12"/>
    <n v="604524.35"/>
    <x v="2"/>
  </r>
  <r>
    <x v="7"/>
    <x v="1"/>
    <x v="0"/>
    <x v="1"/>
    <x v="12"/>
    <x v="1"/>
    <x v="1"/>
    <n v="2.6"/>
    <n v="17253.759999999998"/>
    <n v="51811.7"/>
    <x v="2"/>
  </r>
  <r>
    <x v="7"/>
    <x v="1"/>
    <x v="0"/>
    <x v="1"/>
    <x v="13"/>
    <x v="1"/>
    <x v="1"/>
    <n v="12.06"/>
    <n v="80030.880000000005"/>
    <n v="239103.27"/>
    <x v="2"/>
  </r>
  <r>
    <x v="7"/>
    <x v="1"/>
    <x v="0"/>
    <x v="1"/>
    <x v="14"/>
    <x v="1"/>
    <x v="1"/>
    <n v="8.0500000000000007"/>
    <n v="53420.28"/>
    <n v="156649.96"/>
    <x v="2"/>
  </r>
  <r>
    <x v="7"/>
    <x v="1"/>
    <x v="0"/>
    <x v="1"/>
    <x v="15"/>
    <x v="1"/>
    <x v="1"/>
    <n v="1.79"/>
    <n v="11878.55"/>
    <n v="35965.14"/>
    <x v="2"/>
  </r>
  <r>
    <x v="7"/>
    <x v="1"/>
    <x v="0"/>
    <x v="1"/>
    <x v="16"/>
    <x v="1"/>
    <x v="1"/>
    <n v="6.34"/>
    <n v="42072.62"/>
    <n v="121395.1"/>
    <x v="2"/>
  </r>
  <r>
    <x v="7"/>
    <x v="1"/>
    <x v="0"/>
    <x v="1"/>
    <x v="17"/>
    <x v="1"/>
    <x v="1"/>
    <n v="5.94"/>
    <n v="39418.199999999997"/>
    <n v="114855.21"/>
    <x v="2"/>
  </r>
  <r>
    <x v="7"/>
    <x v="1"/>
    <x v="0"/>
    <x v="1"/>
    <x v="18"/>
    <x v="1"/>
    <x v="1"/>
    <n v="25.75"/>
    <n v="170878.55"/>
    <n v="520935.49"/>
    <x v="2"/>
  </r>
  <r>
    <x v="7"/>
    <x v="1"/>
    <x v="0"/>
    <x v="1"/>
    <x v="19"/>
    <x v="1"/>
    <x v="1"/>
    <n v="10.050000000000001"/>
    <n v="66692.399999999994"/>
    <n v="197200.33"/>
    <x v="2"/>
  </r>
  <r>
    <x v="7"/>
    <x v="1"/>
    <x v="0"/>
    <x v="1"/>
    <x v="20"/>
    <x v="1"/>
    <x v="1"/>
    <n v="26.82"/>
    <n v="177979.13"/>
    <n v="517731.61"/>
    <x v="2"/>
  </r>
  <r>
    <x v="7"/>
    <x v="1"/>
    <x v="0"/>
    <x v="2"/>
    <x v="21"/>
    <x v="1"/>
    <x v="1"/>
    <n v="1.1299999999999999"/>
    <n v="7498.75"/>
    <n v="19948.12"/>
    <x v="2"/>
  </r>
  <r>
    <x v="7"/>
    <x v="1"/>
    <x v="0"/>
    <x v="2"/>
    <x v="22"/>
    <x v="1"/>
    <x v="1"/>
    <n v="17.7"/>
    <n v="117458.26"/>
    <n v="313879.78999999998"/>
    <x v="2"/>
  </r>
  <r>
    <x v="7"/>
    <x v="1"/>
    <x v="0"/>
    <x v="2"/>
    <x v="29"/>
    <x v="1"/>
    <x v="1"/>
    <n v="2.71"/>
    <n v="17983.72"/>
    <n v="51043.16"/>
    <x v="2"/>
  </r>
  <r>
    <x v="7"/>
    <x v="1"/>
    <x v="0"/>
    <x v="2"/>
    <x v="23"/>
    <x v="1"/>
    <x v="1"/>
    <n v="3.03"/>
    <n v="20107.259999999998"/>
    <n v="55920.73"/>
    <x v="2"/>
  </r>
  <r>
    <x v="7"/>
    <x v="1"/>
    <x v="0"/>
    <x v="2"/>
    <x v="24"/>
    <x v="1"/>
    <x v="1"/>
    <n v="1.93"/>
    <n v="12807.6"/>
    <n v="34785.86"/>
    <x v="2"/>
  </r>
  <r>
    <x v="7"/>
    <x v="1"/>
    <x v="0"/>
    <x v="3"/>
    <x v="25"/>
    <x v="1"/>
    <x v="1"/>
    <n v="11.97"/>
    <n v="79433.64"/>
    <n v="238739.25"/>
    <x v="2"/>
  </r>
  <r>
    <x v="7"/>
    <x v="1"/>
    <x v="0"/>
    <x v="3"/>
    <x v="26"/>
    <x v="1"/>
    <x v="1"/>
    <n v="25.75"/>
    <n v="170878.55"/>
    <n v="517322.74"/>
    <x v="2"/>
  </r>
  <r>
    <x v="7"/>
    <x v="1"/>
    <x v="0"/>
    <x v="3"/>
    <x v="27"/>
    <x v="1"/>
    <x v="1"/>
    <n v="36.340000000000003"/>
    <n v="241154.42"/>
    <n v="716199.11"/>
    <x v="2"/>
  </r>
  <r>
    <x v="7"/>
    <x v="1"/>
    <x v="1"/>
    <x v="0"/>
    <x v="0"/>
    <x v="0"/>
    <x v="0"/>
    <n v="1.85"/>
    <n v="5037.1400000000003"/>
    <n v="17767.87"/>
    <x v="2"/>
  </r>
  <r>
    <x v="7"/>
    <x v="1"/>
    <x v="1"/>
    <x v="0"/>
    <x v="1"/>
    <x v="0"/>
    <x v="0"/>
    <n v="2.41"/>
    <n v="6561.9"/>
    <n v="23218.19"/>
    <x v="2"/>
  </r>
  <r>
    <x v="7"/>
    <x v="1"/>
    <x v="1"/>
    <x v="0"/>
    <x v="2"/>
    <x v="0"/>
    <x v="0"/>
    <n v="0"/>
    <n v="0"/>
    <n v="0"/>
    <x v="2"/>
  </r>
  <r>
    <x v="7"/>
    <x v="1"/>
    <x v="1"/>
    <x v="0"/>
    <x v="3"/>
    <x v="0"/>
    <x v="0"/>
    <n v="0.7"/>
    <n v="1905.95"/>
    <n v="6782.78"/>
    <x v="2"/>
  </r>
  <r>
    <x v="7"/>
    <x v="1"/>
    <x v="1"/>
    <x v="0"/>
    <x v="4"/>
    <x v="0"/>
    <x v="0"/>
    <n v="0"/>
    <n v="0"/>
    <n v="0"/>
    <x v="2"/>
  </r>
  <r>
    <x v="7"/>
    <x v="1"/>
    <x v="1"/>
    <x v="0"/>
    <x v="5"/>
    <x v="0"/>
    <x v="0"/>
    <n v="0"/>
    <n v="0"/>
    <n v="0"/>
    <x v="2"/>
  </r>
  <r>
    <x v="7"/>
    <x v="1"/>
    <x v="1"/>
    <x v="0"/>
    <x v="6"/>
    <x v="0"/>
    <x v="0"/>
    <n v="0"/>
    <n v="0"/>
    <n v="0"/>
    <x v="2"/>
  </r>
  <r>
    <x v="7"/>
    <x v="1"/>
    <x v="1"/>
    <x v="0"/>
    <x v="8"/>
    <x v="0"/>
    <x v="0"/>
    <n v="0"/>
    <n v="0"/>
    <n v="0"/>
    <x v="2"/>
  </r>
  <r>
    <x v="7"/>
    <x v="1"/>
    <x v="1"/>
    <x v="1"/>
    <x v="10"/>
    <x v="0"/>
    <x v="0"/>
    <n v="0.94"/>
    <n v="2559.41"/>
    <n v="9075.07"/>
    <x v="2"/>
  </r>
  <r>
    <x v="7"/>
    <x v="1"/>
    <x v="1"/>
    <x v="1"/>
    <x v="11"/>
    <x v="0"/>
    <x v="0"/>
    <n v="0"/>
    <n v="0"/>
    <n v="0"/>
    <x v="2"/>
  </r>
  <r>
    <x v="7"/>
    <x v="1"/>
    <x v="1"/>
    <x v="1"/>
    <x v="13"/>
    <x v="0"/>
    <x v="0"/>
    <n v="0"/>
    <n v="0"/>
    <n v="0"/>
    <x v="2"/>
  </r>
  <r>
    <x v="7"/>
    <x v="1"/>
    <x v="1"/>
    <x v="1"/>
    <x v="14"/>
    <x v="0"/>
    <x v="0"/>
    <n v="0"/>
    <n v="0"/>
    <n v="0"/>
    <x v="2"/>
  </r>
  <r>
    <x v="7"/>
    <x v="1"/>
    <x v="1"/>
    <x v="1"/>
    <x v="16"/>
    <x v="0"/>
    <x v="0"/>
    <n v="0"/>
    <n v="0"/>
    <n v="0"/>
    <x v="2"/>
  </r>
  <r>
    <x v="7"/>
    <x v="1"/>
    <x v="1"/>
    <x v="1"/>
    <x v="17"/>
    <x v="0"/>
    <x v="0"/>
    <n v="0"/>
    <n v="0"/>
    <n v="0"/>
    <x v="2"/>
  </r>
  <r>
    <x v="7"/>
    <x v="1"/>
    <x v="1"/>
    <x v="1"/>
    <x v="18"/>
    <x v="0"/>
    <x v="0"/>
    <n v="0"/>
    <n v="0"/>
    <n v="0"/>
    <x v="2"/>
  </r>
  <r>
    <x v="7"/>
    <x v="1"/>
    <x v="1"/>
    <x v="1"/>
    <x v="19"/>
    <x v="0"/>
    <x v="0"/>
    <n v="0"/>
    <n v="0"/>
    <n v="0"/>
    <x v="2"/>
  </r>
  <r>
    <x v="7"/>
    <x v="1"/>
    <x v="1"/>
    <x v="1"/>
    <x v="20"/>
    <x v="0"/>
    <x v="0"/>
    <n v="1.1100000000000001"/>
    <n v="3022.29"/>
    <n v="10717.55"/>
    <x v="2"/>
  </r>
  <r>
    <x v="7"/>
    <x v="1"/>
    <x v="1"/>
    <x v="2"/>
    <x v="21"/>
    <x v="0"/>
    <x v="0"/>
    <n v="1.1499999999999999"/>
    <n v="3131.2"/>
    <n v="11033.2"/>
    <x v="2"/>
  </r>
  <r>
    <x v="7"/>
    <x v="1"/>
    <x v="1"/>
    <x v="2"/>
    <x v="22"/>
    <x v="0"/>
    <x v="0"/>
    <n v="0"/>
    <n v="0"/>
    <n v="0"/>
    <x v="2"/>
  </r>
  <r>
    <x v="7"/>
    <x v="1"/>
    <x v="1"/>
    <x v="2"/>
    <x v="29"/>
    <x v="0"/>
    <x v="0"/>
    <n v="0"/>
    <n v="0"/>
    <n v="0"/>
    <x v="2"/>
  </r>
  <r>
    <x v="7"/>
    <x v="1"/>
    <x v="1"/>
    <x v="2"/>
    <x v="24"/>
    <x v="0"/>
    <x v="0"/>
    <n v="0"/>
    <n v="0"/>
    <n v="0"/>
    <x v="2"/>
  </r>
  <r>
    <x v="7"/>
    <x v="1"/>
    <x v="1"/>
    <x v="3"/>
    <x v="25"/>
    <x v="0"/>
    <x v="0"/>
    <n v="0"/>
    <n v="0"/>
    <n v="0"/>
    <x v="2"/>
  </r>
  <r>
    <x v="7"/>
    <x v="1"/>
    <x v="1"/>
    <x v="3"/>
    <x v="26"/>
    <x v="0"/>
    <x v="0"/>
    <n v="2"/>
    <n v="5445.56"/>
    <n v="19258.84"/>
    <x v="2"/>
  </r>
  <r>
    <x v="7"/>
    <x v="1"/>
    <x v="1"/>
    <x v="3"/>
    <x v="27"/>
    <x v="0"/>
    <x v="0"/>
    <n v="1.49"/>
    <n v="4056.94"/>
    <n v="14342.1"/>
    <x v="2"/>
  </r>
  <r>
    <x v="7"/>
    <x v="1"/>
    <x v="1"/>
    <x v="0"/>
    <x v="0"/>
    <x v="0"/>
    <x v="1"/>
    <n v="1.44"/>
    <n v="3920.8"/>
    <n v="13819.45"/>
    <x v="2"/>
  </r>
  <r>
    <x v="7"/>
    <x v="1"/>
    <x v="1"/>
    <x v="0"/>
    <x v="1"/>
    <x v="0"/>
    <x v="1"/>
    <n v="4.1399999999999997"/>
    <n v="11272.31"/>
    <n v="39843.550000000003"/>
    <x v="2"/>
  </r>
  <r>
    <x v="7"/>
    <x v="1"/>
    <x v="1"/>
    <x v="0"/>
    <x v="2"/>
    <x v="0"/>
    <x v="1"/>
    <n v="2.14"/>
    <n v="5826.75"/>
    <n v="20597.12"/>
    <x v="2"/>
  </r>
  <r>
    <x v="7"/>
    <x v="1"/>
    <x v="1"/>
    <x v="0"/>
    <x v="3"/>
    <x v="0"/>
    <x v="1"/>
    <n v="2.0099999999999998"/>
    <n v="5472.79"/>
    <n v="19379.36"/>
    <x v="2"/>
  </r>
  <r>
    <x v="7"/>
    <x v="1"/>
    <x v="1"/>
    <x v="0"/>
    <x v="4"/>
    <x v="0"/>
    <x v="1"/>
    <n v="1.43"/>
    <n v="3893.58"/>
    <n v="13796.25"/>
    <x v="2"/>
  </r>
  <r>
    <x v="7"/>
    <x v="1"/>
    <x v="1"/>
    <x v="0"/>
    <x v="5"/>
    <x v="0"/>
    <x v="1"/>
    <n v="3.04"/>
    <n v="8277.25"/>
    <n v="29265.3"/>
    <x v="2"/>
  </r>
  <r>
    <x v="7"/>
    <x v="1"/>
    <x v="1"/>
    <x v="0"/>
    <x v="6"/>
    <x v="0"/>
    <x v="1"/>
    <n v="1.49"/>
    <n v="4056.94"/>
    <n v="14338.28"/>
    <x v="2"/>
  </r>
  <r>
    <x v="7"/>
    <x v="1"/>
    <x v="1"/>
    <x v="0"/>
    <x v="8"/>
    <x v="0"/>
    <x v="1"/>
    <n v="2.06"/>
    <n v="5608.93"/>
    <n v="19844.45"/>
    <x v="2"/>
  </r>
  <r>
    <x v="7"/>
    <x v="1"/>
    <x v="1"/>
    <x v="1"/>
    <x v="10"/>
    <x v="0"/>
    <x v="1"/>
    <n v="2.73"/>
    <n v="7433.19"/>
    <n v="26317.7"/>
    <x v="2"/>
  </r>
  <r>
    <x v="7"/>
    <x v="1"/>
    <x v="1"/>
    <x v="1"/>
    <x v="11"/>
    <x v="0"/>
    <x v="1"/>
    <n v="5.3"/>
    <n v="14430.73"/>
    <n v="50997.46"/>
    <x v="2"/>
  </r>
  <r>
    <x v="7"/>
    <x v="1"/>
    <x v="1"/>
    <x v="1"/>
    <x v="13"/>
    <x v="0"/>
    <x v="1"/>
    <n v="2.0299999999999998"/>
    <n v="5527.24"/>
    <n v="19550.45"/>
    <x v="2"/>
  </r>
  <r>
    <x v="7"/>
    <x v="1"/>
    <x v="1"/>
    <x v="1"/>
    <x v="14"/>
    <x v="0"/>
    <x v="1"/>
    <n v="1.49"/>
    <n v="4056.94"/>
    <n v="14344.35"/>
    <x v="2"/>
  </r>
  <r>
    <x v="7"/>
    <x v="1"/>
    <x v="1"/>
    <x v="1"/>
    <x v="16"/>
    <x v="0"/>
    <x v="1"/>
    <n v="1.29"/>
    <n v="3512.39"/>
    <n v="12435.91"/>
    <x v="2"/>
  </r>
  <r>
    <x v="7"/>
    <x v="1"/>
    <x v="1"/>
    <x v="1"/>
    <x v="17"/>
    <x v="0"/>
    <x v="1"/>
    <n v="0.61"/>
    <n v="1660.9"/>
    <n v="5892.57"/>
    <x v="2"/>
  </r>
  <r>
    <x v="7"/>
    <x v="1"/>
    <x v="1"/>
    <x v="1"/>
    <x v="18"/>
    <x v="0"/>
    <x v="1"/>
    <n v="7.78"/>
    <n v="21183.23"/>
    <n v="74933.31"/>
    <x v="2"/>
  </r>
  <r>
    <x v="7"/>
    <x v="1"/>
    <x v="1"/>
    <x v="1"/>
    <x v="19"/>
    <x v="0"/>
    <x v="1"/>
    <n v="4.6500000000000004"/>
    <n v="12660.93"/>
    <n v="44796.99"/>
    <x v="2"/>
  </r>
  <r>
    <x v="7"/>
    <x v="1"/>
    <x v="1"/>
    <x v="1"/>
    <x v="20"/>
    <x v="0"/>
    <x v="1"/>
    <n v="8.44"/>
    <n v="22980.26"/>
    <n v="81274.740000000005"/>
    <x v="2"/>
  </r>
  <r>
    <x v="7"/>
    <x v="1"/>
    <x v="1"/>
    <x v="2"/>
    <x v="21"/>
    <x v="0"/>
    <x v="1"/>
    <n v="0"/>
    <n v="0"/>
    <n v="0"/>
    <x v="2"/>
  </r>
  <r>
    <x v="7"/>
    <x v="1"/>
    <x v="1"/>
    <x v="2"/>
    <x v="22"/>
    <x v="0"/>
    <x v="1"/>
    <n v="2.89"/>
    <n v="7868.83"/>
    <n v="27784.94"/>
    <x v="2"/>
  </r>
  <r>
    <x v="7"/>
    <x v="1"/>
    <x v="1"/>
    <x v="2"/>
    <x v="29"/>
    <x v="0"/>
    <x v="1"/>
    <n v="1.99"/>
    <n v="5418.33"/>
    <n v="19112.060000000001"/>
    <x v="2"/>
  </r>
  <r>
    <x v="7"/>
    <x v="1"/>
    <x v="1"/>
    <x v="2"/>
    <x v="24"/>
    <x v="0"/>
    <x v="1"/>
    <n v="2.16"/>
    <n v="5881.2"/>
    <n v="20788.68"/>
    <x v="2"/>
  </r>
  <r>
    <x v="7"/>
    <x v="1"/>
    <x v="1"/>
    <x v="3"/>
    <x v="25"/>
    <x v="0"/>
    <x v="1"/>
    <n v="1.41"/>
    <n v="3839.12"/>
    <n v="13587.7"/>
    <x v="2"/>
  </r>
  <r>
    <x v="7"/>
    <x v="1"/>
    <x v="1"/>
    <x v="3"/>
    <x v="26"/>
    <x v="0"/>
    <x v="1"/>
    <n v="0.95"/>
    <n v="2586.64"/>
    <n v="9170.8799999999992"/>
    <x v="2"/>
  </r>
  <r>
    <x v="7"/>
    <x v="1"/>
    <x v="1"/>
    <x v="3"/>
    <x v="27"/>
    <x v="0"/>
    <x v="1"/>
    <n v="5.87"/>
    <n v="15982.72"/>
    <n v="56472"/>
    <x v="2"/>
  </r>
  <r>
    <x v="7"/>
    <x v="1"/>
    <x v="1"/>
    <x v="0"/>
    <x v="0"/>
    <x v="1"/>
    <x v="0"/>
    <n v="4.0599999999999996"/>
    <n v="11054.49"/>
    <n v="25535"/>
    <x v="2"/>
  </r>
  <r>
    <x v="7"/>
    <x v="1"/>
    <x v="1"/>
    <x v="0"/>
    <x v="1"/>
    <x v="1"/>
    <x v="0"/>
    <n v="5.69"/>
    <n v="15492.62"/>
    <n v="35208.379999999997"/>
    <x v="2"/>
  </r>
  <r>
    <x v="7"/>
    <x v="1"/>
    <x v="1"/>
    <x v="0"/>
    <x v="2"/>
    <x v="1"/>
    <x v="0"/>
    <n v="1.37"/>
    <n v="3730.21"/>
    <n v="8206.18"/>
    <x v="2"/>
  </r>
  <r>
    <x v="7"/>
    <x v="1"/>
    <x v="1"/>
    <x v="0"/>
    <x v="3"/>
    <x v="1"/>
    <x v="0"/>
    <n v="5.12"/>
    <n v="13940.63"/>
    <n v="31859.11"/>
    <x v="2"/>
  </r>
  <r>
    <x v="7"/>
    <x v="1"/>
    <x v="1"/>
    <x v="0"/>
    <x v="28"/>
    <x v="1"/>
    <x v="0"/>
    <n v="0"/>
    <n v="0"/>
    <n v="0"/>
    <x v="2"/>
  </r>
  <r>
    <x v="7"/>
    <x v="1"/>
    <x v="1"/>
    <x v="0"/>
    <x v="4"/>
    <x v="1"/>
    <x v="0"/>
    <n v="7.5"/>
    <n v="20420.849999999999"/>
    <n v="46231.69"/>
    <x v="2"/>
  </r>
  <r>
    <x v="7"/>
    <x v="1"/>
    <x v="1"/>
    <x v="0"/>
    <x v="5"/>
    <x v="1"/>
    <x v="0"/>
    <n v="0.33"/>
    <n v="898.52"/>
    <n v="2074.25"/>
    <x v="2"/>
  </r>
  <r>
    <x v="7"/>
    <x v="1"/>
    <x v="1"/>
    <x v="0"/>
    <x v="6"/>
    <x v="1"/>
    <x v="0"/>
    <n v="0"/>
    <n v="0"/>
    <n v="0"/>
    <x v="2"/>
  </r>
  <r>
    <x v="7"/>
    <x v="1"/>
    <x v="1"/>
    <x v="0"/>
    <x v="7"/>
    <x v="1"/>
    <x v="0"/>
    <n v="0"/>
    <n v="0"/>
    <n v="0"/>
    <x v="2"/>
  </r>
  <r>
    <x v="7"/>
    <x v="1"/>
    <x v="1"/>
    <x v="0"/>
    <x v="8"/>
    <x v="1"/>
    <x v="0"/>
    <n v="0"/>
    <n v="0"/>
    <n v="0"/>
    <x v="2"/>
  </r>
  <r>
    <x v="7"/>
    <x v="1"/>
    <x v="1"/>
    <x v="1"/>
    <x v="30"/>
    <x v="1"/>
    <x v="0"/>
    <n v="2.2599999999999998"/>
    <n v="6153.48"/>
    <n v="14979.26"/>
    <x v="2"/>
  </r>
  <r>
    <x v="7"/>
    <x v="1"/>
    <x v="1"/>
    <x v="1"/>
    <x v="9"/>
    <x v="1"/>
    <x v="0"/>
    <n v="0"/>
    <n v="0"/>
    <n v="0"/>
    <x v="2"/>
  </r>
  <r>
    <x v="7"/>
    <x v="1"/>
    <x v="1"/>
    <x v="1"/>
    <x v="31"/>
    <x v="1"/>
    <x v="0"/>
    <n v="2.31"/>
    <n v="6289.62"/>
    <n v="15475.18"/>
    <x v="2"/>
  </r>
  <r>
    <x v="7"/>
    <x v="1"/>
    <x v="1"/>
    <x v="1"/>
    <x v="10"/>
    <x v="1"/>
    <x v="0"/>
    <n v="6.22"/>
    <n v="16935.689999999999"/>
    <n v="40809.440000000002"/>
    <x v="2"/>
  </r>
  <r>
    <x v="7"/>
    <x v="1"/>
    <x v="1"/>
    <x v="1"/>
    <x v="11"/>
    <x v="1"/>
    <x v="0"/>
    <n v="4.33"/>
    <n v="11789.64"/>
    <n v="27096.2"/>
    <x v="2"/>
  </r>
  <r>
    <x v="7"/>
    <x v="1"/>
    <x v="1"/>
    <x v="1"/>
    <x v="12"/>
    <x v="1"/>
    <x v="0"/>
    <n v="1.68"/>
    <n v="4574.2700000000004"/>
    <n v="11060.27"/>
    <x v="2"/>
  </r>
  <r>
    <x v="7"/>
    <x v="1"/>
    <x v="1"/>
    <x v="1"/>
    <x v="13"/>
    <x v="1"/>
    <x v="0"/>
    <n v="1.21"/>
    <n v="3294.56"/>
    <n v="7930.04"/>
    <x v="2"/>
  </r>
  <r>
    <x v="7"/>
    <x v="1"/>
    <x v="1"/>
    <x v="1"/>
    <x v="14"/>
    <x v="1"/>
    <x v="0"/>
    <n v="9.2799999999999994"/>
    <n v="25267.4"/>
    <n v="59657.52"/>
    <x v="2"/>
  </r>
  <r>
    <x v="7"/>
    <x v="1"/>
    <x v="1"/>
    <x v="1"/>
    <x v="15"/>
    <x v="1"/>
    <x v="0"/>
    <n v="0.95"/>
    <n v="2586.64"/>
    <n v="6300.03"/>
    <x v="2"/>
  </r>
  <r>
    <x v="7"/>
    <x v="1"/>
    <x v="1"/>
    <x v="1"/>
    <x v="16"/>
    <x v="1"/>
    <x v="0"/>
    <n v="3.01"/>
    <n v="8195.57"/>
    <n v="19051.62"/>
    <x v="2"/>
  </r>
  <r>
    <x v="7"/>
    <x v="1"/>
    <x v="1"/>
    <x v="1"/>
    <x v="17"/>
    <x v="1"/>
    <x v="0"/>
    <n v="5.68"/>
    <n v="15465.39"/>
    <n v="36299.910000000003"/>
    <x v="2"/>
  </r>
  <r>
    <x v="7"/>
    <x v="1"/>
    <x v="1"/>
    <x v="1"/>
    <x v="18"/>
    <x v="1"/>
    <x v="0"/>
    <n v="3.84"/>
    <n v="10455.48"/>
    <n v="25660.53"/>
    <x v="2"/>
  </r>
  <r>
    <x v="7"/>
    <x v="1"/>
    <x v="1"/>
    <x v="1"/>
    <x v="19"/>
    <x v="1"/>
    <x v="0"/>
    <n v="5.67"/>
    <n v="15438.16"/>
    <n v="36807.83"/>
    <x v="2"/>
  </r>
  <r>
    <x v="7"/>
    <x v="1"/>
    <x v="1"/>
    <x v="1"/>
    <x v="20"/>
    <x v="1"/>
    <x v="0"/>
    <n v="6.76"/>
    <n v="18405.990000000002"/>
    <n v="43123.360000000001"/>
    <x v="2"/>
  </r>
  <r>
    <x v="7"/>
    <x v="1"/>
    <x v="1"/>
    <x v="2"/>
    <x v="21"/>
    <x v="1"/>
    <x v="0"/>
    <n v="0"/>
    <n v="0"/>
    <n v="0"/>
    <x v="2"/>
  </r>
  <r>
    <x v="7"/>
    <x v="1"/>
    <x v="1"/>
    <x v="2"/>
    <x v="22"/>
    <x v="1"/>
    <x v="0"/>
    <n v="2.71"/>
    <n v="7378.73"/>
    <n v="15864.36"/>
    <x v="2"/>
  </r>
  <r>
    <x v="7"/>
    <x v="1"/>
    <x v="1"/>
    <x v="2"/>
    <x v="29"/>
    <x v="1"/>
    <x v="0"/>
    <n v="0"/>
    <n v="0"/>
    <n v="0"/>
    <x v="2"/>
  </r>
  <r>
    <x v="7"/>
    <x v="1"/>
    <x v="1"/>
    <x v="2"/>
    <x v="23"/>
    <x v="1"/>
    <x v="0"/>
    <n v="0"/>
    <n v="0"/>
    <n v="0"/>
    <x v="2"/>
  </r>
  <r>
    <x v="7"/>
    <x v="1"/>
    <x v="1"/>
    <x v="2"/>
    <x v="24"/>
    <x v="1"/>
    <x v="0"/>
    <n v="2.16"/>
    <n v="5881.2"/>
    <n v="12875.1"/>
    <x v="2"/>
  </r>
  <r>
    <x v="7"/>
    <x v="1"/>
    <x v="1"/>
    <x v="3"/>
    <x v="25"/>
    <x v="1"/>
    <x v="0"/>
    <n v="4"/>
    <n v="10891.12"/>
    <n v="26359.52"/>
    <x v="2"/>
  </r>
  <r>
    <x v="7"/>
    <x v="1"/>
    <x v="1"/>
    <x v="3"/>
    <x v="26"/>
    <x v="1"/>
    <x v="0"/>
    <n v="1.37"/>
    <n v="3730.21"/>
    <n v="9119.64"/>
    <x v="2"/>
  </r>
  <r>
    <x v="7"/>
    <x v="1"/>
    <x v="1"/>
    <x v="3"/>
    <x v="27"/>
    <x v="1"/>
    <x v="0"/>
    <n v="6.39"/>
    <n v="17398.560000000001"/>
    <n v="41631.56"/>
    <x v="2"/>
  </r>
  <r>
    <x v="7"/>
    <x v="1"/>
    <x v="1"/>
    <x v="0"/>
    <x v="0"/>
    <x v="1"/>
    <x v="1"/>
    <n v="7.85"/>
    <n v="21373.82"/>
    <n v="49404.68"/>
    <x v="2"/>
  </r>
  <r>
    <x v="7"/>
    <x v="1"/>
    <x v="1"/>
    <x v="0"/>
    <x v="1"/>
    <x v="1"/>
    <x v="1"/>
    <n v="8.1300000000000008"/>
    <n v="22136.2"/>
    <n v="50344.7"/>
    <x v="2"/>
  </r>
  <r>
    <x v="7"/>
    <x v="1"/>
    <x v="1"/>
    <x v="0"/>
    <x v="2"/>
    <x v="1"/>
    <x v="1"/>
    <n v="6.75"/>
    <n v="18378.77"/>
    <n v="40347.050000000003"/>
    <x v="2"/>
  </r>
  <r>
    <x v="7"/>
    <x v="1"/>
    <x v="1"/>
    <x v="0"/>
    <x v="3"/>
    <x v="1"/>
    <x v="1"/>
    <n v="17.63"/>
    <n v="48002.61"/>
    <n v="109616.95"/>
    <x v="2"/>
  </r>
  <r>
    <x v="7"/>
    <x v="1"/>
    <x v="1"/>
    <x v="0"/>
    <x v="28"/>
    <x v="1"/>
    <x v="1"/>
    <n v="2.39"/>
    <n v="6507.44"/>
    <n v="15043.96"/>
    <x v="2"/>
  </r>
  <r>
    <x v="7"/>
    <x v="1"/>
    <x v="1"/>
    <x v="0"/>
    <x v="4"/>
    <x v="1"/>
    <x v="1"/>
    <n v="8.6"/>
    <n v="23415.91"/>
    <n v="52956.3"/>
    <x v="2"/>
  </r>
  <r>
    <x v="7"/>
    <x v="1"/>
    <x v="1"/>
    <x v="0"/>
    <x v="5"/>
    <x v="1"/>
    <x v="1"/>
    <n v="6.17"/>
    <n v="16799.55"/>
    <n v="39151.51"/>
    <x v="2"/>
  </r>
  <r>
    <x v="7"/>
    <x v="1"/>
    <x v="1"/>
    <x v="0"/>
    <x v="6"/>
    <x v="1"/>
    <x v="1"/>
    <n v="2.82"/>
    <n v="7678.24"/>
    <n v="17818.2"/>
    <x v="2"/>
  </r>
  <r>
    <x v="7"/>
    <x v="1"/>
    <x v="1"/>
    <x v="0"/>
    <x v="7"/>
    <x v="1"/>
    <x v="1"/>
    <n v="2.82"/>
    <n v="7678.24"/>
    <n v="18165.45"/>
    <x v="2"/>
  </r>
  <r>
    <x v="7"/>
    <x v="1"/>
    <x v="1"/>
    <x v="0"/>
    <x v="8"/>
    <x v="1"/>
    <x v="1"/>
    <n v="2.3199999999999998"/>
    <n v="6316.85"/>
    <n v="14202.31"/>
    <x v="2"/>
  </r>
  <r>
    <x v="7"/>
    <x v="1"/>
    <x v="1"/>
    <x v="1"/>
    <x v="30"/>
    <x v="1"/>
    <x v="1"/>
    <n v="0"/>
    <n v="0"/>
    <n v="0"/>
    <x v="2"/>
  </r>
  <r>
    <x v="7"/>
    <x v="1"/>
    <x v="1"/>
    <x v="1"/>
    <x v="9"/>
    <x v="1"/>
    <x v="1"/>
    <n v="3.41"/>
    <n v="9284.68"/>
    <n v="22596.04"/>
    <x v="2"/>
  </r>
  <r>
    <x v="7"/>
    <x v="1"/>
    <x v="1"/>
    <x v="1"/>
    <x v="31"/>
    <x v="1"/>
    <x v="1"/>
    <n v="0"/>
    <n v="0"/>
    <n v="0"/>
    <x v="2"/>
  </r>
  <r>
    <x v="7"/>
    <x v="1"/>
    <x v="1"/>
    <x v="1"/>
    <x v="10"/>
    <x v="1"/>
    <x v="1"/>
    <n v="16.899999999999999"/>
    <n v="46014.98"/>
    <n v="110932.69"/>
    <x v="2"/>
  </r>
  <r>
    <x v="7"/>
    <x v="1"/>
    <x v="1"/>
    <x v="1"/>
    <x v="11"/>
    <x v="1"/>
    <x v="1"/>
    <n v="14.38"/>
    <n v="39153.58"/>
    <n v="89959.38"/>
    <x v="2"/>
  </r>
  <r>
    <x v="7"/>
    <x v="1"/>
    <x v="1"/>
    <x v="1"/>
    <x v="12"/>
    <x v="1"/>
    <x v="1"/>
    <n v="0.8"/>
    <n v="2178.2199999999998"/>
    <n v="5239.08"/>
    <x v="2"/>
  </r>
  <r>
    <x v="7"/>
    <x v="1"/>
    <x v="1"/>
    <x v="1"/>
    <x v="13"/>
    <x v="1"/>
    <x v="1"/>
    <n v="5.7"/>
    <n v="15519.85"/>
    <n v="37384.480000000003"/>
    <x v="2"/>
  </r>
  <r>
    <x v="7"/>
    <x v="1"/>
    <x v="1"/>
    <x v="1"/>
    <x v="14"/>
    <x v="1"/>
    <x v="1"/>
    <n v="4.34"/>
    <n v="11816.87"/>
    <n v="27877.35"/>
    <x v="2"/>
  </r>
  <r>
    <x v="7"/>
    <x v="1"/>
    <x v="1"/>
    <x v="1"/>
    <x v="15"/>
    <x v="1"/>
    <x v="1"/>
    <n v="2.3199999999999998"/>
    <n v="6316.85"/>
    <n v="15463.71"/>
    <x v="2"/>
  </r>
  <r>
    <x v="7"/>
    <x v="1"/>
    <x v="1"/>
    <x v="1"/>
    <x v="16"/>
    <x v="1"/>
    <x v="1"/>
    <n v="8.83"/>
    <n v="24042.15"/>
    <n v="55925.73"/>
    <x v="2"/>
  </r>
  <r>
    <x v="7"/>
    <x v="1"/>
    <x v="1"/>
    <x v="1"/>
    <x v="17"/>
    <x v="1"/>
    <x v="1"/>
    <n v="2.0099999999999998"/>
    <n v="5472.79"/>
    <n v="12844.58"/>
    <x v="2"/>
  </r>
  <r>
    <x v="7"/>
    <x v="1"/>
    <x v="1"/>
    <x v="1"/>
    <x v="18"/>
    <x v="1"/>
    <x v="1"/>
    <n v="15.93"/>
    <n v="43373.89"/>
    <n v="106589.9"/>
    <x v="2"/>
  </r>
  <r>
    <x v="7"/>
    <x v="1"/>
    <x v="1"/>
    <x v="1"/>
    <x v="19"/>
    <x v="1"/>
    <x v="1"/>
    <n v="9.77"/>
    <n v="26601.56"/>
    <n v="63422.720000000001"/>
    <x v="2"/>
  </r>
  <r>
    <x v="7"/>
    <x v="1"/>
    <x v="1"/>
    <x v="1"/>
    <x v="20"/>
    <x v="1"/>
    <x v="1"/>
    <n v="15.35"/>
    <n v="41794.67"/>
    <n v="97951.63"/>
    <x v="2"/>
  </r>
  <r>
    <x v="7"/>
    <x v="1"/>
    <x v="1"/>
    <x v="2"/>
    <x v="21"/>
    <x v="1"/>
    <x v="1"/>
    <n v="2.27"/>
    <n v="6180.71"/>
    <n v="13312.65"/>
    <x v="2"/>
  </r>
  <r>
    <x v="7"/>
    <x v="1"/>
    <x v="1"/>
    <x v="2"/>
    <x v="22"/>
    <x v="1"/>
    <x v="1"/>
    <n v="9.3000000000000007"/>
    <n v="25321.85"/>
    <n v="54533.74"/>
    <x v="2"/>
  </r>
  <r>
    <x v="7"/>
    <x v="1"/>
    <x v="1"/>
    <x v="2"/>
    <x v="29"/>
    <x v="1"/>
    <x v="1"/>
    <n v="2.68"/>
    <n v="7297.05"/>
    <n v="16693.150000000001"/>
    <x v="2"/>
  </r>
  <r>
    <x v="7"/>
    <x v="1"/>
    <x v="1"/>
    <x v="2"/>
    <x v="23"/>
    <x v="1"/>
    <x v="1"/>
    <n v="1.49"/>
    <n v="4056.94"/>
    <n v="9096.19"/>
    <x v="2"/>
  </r>
  <r>
    <x v="7"/>
    <x v="1"/>
    <x v="1"/>
    <x v="2"/>
    <x v="24"/>
    <x v="1"/>
    <x v="1"/>
    <n v="1.9"/>
    <n v="5173.28"/>
    <n v="11330.09"/>
    <x v="2"/>
  </r>
  <r>
    <x v="7"/>
    <x v="1"/>
    <x v="1"/>
    <x v="3"/>
    <x v="25"/>
    <x v="1"/>
    <x v="1"/>
    <n v="5.39"/>
    <n v="14675.78"/>
    <n v="35528.050000000003"/>
    <x v="2"/>
  </r>
  <r>
    <x v="7"/>
    <x v="1"/>
    <x v="1"/>
    <x v="3"/>
    <x v="26"/>
    <x v="1"/>
    <x v="1"/>
    <n v="11.06"/>
    <n v="30113.95"/>
    <n v="73437.070000000007"/>
    <x v="2"/>
  </r>
  <r>
    <x v="7"/>
    <x v="1"/>
    <x v="1"/>
    <x v="3"/>
    <x v="27"/>
    <x v="1"/>
    <x v="1"/>
    <n v="19.34"/>
    <n v="52658.57"/>
    <n v="126035.26"/>
    <x v="2"/>
  </r>
  <r>
    <x v="7"/>
    <x v="1"/>
    <x v="2"/>
    <x v="0"/>
    <x v="0"/>
    <x v="0"/>
    <x v="0"/>
    <n v="2.35"/>
    <n v="12736.34"/>
    <n v="55093.55"/>
    <x v="2"/>
  </r>
  <r>
    <x v="7"/>
    <x v="1"/>
    <x v="2"/>
    <x v="0"/>
    <x v="1"/>
    <x v="0"/>
    <x v="0"/>
    <n v="3.96"/>
    <n v="21462.09"/>
    <n v="92785.84"/>
    <x v="2"/>
  </r>
  <r>
    <x v="7"/>
    <x v="1"/>
    <x v="2"/>
    <x v="0"/>
    <x v="2"/>
    <x v="0"/>
    <x v="0"/>
    <n v="0"/>
    <n v="0"/>
    <n v="0"/>
    <x v="2"/>
  </r>
  <r>
    <x v="7"/>
    <x v="1"/>
    <x v="2"/>
    <x v="0"/>
    <x v="3"/>
    <x v="0"/>
    <x v="0"/>
    <n v="1.93"/>
    <n v="10460.06"/>
    <n v="45123.26"/>
    <x v="2"/>
  </r>
  <r>
    <x v="7"/>
    <x v="1"/>
    <x v="2"/>
    <x v="0"/>
    <x v="4"/>
    <x v="0"/>
    <x v="0"/>
    <n v="0"/>
    <n v="0"/>
    <n v="0"/>
    <x v="2"/>
  </r>
  <r>
    <x v="7"/>
    <x v="1"/>
    <x v="2"/>
    <x v="0"/>
    <x v="5"/>
    <x v="0"/>
    <x v="0"/>
    <n v="0"/>
    <n v="0"/>
    <n v="0"/>
    <x v="2"/>
  </r>
  <r>
    <x v="7"/>
    <x v="1"/>
    <x v="2"/>
    <x v="0"/>
    <x v="6"/>
    <x v="0"/>
    <x v="0"/>
    <n v="0"/>
    <n v="0"/>
    <n v="0"/>
    <x v="2"/>
  </r>
  <r>
    <x v="7"/>
    <x v="1"/>
    <x v="2"/>
    <x v="0"/>
    <x v="8"/>
    <x v="0"/>
    <x v="0"/>
    <n v="0"/>
    <n v="0"/>
    <n v="0"/>
    <x v="2"/>
  </r>
  <r>
    <x v="7"/>
    <x v="1"/>
    <x v="2"/>
    <x v="1"/>
    <x v="10"/>
    <x v="0"/>
    <x v="0"/>
    <n v="1.6"/>
    <n v="8671.5499999999993"/>
    <n v="37433.089999999997"/>
    <x v="2"/>
  </r>
  <r>
    <x v="7"/>
    <x v="1"/>
    <x v="2"/>
    <x v="1"/>
    <x v="11"/>
    <x v="0"/>
    <x v="0"/>
    <n v="0"/>
    <n v="0"/>
    <n v="0"/>
    <x v="2"/>
  </r>
  <r>
    <x v="7"/>
    <x v="1"/>
    <x v="2"/>
    <x v="1"/>
    <x v="13"/>
    <x v="0"/>
    <x v="0"/>
    <n v="0"/>
    <n v="0"/>
    <n v="0"/>
    <x v="2"/>
  </r>
  <r>
    <x v="7"/>
    <x v="1"/>
    <x v="2"/>
    <x v="1"/>
    <x v="14"/>
    <x v="0"/>
    <x v="0"/>
    <n v="0"/>
    <n v="0"/>
    <n v="0"/>
    <x v="2"/>
  </r>
  <r>
    <x v="7"/>
    <x v="1"/>
    <x v="2"/>
    <x v="1"/>
    <x v="16"/>
    <x v="0"/>
    <x v="0"/>
    <n v="0"/>
    <n v="0"/>
    <n v="0"/>
    <x v="2"/>
  </r>
  <r>
    <x v="7"/>
    <x v="1"/>
    <x v="2"/>
    <x v="1"/>
    <x v="17"/>
    <x v="0"/>
    <x v="0"/>
    <n v="0"/>
    <n v="0"/>
    <n v="0"/>
    <x v="2"/>
  </r>
  <r>
    <x v="7"/>
    <x v="1"/>
    <x v="2"/>
    <x v="1"/>
    <x v="18"/>
    <x v="0"/>
    <x v="0"/>
    <n v="0"/>
    <n v="0"/>
    <n v="0"/>
    <x v="2"/>
  </r>
  <r>
    <x v="7"/>
    <x v="1"/>
    <x v="2"/>
    <x v="1"/>
    <x v="19"/>
    <x v="0"/>
    <x v="0"/>
    <n v="0"/>
    <n v="0"/>
    <n v="0"/>
    <x v="2"/>
  </r>
  <r>
    <x v="7"/>
    <x v="1"/>
    <x v="2"/>
    <x v="1"/>
    <x v="20"/>
    <x v="0"/>
    <x v="0"/>
    <n v="1.97"/>
    <n v="10676.85"/>
    <n v="46095"/>
    <x v="2"/>
  </r>
  <r>
    <x v="7"/>
    <x v="1"/>
    <x v="2"/>
    <x v="2"/>
    <x v="21"/>
    <x v="0"/>
    <x v="0"/>
    <n v="2.59"/>
    <n v="14037.07"/>
    <n v="60628.15"/>
    <x v="2"/>
  </r>
  <r>
    <x v="7"/>
    <x v="1"/>
    <x v="2"/>
    <x v="2"/>
    <x v="22"/>
    <x v="0"/>
    <x v="0"/>
    <n v="0"/>
    <n v="0"/>
    <n v="0"/>
    <x v="2"/>
  </r>
  <r>
    <x v="7"/>
    <x v="1"/>
    <x v="2"/>
    <x v="2"/>
    <x v="29"/>
    <x v="0"/>
    <x v="0"/>
    <n v="0"/>
    <n v="0"/>
    <n v="0"/>
    <x v="2"/>
  </r>
  <r>
    <x v="7"/>
    <x v="1"/>
    <x v="2"/>
    <x v="2"/>
    <x v="24"/>
    <x v="0"/>
    <x v="0"/>
    <n v="0"/>
    <n v="0"/>
    <n v="0"/>
    <x v="2"/>
  </r>
  <r>
    <x v="7"/>
    <x v="1"/>
    <x v="2"/>
    <x v="3"/>
    <x v="25"/>
    <x v="0"/>
    <x v="0"/>
    <n v="0"/>
    <n v="0"/>
    <n v="0"/>
    <x v="2"/>
  </r>
  <r>
    <x v="7"/>
    <x v="1"/>
    <x v="2"/>
    <x v="3"/>
    <x v="26"/>
    <x v="0"/>
    <x v="0"/>
    <n v="1.99"/>
    <n v="10785.24"/>
    <n v="46623.8"/>
    <x v="2"/>
  </r>
  <r>
    <x v="7"/>
    <x v="1"/>
    <x v="2"/>
    <x v="3"/>
    <x v="27"/>
    <x v="0"/>
    <x v="0"/>
    <n v="1.68"/>
    <n v="9105.1299999999992"/>
    <n v="39351.89"/>
    <x v="2"/>
  </r>
  <r>
    <x v="7"/>
    <x v="1"/>
    <x v="2"/>
    <x v="0"/>
    <x v="0"/>
    <x v="0"/>
    <x v="1"/>
    <n v="2.44"/>
    <n v="13224.12"/>
    <n v="57297.29"/>
    <x v="2"/>
  </r>
  <r>
    <x v="7"/>
    <x v="1"/>
    <x v="2"/>
    <x v="0"/>
    <x v="1"/>
    <x v="0"/>
    <x v="1"/>
    <n v="6.73"/>
    <n v="36474.720000000001"/>
    <n v="157679"/>
    <x v="2"/>
  </r>
  <r>
    <x v="7"/>
    <x v="1"/>
    <x v="2"/>
    <x v="0"/>
    <x v="2"/>
    <x v="0"/>
    <x v="1"/>
    <n v="5.74"/>
    <n v="31109.19"/>
    <n v="134407.21"/>
    <x v="2"/>
  </r>
  <r>
    <x v="7"/>
    <x v="1"/>
    <x v="2"/>
    <x v="0"/>
    <x v="3"/>
    <x v="0"/>
    <x v="1"/>
    <n v="5.25"/>
    <n v="28453.53"/>
    <n v="123063.43"/>
    <x v="2"/>
  </r>
  <r>
    <x v="7"/>
    <x v="1"/>
    <x v="2"/>
    <x v="0"/>
    <x v="4"/>
    <x v="0"/>
    <x v="1"/>
    <n v="1.02"/>
    <n v="5528.11"/>
    <n v="23931.17"/>
    <x v="2"/>
  </r>
  <r>
    <x v="7"/>
    <x v="1"/>
    <x v="2"/>
    <x v="0"/>
    <x v="5"/>
    <x v="0"/>
    <x v="1"/>
    <n v="5.13"/>
    <n v="27803.16"/>
    <n v="120111.18"/>
    <x v="2"/>
  </r>
  <r>
    <x v="7"/>
    <x v="1"/>
    <x v="2"/>
    <x v="0"/>
    <x v="6"/>
    <x v="0"/>
    <x v="1"/>
    <n v="2.5099999999999998"/>
    <n v="13603.5"/>
    <n v="58940.75"/>
    <x v="2"/>
  </r>
  <r>
    <x v="7"/>
    <x v="1"/>
    <x v="2"/>
    <x v="0"/>
    <x v="8"/>
    <x v="0"/>
    <x v="1"/>
    <n v="4.33"/>
    <n v="23467.39"/>
    <n v="101492.55"/>
    <x v="2"/>
  </r>
  <r>
    <x v="7"/>
    <x v="1"/>
    <x v="2"/>
    <x v="1"/>
    <x v="10"/>
    <x v="0"/>
    <x v="1"/>
    <n v="5.36"/>
    <n v="29049.7"/>
    <n v="125510.94"/>
    <x v="2"/>
  </r>
  <r>
    <x v="7"/>
    <x v="1"/>
    <x v="2"/>
    <x v="1"/>
    <x v="11"/>
    <x v="0"/>
    <x v="1"/>
    <n v="13.47"/>
    <n v="73003.63"/>
    <n v="315627.09999999998"/>
    <x v="2"/>
  </r>
  <r>
    <x v="7"/>
    <x v="1"/>
    <x v="2"/>
    <x v="1"/>
    <x v="13"/>
    <x v="0"/>
    <x v="1"/>
    <n v="3.33"/>
    <n v="18047.669999999998"/>
    <n v="78010.350000000006"/>
    <x v="2"/>
  </r>
  <r>
    <x v="7"/>
    <x v="1"/>
    <x v="2"/>
    <x v="1"/>
    <x v="14"/>
    <x v="0"/>
    <x v="1"/>
    <n v="1.66"/>
    <n v="8996.74"/>
    <n v="39000.28"/>
    <x v="2"/>
  </r>
  <r>
    <x v="7"/>
    <x v="1"/>
    <x v="2"/>
    <x v="1"/>
    <x v="16"/>
    <x v="0"/>
    <x v="1"/>
    <n v="1.62"/>
    <n v="8779.9500000000007"/>
    <n v="37898.11"/>
    <x v="2"/>
  </r>
  <r>
    <x v="7"/>
    <x v="1"/>
    <x v="2"/>
    <x v="1"/>
    <x v="17"/>
    <x v="0"/>
    <x v="1"/>
    <n v="1.17"/>
    <n v="6341.07"/>
    <n v="27336.89"/>
    <x v="2"/>
  </r>
  <r>
    <x v="7"/>
    <x v="1"/>
    <x v="2"/>
    <x v="1"/>
    <x v="18"/>
    <x v="0"/>
    <x v="1"/>
    <n v="13.06"/>
    <n v="70781.539999999994"/>
    <n v="306067.11"/>
    <x v="2"/>
  </r>
  <r>
    <x v="7"/>
    <x v="1"/>
    <x v="2"/>
    <x v="1"/>
    <x v="19"/>
    <x v="0"/>
    <x v="1"/>
    <n v="4.4400000000000004"/>
    <n v="24063.56"/>
    <n v="104025.26"/>
    <x v="2"/>
  </r>
  <r>
    <x v="7"/>
    <x v="1"/>
    <x v="2"/>
    <x v="1"/>
    <x v="20"/>
    <x v="0"/>
    <x v="1"/>
    <n v="12.36"/>
    <n v="66987.740000000005"/>
    <n v="289740.03000000003"/>
    <x v="2"/>
  </r>
  <r>
    <x v="7"/>
    <x v="1"/>
    <x v="2"/>
    <x v="2"/>
    <x v="21"/>
    <x v="0"/>
    <x v="1"/>
    <n v="0"/>
    <n v="0"/>
    <n v="0"/>
    <x v="2"/>
  </r>
  <r>
    <x v="7"/>
    <x v="1"/>
    <x v="2"/>
    <x v="2"/>
    <x v="22"/>
    <x v="0"/>
    <x v="1"/>
    <n v="5.65"/>
    <n v="30621.42"/>
    <n v="132365.78"/>
    <x v="2"/>
  </r>
  <r>
    <x v="7"/>
    <x v="1"/>
    <x v="2"/>
    <x v="2"/>
    <x v="29"/>
    <x v="0"/>
    <x v="1"/>
    <n v="2.59"/>
    <n v="14037.07"/>
    <n v="60693.29"/>
    <x v="2"/>
  </r>
  <r>
    <x v="7"/>
    <x v="1"/>
    <x v="2"/>
    <x v="2"/>
    <x v="24"/>
    <x v="0"/>
    <x v="1"/>
    <n v="2.35"/>
    <n v="12736.34"/>
    <n v="55065.31"/>
    <x v="2"/>
  </r>
  <r>
    <x v="7"/>
    <x v="1"/>
    <x v="2"/>
    <x v="3"/>
    <x v="25"/>
    <x v="0"/>
    <x v="1"/>
    <n v="0.87"/>
    <n v="4715.16"/>
    <n v="20352.68"/>
    <x v="2"/>
  </r>
  <r>
    <x v="7"/>
    <x v="1"/>
    <x v="2"/>
    <x v="3"/>
    <x v="26"/>
    <x v="0"/>
    <x v="1"/>
    <n v="1.61"/>
    <n v="8725.75"/>
    <n v="37743.08"/>
    <x v="2"/>
  </r>
  <r>
    <x v="7"/>
    <x v="1"/>
    <x v="2"/>
    <x v="3"/>
    <x v="27"/>
    <x v="0"/>
    <x v="1"/>
    <n v="8.58"/>
    <n v="46501.2"/>
    <n v="201131.9"/>
    <x v="2"/>
  </r>
  <r>
    <x v="7"/>
    <x v="1"/>
    <x v="2"/>
    <x v="0"/>
    <x v="0"/>
    <x v="1"/>
    <x v="0"/>
    <n v="4.05"/>
    <n v="21949.87"/>
    <n v="62057.599999999999"/>
    <x v="2"/>
  </r>
  <r>
    <x v="7"/>
    <x v="1"/>
    <x v="2"/>
    <x v="0"/>
    <x v="1"/>
    <x v="1"/>
    <x v="0"/>
    <n v="14.99"/>
    <n v="81241.600000000006"/>
    <n v="225944.07"/>
    <x v="2"/>
  </r>
  <r>
    <x v="7"/>
    <x v="1"/>
    <x v="2"/>
    <x v="0"/>
    <x v="2"/>
    <x v="1"/>
    <x v="0"/>
    <n v="6.39"/>
    <n v="34632.01"/>
    <n v="93031.19"/>
    <x v="2"/>
  </r>
  <r>
    <x v="7"/>
    <x v="1"/>
    <x v="2"/>
    <x v="0"/>
    <x v="3"/>
    <x v="1"/>
    <x v="0"/>
    <n v="13.47"/>
    <n v="73003.63"/>
    <n v="203994.44"/>
    <x v="2"/>
  </r>
  <r>
    <x v="7"/>
    <x v="1"/>
    <x v="2"/>
    <x v="0"/>
    <x v="28"/>
    <x v="1"/>
    <x v="0"/>
    <n v="0"/>
    <n v="0"/>
    <n v="0"/>
    <x v="2"/>
  </r>
  <r>
    <x v="7"/>
    <x v="1"/>
    <x v="2"/>
    <x v="0"/>
    <x v="4"/>
    <x v="1"/>
    <x v="0"/>
    <n v="7.47"/>
    <n v="40485.31"/>
    <n v="112032.97"/>
    <x v="2"/>
  </r>
  <r>
    <x v="7"/>
    <x v="1"/>
    <x v="2"/>
    <x v="0"/>
    <x v="5"/>
    <x v="1"/>
    <x v="0"/>
    <n v="2.42"/>
    <n v="13115.72"/>
    <n v="37397.96"/>
    <x v="2"/>
  </r>
  <r>
    <x v="7"/>
    <x v="1"/>
    <x v="2"/>
    <x v="0"/>
    <x v="6"/>
    <x v="1"/>
    <x v="0"/>
    <n v="0"/>
    <n v="0"/>
    <n v="0"/>
    <x v="2"/>
  </r>
  <r>
    <x v="7"/>
    <x v="1"/>
    <x v="2"/>
    <x v="0"/>
    <x v="7"/>
    <x v="1"/>
    <x v="0"/>
    <n v="0"/>
    <n v="0"/>
    <n v="0"/>
    <x v="2"/>
  </r>
  <r>
    <x v="7"/>
    <x v="1"/>
    <x v="2"/>
    <x v="0"/>
    <x v="8"/>
    <x v="1"/>
    <x v="0"/>
    <n v="0"/>
    <n v="0"/>
    <n v="0"/>
    <x v="2"/>
  </r>
  <r>
    <x v="7"/>
    <x v="1"/>
    <x v="2"/>
    <x v="1"/>
    <x v="30"/>
    <x v="1"/>
    <x v="0"/>
    <n v="3.79"/>
    <n v="20540.740000000002"/>
    <n v="61179.87"/>
    <x v="2"/>
  </r>
  <r>
    <x v="7"/>
    <x v="1"/>
    <x v="2"/>
    <x v="1"/>
    <x v="9"/>
    <x v="1"/>
    <x v="0"/>
    <n v="0"/>
    <n v="0"/>
    <n v="0"/>
    <x v="2"/>
  </r>
  <r>
    <x v="7"/>
    <x v="1"/>
    <x v="2"/>
    <x v="1"/>
    <x v="31"/>
    <x v="1"/>
    <x v="0"/>
    <n v="3.68"/>
    <n v="19944.57"/>
    <n v="59945.279999999999"/>
    <x v="2"/>
  </r>
  <r>
    <x v="7"/>
    <x v="1"/>
    <x v="2"/>
    <x v="1"/>
    <x v="10"/>
    <x v="1"/>
    <x v="0"/>
    <n v="8.01"/>
    <n v="43411.96"/>
    <n v="128042.75"/>
    <x v="2"/>
  </r>
  <r>
    <x v="7"/>
    <x v="1"/>
    <x v="2"/>
    <x v="1"/>
    <x v="11"/>
    <x v="1"/>
    <x v="0"/>
    <n v="11.18"/>
    <n v="60592.47"/>
    <n v="170382.33"/>
    <x v="2"/>
  </r>
  <r>
    <x v="7"/>
    <x v="1"/>
    <x v="2"/>
    <x v="1"/>
    <x v="12"/>
    <x v="1"/>
    <x v="0"/>
    <n v="0.73"/>
    <n v="3956.4"/>
    <n v="11636.06"/>
    <x v="2"/>
  </r>
  <r>
    <x v="7"/>
    <x v="1"/>
    <x v="2"/>
    <x v="1"/>
    <x v="13"/>
    <x v="1"/>
    <x v="0"/>
    <n v="2.2799999999999998"/>
    <n v="12356.96"/>
    <n v="36450.839999999997"/>
    <x v="2"/>
  </r>
  <r>
    <x v="7"/>
    <x v="1"/>
    <x v="2"/>
    <x v="1"/>
    <x v="14"/>
    <x v="1"/>
    <x v="0"/>
    <n v="16.75"/>
    <n v="90780.31"/>
    <n v="262191.53999999998"/>
    <x v="2"/>
  </r>
  <r>
    <x v="7"/>
    <x v="1"/>
    <x v="2"/>
    <x v="1"/>
    <x v="15"/>
    <x v="1"/>
    <x v="0"/>
    <n v="1.48"/>
    <n v="8021.19"/>
    <n v="23953.93"/>
    <x v="2"/>
  </r>
  <r>
    <x v="7"/>
    <x v="1"/>
    <x v="2"/>
    <x v="1"/>
    <x v="16"/>
    <x v="1"/>
    <x v="0"/>
    <n v="6.86"/>
    <n v="37179.279999999999"/>
    <n v="105798.47"/>
    <x v="2"/>
  </r>
  <r>
    <x v="7"/>
    <x v="1"/>
    <x v="2"/>
    <x v="1"/>
    <x v="17"/>
    <x v="1"/>
    <x v="0"/>
    <n v="5.62"/>
    <n v="30458.83"/>
    <n v="87449.37"/>
    <x v="2"/>
  </r>
  <r>
    <x v="7"/>
    <x v="1"/>
    <x v="2"/>
    <x v="1"/>
    <x v="18"/>
    <x v="1"/>
    <x v="0"/>
    <n v="6.42"/>
    <n v="34794.6"/>
    <n v="104548.44"/>
    <x v="2"/>
  </r>
  <r>
    <x v="7"/>
    <x v="1"/>
    <x v="2"/>
    <x v="1"/>
    <x v="19"/>
    <x v="1"/>
    <x v="0"/>
    <n v="11.43"/>
    <n v="61947.4"/>
    <n v="180525.99"/>
    <x v="2"/>
  </r>
  <r>
    <x v="7"/>
    <x v="1"/>
    <x v="2"/>
    <x v="1"/>
    <x v="20"/>
    <x v="1"/>
    <x v="0"/>
    <n v="16.21"/>
    <n v="87853.66"/>
    <n v="251870.05"/>
    <x v="2"/>
  </r>
  <r>
    <x v="7"/>
    <x v="1"/>
    <x v="2"/>
    <x v="2"/>
    <x v="21"/>
    <x v="1"/>
    <x v="0"/>
    <n v="0"/>
    <n v="0"/>
    <n v="0"/>
    <x v="2"/>
  </r>
  <r>
    <x v="7"/>
    <x v="1"/>
    <x v="2"/>
    <x v="2"/>
    <x v="22"/>
    <x v="1"/>
    <x v="0"/>
    <n v="9.93"/>
    <n v="53817.82"/>
    <n v="141687.66"/>
    <x v="2"/>
  </r>
  <r>
    <x v="7"/>
    <x v="1"/>
    <x v="2"/>
    <x v="2"/>
    <x v="29"/>
    <x v="1"/>
    <x v="0"/>
    <n v="0"/>
    <n v="0"/>
    <n v="0"/>
    <x v="2"/>
  </r>
  <r>
    <x v="7"/>
    <x v="1"/>
    <x v="2"/>
    <x v="2"/>
    <x v="23"/>
    <x v="1"/>
    <x v="0"/>
    <n v="0"/>
    <n v="0"/>
    <n v="0"/>
    <x v="2"/>
  </r>
  <r>
    <x v="7"/>
    <x v="1"/>
    <x v="2"/>
    <x v="2"/>
    <x v="24"/>
    <x v="1"/>
    <x v="0"/>
    <n v="4.3499999999999996"/>
    <n v="23575.78"/>
    <n v="63188.34"/>
    <x v="2"/>
  </r>
  <r>
    <x v="7"/>
    <x v="1"/>
    <x v="2"/>
    <x v="3"/>
    <x v="25"/>
    <x v="1"/>
    <x v="0"/>
    <n v="8.1"/>
    <n v="43899.73"/>
    <n v="129989.77"/>
    <x v="2"/>
  </r>
  <r>
    <x v="7"/>
    <x v="1"/>
    <x v="2"/>
    <x v="3"/>
    <x v="26"/>
    <x v="1"/>
    <x v="0"/>
    <n v="2.04"/>
    <n v="11056.23"/>
    <n v="32935.440000000002"/>
    <x v="2"/>
  </r>
  <r>
    <x v="7"/>
    <x v="1"/>
    <x v="2"/>
    <x v="3"/>
    <x v="27"/>
    <x v="1"/>
    <x v="0"/>
    <n v="11.83"/>
    <n v="64115.29"/>
    <n v="187763.53"/>
    <x v="2"/>
  </r>
  <r>
    <x v="7"/>
    <x v="1"/>
    <x v="2"/>
    <x v="0"/>
    <x v="0"/>
    <x v="1"/>
    <x v="1"/>
    <n v="13.82"/>
    <n v="74900.53"/>
    <n v="211805.29"/>
    <x v="2"/>
  </r>
  <r>
    <x v="7"/>
    <x v="1"/>
    <x v="2"/>
    <x v="0"/>
    <x v="1"/>
    <x v="1"/>
    <x v="1"/>
    <n v="20.51"/>
    <n v="111158.46"/>
    <n v="309121.28000000003"/>
    <x v="2"/>
  </r>
  <r>
    <x v="7"/>
    <x v="1"/>
    <x v="2"/>
    <x v="0"/>
    <x v="2"/>
    <x v="1"/>
    <x v="1"/>
    <n v="17.95"/>
    <n v="97283.97"/>
    <n v="261251.96"/>
    <x v="2"/>
  </r>
  <r>
    <x v="7"/>
    <x v="1"/>
    <x v="2"/>
    <x v="0"/>
    <x v="3"/>
    <x v="1"/>
    <x v="1"/>
    <n v="28.1"/>
    <n v="152294.13"/>
    <n v="425403.04"/>
    <x v="2"/>
  </r>
  <r>
    <x v="7"/>
    <x v="1"/>
    <x v="2"/>
    <x v="0"/>
    <x v="28"/>
    <x v="1"/>
    <x v="1"/>
    <n v="5.52"/>
    <n v="29916.85"/>
    <n v="84621.94"/>
    <x v="2"/>
  </r>
  <r>
    <x v="7"/>
    <x v="1"/>
    <x v="2"/>
    <x v="0"/>
    <x v="4"/>
    <x v="1"/>
    <x v="1"/>
    <n v="6.68"/>
    <n v="36203.730000000003"/>
    <n v="100170.65"/>
    <x v="2"/>
  </r>
  <r>
    <x v="7"/>
    <x v="1"/>
    <x v="2"/>
    <x v="0"/>
    <x v="5"/>
    <x v="1"/>
    <x v="1"/>
    <n v="18.850000000000001"/>
    <n v="102161.72"/>
    <n v="291169.83"/>
    <x v="2"/>
  </r>
  <r>
    <x v="7"/>
    <x v="1"/>
    <x v="2"/>
    <x v="0"/>
    <x v="6"/>
    <x v="1"/>
    <x v="1"/>
    <n v="3.31"/>
    <n v="17939.27"/>
    <n v="50947.27"/>
    <x v="2"/>
  </r>
  <r>
    <x v="7"/>
    <x v="1"/>
    <x v="2"/>
    <x v="0"/>
    <x v="7"/>
    <x v="1"/>
    <x v="1"/>
    <n v="4.4400000000000004"/>
    <n v="24063.56"/>
    <n v="69460.850000000006"/>
    <x v="2"/>
  </r>
  <r>
    <x v="7"/>
    <x v="1"/>
    <x v="2"/>
    <x v="0"/>
    <x v="8"/>
    <x v="1"/>
    <x v="1"/>
    <n v="4.6399999999999997"/>
    <n v="25147.5"/>
    <n v="69222.83"/>
    <x v="2"/>
  </r>
  <r>
    <x v="7"/>
    <x v="1"/>
    <x v="2"/>
    <x v="1"/>
    <x v="30"/>
    <x v="1"/>
    <x v="1"/>
    <n v="0"/>
    <n v="0"/>
    <n v="0"/>
    <x v="2"/>
  </r>
  <r>
    <x v="7"/>
    <x v="1"/>
    <x v="2"/>
    <x v="1"/>
    <x v="9"/>
    <x v="1"/>
    <x v="1"/>
    <n v="7.01"/>
    <n v="37992.239999999998"/>
    <n v="112985.98"/>
    <x v="2"/>
  </r>
  <r>
    <x v="7"/>
    <x v="1"/>
    <x v="2"/>
    <x v="1"/>
    <x v="31"/>
    <x v="1"/>
    <x v="1"/>
    <n v="0"/>
    <n v="0"/>
    <n v="0"/>
    <x v="2"/>
  </r>
  <r>
    <x v="7"/>
    <x v="1"/>
    <x v="2"/>
    <x v="1"/>
    <x v="10"/>
    <x v="1"/>
    <x v="1"/>
    <n v="36.01"/>
    <n v="195164.12"/>
    <n v="575488.86"/>
    <x v="2"/>
  </r>
  <r>
    <x v="7"/>
    <x v="1"/>
    <x v="2"/>
    <x v="1"/>
    <x v="11"/>
    <x v="1"/>
    <x v="1"/>
    <n v="32.85"/>
    <n v="178037.8"/>
    <n v="500414.25"/>
    <x v="2"/>
  </r>
  <r>
    <x v="7"/>
    <x v="1"/>
    <x v="2"/>
    <x v="1"/>
    <x v="12"/>
    <x v="1"/>
    <x v="1"/>
    <n v="3.45"/>
    <n v="18698.03"/>
    <n v="55271.3"/>
    <x v="2"/>
  </r>
  <r>
    <x v="7"/>
    <x v="1"/>
    <x v="2"/>
    <x v="1"/>
    <x v="13"/>
    <x v="1"/>
    <x v="1"/>
    <n v="14.85"/>
    <n v="80482.84"/>
    <n v="236930.46"/>
    <x v="2"/>
  </r>
  <r>
    <x v="7"/>
    <x v="1"/>
    <x v="2"/>
    <x v="1"/>
    <x v="14"/>
    <x v="1"/>
    <x v="1"/>
    <n v="10.75"/>
    <n v="58261.99"/>
    <n v="168251.26"/>
    <x v="2"/>
  </r>
  <r>
    <x v="7"/>
    <x v="1"/>
    <x v="2"/>
    <x v="1"/>
    <x v="15"/>
    <x v="1"/>
    <x v="1"/>
    <n v="1.57"/>
    <n v="8508.9599999999991"/>
    <n v="25362.98"/>
    <x v="2"/>
  </r>
  <r>
    <x v="7"/>
    <x v="1"/>
    <x v="2"/>
    <x v="1"/>
    <x v="16"/>
    <x v="1"/>
    <x v="1"/>
    <n v="11.67"/>
    <n v="63248.13"/>
    <n v="179994.8"/>
    <x v="2"/>
  </r>
  <r>
    <x v="7"/>
    <x v="1"/>
    <x v="2"/>
    <x v="1"/>
    <x v="17"/>
    <x v="1"/>
    <x v="1"/>
    <n v="3.01"/>
    <n v="16313.36"/>
    <n v="46880.08"/>
    <x v="2"/>
  </r>
  <r>
    <x v="7"/>
    <x v="1"/>
    <x v="2"/>
    <x v="1"/>
    <x v="18"/>
    <x v="1"/>
    <x v="1"/>
    <n v="27.3"/>
    <n v="147958.35999999999"/>
    <n v="444618.09"/>
    <x v="2"/>
  </r>
  <r>
    <x v="7"/>
    <x v="1"/>
    <x v="2"/>
    <x v="1"/>
    <x v="19"/>
    <x v="1"/>
    <x v="1"/>
    <n v="17.45"/>
    <n v="94574.11"/>
    <n v="275686.96999999997"/>
    <x v="2"/>
  </r>
  <r>
    <x v="7"/>
    <x v="1"/>
    <x v="2"/>
    <x v="1"/>
    <x v="20"/>
    <x v="1"/>
    <x v="1"/>
    <n v="31.28"/>
    <n v="169528.84"/>
    <n v="486041.13"/>
    <x v="2"/>
  </r>
  <r>
    <x v="7"/>
    <x v="1"/>
    <x v="2"/>
    <x v="2"/>
    <x v="21"/>
    <x v="1"/>
    <x v="1"/>
    <n v="3.37"/>
    <n v="18264.46"/>
    <n v="48144.62"/>
    <x v="2"/>
  </r>
  <r>
    <x v="7"/>
    <x v="1"/>
    <x v="2"/>
    <x v="2"/>
    <x v="22"/>
    <x v="1"/>
    <x v="1"/>
    <n v="21.32"/>
    <n v="115548.43"/>
    <n v="304320.45"/>
    <x v="2"/>
  </r>
  <r>
    <x v="7"/>
    <x v="1"/>
    <x v="2"/>
    <x v="2"/>
    <x v="29"/>
    <x v="1"/>
    <x v="1"/>
    <n v="3.77"/>
    <n v="20432.34"/>
    <n v="57210.6"/>
    <x v="2"/>
  </r>
  <r>
    <x v="7"/>
    <x v="1"/>
    <x v="2"/>
    <x v="2"/>
    <x v="23"/>
    <x v="1"/>
    <x v="1"/>
    <n v="2.4"/>
    <n v="13007.33"/>
    <n v="35694.99"/>
    <x v="2"/>
  </r>
  <r>
    <x v="7"/>
    <x v="1"/>
    <x v="2"/>
    <x v="2"/>
    <x v="24"/>
    <x v="1"/>
    <x v="1"/>
    <n v="3.04"/>
    <n v="16475.95"/>
    <n v="44231.839999999997"/>
    <x v="2"/>
  </r>
  <r>
    <x v="7"/>
    <x v="1"/>
    <x v="2"/>
    <x v="3"/>
    <x v="25"/>
    <x v="1"/>
    <x v="1"/>
    <n v="10.94"/>
    <n v="59291.74"/>
    <n v="175700.46"/>
    <x v="2"/>
  </r>
  <r>
    <x v="7"/>
    <x v="1"/>
    <x v="2"/>
    <x v="3"/>
    <x v="26"/>
    <x v="1"/>
    <x v="1"/>
    <n v="19.489999999999998"/>
    <n v="105630.34"/>
    <n v="315239.25"/>
    <x v="2"/>
  </r>
  <r>
    <x v="7"/>
    <x v="1"/>
    <x v="2"/>
    <x v="3"/>
    <x v="27"/>
    <x v="1"/>
    <x v="1"/>
    <n v="32.950000000000003"/>
    <n v="178579.77"/>
    <n v="522724.4"/>
    <x v="2"/>
  </r>
  <r>
    <x v="7"/>
    <x v="1"/>
    <x v="3"/>
    <x v="0"/>
    <x v="0"/>
    <x v="0"/>
    <x v="0"/>
    <n v="2.2000000000000002"/>
    <n v="13252.36"/>
    <n v="60414.68"/>
    <x v="2"/>
  </r>
  <r>
    <x v="7"/>
    <x v="1"/>
    <x v="3"/>
    <x v="0"/>
    <x v="1"/>
    <x v="0"/>
    <x v="0"/>
    <n v="4.8899999999999997"/>
    <n v="29456.38"/>
    <n v="134463.19"/>
    <x v="2"/>
  </r>
  <r>
    <x v="7"/>
    <x v="1"/>
    <x v="3"/>
    <x v="0"/>
    <x v="2"/>
    <x v="0"/>
    <x v="0"/>
    <n v="0"/>
    <n v="0"/>
    <n v="0"/>
    <x v="2"/>
  </r>
  <r>
    <x v="7"/>
    <x v="1"/>
    <x v="3"/>
    <x v="0"/>
    <x v="3"/>
    <x v="0"/>
    <x v="0"/>
    <n v="2.06"/>
    <n v="12409.03"/>
    <n v="56716.98"/>
    <x v="2"/>
  </r>
  <r>
    <x v="7"/>
    <x v="1"/>
    <x v="3"/>
    <x v="0"/>
    <x v="4"/>
    <x v="0"/>
    <x v="0"/>
    <n v="0"/>
    <n v="0"/>
    <n v="0"/>
    <x v="2"/>
  </r>
  <r>
    <x v="7"/>
    <x v="1"/>
    <x v="3"/>
    <x v="0"/>
    <x v="5"/>
    <x v="0"/>
    <x v="0"/>
    <n v="0"/>
    <n v="0"/>
    <n v="0"/>
    <x v="2"/>
  </r>
  <r>
    <x v="7"/>
    <x v="1"/>
    <x v="3"/>
    <x v="0"/>
    <x v="6"/>
    <x v="0"/>
    <x v="0"/>
    <n v="0"/>
    <n v="0"/>
    <n v="0"/>
    <x v="2"/>
  </r>
  <r>
    <x v="7"/>
    <x v="1"/>
    <x v="3"/>
    <x v="0"/>
    <x v="8"/>
    <x v="0"/>
    <x v="0"/>
    <n v="0"/>
    <n v="0"/>
    <n v="0"/>
    <x v="2"/>
  </r>
  <r>
    <x v="7"/>
    <x v="1"/>
    <x v="3"/>
    <x v="1"/>
    <x v="10"/>
    <x v="0"/>
    <x v="0"/>
    <n v="1.81"/>
    <n v="10903.08"/>
    <n v="49758.2"/>
    <x v="2"/>
  </r>
  <r>
    <x v="7"/>
    <x v="1"/>
    <x v="3"/>
    <x v="1"/>
    <x v="11"/>
    <x v="0"/>
    <x v="0"/>
    <n v="0"/>
    <n v="0"/>
    <n v="0"/>
    <x v="2"/>
  </r>
  <r>
    <x v="7"/>
    <x v="1"/>
    <x v="3"/>
    <x v="1"/>
    <x v="13"/>
    <x v="0"/>
    <x v="0"/>
    <n v="0"/>
    <n v="0"/>
    <n v="0"/>
    <x v="2"/>
  </r>
  <r>
    <x v="7"/>
    <x v="1"/>
    <x v="3"/>
    <x v="1"/>
    <x v="14"/>
    <x v="0"/>
    <x v="0"/>
    <n v="0"/>
    <n v="0"/>
    <n v="0"/>
    <x v="2"/>
  </r>
  <r>
    <x v="7"/>
    <x v="1"/>
    <x v="3"/>
    <x v="1"/>
    <x v="16"/>
    <x v="0"/>
    <x v="0"/>
    <n v="0"/>
    <n v="0"/>
    <n v="0"/>
    <x v="2"/>
  </r>
  <r>
    <x v="7"/>
    <x v="1"/>
    <x v="3"/>
    <x v="1"/>
    <x v="17"/>
    <x v="0"/>
    <x v="0"/>
    <n v="0"/>
    <n v="0"/>
    <n v="0"/>
    <x v="2"/>
  </r>
  <r>
    <x v="7"/>
    <x v="1"/>
    <x v="3"/>
    <x v="1"/>
    <x v="18"/>
    <x v="0"/>
    <x v="0"/>
    <n v="0"/>
    <n v="0"/>
    <n v="0"/>
    <x v="2"/>
  </r>
  <r>
    <x v="7"/>
    <x v="1"/>
    <x v="3"/>
    <x v="1"/>
    <x v="19"/>
    <x v="0"/>
    <x v="0"/>
    <n v="0"/>
    <n v="0"/>
    <n v="0"/>
    <x v="2"/>
  </r>
  <r>
    <x v="7"/>
    <x v="1"/>
    <x v="3"/>
    <x v="1"/>
    <x v="20"/>
    <x v="0"/>
    <x v="0"/>
    <n v="2.42"/>
    <n v="14577.6"/>
    <n v="66562.62"/>
    <x v="2"/>
  </r>
  <r>
    <x v="7"/>
    <x v="1"/>
    <x v="3"/>
    <x v="2"/>
    <x v="21"/>
    <x v="0"/>
    <x v="0"/>
    <n v="3.44"/>
    <n v="20721.87"/>
    <n v="94528.44"/>
    <x v="2"/>
  </r>
  <r>
    <x v="7"/>
    <x v="1"/>
    <x v="3"/>
    <x v="2"/>
    <x v="22"/>
    <x v="0"/>
    <x v="0"/>
    <n v="0"/>
    <n v="0"/>
    <n v="0"/>
    <x v="2"/>
  </r>
  <r>
    <x v="7"/>
    <x v="1"/>
    <x v="3"/>
    <x v="2"/>
    <x v="29"/>
    <x v="0"/>
    <x v="0"/>
    <n v="0"/>
    <n v="0"/>
    <n v="0"/>
    <x v="2"/>
  </r>
  <r>
    <x v="7"/>
    <x v="1"/>
    <x v="3"/>
    <x v="2"/>
    <x v="24"/>
    <x v="0"/>
    <x v="0"/>
    <n v="0"/>
    <n v="0"/>
    <n v="0"/>
    <x v="2"/>
  </r>
  <r>
    <x v="7"/>
    <x v="1"/>
    <x v="3"/>
    <x v="3"/>
    <x v="25"/>
    <x v="0"/>
    <x v="0"/>
    <n v="0"/>
    <n v="0"/>
    <n v="0"/>
    <x v="2"/>
  </r>
  <r>
    <x v="7"/>
    <x v="1"/>
    <x v="3"/>
    <x v="3"/>
    <x v="26"/>
    <x v="0"/>
    <x v="0"/>
    <n v="3.13"/>
    <n v="18854.490000000002"/>
    <n v="85995.66"/>
    <x v="2"/>
  </r>
  <r>
    <x v="7"/>
    <x v="1"/>
    <x v="3"/>
    <x v="3"/>
    <x v="27"/>
    <x v="0"/>
    <x v="0"/>
    <n v="1.85"/>
    <n v="11144.03"/>
    <n v="50808.52"/>
    <x v="2"/>
  </r>
  <r>
    <x v="7"/>
    <x v="1"/>
    <x v="3"/>
    <x v="0"/>
    <x v="0"/>
    <x v="0"/>
    <x v="1"/>
    <n v="2.39"/>
    <n v="14396.88"/>
    <n v="65668.13"/>
    <x v="2"/>
  </r>
  <r>
    <x v="7"/>
    <x v="1"/>
    <x v="3"/>
    <x v="0"/>
    <x v="1"/>
    <x v="0"/>
    <x v="1"/>
    <n v="7.25"/>
    <n v="43672.55"/>
    <n v="199333.02"/>
    <x v="2"/>
  </r>
  <r>
    <x v="7"/>
    <x v="1"/>
    <x v="3"/>
    <x v="0"/>
    <x v="2"/>
    <x v="0"/>
    <x v="1"/>
    <n v="6.13"/>
    <n v="36925.89"/>
    <n v="168380.01"/>
    <x v="2"/>
  </r>
  <r>
    <x v="7"/>
    <x v="1"/>
    <x v="3"/>
    <x v="0"/>
    <x v="3"/>
    <x v="0"/>
    <x v="1"/>
    <n v="9.19"/>
    <n v="55358.720000000001"/>
    <n v="252648.37"/>
    <x v="2"/>
  </r>
  <r>
    <x v="7"/>
    <x v="1"/>
    <x v="3"/>
    <x v="0"/>
    <x v="4"/>
    <x v="0"/>
    <x v="1"/>
    <n v="2.1"/>
    <n v="12649.98"/>
    <n v="57596.88"/>
    <x v="2"/>
  </r>
  <r>
    <x v="7"/>
    <x v="1"/>
    <x v="3"/>
    <x v="0"/>
    <x v="5"/>
    <x v="0"/>
    <x v="1"/>
    <n v="4.95"/>
    <n v="29817.81"/>
    <n v="135913.53"/>
    <x v="2"/>
  </r>
  <r>
    <x v="7"/>
    <x v="1"/>
    <x v="3"/>
    <x v="0"/>
    <x v="6"/>
    <x v="0"/>
    <x v="1"/>
    <n v="2.5299999999999998"/>
    <n v="15240.21"/>
    <n v="69583.78"/>
    <x v="2"/>
  </r>
  <r>
    <x v="7"/>
    <x v="1"/>
    <x v="3"/>
    <x v="0"/>
    <x v="8"/>
    <x v="0"/>
    <x v="1"/>
    <n v="3.02"/>
    <n v="18191.88"/>
    <n v="83068.429999999993"/>
    <x v="2"/>
  </r>
  <r>
    <x v="7"/>
    <x v="1"/>
    <x v="3"/>
    <x v="1"/>
    <x v="10"/>
    <x v="0"/>
    <x v="1"/>
    <n v="4.4800000000000004"/>
    <n v="26986.62"/>
    <n v="123210.78"/>
    <x v="2"/>
  </r>
  <r>
    <x v="7"/>
    <x v="1"/>
    <x v="3"/>
    <x v="1"/>
    <x v="11"/>
    <x v="0"/>
    <x v="1"/>
    <n v="14.12"/>
    <n v="85056.06"/>
    <n v="387982.76"/>
    <x v="2"/>
  </r>
  <r>
    <x v="7"/>
    <x v="1"/>
    <x v="3"/>
    <x v="1"/>
    <x v="13"/>
    <x v="0"/>
    <x v="1"/>
    <n v="5.7"/>
    <n v="34335.660000000003"/>
    <n v="156580.57999999999"/>
    <x v="2"/>
  </r>
  <r>
    <x v="7"/>
    <x v="1"/>
    <x v="3"/>
    <x v="1"/>
    <x v="14"/>
    <x v="0"/>
    <x v="1"/>
    <n v="1.94"/>
    <n v="11686.17"/>
    <n v="53352.86"/>
    <x v="2"/>
  </r>
  <r>
    <x v="7"/>
    <x v="1"/>
    <x v="3"/>
    <x v="1"/>
    <x v="16"/>
    <x v="0"/>
    <x v="1"/>
    <n v="2.31"/>
    <n v="13914.98"/>
    <n v="63382.57"/>
    <x v="2"/>
  </r>
  <r>
    <x v="7"/>
    <x v="1"/>
    <x v="3"/>
    <x v="1"/>
    <x v="17"/>
    <x v="0"/>
    <x v="1"/>
    <n v="1.73"/>
    <n v="10421.17"/>
    <n v="47630.7"/>
    <x v="2"/>
  </r>
  <r>
    <x v="7"/>
    <x v="1"/>
    <x v="3"/>
    <x v="1"/>
    <x v="18"/>
    <x v="0"/>
    <x v="1"/>
    <n v="16.670000000000002"/>
    <n v="100416.75"/>
    <n v="458206.51"/>
    <x v="2"/>
  </r>
  <r>
    <x v="7"/>
    <x v="1"/>
    <x v="3"/>
    <x v="1"/>
    <x v="19"/>
    <x v="0"/>
    <x v="1"/>
    <n v="4.3099999999999996"/>
    <n v="25962.58"/>
    <n v="118426.48"/>
    <x v="2"/>
  </r>
  <r>
    <x v="7"/>
    <x v="1"/>
    <x v="3"/>
    <x v="1"/>
    <x v="20"/>
    <x v="0"/>
    <x v="1"/>
    <n v="12.67"/>
    <n v="76321.55"/>
    <n v="348173.7"/>
    <x v="2"/>
  </r>
  <r>
    <x v="7"/>
    <x v="1"/>
    <x v="3"/>
    <x v="2"/>
    <x v="21"/>
    <x v="0"/>
    <x v="1"/>
    <n v="0"/>
    <n v="0"/>
    <n v="0"/>
    <x v="2"/>
  </r>
  <r>
    <x v="7"/>
    <x v="1"/>
    <x v="3"/>
    <x v="2"/>
    <x v="22"/>
    <x v="0"/>
    <x v="1"/>
    <n v="5.77"/>
    <n v="34757.33"/>
    <n v="158577.42000000001"/>
    <x v="2"/>
  </r>
  <r>
    <x v="7"/>
    <x v="1"/>
    <x v="3"/>
    <x v="2"/>
    <x v="29"/>
    <x v="0"/>
    <x v="1"/>
    <n v="3.57"/>
    <n v="21504.97"/>
    <n v="98103.4"/>
    <x v="2"/>
  </r>
  <r>
    <x v="7"/>
    <x v="1"/>
    <x v="3"/>
    <x v="2"/>
    <x v="24"/>
    <x v="0"/>
    <x v="1"/>
    <n v="1.67"/>
    <n v="10059.75"/>
    <n v="45784.77"/>
    <x v="2"/>
  </r>
  <r>
    <x v="7"/>
    <x v="1"/>
    <x v="3"/>
    <x v="3"/>
    <x v="25"/>
    <x v="0"/>
    <x v="1"/>
    <n v="2.83"/>
    <n v="17047.349999999999"/>
    <n v="77687.259999999995"/>
    <x v="2"/>
  </r>
  <r>
    <x v="7"/>
    <x v="1"/>
    <x v="3"/>
    <x v="3"/>
    <x v="26"/>
    <x v="0"/>
    <x v="1"/>
    <n v="3.03"/>
    <n v="18252.11"/>
    <n v="83389.73"/>
    <x v="2"/>
  </r>
  <r>
    <x v="7"/>
    <x v="1"/>
    <x v="3"/>
    <x v="3"/>
    <x v="27"/>
    <x v="0"/>
    <x v="1"/>
    <n v="7.93"/>
    <n v="47768.73"/>
    <n v="218053.22"/>
    <x v="2"/>
  </r>
  <r>
    <x v="7"/>
    <x v="1"/>
    <x v="3"/>
    <x v="0"/>
    <x v="0"/>
    <x v="1"/>
    <x v="0"/>
    <n v="4.67"/>
    <n v="28131.15"/>
    <n v="83953.64"/>
    <x v="2"/>
  </r>
  <r>
    <x v="7"/>
    <x v="1"/>
    <x v="3"/>
    <x v="0"/>
    <x v="1"/>
    <x v="1"/>
    <x v="0"/>
    <n v="12.8"/>
    <n v="77104.639999999999"/>
    <n v="226111.63"/>
    <x v="2"/>
  </r>
  <r>
    <x v="7"/>
    <x v="1"/>
    <x v="3"/>
    <x v="0"/>
    <x v="2"/>
    <x v="1"/>
    <x v="0"/>
    <n v="4.83"/>
    <n v="29094.95"/>
    <n v="82480.97"/>
    <x v="2"/>
  </r>
  <r>
    <x v="7"/>
    <x v="1"/>
    <x v="3"/>
    <x v="0"/>
    <x v="3"/>
    <x v="1"/>
    <x v="0"/>
    <n v="9.6199999999999992"/>
    <n v="57948.959999999999"/>
    <n v="170876.16"/>
    <x v="2"/>
  </r>
  <r>
    <x v="7"/>
    <x v="1"/>
    <x v="3"/>
    <x v="0"/>
    <x v="28"/>
    <x v="1"/>
    <x v="0"/>
    <n v="0"/>
    <n v="0"/>
    <n v="0"/>
    <x v="2"/>
  </r>
  <r>
    <x v="7"/>
    <x v="1"/>
    <x v="3"/>
    <x v="0"/>
    <x v="4"/>
    <x v="1"/>
    <x v="0"/>
    <n v="7.04"/>
    <n v="42407.55"/>
    <n v="123913.33"/>
    <x v="2"/>
  </r>
  <r>
    <x v="7"/>
    <x v="1"/>
    <x v="3"/>
    <x v="0"/>
    <x v="5"/>
    <x v="1"/>
    <x v="0"/>
    <n v="3.06"/>
    <n v="18432.830000000002"/>
    <n v="55339.19"/>
    <x v="2"/>
  </r>
  <r>
    <x v="7"/>
    <x v="1"/>
    <x v="3"/>
    <x v="0"/>
    <x v="6"/>
    <x v="1"/>
    <x v="0"/>
    <n v="0"/>
    <n v="0"/>
    <n v="0"/>
    <x v="2"/>
  </r>
  <r>
    <x v="7"/>
    <x v="1"/>
    <x v="3"/>
    <x v="0"/>
    <x v="7"/>
    <x v="1"/>
    <x v="0"/>
    <n v="0"/>
    <n v="0"/>
    <n v="0"/>
    <x v="2"/>
  </r>
  <r>
    <x v="7"/>
    <x v="1"/>
    <x v="3"/>
    <x v="0"/>
    <x v="8"/>
    <x v="1"/>
    <x v="0"/>
    <n v="0"/>
    <n v="0"/>
    <n v="0"/>
    <x v="2"/>
  </r>
  <r>
    <x v="7"/>
    <x v="1"/>
    <x v="3"/>
    <x v="1"/>
    <x v="30"/>
    <x v="1"/>
    <x v="0"/>
    <n v="1.1100000000000001"/>
    <n v="6686.42"/>
    <n v="20969.53"/>
    <x v="2"/>
  </r>
  <r>
    <x v="7"/>
    <x v="1"/>
    <x v="3"/>
    <x v="1"/>
    <x v="9"/>
    <x v="1"/>
    <x v="0"/>
    <n v="0"/>
    <n v="0"/>
    <n v="0"/>
    <x v="2"/>
  </r>
  <r>
    <x v="7"/>
    <x v="1"/>
    <x v="3"/>
    <x v="1"/>
    <x v="31"/>
    <x v="1"/>
    <x v="0"/>
    <n v="2.09"/>
    <n v="12589.74"/>
    <n v="39834.589999999997"/>
    <x v="2"/>
  </r>
  <r>
    <x v="7"/>
    <x v="1"/>
    <x v="3"/>
    <x v="1"/>
    <x v="10"/>
    <x v="1"/>
    <x v="0"/>
    <n v="11.61"/>
    <n v="69936.320000000007"/>
    <n v="217703.07"/>
    <x v="2"/>
  </r>
  <r>
    <x v="7"/>
    <x v="1"/>
    <x v="3"/>
    <x v="1"/>
    <x v="11"/>
    <x v="1"/>
    <x v="0"/>
    <n v="8.57"/>
    <n v="51623.97"/>
    <n v="153050.82999999999"/>
    <x v="2"/>
  </r>
  <r>
    <x v="7"/>
    <x v="1"/>
    <x v="3"/>
    <x v="1"/>
    <x v="12"/>
    <x v="1"/>
    <x v="0"/>
    <n v="1.61"/>
    <n v="9698.32"/>
    <n v="30238.17"/>
    <x v="2"/>
  </r>
  <r>
    <x v="7"/>
    <x v="1"/>
    <x v="3"/>
    <x v="1"/>
    <x v="13"/>
    <x v="1"/>
    <x v="0"/>
    <n v="2.2599999999999998"/>
    <n v="13613.79"/>
    <n v="42293.27"/>
    <x v="2"/>
  </r>
  <r>
    <x v="7"/>
    <x v="1"/>
    <x v="3"/>
    <x v="1"/>
    <x v="14"/>
    <x v="1"/>
    <x v="0"/>
    <n v="16.149999999999999"/>
    <n v="97284.37"/>
    <n v="296411.45"/>
    <x v="2"/>
  </r>
  <r>
    <x v="7"/>
    <x v="1"/>
    <x v="3"/>
    <x v="1"/>
    <x v="15"/>
    <x v="1"/>
    <x v="0"/>
    <n v="1.82"/>
    <n v="10963.32"/>
    <n v="34611.699999999997"/>
    <x v="2"/>
  </r>
  <r>
    <x v="7"/>
    <x v="1"/>
    <x v="3"/>
    <x v="1"/>
    <x v="16"/>
    <x v="1"/>
    <x v="0"/>
    <n v="4.91"/>
    <n v="29576.86"/>
    <n v="88722.75"/>
    <x v="2"/>
  </r>
  <r>
    <x v="7"/>
    <x v="1"/>
    <x v="3"/>
    <x v="1"/>
    <x v="17"/>
    <x v="1"/>
    <x v="0"/>
    <n v="6.32"/>
    <n v="38070.42"/>
    <n v="115347.8"/>
    <x v="2"/>
  </r>
  <r>
    <x v="7"/>
    <x v="1"/>
    <x v="3"/>
    <x v="1"/>
    <x v="18"/>
    <x v="1"/>
    <x v="0"/>
    <n v="0.48"/>
    <n v="2891.42"/>
    <n v="9107.5300000000007"/>
    <x v="2"/>
  </r>
  <r>
    <x v="7"/>
    <x v="1"/>
    <x v="3"/>
    <x v="1"/>
    <x v="19"/>
    <x v="1"/>
    <x v="0"/>
    <n v="11.18"/>
    <n v="67346.080000000002"/>
    <n v="207093.23"/>
    <x v="2"/>
  </r>
  <r>
    <x v="7"/>
    <x v="1"/>
    <x v="3"/>
    <x v="1"/>
    <x v="20"/>
    <x v="1"/>
    <x v="0"/>
    <n v="13.99"/>
    <n v="84272.960000000006"/>
    <n v="254841.66"/>
    <x v="2"/>
  </r>
  <r>
    <x v="7"/>
    <x v="1"/>
    <x v="3"/>
    <x v="2"/>
    <x v="21"/>
    <x v="1"/>
    <x v="0"/>
    <n v="0"/>
    <n v="0"/>
    <n v="0"/>
    <x v="2"/>
  </r>
  <r>
    <x v="7"/>
    <x v="1"/>
    <x v="3"/>
    <x v="2"/>
    <x v="22"/>
    <x v="1"/>
    <x v="0"/>
    <n v="6.52"/>
    <n v="39275.18"/>
    <n v="109193.31"/>
    <x v="2"/>
  </r>
  <r>
    <x v="7"/>
    <x v="1"/>
    <x v="3"/>
    <x v="2"/>
    <x v="29"/>
    <x v="1"/>
    <x v="0"/>
    <n v="0"/>
    <n v="0"/>
    <n v="0"/>
    <x v="2"/>
  </r>
  <r>
    <x v="7"/>
    <x v="1"/>
    <x v="3"/>
    <x v="2"/>
    <x v="23"/>
    <x v="1"/>
    <x v="0"/>
    <n v="0"/>
    <n v="0"/>
    <n v="0"/>
    <x v="2"/>
  </r>
  <r>
    <x v="7"/>
    <x v="1"/>
    <x v="3"/>
    <x v="2"/>
    <x v="24"/>
    <x v="1"/>
    <x v="0"/>
    <n v="2.71"/>
    <n v="16324.5"/>
    <n v="46107.09"/>
    <x v="2"/>
  </r>
  <r>
    <x v="7"/>
    <x v="1"/>
    <x v="3"/>
    <x v="3"/>
    <x v="25"/>
    <x v="1"/>
    <x v="0"/>
    <n v="8.26"/>
    <n v="49756.59"/>
    <n v="155534.18"/>
    <x v="2"/>
  </r>
  <r>
    <x v="7"/>
    <x v="1"/>
    <x v="3"/>
    <x v="3"/>
    <x v="26"/>
    <x v="1"/>
    <x v="0"/>
    <n v="5.95"/>
    <n v="35841.61"/>
    <n v="112908.59"/>
    <x v="2"/>
  </r>
  <r>
    <x v="7"/>
    <x v="1"/>
    <x v="3"/>
    <x v="3"/>
    <x v="27"/>
    <x v="1"/>
    <x v="0"/>
    <n v="15.94"/>
    <n v="96019.37"/>
    <n v="296586.48"/>
    <x v="2"/>
  </r>
  <r>
    <x v="7"/>
    <x v="1"/>
    <x v="3"/>
    <x v="0"/>
    <x v="0"/>
    <x v="1"/>
    <x v="1"/>
    <n v="11.72"/>
    <n v="70598.94"/>
    <n v="210676.11"/>
    <x v="2"/>
  </r>
  <r>
    <x v="7"/>
    <x v="1"/>
    <x v="3"/>
    <x v="0"/>
    <x v="1"/>
    <x v="1"/>
    <x v="1"/>
    <n v="16.71"/>
    <n v="100657.7"/>
    <n v="295241.3"/>
    <x v="2"/>
  </r>
  <r>
    <x v="7"/>
    <x v="1"/>
    <x v="3"/>
    <x v="0"/>
    <x v="2"/>
    <x v="1"/>
    <x v="1"/>
    <n v="18.010000000000002"/>
    <n v="108488.64"/>
    <n v="307429.06"/>
    <x v="2"/>
  </r>
  <r>
    <x v="7"/>
    <x v="1"/>
    <x v="3"/>
    <x v="0"/>
    <x v="3"/>
    <x v="1"/>
    <x v="1"/>
    <n v="23.18"/>
    <n v="139631.67999999999"/>
    <n v="411599.51"/>
    <x v="2"/>
  </r>
  <r>
    <x v="7"/>
    <x v="1"/>
    <x v="3"/>
    <x v="0"/>
    <x v="28"/>
    <x v="1"/>
    <x v="1"/>
    <n v="2.6"/>
    <n v="15661.88"/>
    <n v="46766.83"/>
    <x v="2"/>
  </r>
  <r>
    <x v="7"/>
    <x v="1"/>
    <x v="3"/>
    <x v="0"/>
    <x v="4"/>
    <x v="1"/>
    <x v="1"/>
    <n v="10.61"/>
    <n v="63912.52"/>
    <n v="186654.25"/>
    <x v="2"/>
  </r>
  <r>
    <x v="7"/>
    <x v="1"/>
    <x v="3"/>
    <x v="0"/>
    <x v="5"/>
    <x v="1"/>
    <x v="1"/>
    <n v="25.14"/>
    <n v="151438.32999999999"/>
    <n v="455362.51"/>
    <x v="2"/>
  </r>
  <r>
    <x v="7"/>
    <x v="1"/>
    <x v="3"/>
    <x v="0"/>
    <x v="6"/>
    <x v="1"/>
    <x v="1"/>
    <n v="1.26"/>
    <n v="7589.99"/>
    <n v="22834.79"/>
    <x v="2"/>
  </r>
  <r>
    <x v="7"/>
    <x v="1"/>
    <x v="3"/>
    <x v="0"/>
    <x v="7"/>
    <x v="1"/>
    <x v="1"/>
    <n v="4.59"/>
    <n v="27649.24"/>
    <n v="84226.08"/>
    <x v="2"/>
  </r>
  <r>
    <x v="7"/>
    <x v="1"/>
    <x v="3"/>
    <x v="0"/>
    <x v="8"/>
    <x v="1"/>
    <x v="1"/>
    <n v="3.52"/>
    <n v="21203.78"/>
    <n v="61657.01"/>
    <x v="2"/>
  </r>
  <r>
    <x v="7"/>
    <x v="1"/>
    <x v="3"/>
    <x v="1"/>
    <x v="30"/>
    <x v="1"/>
    <x v="1"/>
    <n v="0"/>
    <n v="0"/>
    <n v="0"/>
    <x v="2"/>
  </r>
  <r>
    <x v="7"/>
    <x v="1"/>
    <x v="3"/>
    <x v="1"/>
    <x v="9"/>
    <x v="1"/>
    <x v="1"/>
    <n v="4.78"/>
    <n v="28793.759999999998"/>
    <n v="90292.18"/>
    <x v="2"/>
  </r>
  <r>
    <x v="7"/>
    <x v="1"/>
    <x v="3"/>
    <x v="1"/>
    <x v="31"/>
    <x v="1"/>
    <x v="1"/>
    <n v="0"/>
    <n v="0"/>
    <n v="0"/>
    <x v="2"/>
  </r>
  <r>
    <x v="7"/>
    <x v="1"/>
    <x v="3"/>
    <x v="1"/>
    <x v="10"/>
    <x v="1"/>
    <x v="1"/>
    <n v="31.56"/>
    <n v="190111.13"/>
    <n v="591620.54"/>
    <x v="2"/>
  </r>
  <r>
    <x v="7"/>
    <x v="1"/>
    <x v="3"/>
    <x v="1"/>
    <x v="11"/>
    <x v="1"/>
    <x v="1"/>
    <n v="30.77"/>
    <n v="185352.33"/>
    <n v="549733.57999999996"/>
    <x v="2"/>
  </r>
  <r>
    <x v="7"/>
    <x v="1"/>
    <x v="3"/>
    <x v="1"/>
    <x v="12"/>
    <x v="1"/>
    <x v="1"/>
    <n v="3.93"/>
    <n v="23673.53"/>
    <n v="73915.520000000004"/>
    <x v="2"/>
  </r>
  <r>
    <x v="7"/>
    <x v="1"/>
    <x v="3"/>
    <x v="1"/>
    <x v="13"/>
    <x v="1"/>
    <x v="1"/>
    <n v="11.65"/>
    <n v="70177.27"/>
    <n v="217973.03"/>
    <x v="2"/>
  </r>
  <r>
    <x v="7"/>
    <x v="1"/>
    <x v="3"/>
    <x v="1"/>
    <x v="14"/>
    <x v="1"/>
    <x v="1"/>
    <n v="8.43"/>
    <n v="50780.63"/>
    <n v="154730.51"/>
    <x v="2"/>
  </r>
  <r>
    <x v="7"/>
    <x v="1"/>
    <x v="3"/>
    <x v="1"/>
    <x v="15"/>
    <x v="1"/>
    <x v="1"/>
    <n v="2.2599999999999998"/>
    <n v="13613.79"/>
    <n v="42852.58"/>
    <x v="2"/>
  </r>
  <r>
    <x v="7"/>
    <x v="1"/>
    <x v="3"/>
    <x v="1"/>
    <x v="16"/>
    <x v="1"/>
    <x v="1"/>
    <n v="9.81"/>
    <n v="59093.48"/>
    <n v="177445.49"/>
    <x v="2"/>
  </r>
  <r>
    <x v="7"/>
    <x v="1"/>
    <x v="3"/>
    <x v="1"/>
    <x v="17"/>
    <x v="1"/>
    <x v="1"/>
    <n v="3.76"/>
    <n v="22649.49"/>
    <n v="68585.179999999993"/>
    <x v="2"/>
  </r>
  <r>
    <x v="7"/>
    <x v="1"/>
    <x v="3"/>
    <x v="1"/>
    <x v="18"/>
    <x v="1"/>
    <x v="1"/>
    <n v="2.1"/>
    <n v="12649.98"/>
    <n v="40155.94"/>
    <x v="2"/>
  </r>
  <r>
    <x v="7"/>
    <x v="1"/>
    <x v="3"/>
    <x v="1"/>
    <x v="19"/>
    <x v="1"/>
    <x v="1"/>
    <n v="14.61"/>
    <n v="88007.72"/>
    <n v="270688.78999999998"/>
    <x v="2"/>
  </r>
  <r>
    <x v="7"/>
    <x v="1"/>
    <x v="3"/>
    <x v="1"/>
    <x v="20"/>
    <x v="1"/>
    <x v="1"/>
    <n v="25.97"/>
    <n v="156438.09"/>
    <n v="473277.37"/>
    <x v="2"/>
  </r>
  <r>
    <x v="7"/>
    <x v="1"/>
    <x v="3"/>
    <x v="2"/>
    <x v="21"/>
    <x v="1"/>
    <x v="1"/>
    <n v="2.65"/>
    <n v="15963.07"/>
    <n v="44274.96"/>
    <x v="2"/>
  </r>
  <r>
    <x v="7"/>
    <x v="1"/>
    <x v="3"/>
    <x v="2"/>
    <x v="22"/>
    <x v="1"/>
    <x v="1"/>
    <n v="13.13"/>
    <n v="79092.490000000005"/>
    <n v="219786.53"/>
    <x v="2"/>
  </r>
  <r>
    <x v="7"/>
    <x v="1"/>
    <x v="3"/>
    <x v="2"/>
    <x v="29"/>
    <x v="1"/>
    <x v="1"/>
    <n v="3.87"/>
    <n v="23312.11"/>
    <n v="68832.06"/>
    <x v="2"/>
  </r>
  <r>
    <x v="7"/>
    <x v="1"/>
    <x v="3"/>
    <x v="2"/>
    <x v="23"/>
    <x v="1"/>
    <x v="1"/>
    <n v="5.81"/>
    <n v="34998.28"/>
    <n v="101320.52"/>
    <x v="2"/>
  </r>
  <r>
    <x v="7"/>
    <x v="1"/>
    <x v="3"/>
    <x v="2"/>
    <x v="24"/>
    <x v="1"/>
    <x v="1"/>
    <n v="2.79"/>
    <n v="16806.400000000001"/>
    <n v="47594.42"/>
    <x v="2"/>
  </r>
  <r>
    <x v="7"/>
    <x v="1"/>
    <x v="3"/>
    <x v="3"/>
    <x v="25"/>
    <x v="1"/>
    <x v="1"/>
    <n v="9.9499999999999993"/>
    <n v="59936.81"/>
    <n v="187309.98"/>
    <x v="2"/>
  </r>
  <r>
    <x v="7"/>
    <x v="1"/>
    <x v="3"/>
    <x v="3"/>
    <x v="26"/>
    <x v="1"/>
    <x v="1"/>
    <n v="24.79"/>
    <n v="149330"/>
    <n v="470171.58"/>
    <x v="2"/>
  </r>
  <r>
    <x v="7"/>
    <x v="1"/>
    <x v="3"/>
    <x v="3"/>
    <x v="27"/>
    <x v="1"/>
    <x v="1"/>
    <n v="31.71"/>
    <n v="191014.7"/>
    <n v="589913.77"/>
    <x v="2"/>
  </r>
  <r>
    <x v="7"/>
    <x v="1"/>
    <x v="4"/>
    <x v="0"/>
    <x v="0"/>
    <x v="0"/>
    <x v="0"/>
    <n v="1.59"/>
    <n v="8382.69"/>
    <n v="38881.83"/>
    <x v="2"/>
  </r>
  <r>
    <x v="7"/>
    <x v="1"/>
    <x v="4"/>
    <x v="0"/>
    <x v="1"/>
    <x v="0"/>
    <x v="0"/>
    <n v="2.82"/>
    <n v="14867.41"/>
    <n v="69056.98"/>
    <x v="2"/>
  </r>
  <r>
    <x v="7"/>
    <x v="1"/>
    <x v="4"/>
    <x v="0"/>
    <x v="2"/>
    <x v="0"/>
    <x v="0"/>
    <n v="0"/>
    <n v="0"/>
    <n v="0"/>
    <x v="2"/>
  </r>
  <r>
    <x v="7"/>
    <x v="1"/>
    <x v="4"/>
    <x v="0"/>
    <x v="3"/>
    <x v="0"/>
    <x v="0"/>
    <n v="1.83"/>
    <n v="9648"/>
    <n v="44853.11"/>
    <x v="2"/>
  </r>
  <r>
    <x v="7"/>
    <x v="1"/>
    <x v="4"/>
    <x v="0"/>
    <x v="4"/>
    <x v="0"/>
    <x v="0"/>
    <n v="0"/>
    <n v="0"/>
    <n v="0"/>
    <x v="2"/>
  </r>
  <r>
    <x v="7"/>
    <x v="1"/>
    <x v="4"/>
    <x v="0"/>
    <x v="5"/>
    <x v="0"/>
    <x v="0"/>
    <n v="0"/>
    <n v="0"/>
    <n v="0"/>
    <x v="2"/>
  </r>
  <r>
    <x v="7"/>
    <x v="1"/>
    <x v="4"/>
    <x v="0"/>
    <x v="6"/>
    <x v="0"/>
    <x v="0"/>
    <n v="0"/>
    <n v="0"/>
    <n v="0"/>
    <x v="2"/>
  </r>
  <r>
    <x v="7"/>
    <x v="1"/>
    <x v="4"/>
    <x v="0"/>
    <x v="8"/>
    <x v="0"/>
    <x v="0"/>
    <n v="0"/>
    <n v="0"/>
    <n v="0"/>
    <x v="2"/>
  </r>
  <r>
    <x v="7"/>
    <x v="1"/>
    <x v="4"/>
    <x v="1"/>
    <x v="10"/>
    <x v="0"/>
    <x v="0"/>
    <n v="0.91"/>
    <n v="4797.6400000000003"/>
    <n v="22284.9"/>
    <x v="2"/>
  </r>
  <r>
    <x v="7"/>
    <x v="1"/>
    <x v="4"/>
    <x v="1"/>
    <x v="11"/>
    <x v="0"/>
    <x v="0"/>
    <n v="0"/>
    <n v="0"/>
    <n v="0"/>
    <x v="2"/>
  </r>
  <r>
    <x v="7"/>
    <x v="1"/>
    <x v="4"/>
    <x v="1"/>
    <x v="13"/>
    <x v="0"/>
    <x v="0"/>
    <n v="0"/>
    <n v="0"/>
    <n v="0"/>
    <x v="2"/>
  </r>
  <r>
    <x v="7"/>
    <x v="1"/>
    <x v="4"/>
    <x v="1"/>
    <x v="14"/>
    <x v="0"/>
    <x v="0"/>
    <n v="0"/>
    <n v="0"/>
    <n v="0"/>
    <x v="2"/>
  </r>
  <r>
    <x v="7"/>
    <x v="1"/>
    <x v="4"/>
    <x v="1"/>
    <x v="16"/>
    <x v="0"/>
    <x v="0"/>
    <n v="0"/>
    <n v="0"/>
    <n v="0"/>
    <x v="2"/>
  </r>
  <r>
    <x v="7"/>
    <x v="1"/>
    <x v="4"/>
    <x v="1"/>
    <x v="17"/>
    <x v="0"/>
    <x v="0"/>
    <n v="0"/>
    <n v="0"/>
    <n v="0"/>
    <x v="2"/>
  </r>
  <r>
    <x v="7"/>
    <x v="1"/>
    <x v="4"/>
    <x v="1"/>
    <x v="18"/>
    <x v="0"/>
    <x v="0"/>
    <n v="0"/>
    <n v="0"/>
    <n v="0"/>
    <x v="2"/>
  </r>
  <r>
    <x v="7"/>
    <x v="1"/>
    <x v="4"/>
    <x v="1"/>
    <x v="19"/>
    <x v="0"/>
    <x v="0"/>
    <n v="0"/>
    <n v="0"/>
    <n v="0"/>
    <x v="2"/>
  </r>
  <r>
    <x v="7"/>
    <x v="1"/>
    <x v="4"/>
    <x v="1"/>
    <x v="20"/>
    <x v="0"/>
    <x v="0"/>
    <n v="1.55"/>
    <n v="8171.8"/>
    <n v="37878.5"/>
    <x v="2"/>
  </r>
  <r>
    <x v="7"/>
    <x v="1"/>
    <x v="4"/>
    <x v="2"/>
    <x v="21"/>
    <x v="0"/>
    <x v="0"/>
    <n v="1.51"/>
    <n v="7960.92"/>
    <n v="37065.22"/>
    <x v="2"/>
  </r>
  <r>
    <x v="7"/>
    <x v="1"/>
    <x v="4"/>
    <x v="2"/>
    <x v="22"/>
    <x v="0"/>
    <x v="0"/>
    <n v="0"/>
    <n v="0"/>
    <n v="0"/>
    <x v="2"/>
  </r>
  <r>
    <x v="7"/>
    <x v="1"/>
    <x v="4"/>
    <x v="2"/>
    <x v="29"/>
    <x v="0"/>
    <x v="0"/>
    <n v="0"/>
    <n v="0"/>
    <n v="0"/>
    <x v="2"/>
  </r>
  <r>
    <x v="7"/>
    <x v="1"/>
    <x v="4"/>
    <x v="2"/>
    <x v="24"/>
    <x v="0"/>
    <x v="0"/>
    <n v="0"/>
    <n v="0"/>
    <n v="0"/>
    <x v="2"/>
  </r>
  <r>
    <x v="7"/>
    <x v="1"/>
    <x v="4"/>
    <x v="3"/>
    <x v="25"/>
    <x v="0"/>
    <x v="0"/>
    <n v="0"/>
    <n v="0"/>
    <n v="0"/>
    <x v="2"/>
  </r>
  <r>
    <x v="7"/>
    <x v="1"/>
    <x v="4"/>
    <x v="3"/>
    <x v="26"/>
    <x v="0"/>
    <x v="0"/>
    <n v="0.9"/>
    <n v="4744.92"/>
    <n v="22034.22"/>
    <x v="2"/>
  </r>
  <r>
    <x v="7"/>
    <x v="1"/>
    <x v="4"/>
    <x v="3"/>
    <x v="27"/>
    <x v="0"/>
    <x v="0"/>
    <n v="1.4"/>
    <n v="7380.98"/>
    <n v="34254.959999999999"/>
    <x v="2"/>
  </r>
  <r>
    <x v="7"/>
    <x v="1"/>
    <x v="4"/>
    <x v="0"/>
    <x v="0"/>
    <x v="0"/>
    <x v="1"/>
    <n v="0.93"/>
    <n v="4903.08"/>
    <n v="22871.67"/>
    <x v="2"/>
  </r>
  <r>
    <x v="7"/>
    <x v="1"/>
    <x v="4"/>
    <x v="0"/>
    <x v="1"/>
    <x v="0"/>
    <x v="1"/>
    <n v="4.33"/>
    <n v="22828.32"/>
    <n v="106017.06"/>
    <x v="2"/>
  </r>
  <r>
    <x v="7"/>
    <x v="1"/>
    <x v="4"/>
    <x v="0"/>
    <x v="2"/>
    <x v="0"/>
    <x v="1"/>
    <n v="4.3"/>
    <n v="22670.16"/>
    <n v="105472.51"/>
    <x v="2"/>
  </r>
  <r>
    <x v="7"/>
    <x v="1"/>
    <x v="4"/>
    <x v="0"/>
    <x v="3"/>
    <x v="0"/>
    <x v="1"/>
    <n v="3.11"/>
    <n v="16396.32"/>
    <n v="76250.289999999994"/>
    <x v="2"/>
  </r>
  <r>
    <x v="7"/>
    <x v="1"/>
    <x v="4"/>
    <x v="0"/>
    <x v="4"/>
    <x v="0"/>
    <x v="1"/>
    <n v="1.91"/>
    <n v="10069.77"/>
    <n v="46801.5"/>
    <x v="2"/>
  </r>
  <r>
    <x v="7"/>
    <x v="1"/>
    <x v="4"/>
    <x v="0"/>
    <x v="5"/>
    <x v="0"/>
    <x v="1"/>
    <n v="1.1299999999999999"/>
    <n v="5957.51"/>
    <n v="27729.55"/>
    <x v="2"/>
  </r>
  <r>
    <x v="7"/>
    <x v="1"/>
    <x v="4"/>
    <x v="0"/>
    <x v="6"/>
    <x v="0"/>
    <x v="1"/>
    <n v="2.0499999999999998"/>
    <n v="10807.87"/>
    <n v="50228.73"/>
    <x v="2"/>
  </r>
  <r>
    <x v="7"/>
    <x v="1"/>
    <x v="4"/>
    <x v="0"/>
    <x v="8"/>
    <x v="0"/>
    <x v="1"/>
    <n v="2.5299999999999998"/>
    <n v="13338.49"/>
    <n v="61997.55"/>
    <x v="2"/>
  </r>
  <r>
    <x v="7"/>
    <x v="1"/>
    <x v="4"/>
    <x v="1"/>
    <x v="10"/>
    <x v="0"/>
    <x v="1"/>
    <n v="1.27"/>
    <n v="6695.61"/>
    <n v="31198.86"/>
    <x v="2"/>
  </r>
  <r>
    <x v="7"/>
    <x v="1"/>
    <x v="4"/>
    <x v="1"/>
    <x v="11"/>
    <x v="0"/>
    <x v="1"/>
    <n v="8.0299999999999994"/>
    <n v="42335.199999999997"/>
    <n v="196666.77"/>
    <x v="2"/>
  </r>
  <r>
    <x v="7"/>
    <x v="1"/>
    <x v="4"/>
    <x v="1"/>
    <x v="13"/>
    <x v="0"/>
    <x v="1"/>
    <n v="2.15"/>
    <n v="11335.08"/>
    <n v="52732.47"/>
    <x v="2"/>
  </r>
  <r>
    <x v="7"/>
    <x v="1"/>
    <x v="4"/>
    <x v="1"/>
    <x v="14"/>
    <x v="0"/>
    <x v="1"/>
    <n v="1.59"/>
    <n v="8382.69"/>
    <n v="39041.86"/>
    <x v="2"/>
  </r>
  <r>
    <x v="7"/>
    <x v="1"/>
    <x v="4"/>
    <x v="1"/>
    <x v="16"/>
    <x v="0"/>
    <x v="1"/>
    <n v="0.82"/>
    <n v="4323.1499999999996"/>
    <n v="20139.23"/>
    <x v="2"/>
  </r>
  <r>
    <x v="7"/>
    <x v="1"/>
    <x v="4"/>
    <x v="1"/>
    <x v="17"/>
    <x v="0"/>
    <x v="1"/>
    <n v="2.6"/>
    <n v="13707.54"/>
    <n v="63693.56"/>
    <x v="2"/>
  </r>
  <r>
    <x v="7"/>
    <x v="1"/>
    <x v="4"/>
    <x v="1"/>
    <x v="18"/>
    <x v="0"/>
    <x v="1"/>
    <n v="8.01"/>
    <n v="42229.760000000002"/>
    <n v="196265.05"/>
    <x v="2"/>
  </r>
  <r>
    <x v="7"/>
    <x v="1"/>
    <x v="4"/>
    <x v="1"/>
    <x v="19"/>
    <x v="0"/>
    <x v="1"/>
    <n v="3.3"/>
    <n v="17398.03"/>
    <n v="80748.899999999994"/>
    <x v="2"/>
  </r>
  <r>
    <x v="7"/>
    <x v="1"/>
    <x v="4"/>
    <x v="1"/>
    <x v="20"/>
    <x v="0"/>
    <x v="1"/>
    <n v="5.55"/>
    <n v="29260.32"/>
    <n v="135916.96"/>
    <x v="2"/>
  </r>
  <r>
    <x v="7"/>
    <x v="1"/>
    <x v="4"/>
    <x v="2"/>
    <x v="21"/>
    <x v="0"/>
    <x v="1"/>
    <n v="0"/>
    <n v="0"/>
    <n v="0"/>
    <x v="2"/>
  </r>
  <r>
    <x v="7"/>
    <x v="1"/>
    <x v="4"/>
    <x v="2"/>
    <x v="22"/>
    <x v="0"/>
    <x v="1"/>
    <n v="3.49"/>
    <n v="18399.73"/>
    <n v="85459.98"/>
    <x v="2"/>
  </r>
  <r>
    <x v="7"/>
    <x v="1"/>
    <x v="4"/>
    <x v="2"/>
    <x v="29"/>
    <x v="0"/>
    <x v="1"/>
    <n v="1.52"/>
    <n v="8013.64"/>
    <n v="37131.97"/>
    <x v="2"/>
  </r>
  <r>
    <x v="7"/>
    <x v="1"/>
    <x v="4"/>
    <x v="2"/>
    <x v="24"/>
    <x v="0"/>
    <x v="1"/>
    <n v="0.2"/>
    <n v="1054.43"/>
    <n v="5014.8900000000003"/>
    <x v="2"/>
  </r>
  <r>
    <x v="7"/>
    <x v="1"/>
    <x v="4"/>
    <x v="3"/>
    <x v="25"/>
    <x v="0"/>
    <x v="1"/>
    <n v="1.51"/>
    <n v="7960.92"/>
    <n v="36925.08"/>
    <x v="2"/>
  </r>
  <r>
    <x v="7"/>
    <x v="1"/>
    <x v="4"/>
    <x v="3"/>
    <x v="26"/>
    <x v="0"/>
    <x v="1"/>
    <n v="1.06"/>
    <n v="5588.46"/>
    <n v="26040.44"/>
    <x v="2"/>
  </r>
  <r>
    <x v="7"/>
    <x v="1"/>
    <x v="4"/>
    <x v="3"/>
    <x v="27"/>
    <x v="0"/>
    <x v="1"/>
    <n v="5.69"/>
    <n v="29998.42"/>
    <n v="139466.63"/>
    <x v="2"/>
  </r>
  <r>
    <x v="7"/>
    <x v="1"/>
    <x v="4"/>
    <x v="0"/>
    <x v="0"/>
    <x v="1"/>
    <x v="0"/>
    <n v="6.17"/>
    <n v="32529.040000000001"/>
    <n v="98800.94"/>
    <x v="2"/>
  </r>
  <r>
    <x v="7"/>
    <x v="1"/>
    <x v="4"/>
    <x v="0"/>
    <x v="1"/>
    <x v="1"/>
    <x v="0"/>
    <n v="11.65"/>
    <n v="61420.31"/>
    <n v="183486.09"/>
    <x v="2"/>
  </r>
  <r>
    <x v="7"/>
    <x v="1"/>
    <x v="4"/>
    <x v="0"/>
    <x v="2"/>
    <x v="1"/>
    <x v="0"/>
    <n v="5.05"/>
    <n v="26624.26"/>
    <n v="76805.460000000006"/>
    <x v="2"/>
  </r>
  <r>
    <x v="7"/>
    <x v="1"/>
    <x v="4"/>
    <x v="0"/>
    <x v="3"/>
    <x v="1"/>
    <x v="0"/>
    <n v="7.75"/>
    <n v="40859.01"/>
    <n v="122660.05"/>
    <x v="2"/>
  </r>
  <r>
    <x v="7"/>
    <x v="1"/>
    <x v="4"/>
    <x v="0"/>
    <x v="28"/>
    <x v="1"/>
    <x v="0"/>
    <n v="0"/>
    <n v="0"/>
    <n v="0"/>
    <x v="2"/>
  </r>
  <r>
    <x v="7"/>
    <x v="1"/>
    <x v="4"/>
    <x v="0"/>
    <x v="4"/>
    <x v="1"/>
    <x v="0"/>
    <n v="7.59"/>
    <n v="40015.47"/>
    <n v="118997.06"/>
    <x v="2"/>
  </r>
  <r>
    <x v="7"/>
    <x v="1"/>
    <x v="4"/>
    <x v="0"/>
    <x v="5"/>
    <x v="1"/>
    <x v="0"/>
    <n v="3.08"/>
    <n v="16238.16"/>
    <n v="49788.47"/>
    <x v="2"/>
  </r>
  <r>
    <x v="7"/>
    <x v="1"/>
    <x v="4"/>
    <x v="0"/>
    <x v="6"/>
    <x v="1"/>
    <x v="0"/>
    <n v="0"/>
    <n v="0"/>
    <n v="0"/>
    <x v="2"/>
  </r>
  <r>
    <x v="7"/>
    <x v="1"/>
    <x v="4"/>
    <x v="0"/>
    <x v="7"/>
    <x v="1"/>
    <x v="0"/>
    <n v="0"/>
    <n v="0"/>
    <n v="0"/>
    <x v="2"/>
  </r>
  <r>
    <x v="7"/>
    <x v="1"/>
    <x v="4"/>
    <x v="0"/>
    <x v="8"/>
    <x v="1"/>
    <x v="0"/>
    <n v="0"/>
    <n v="0"/>
    <n v="0"/>
    <x v="2"/>
  </r>
  <r>
    <x v="7"/>
    <x v="1"/>
    <x v="4"/>
    <x v="1"/>
    <x v="30"/>
    <x v="1"/>
    <x v="0"/>
    <n v="0.92"/>
    <n v="4850.3599999999997"/>
    <n v="15476.95"/>
    <x v="2"/>
  </r>
  <r>
    <x v="7"/>
    <x v="1"/>
    <x v="4"/>
    <x v="1"/>
    <x v="9"/>
    <x v="1"/>
    <x v="0"/>
    <n v="0"/>
    <n v="0"/>
    <n v="0"/>
    <x v="2"/>
  </r>
  <r>
    <x v="7"/>
    <x v="1"/>
    <x v="4"/>
    <x v="1"/>
    <x v="31"/>
    <x v="1"/>
    <x v="0"/>
    <n v="0"/>
    <n v="0"/>
    <n v="0"/>
    <x v="2"/>
  </r>
  <r>
    <x v="7"/>
    <x v="1"/>
    <x v="4"/>
    <x v="1"/>
    <x v="10"/>
    <x v="1"/>
    <x v="0"/>
    <n v="10.8"/>
    <n v="56939"/>
    <n v="180413.57"/>
    <x v="2"/>
  </r>
  <r>
    <x v="7"/>
    <x v="1"/>
    <x v="4"/>
    <x v="1"/>
    <x v="11"/>
    <x v="1"/>
    <x v="0"/>
    <n v="10.89"/>
    <n v="57413.5"/>
    <n v="173425.87"/>
    <x v="2"/>
  </r>
  <r>
    <x v="7"/>
    <x v="1"/>
    <x v="4"/>
    <x v="1"/>
    <x v="12"/>
    <x v="1"/>
    <x v="0"/>
    <n v="2.81"/>
    <n v="14814.69"/>
    <n v="47106.16"/>
    <x v="2"/>
  </r>
  <r>
    <x v="7"/>
    <x v="1"/>
    <x v="4"/>
    <x v="1"/>
    <x v="13"/>
    <x v="1"/>
    <x v="0"/>
    <n v="4.3899999999999997"/>
    <n v="23144.65"/>
    <n v="73323.33"/>
    <x v="2"/>
  </r>
  <r>
    <x v="7"/>
    <x v="1"/>
    <x v="4"/>
    <x v="1"/>
    <x v="14"/>
    <x v="1"/>
    <x v="0"/>
    <n v="15.37"/>
    <n v="81032.639999999999"/>
    <n v="251619.02"/>
    <x v="2"/>
  </r>
  <r>
    <x v="7"/>
    <x v="1"/>
    <x v="4"/>
    <x v="1"/>
    <x v="15"/>
    <x v="1"/>
    <x v="0"/>
    <n v="0"/>
    <n v="0"/>
    <n v="0"/>
    <x v="2"/>
  </r>
  <r>
    <x v="7"/>
    <x v="1"/>
    <x v="4"/>
    <x v="1"/>
    <x v="16"/>
    <x v="1"/>
    <x v="0"/>
    <n v="6.5"/>
    <n v="34268.85"/>
    <n v="104841.24"/>
    <x v="2"/>
  </r>
  <r>
    <x v="7"/>
    <x v="1"/>
    <x v="4"/>
    <x v="1"/>
    <x v="17"/>
    <x v="1"/>
    <x v="0"/>
    <n v="5.84"/>
    <n v="30789.24"/>
    <n v="95072.72"/>
    <x v="2"/>
  </r>
  <r>
    <x v="7"/>
    <x v="1"/>
    <x v="4"/>
    <x v="1"/>
    <x v="18"/>
    <x v="1"/>
    <x v="0"/>
    <n v="8.7100000000000009"/>
    <n v="45920.25"/>
    <n v="148388.76"/>
    <x v="2"/>
  </r>
  <r>
    <x v="7"/>
    <x v="1"/>
    <x v="4"/>
    <x v="1"/>
    <x v="19"/>
    <x v="1"/>
    <x v="0"/>
    <n v="13.08"/>
    <n v="68959.460000000006"/>
    <n v="216096.94"/>
    <x v="2"/>
  </r>
  <r>
    <x v="7"/>
    <x v="1"/>
    <x v="4"/>
    <x v="1"/>
    <x v="20"/>
    <x v="1"/>
    <x v="0"/>
    <n v="14.28"/>
    <n v="75286.02"/>
    <n v="232050"/>
    <x v="2"/>
  </r>
  <r>
    <x v="7"/>
    <x v="1"/>
    <x v="4"/>
    <x v="2"/>
    <x v="21"/>
    <x v="1"/>
    <x v="0"/>
    <n v="0"/>
    <n v="0"/>
    <n v="0"/>
    <x v="2"/>
  </r>
  <r>
    <x v="7"/>
    <x v="1"/>
    <x v="4"/>
    <x v="2"/>
    <x v="22"/>
    <x v="1"/>
    <x v="0"/>
    <n v="9.1300000000000008"/>
    <n v="48134.55"/>
    <n v="136291.01"/>
    <x v="2"/>
  </r>
  <r>
    <x v="7"/>
    <x v="1"/>
    <x v="4"/>
    <x v="2"/>
    <x v="29"/>
    <x v="1"/>
    <x v="0"/>
    <n v="0"/>
    <n v="0"/>
    <n v="0"/>
    <x v="2"/>
  </r>
  <r>
    <x v="7"/>
    <x v="1"/>
    <x v="4"/>
    <x v="2"/>
    <x v="23"/>
    <x v="1"/>
    <x v="0"/>
    <n v="0"/>
    <n v="0"/>
    <n v="0"/>
    <x v="2"/>
  </r>
  <r>
    <x v="7"/>
    <x v="1"/>
    <x v="4"/>
    <x v="2"/>
    <x v="24"/>
    <x v="1"/>
    <x v="0"/>
    <n v="2.4700000000000002"/>
    <n v="13022.16"/>
    <n v="37463.5"/>
    <x v="2"/>
  </r>
  <r>
    <x v="7"/>
    <x v="1"/>
    <x v="4"/>
    <x v="3"/>
    <x v="25"/>
    <x v="1"/>
    <x v="0"/>
    <n v="9.18"/>
    <n v="48398.15"/>
    <n v="154050.57999999999"/>
    <x v="2"/>
  </r>
  <r>
    <x v="7"/>
    <x v="1"/>
    <x v="4"/>
    <x v="3"/>
    <x v="26"/>
    <x v="1"/>
    <x v="0"/>
    <n v="7.31"/>
    <n v="38539.269999999997"/>
    <n v="123564.22"/>
    <x v="2"/>
  </r>
  <r>
    <x v="7"/>
    <x v="1"/>
    <x v="4"/>
    <x v="3"/>
    <x v="27"/>
    <x v="1"/>
    <x v="0"/>
    <n v="15.14"/>
    <n v="79820.05"/>
    <n v="251139.09"/>
    <x v="2"/>
  </r>
  <r>
    <x v="7"/>
    <x v="1"/>
    <x v="4"/>
    <x v="0"/>
    <x v="0"/>
    <x v="1"/>
    <x v="1"/>
    <n v="15.18"/>
    <n v="80030.929999999993"/>
    <n v="243202.31"/>
    <x v="2"/>
  </r>
  <r>
    <x v="7"/>
    <x v="1"/>
    <x v="4"/>
    <x v="0"/>
    <x v="1"/>
    <x v="1"/>
    <x v="1"/>
    <n v="18.36"/>
    <n v="96796.31"/>
    <n v="289300.15000000002"/>
    <x v="2"/>
  </r>
  <r>
    <x v="7"/>
    <x v="1"/>
    <x v="4"/>
    <x v="0"/>
    <x v="2"/>
    <x v="1"/>
    <x v="1"/>
    <n v="16.14"/>
    <n v="85092.18"/>
    <n v="245544.72"/>
    <x v="2"/>
  </r>
  <r>
    <x v="7"/>
    <x v="1"/>
    <x v="4"/>
    <x v="0"/>
    <x v="3"/>
    <x v="1"/>
    <x v="1"/>
    <n v="26.29"/>
    <n v="138604.29999999999"/>
    <n v="416082.13"/>
    <x v="2"/>
  </r>
  <r>
    <x v="7"/>
    <x v="1"/>
    <x v="4"/>
    <x v="0"/>
    <x v="28"/>
    <x v="1"/>
    <x v="1"/>
    <n v="2.69"/>
    <n v="14182.03"/>
    <n v="43159.71"/>
    <x v="2"/>
  </r>
  <r>
    <x v="7"/>
    <x v="1"/>
    <x v="4"/>
    <x v="0"/>
    <x v="4"/>
    <x v="1"/>
    <x v="1"/>
    <n v="7.5"/>
    <n v="39540.980000000003"/>
    <n v="117629.27"/>
    <x v="2"/>
  </r>
  <r>
    <x v="7"/>
    <x v="1"/>
    <x v="4"/>
    <x v="0"/>
    <x v="5"/>
    <x v="1"/>
    <x v="1"/>
    <n v="24.31"/>
    <n v="128165.48"/>
    <n v="392617.66"/>
    <x v="2"/>
  </r>
  <r>
    <x v="7"/>
    <x v="1"/>
    <x v="4"/>
    <x v="0"/>
    <x v="6"/>
    <x v="1"/>
    <x v="1"/>
    <n v="4.78"/>
    <n v="25200.78"/>
    <n v="77031.95"/>
    <x v="2"/>
  </r>
  <r>
    <x v="7"/>
    <x v="1"/>
    <x v="4"/>
    <x v="0"/>
    <x v="7"/>
    <x v="1"/>
    <x v="1"/>
    <n v="3.1"/>
    <n v="16343.6"/>
    <n v="50689.57"/>
    <x v="2"/>
  </r>
  <r>
    <x v="7"/>
    <x v="1"/>
    <x v="4"/>
    <x v="0"/>
    <x v="8"/>
    <x v="1"/>
    <x v="1"/>
    <n v="3.59"/>
    <n v="18926.95"/>
    <n v="56014.71"/>
    <x v="2"/>
  </r>
  <r>
    <x v="7"/>
    <x v="1"/>
    <x v="4"/>
    <x v="1"/>
    <x v="30"/>
    <x v="1"/>
    <x v="1"/>
    <n v="0"/>
    <n v="0"/>
    <n v="0"/>
    <x v="2"/>
  </r>
  <r>
    <x v="7"/>
    <x v="1"/>
    <x v="4"/>
    <x v="1"/>
    <x v="9"/>
    <x v="1"/>
    <x v="1"/>
    <n v="5.34"/>
    <n v="28153.17"/>
    <n v="90026.64"/>
    <x v="2"/>
  </r>
  <r>
    <x v="7"/>
    <x v="1"/>
    <x v="4"/>
    <x v="1"/>
    <x v="31"/>
    <x v="1"/>
    <x v="1"/>
    <n v="0"/>
    <n v="0"/>
    <n v="0"/>
    <x v="2"/>
  </r>
  <r>
    <x v="7"/>
    <x v="1"/>
    <x v="4"/>
    <x v="1"/>
    <x v="10"/>
    <x v="1"/>
    <x v="1"/>
    <n v="29.75"/>
    <n v="156845.87"/>
    <n v="497237.41"/>
    <x v="2"/>
  </r>
  <r>
    <x v="7"/>
    <x v="1"/>
    <x v="4"/>
    <x v="1"/>
    <x v="11"/>
    <x v="1"/>
    <x v="1"/>
    <n v="41.03"/>
    <n v="216315.49"/>
    <n v="653541.71"/>
    <x v="2"/>
  </r>
  <r>
    <x v="7"/>
    <x v="1"/>
    <x v="4"/>
    <x v="1"/>
    <x v="12"/>
    <x v="1"/>
    <x v="1"/>
    <n v="3.26"/>
    <n v="17187.14"/>
    <n v="54703.93"/>
    <x v="2"/>
  </r>
  <r>
    <x v="7"/>
    <x v="1"/>
    <x v="4"/>
    <x v="1"/>
    <x v="13"/>
    <x v="1"/>
    <x v="1"/>
    <n v="12.49"/>
    <n v="65848.899999999994"/>
    <n v="208468.3"/>
    <x v="2"/>
  </r>
  <r>
    <x v="7"/>
    <x v="1"/>
    <x v="4"/>
    <x v="1"/>
    <x v="14"/>
    <x v="1"/>
    <x v="1"/>
    <n v="7.16"/>
    <n v="37748.449999999997"/>
    <n v="117231.59"/>
    <x v="2"/>
  </r>
  <r>
    <x v="7"/>
    <x v="1"/>
    <x v="4"/>
    <x v="1"/>
    <x v="15"/>
    <x v="1"/>
    <x v="1"/>
    <n v="0"/>
    <n v="0"/>
    <n v="0"/>
    <x v="2"/>
  </r>
  <r>
    <x v="7"/>
    <x v="1"/>
    <x v="4"/>
    <x v="1"/>
    <x v="16"/>
    <x v="1"/>
    <x v="1"/>
    <n v="8.7899999999999991"/>
    <n v="46342.02"/>
    <n v="141677.35"/>
    <x v="2"/>
  </r>
  <r>
    <x v="7"/>
    <x v="1"/>
    <x v="4"/>
    <x v="1"/>
    <x v="17"/>
    <x v="1"/>
    <x v="1"/>
    <n v="4.83"/>
    <n v="25464.39"/>
    <n v="78538.34"/>
    <x v="2"/>
  </r>
  <r>
    <x v="7"/>
    <x v="1"/>
    <x v="4"/>
    <x v="1"/>
    <x v="18"/>
    <x v="1"/>
    <x v="1"/>
    <n v="39.799999999999997"/>
    <n v="209830.77"/>
    <n v="677825.19"/>
    <x v="2"/>
  </r>
  <r>
    <x v="7"/>
    <x v="1"/>
    <x v="4"/>
    <x v="1"/>
    <x v="19"/>
    <x v="1"/>
    <x v="1"/>
    <n v="14.67"/>
    <n v="77342.149999999994"/>
    <n v="242202.61"/>
    <x v="2"/>
  </r>
  <r>
    <x v="7"/>
    <x v="1"/>
    <x v="4"/>
    <x v="1"/>
    <x v="20"/>
    <x v="1"/>
    <x v="1"/>
    <n v="23.48"/>
    <n v="123789.61"/>
    <n v="381530.06"/>
    <x v="2"/>
  </r>
  <r>
    <x v="7"/>
    <x v="1"/>
    <x v="4"/>
    <x v="2"/>
    <x v="21"/>
    <x v="1"/>
    <x v="1"/>
    <n v="1.41"/>
    <n v="7433.7"/>
    <n v="20975.27"/>
    <x v="2"/>
  </r>
  <r>
    <x v="7"/>
    <x v="1"/>
    <x v="4"/>
    <x v="2"/>
    <x v="22"/>
    <x v="1"/>
    <x v="1"/>
    <n v="13.96"/>
    <n v="73598.929999999993"/>
    <n v="208293.8"/>
    <x v="2"/>
  </r>
  <r>
    <x v="7"/>
    <x v="1"/>
    <x v="4"/>
    <x v="2"/>
    <x v="29"/>
    <x v="1"/>
    <x v="1"/>
    <n v="2.16"/>
    <n v="11387.8"/>
    <n v="34240.47"/>
    <x v="2"/>
  </r>
  <r>
    <x v="7"/>
    <x v="1"/>
    <x v="4"/>
    <x v="2"/>
    <x v="23"/>
    <x v="1"/>
    <x v="1"/>
    <n v="2.14"/>
    <n v="11282.36"/>
    <n v="33208.620000000003"/>
    <x v="2"/>
  </r>
  <r>
    <x v="7"/>
    <x v="1"/>
    <x v="4"/>
    <x v="2"/>
    <x v="24"/>
    <x v="1"/>
    <x v="1"/>
    <n v="3.7"/>
    <n v="19506.88"/>
    <n v="56195.25"/>
    <x v="2"/>
  </r>
  <r>
    <x v="7"/>
    <x v="1"/>
    <x v="4"/>
    <x v="3"/>
    <x v="25"/>
    <x v="1"/>
    <x v="1"/>
    <n v="8.64"/>
    <n v="45551.199999999997"/>
    <n v="145076.76"/>
    <x v="2"/>
  </r>
  <r>
    <x v="7"/>
    <x v="1"/>
    <x v="4"/>
    <x v="3"/>
    <x v="26"/>
    <x v="1"/>
    <x v="1"/>
    <n v="19.68"/>
    <n v="103755.52"/>
    <n v="332672.89"/>
    <x v="2"/>
  </r>
  <r>
    <x v="7"/>
    <x v="1"/>
    <x v="4"/>
    <x v="3"/>
    <x v="27"/>
    <x v="1"/>
    <x v="1"/>
    <n v="34.549999999999997"/>
    <n v="182152.09"/>
    <n v="573188.05000000005"/>
    <x v="2"/>
  </r>
  <r>
    <x v="7"/>
    <x v="1"/>
    <x v="5"/>
    <x v="0"/>
    <x v="0"/>
    <x v="0"/>
    <x v="0"/>
    <n v="2.16"/>
    <n v="12089.33"/>
    <n v="49526.03"/>
    <x v="2"/>
  </r>
  <r>
    <x v="7"/>
    <x v="1"/>
    <x v="5"/>
    <x v="0"/>
    <x v="1"/>
    <x v="0"/>
    <x v="0"/>
    <n v="3.77"/>
    <n v="21100.35"/>
    <n v="86605.78"/>
    <x v="2"/>
  </r>
  <r>
    <x v="7"/>
    <x v="1"/>
    <x v="5"/>
    <x v="0"/>
    <x v="2"/>
    <x v="0"/>
    <x v="0"/>
    <n v="0"/>
    <n v="0"/>
    <n v="0"/>
    <x v="2"/>
  </r>
  <r>
    <x v="7"/>
    <x v="1"/>
    <x v="5"/>
    <x v="0"/>
    <x v="3"/>
    <x v="0"/>
    <x v="0"/>
    <n v="1.57"/>
    <n v="8787.15"/>
    <n v="36058.28"/>
    <x v="2"/>
  </r>
  <r>
    <x v="7"/>
    <x v="1"/>
    <x v="5"/>
    <x v="0"/>
    <x v="4"/>
    <x v="0"/>
    <x v="0"/>
    <n v="0"/>
    <n v="0"/>
    <n v="0"/>
    <x v="2"/>
  </r>
  <r>
    <x v="7"/>
    <x v="1"/>
    <x v="5"/>
    <x v="0"/>
    <x v="5"/>
    <x v="0"/>
    <x v="0"/>
    <n v="0"/>
    <n v="0"/>
    <n v="0"/>
    <x v="2"/>
  </r>
  <r>
    <x v="7"/>
    <x v="1"/>
    <x v="5"/>
    <x v="0"/>
    <x v="6"/>
    <x v="0"/>
    <x v="0"/>
    <n v="0"/>
    <n v="0"/>
    <n v="0"/>
    <x v="2"/>
  </r>
  <r>
    <x v="7"/>
    <x v="1"/>
    <x v="5"/>
    <x v="0"/>
    <x v="8"/>
    <x v="0"/>
    <x v="0"/>
    <n v="0"/>
    <n v="0"/>
    <n v="0"/>
    <x v="2"/>
  </r>
  <r>
    <x v="7"/>
    <x v="1"/>
    <x v="5"/>
    <x v="1"/>
    <x v="10"/>
    <x v="0"/>
    <x v="0"/>
    <n v="1.49"/>
    <n v="8339.4"/>
    <n v="34256.550000000003"/>
    <x v="2"/>
  </r>
  <r>
    <x v="7"/>
    <x v="1"/>
    <x v="5"/>
    <x v="1"/>
    <x v="11"/>
    <x v="0"/>
    <x v="0"/>
    <n v="0"/>
    <n v="0"/>
    <n v="0"/>
    <x v="2"/>
  </r>
  <r>
    <x v="7"/>
    <x v="1"/>
    <x v="5"/>
    <x v="1"/>
    <x v="13"/>
    <x v="0"/>
    <x v="0"/>
    <n v="0"/>
    <n v="0"/>
    <n v="0"/>
    <x v="2"/>
  </r>
  <r>
    <x v="7"/>
    <x v="1"/>
    <x v="5"/>
    <x v="1"/>
    <x v="14"/>
    <x v="0"/>
    <x v="0"/>
    <n v="0"/>
    <n v="0"/>
    <n v="0"/>
    <x v="2"/>
  </r>
  <r>
    <x v="7"/>
    <x v="1"/>
    <x v="5"/>
    <x v="1"/>
    <x v="16"/>
    <x v="0"/>
    <x v="0"/>
    <n v="0"/>
    <n v="0"/>
    <n v="0"/>
    <x v="2"/>
  </r>
  <r>
    <x v="7"/>
    <x v="1"/>
    <x v="5"/>
    <x v="1"/>
    <x v="17"/>
    <x v="0"/>
    <x v="0"/>
    <n v="0"/>
    <n v="0"/>
    <n v="0"/>
    <x v="2"/>
  </r>
  <r>
    <x v="7"/>
    <x v="1"/>
    <x v="5"/>
    <x v="1"/>
    <x v="18"/>
    <x v="0"/>
    <x v="0"/>
    <n v="0"/>
    <n v="0"/>
    <n v="0"/>
    <x v="2"/>
  </r>
  <r>
    <x v="7"/>
    <x v="1"/>
    <x v="5"/>
    <x v="1"/>
    <x v="19"/>
    <x v="0"/>
    <x v="0"/>
    <n v="0"/>
    <n v="0"/>
    <n v="0"/>
    <x v="2"/>
  </r>
  <r>
    <x v="7"/>
    <x v="1"/>
    <x v="5"/>
    <x v="1"/>
    <x v="20"/>
    <x v="0"/>
    <x v="0"/>
    <n v="1.56"/>
    <n v="8731.18"/>
    <n v="35893.800000000003"/>
    <x v="2"/>
  </r>
  <r>
    <x v="7"/>
    <x v="1"/>
    <x v="5"/>
    <x v="2"/>
    <x v="21"/>
    <x v="0"/>
    <x v="0"/>
    <n v="2.74"/>
    <n v="15335.53"/>
    <n v="62903.01"/>
    <x v="2"/>
  </r>
  <r>
    <x v="7"/>
    <x v="1"/>
    <x v="5"/>
    <x v="2"/>
    <x v="22"/>
    <x v="0"/>
    <x v="0"/>
    <n v="0"/>
    <n v="0"/>
    <n v="0"/>
    <x v="2"/>
  </r>
  <r>
    <x v="7"/>
    <x v="1"/>
    <x v="5"/>
    <x v="2"/>
    <x v="29"/>
    <x v="0"/>
    <x v="0"/>
    <n v="0"/>
    <n v="0"/>
    <n v="0"/>
    <x v="2"/>
  </r>
  <r>
    <x v="7"/>
    <x v="1"/>
    <x v="5"/>
    <x v="2"/>
    <x v="24"/>
    <x v="0"/>
    <x v="0"/>
    <n v="0"/>
    <n v="0"/>
    <n v="0"/>
    <x v="2"/>
  </r>
  <r>
    <x v="7"/>
    <x v="1"/>
    <x v="5"/>
    <x v="3"/>
    <x v="25"/>
    <x v="0"/>
    <x v="0"/>
    <n v="0"/>
    <n v="0"/>
    <n v="0"/>
    <x v="2"/>
  </r>
  <r>
    <x v="7"/>
    <x v="1"/>
    <x v="5"/>
    <x v="3"/>
    <x v="26"/>
    <x v="0"/>
    <x v="0"/>
    <n v="1.78"/>
    <n v="9962.5"/>
    <n v="40962.300000000003"/>
    <x v="2"/>
  </r>
  <r>
    <x v="7"/>
    <x v="1"/>
    <x v="5"/>
    <x v="3"/>
    <x v="27"/>
    <x v="0"/>
    <x v="0"/>
    <n v="1.44"/>
    <n v="8059.55"/>
    <n v="33173.449999999997"/>
    <x v="2"/>
  </r>
  <r>
    <x v="7"/>
    <x v="1"/>
    <x v="5"/>
    <x v="0"/>
    <x v="0"/>
    <x v="0"/>
    <x v="1"/>
    <n v="1.78"/>
    <n v="9962.5"/>
    <n v="40912.81"/>
    <x v="2"/>
  </r>
  <r>
    <x v="7"/>
    <x v="1"/>
    <x v="5"/>
    <x v="0"/>
    <x v="1"/>
    <x v="0"/>
    <x v="1"/>
    <n v="4.3499999999999996"/>
    <n v="24346.560000000001"/>
    <n v="99929.75"/>
    <x v="2"/>
  </r>
  <r>
    <x v="7"/>
    <x v="1"/>
    <x v="5"/>
    <x v="0"/>
    <x v="2"/>
    <x v="0"/>
    <x v="1"/>
    <n v="4.66"/>
    <n v="26081.599999999999"/>
    <n v="106898.03"/>
    <x v="2"/>
  </r>
  <r>
    <x v="7"/>
    <x v="1"/>
    <x v="5"/>
    <x v="0"/>
    <x v="3"/>
    <x v="0"/>
    <x v="1"/>
    <n v="5.73"/>
    <n v="32070.29"/>
    <n v="131506.67000000001"/>
    <x v="2"/>
  </r>
  <r>
    <x v="7"/>
    <x v="1"/>
    <x v="5"/>
    <x v="0"/>
    <x v="4"/>
    <x v="0"/>
    <x v="1"/>
    <n v="0.48"/>
    <n v="2686.52"/>
    <n v="10971.43"/>
    <x v="2"/>
  </r>
  <r>
    <x v="7"/>
    <x v="1"/>
    <x v="5"/>
    <x v="0"/>
    <x v="5"/>
    <x v="0"/>
    <x v="1"/>
    <n v="3.46"/>
    <n v="19365.310000000001"/>
    <n v="79347.14"/>
    <x v="2"/>
  </r>
  <r>
    <x v="7"/>
    <x v="1"/>
    <x v="5"/>
    <x v="0"/>
    <x v="6"/>
    <x v="0"/>
    <x v="1"/>
    <n v="1.35"/>
    <n v="7555.83"/>
    <n v="31077.33"/>
    <x v="2"/>
  </r>
  <r>
    <x v="7"/>
    <x v="1"/>
    <x v="5"/>
    <x v="0"/>
    <x v="8"/>
    <x v="0"/>
    <x v="1"/>
    <n v="1.9"/>
    <n v="10634.13"/>
    <n v="43584.1"/>
    <x v="2"/>
  </r>
  <r>
    <x v="7"/>
    <x v="1"/>
    <x v="5"/>
    <x v="1"/>
    <x v="10"/>
    <x v="0"/>
    <x v="1"/>
    <n v="3.26"/>
    <n v="18245.93"/>
    <n v="74936.2"/>
    <x v="2"/>
  </r>
  <r>
    <x v="7"/>
    <x v="1"/>
    <x v="5"/>
    <x v="1"/>
    <x v="11"/>
    <x v="0"/>
    <x v="1"/>
    <n v="9.1300000000000008"/>
    <n v="51099.79"/>
    <n v="209645.75"/>
    <x v="2"/>
  </r>
  <r>
    <x v="7"/>
    <x v="1"/>
    <x v="5"/>
    <x v="1"/>
    <x v="13"/>
    <x v="0"/>
    <x v="1"/>
    <n v="2.83"/>
    <n v="15839.26"/>
    <n v="64982.239999999998"/>
    <x v="2"/>
  </r>
  <r>
    <x v="7"/>
    <x v="1"/>
    <x v="5"/>
    <x v="1"/>
    <x v="14"/>
    <x v="0"/>
    <x v="1"/>
    <n v="1.17"/>
    <n v="6548.38"/>
    <n v="26783.77"/>
    <x v="2"/>
  </r>
  <r>
    <x v="7"/>
    <x v="1"/>
    <x v="5"/>
    <x v="1"/>
    <x v="16"/>
    <x v="0"/>
    <x v="1"/>
    <n v="0.74"/>
    <n v="4141.71"/>
    <n v="17006.599999999999"/>
    <x v="2"/>
  </r>
  <r>
    <x v="7"/>
    <x v="1"/>
    <x v="5"/>
    <x v="1"/>
    <x v="17"/>
    <x v="0"/>
    <x v="1"/>
    <n v="1.72"/>
    <n v="9626.69"/>
    <n v="39525.019999999997"/>
    <x v="2"/>
  </r>
  <r>
    <x v="7"/>
    <x v="1"/>
    <x v="5"/>
    <x v="1"/>
    <x v="18"/>
    <x v="0"/>
    <x v="1"/>
    <n v="10.81"/>
    <n v="60502.6"/>
    <n v="248307.41"/>
    <x v="2"/>
  </r>
  <r>
    <x v="7"/>
    <x v="1"/>
    <x v="5"/>
    <x v="1"/>
    <x v="19"/>
    <x v="0"/>
    <x v="1"/>
    <n v="4.6500000000000004"/>
    <n v="26025.63"/>
    <n v="106771.84"/>
    <x v="2"/>
  </r>
  <r>
    <x v="7"/>
    <x v="1"/>
    <x v="5"/>
    <x v="1"/>
    <x v="20"/>
    <x v="0"/>
    <x v="1"/>
    <n v="9.2899999999999991"/>
    <n v="51995.29"/>
    <n v="213368.69"/>
    <x v="2"/>
  </r>
  <r>
    <x v="7"/>
    <x v="1"/>
    <x v="5"/>
    <x v="2"/>
    <x v="21"/>
    <x v="0"/>
    <x v="1"/>
    <n v="0"/>
    <n v="0"/>
    <n v="0"/>
    <x v="2"/>
  </r>
  <r>
    <x v="7"/>
    <x v="1"/>
    <x v="5"/>
    <x v="2"/>
    <x v="22"/>
    <x v="0"/>
    <x v="1"/>
    <n v="2.88"/>
    <n v="16119.1"/>
    <n v="66123.100000000006"/>
    <x v="2"/>
  </r>
  <r>
    <x v="7"/>
    <x v="1"/>
    <x v="5"/>
    <x v="2"/>
    <x v="29"/>
    <x v="0"/>
    <x v="1"/>
    <n v="1.87"/>
    <n v="10466.219999999999"/>
    <n v="42870.36"/>
    <x v="2"/>
  </r>
  <r>
    <x v="7"/>
    <x v="1"/>
    <x v="5"/>
    <x v="2"/>
    <x v="24"/>
    <x v="0"/>
    <x v="1"/>
    <n v="2.04"/>
    <n v="11417.7"/>
    <n v="46948.77"/>
    <x v="2"/>
  </r>
  <r>
    <x v="7"/>
    <x v="1"/>
    <x v="5"/>
    <x v="3"/>
    <x v="25"/>
    <x v="0"/>
    <x v="1"/>
    <n v="1.38"/>
    <n v="7723.74"/>
    <n v="31621.67"/>
    <x v="2"/>
  </r>
  <r>
    <x v="7"/>
    <x v="1"/>
    <x v="5"/>
    <x v="3"/>
    <x v="26"/>
    <x v="0"/>
    <x v="1"/>
    <n v="1.5"/>
    <n v="8395.3700000000008"/>
    <n v="34494.57"/>
    <x v="2"/>
  </r>
  <r>
    <x v="7"/>
    <x v="1"/>
    <x v="5"/>
    <x v="3"/>
    <x v="27"/>
    <x v="0"/>
    <x v="1"/>
    <n v="5.5"/>
    <n v="30783.01"/>
    <n v="126375.03"/>
    <x v="2"/>
  </r>
  <r>
    <x v="7"/>
    <x v="1"/>
    <x v="5"/>
    <x v="0"/>
    <x v="0"/>
    <x v="1"/>
    <x v="0"/>
    <n v="3.78"/>
    <n v="21156.32"/>
    <n v="56754.9"/>
    <x v="2"/>
  </r>
  <r>
    <x v="7"/>
    <x v="1"/>
    <x v="5"/>
    <x v="0"/>
    <x v="1"/>
    <x v="1"/>
    <x v="0"/>
    <n v="10.82"/>
    <n v="60558.57"/>
    <n v="159767.67000000001"/>
    <x v="2"/>
  </r>
  <r>
    <x v="7"/>
    <x v="1"/>
    <x v="5"/>
    <x v="0"/>
    <x v="2"/>
    <x v="1"/>
    <x v="0"/>
    <n v="4.4000000000000004"/>
    <n v="24626.400000000001"/>
    <n v="62677.55"/>
    <x v="2"/>
  </r>
  <r>
    <x v="7"/>
    <x v="1"/>
    <x v="5"/>
    <x v="0"/>
    <x v="3"/>
    <x v="1"/>
    <x v="0"/>
    <n v="10.1"/>
    <n v="56528.79"/>
    <n v="149864.76"/>
    <x v="2"/>
  </r>
  <r>
    <x v="7"/>
    <x v="1"/>
    <x v="5"/>
    <x v="0"/>
    <x v="28"/>
    <x v="1"/>
    <x v="0"/>
    <n v="0"/>
    <n v="0"/>
    <n v="0"/>
    <x v="2"/>
  </r>
  <r>
    <x v="7"/>
    <x v="1"/>
    <x v="5"/>
    <x v="0"/>
    <x v="4"/>
    <x v="1"/>
    <x v="0"/>
    <n v="3.96"/>
    <n v="22163.759999999998"/>
    <n v="58150.38"/>
    <x v="2"/>
  </r>
  <r>
    <x v="7"/>
    <x v="1"/>
    <x v="5"/>
    <x v="0"/>
    <x v="5"/>
    <x v="1"/>
    <x v="0"/>
    <n v="1.95"/>
    <n v="10913.97"/>
    <n v="29439.66"/>
    <x v="2"/>
  </r>
  <r>
    <x v="7"/>
    <x v="1"/>
    <x v="5"/>
    <x v="0"/>
    <x v="6"/>
    <x v="1"/>
    <x v="0"/>
    <n v="0"/>
    <n v="0"/>
    <n v="0"/>
    <x v="2"/>
  </r>
  <r>
    <x v="7"/>
    <x v="1"/>
    <x v="5"/>
    <x v="0"/>
    <x v="7"/>
    <x v="1"/>
    <x v="0"/>
    <n v="0"/>
    <n v="0"/>
    <n v="0"/>
    <x v="2"/>
  </r>
  <r>
    <x v="7"/>
    <x v="1"/>
    <x v="5"/>
    <x v="0"/>
    <x v="8"/>
    <x v="1"/>
    <x v="0"/>
    <n v="0"/>
    <n v="0"/>
    <n v="0"/>
    <x v="2"/>
  </r>
  <r>
    <x v="7"/>
    <x v="1"/>
    <x v="5"/>
    <x v="1"/>
    <x v="30"/>
    <x v="1"/>
    <x v="0"/>
    <n v="1.72"/>
    <n v="9626.69"/>
    <n v="27262.12"/>
    <x v="2"/>
  </r>
  <r>
    <x v="7"/>
    <x v="1"/>
    <x v="5"/>
    <x v="1"/>
    <x v="9"/>
    <x v="1"/>
    <x v="0"/>
    <n v="0"/>
    <n v="0"/>
    <n v="0"/>
    <x v="2"/>
  </r>
  <r>
    <x v="7"/>
    <x v="1"/>
    <x v="5"/>
    <x v="1"/>
    <x v="31"/>
    <x v="1"/>
    <x v="0"/>
    <n v="3.29"/>
    <n v="18413.830000000002"/>
    <n v="52514.34"/>
    <x v="2"/>
  </r>
  <r>
    <x v="7"/>
    <x v="1"/>
    <x v="5"/>
    <x v="1"/>
    <x v="10"/>
    <x v="1"/>
    <x v="0"/>
    <n v="6.31"/>
    <n v="35316.5"/>
    <n v="98850.99"/>
    <x v="2"/>
  </r>
  <r>
    <x v="7"/>
    <x v="1"/>
    <x v="5"/>
    <x v="1"/>
    <x v="11"/>
    <x v="1"/>
    <x v="0"/>
    <n v="5.9"/>
    <n v="33021.769999999997"/>
    <n v="88075.18"/>
    <x v="2"/>
  </r>
  <r>
    <x v="7"/>
    <x v="1"/>
    <x v="5"/>
    <x v="1"/>
    <x v="12"/>
    <x v="1"/>
    <x v="0"/>
    <n v="0.86"/>
    <n v="4813.34"/>
    <n v="13482.86"/>
    <x v="2"/>
  </r>
  <r>
    <x v="7"/>
    <x v="1"/>
    <x v="5"/>
    <x v="1"/>
    <x v="13"/>
    <x v="1"/>
    <x v="0"/>
    <n v="5.68"/>
    <n v="31790.45"/>
    <n v="88880.37"/>
    <x v="2"/>
  </r>
  <r>
    <x v="7"/>
    <x v="1"/>
    <x v="5"/>
    <x v="1"/>
    <x v="14"/>
    <x v="1"/>
    <x v="0"/>
    <n v="10.77"/>
    <n v="60278.720000000001"/>
    <n v="165281.07"/>
    <x v="2"/>
  </r>
  <r>
    <x v="7"/>
    <x v="1"/>
    <x v="5"/>
    <x v="1"/>
    <x v="15"/>
    <x v="1"/>
    <x v="0"/>
    <n v="1.51"/>
    <n v="8451.33"/>
    <n v="24009.7"/>
    <x v="2"/>
  </r>
  <r>
    <x v="7"/>
    <x v="1"/>
    <x v="5"/>
    <x v="1"/>
    <x v="16"/>
    <x v="1"/>
    <x v="0"/>
    <n v="2.82"/>
    <n v="15783.29"/>
    <n v="42667.4"/>
    <x v="2"/>
  </r>
  <r>
    <x v="7"/>
    <x v="1"/>
    <x v="5"/>
    <x v="1"/>
    <x v="17"/>
    <x v="1"/>
    <x v="0"/>
    <n v="3.85"/>
    <n v="21548.1"/>
    <n v="58705.57"/>
    <x v="2"/>
  </r>
  <r>
    <x v="7"/>
    <x v="1"/>
    <x v="5"/>
    <x v="1"/>
    <x v="18"/>
    <x v="1"/>
    <x v="0"/>
    <n v="6.36"/>
    <n v="35596.35"/>
    <n v="101573.47"/>
    <x v="2"/>
  </r>
  <r>
    <x v="7"/>
    <x v="1"/>
    <x v="5"/>
    <x v="1"/>
    <x v="19"/>
    <x v="1"/>
    <x v="0"/>
    <n v="4.1399999999999997"/>
    <n v="23171.21"/>
    <n v="64075.08"/>
    <x v="2"/>
  </r>
  <r>
    <x v="7"/>
    <x v="1"/>
    <x v="5"/>
    <x v="1"/>
    <x v="20"/>
    <x v="1"/>
    <x v="0"/>
    <n v="9.39"/>
    <n v="52554.98"/>
    <n v="142905.07"/>
    <x v="2"/>
  </r>
  <r>
    <x v="7"/>
    <x v="1"/>
    <x v="5"/>
    <x v="2"/>
    <x v="21"/>
    <x v="1"/>
    <x v="0"/>
    <n v="0"/>
    <n v="0"/>
    <n v="0"/>
    <x v="2"/>
  </r>
  <r>
    <x v="7"/>
    <x v="1"/>
    <x v="5"/>
    <x v="2"/>
    <x v="22"/>
    <x v="1"/>
    <x v="0"/>
    <n v="5.09"/>
    <n v="28488.27"/>
    <n v="71186.539999999994"/>
    <x v="2"/>
  </r>
  <r>
    <x v="7"/>
    <x v="1"/>
    <x v="5"/>
    <x v="2"/>
    <x v="29"/>
    <x v="1"/>
    <x v="0"/>
    <n v="0"/>
    <n v="0"/>
    <n v="0"/>
    <x v="2"/>
  </r>
  <r>
    <x v="7"/>
    <x v="1"/>
    <x v="5"/>
    <x v="2"/>
    <x v="23"/>
    <x v="1"/>
    <x v="0"/>
    <n v="0"/>
    <n v="0"/>
    <n v="0"/>
    <x v="2"/>
  </r>
  <r>
    <x v="7"/>
    <x v="1"/>
    <x v="5"/>
    <x v="2"/>
    <x v="24"/>
    <x v="1"/>
    <x v="0"/>
    <n v="0.88"/>
    <n v="4925.28"/>
    <n v="12473.33"/>
    <x v="2"/>
  </r>
  <r>
    <x v="7"/>
    <x v="1"/>
    <x v="5"/>
    <x v="3"/>
    <x v="25"/>
    <x v="1"/>
    <x v="0"/>
    <n v="4.24"/>
    <n v="23730.9"/>
    <n v="66728.55"/>
    <x v="2"/>
  </r>
  <r>
    <x v="7"/>
    <x v="1"/>
    <x v="5"/>
    <x v="3"/>
    <x v="26"/>
    <x v="1"/>
    <x v="0"/>
    <n v="4.58"/>
    <n v="25633.85"/>
    <n v="72555.839999999997"/>
    <x v="2"/>
  </r>
  <r>
    <x v="7"/>
    <x v="1"/>
    <x v="5"/>
    <x v="3"/>
    <x v="27"/>
    <x v="1"/>
    <x v="0"/>
    <n v="10.66"/>
    <n v="59663.06"/>
    <n v="165742.92000000001"/>
    <x v="2"/>
  </r>
  <r>
    <x v="7"/>
    <x v="1"/>
    <x v="5"/>
    <x v="0"/>
    <x v="0"/>
    <x v="1"/>
    <x v="1"/>
    <n v="6.01"/>
    <n v="33637.43"/>
    <n v="90291.88"/>
    <x v="2"/>
  </r>
  <r>
    <x v="7"/>
    <x v="1"/>
    <x v="5"/>
    <x v="0"/>
    <x v="1"/>
    <x v="1"/>
    <x v="1"/>
    <n v="11.97"/>
    <n v="66995.009999999995"/>
    <n v="176712.73"/>
    <x v="2"/>
  </r>
  <r>
    <x v="7"/>
    <x v="1"/>
    <x v="5"/>
    <x v="0"/>
    <x v="2"/>
    <x v="1"/>
    <x v="1"/>
    <n v="9.48"/>
    <n v="53058.71"/>
    <n v="135186.87"/>
    <x v="2"/>
  </r>
  <r>
    <x v="7"/>
    <x v="1"/>
    <x v="5"/>
    <x v="0"/>
    <x v="3"/>
    <x v="1"/>
    <x v="1"/>
    <n v="22.94"/>
    <n v="128393.12"/>
    <n v="340347.07"/>
    <x v="2"/>
  </r>
  <r>
    <x v="7"/>
    <x v="1"/>
    <x v="5"/>
    <x v="0"/>
    <x v="28"/>
    <x v="1"/>
    <x v="1"/>
    <n v="0.75"/>
    <n v="4197.68"/>
    <n v="11194.38"/>
    <x v="2"/>
  </r>
  <r>
    <x v="7"/>
    <x v="1"/>
    <x v="5"/>
    <x v="0"/>
    <x v="4"/>
    <x v="1"/>
    <x v="1"/>
    <n v="5.54"/>
    <n v="31006.880000000001"/>
    <n v="81410.53"/>
    <x v="2"/>
  </r>
  <r>
    <x v="7"/>
    <x v="1"/>
    <x v="5"/>
    <x v="0"/>
    <x v="5"/>
    <x v="1"/>
    <x v="1"/>
    <n v="16"/>
    <n v="89550.56"/>
    <n v="242059.41"/>
    <x v="2"/>
  </r>
  <r>
    <x v="7"/>
    <x v="1"/>
    <x v="5"/>
    <x v="0"/>
    <x v="6"/>
    <x v="1"/>
    <x v="1"/>
    <n v="0.85"/>
    <n v="4757.37"/>
    <n v="12884.3"/>
    <x v="2"/>
  </r>
  <r>
    <x v="7"/>
    <x v="1"/>
    <x v="5"/>
    <x v="0"/>
    <x v="7"/>
    <x v="1"/>
    <x v="1"/>
    <n v="3.12"/>
    <n v="17462.36"/>
    <n v="47816.02"/>
    <x v="2"/>
  </r>
  <r>
    <x v="7"/>
    <x v="1"/>
    <x v="5"/>
    <x v="0"/>
    <x v="8"/>
    <x v="1"/>
    <x v="1"/>
    <n v="1.53"/>
    <n v="8563.27"/>
    <n v="22312.14"/>
    <x v="2"/>
  </r>
  <r>
    <x v="7"/>
    <x v="1"/>
    <x v="5"/>
    <x v="1"/>
    <x v="30"/>
    <x v="1"/>
    <x v="1"/>
    <n v="0"/>
    <n v="0"/>
    <n v="0"/>
    <x v="2"/>
  </r>
  <r>
    <x v="7"/>
    <x v="1"/>
    <x v="5"/>
    <x v="1"/>
    <x v="9"/>
    <x v="1"/>
    <x v="1"/>
    <n v="3.82"/>
    <n v="21380.2"/>
    <n v="60354.41"/>
    <x v="2"/>
  </r>
  <r>
    <x v="7"/>
    <x v="1"/>
    <x v="5"/>
    <x v="1"/>
    <x v="31"/>
    <x v="1"/>
    <x v="1"/>
    <n v="0"/>
    <n v="0"/>
    <n v="0"/>
    <x v="2"/>
  </r>
  <r>
    <x v="7"/>
    <x v="1"/>
    <x v="5"/>
    <x v="1"/>
    <x v="10"/>
    <x v="1"/>
    <x v="1"/>
    <n v="24.98"/>
    <n v="139810.81"/>
    <n v="391285.18"/>
    <x v="2"/>
  </r>
  <r>
    <x v="7"/>
    <x v="1"/>
    <x v="5"/>
    <x v="1"/>
    <x v="11"/>
    <x v="1"/>
    <x v="1"/>
    <n v="18.73"/>
    <n v="104830.12"/>
    <n v="279542.98"/>
    <x v="2"/>
  </r>
  <r>
    <x v="7"/>
    <x v="1"/>
    <x v="5"/>
    <x v="1"/>
    <x v="12"/>
    <x v="1"/>
    <x v="1"/>
    <n v="2.4900000000000002"/>
    <n v="13936.31"/>
    <n v="39100.29"/>
    <x v="2"/>
  </r>
  <r>
    <x v="7"/>
    <x v="1"/>
    <x v="5"/>
    <x v="1"/>
    <x v="13"/>
    <x v="1"/>
    <x v="1"/>
    <n v="9.7899999999999991"/>
    <n v="54793.75"/>
    <n v="153147.72"/>
    <x v="2"/>
  </r>
  <r>
    <x v="7"/>
    <x v="1"/>
    <x v="5"/>
    <x v="1"/>
    <x v="14"/>
    <x v="1"/>
    <x v="1"/>
    <n v="5.21"/>
    <n v="29159.9"/>
    <n v="79974.710000000006"/>
    <x v="2"/>
  </r>
  <r>
    <x v="7"/>
    <x v="1"/>
    <x v="5"/>
    <x v="1"/>
    <x v="15"/>
    <x v="1"/>
    <x v="1"/>
    <n v="1.51"/>
    <n v="8451.33"/>
    <n v="24009.7"/>
    <x v="2"/>
  </r>
  <r>
    <x v="7"/>
    <x v="1"/>
    <x v="5"/>
    <x v="1"/>
    <x v="16"/>
    <x v="1"/>
    <x v="1"/>
    <n v="5.45"/>
    <n v="30503.16"/>
    <n v="82340.59"/>
    <x v="2"/>
  </r>
  <r>
    <x v="7"/>
    <x v="1"/>
    <x v="5"/>
    <x v="1"/>
    <x v="17"/>
    <x v="1"/>
    <x v="1"/>
    <n v="3.35"/>
    <n v="18749.650000000001"/>
    <n v="51048.32"/>
    <x v="2"/>
  </r>
  <r>
    <x v="7"/>
    <x v="1"/>
    <x v="5"/>
    <x v="1"/>
    <x v="18"/>
    <x v="1"/>
    <x v="1"/>
    <n v="25.37"/>
    <n v="141993.60999999999"/>
    <n v="404902.48"/>
    <x v="2"/>
  </r>
  <r>
    <x v="7"/>
    <x v="1"/>
    <x v="5"/>
    <x v="1"/>
    <x v="19"/>
    <x v="1"/>
    <x v="1"/>
    <n v="6.16"/>
    <n v="34476.97"/>
    <n v="95384.5"/>
    <x v="2"/>
  </r>
  <r>
    <x v="7"/>
    <x v="1"/>
    <x v="5"/>
    <x v="1"/>
    <x v="20"/>
    <x v="1"/>
    <x v="1"/>
    <n v="18.25"/>
    <n v="102143.61"/>
    <n v="277870.96000000002"/>
    <x v="2"/>
  </r>
  <r>
    <x v="7"/>
    <x v="1"/>
    <x v="5"/>
    <x v="2"/>
    <x v="21"/>
    <x v="1"/>
    <x v="1"/>
    <n v="2.0499999999999998"/>
    <n v="11473.67"/>
    <n v="28644.12"/>
    <x v="2"/>
  </r>
  <r>
    <x v="7"/>
    <x v="1"/>
    <x v="5"/>
    <x v="2"/>
    <x v="22"/>
    <x v="1"/>
    <x v="1"/>
    <n v="10.69"/>
    <n v="59830.97"/>
    <n v="149491.73000000001"/>
    <x v="2"/>
  </r>
  <r>
    <x v="7"/>
    <x v="1"/>
    <x v="5"/>
    <x v="2"/>
    <x v="29"/>
    <x v="1"/>
    <x v="1"/>
    <n v="0.38"/>
    <n v="2126.83"/>
    <n v="5706.91"/>
    <x v="2"/>
  </r>
  <r>
    <x v="7"/>
    <x v="1"/>
    <x v="5"/>
    <x v="2"/>
    <x v="23"/>
    <x v="1"/>
    <x v="1"/>
    <n v="1.86"/>
    <n v="10410.25"/>
    <n v="27075.81"/>
    <x v="2"/>
  </r>
  <r>
    <x v="7"/>
    <x v="1"/>
    <x v="5"/>
    <x v="2"/>
    <x v="24"/>
    <x v="1"/>
    <x v="1"/>
    <n v="1.35"/>
    <n v="7555.83"/>
    <n v="19276.97"/>
    <x v="2"/>
  </r>
  <r>
    <x v="7"/>
    <x v="1"/>
    <x v="5"/>
    <x v="3"/>
    <x v="25"/>
    <x v="1"/>
    <x v="1"/>
    <n v="7.53"/>
    <n v="42144.73"/>
    <n v="118477.21"/>
    <x v="2"/>
  </r>
  <r>
    <x v="7"/>
    <x v="1"/>
    <x v="5"/>
    <x v="3"/>
    <x v="26"/>
    <x v="1"/>
    <x v="1"/>
    <n v="11.06"/>
    <n v="61901.82"/>
    <n v="175229.19"/>
    <x v="2"/>
  </r>
  <r>
    <x v="7"/>
    <x v="1"/>
    <x v="5"/>
    <x v="3"/>
    <x v="27"/>
    <x v="1"/>
    <x v="1"/>
    <n v="28.14"/>
    <n v="157497.04999999999"/>
    <n v="437452.62"/>
    <x v="2"/>
  </r>
  <r>
    <x v="7"/>
    <x v="1"/>
    <x v="6"/>
    <x v="0"/>
    <x v="0"/>
    <x v="0"/>
    <x v="0"/>
    <n v="2.17"/>
    <n v="5761.94"/>
    <n v="20371.38"/>
    <x v="2"/>
  </r>
  <r>
    <x v="7"/>
    <x v="1"/>
    <x v="6"/>
    <x v="0"/>
    <x v="1"/>
    <x v="0"/>
    <x v="0"/>
    <n v="2.97"/>
    <n v="7886.15"/>
    <n v="27796.21"/>
    <x v="2"/>
  </r>
  <r>
    <x v="7"/>
    <x v="1"/>
    <x v="6"/>
    <x v="0"/>
    <x v="2"/>
    <x v="0"/>
    <x v="0"/>
    <n v="0"/>
    <n v="0"/>
    <n v="0"/>
    <x v="2"/>
  </r>
  <r>
    <x v="7"/>
    <x v="1"/>
    <x v="6"/>
    <x v="0"/>
    <x v="3"/>
    <x v="0"/>
    <x v="0"/>
    <n v="1.4"/>
    <n v="3717.38"/>
    <n v="13077.9"/>
    <x v="2"/>
  </r>
  <r>
    <x v="7"/>
    <x v="1"/>
    <x v="6"/>
    <x v="0"/>
    <x v="4"/>
    <x v="0"/>
    <x v="0"/>
    <n v="0"/>
    <n v="0"/>
    <n v="0"/>
    <x v="2"/>
  </r>
  <r>
    <x v="7"/>
    <x v="1"/>
    <x v="6"/>
    <x v="0"/>
    <x v="5"/>
    <x v="0"/>
    <x v="0"/>
    <n v="0"/>
    <n v="0"/>
    <n v="0"/>
    <x v="2"/>
  </r>
  <r>
    <x v="7"/>
    <x v="1"/>
    <x v="6"/>
    <x v="0"/>
    <x v="6"/>
    <x v="0"/>
    <x v="0"/>
    <n v="0"/>
    <n v="0"/>
    <n v="0"/>
    <x v="2"/>
  </r>
  <r>
    <x v="7"/>
    <x v="1"/>
    <x v="6"/>
    <x v="0"/>
    <x v="8"/>
    <x v="0"/>
    <x v="0"/>
    <n v="0"/>
    <n v="0"/>
    <n v="0"/>
    <x v="2"/>
  </r>
  <r>
    <x v="7"/>
    <x v="1"/>
    <x v="6"/>
    <x v="1"/>
    <x v="10"/>
    <x v="0"/>
    <x v="0"/>
    <n v="2.5099999999999998"/>
    <n v="6664.73"/>
    <n v="23557.58"/>
    <x v="2"/>
  </r>
  <r>
    <x v="7"/>
    <x v="1"/>
    <x v="6"/>
    <x v="1"/>
    <x v="11"/>
    <x v="0"/>
    <x v="0"/>
    <n v="0"/>
    <n v="0"/>
    <n v="0"/>
    <x v="2"/>
  </r>
  <r>
    <x v="7"/>
    <x v="1"/>
    <x v="6"/>
    <x v="1"/>
    <x v="13"/>
    <x v="0"/>
    <x v="0"/>
    <n v="0"/>
    <n v="0"/>
    <n v="0"/>
    <x v="2"/>
  </r>
  <r>
    <x v="7"/>
    <x v="1"/>
    <x v="6"/>
    <x v="1"/>
    <x v="14"/>
    <x v="0"/>
    <x v="0"/>
    <n v="0"/>
    <n v="0"/>
    <n v="0"/>
    <x v="2"/>
  </r>
  <r>
    <x v="7"/>
    <x v="1"/>
    <x v="6"/>
    <x v="1"/>
    <x v="16"/>
    <x v="0"/>
    <x v="0"/>
    <n v="0"/>
    <n v="0"/>
    <n v="0"/>
    <x v="2"/>
  </r>
  <r>
    <x v="7"/>
    <x v="1"/>
    <x v="6"/>
    <x v="1"/>
    <x v="17"/>
    <x v="0"/>
    <x v="0"/>
    <n v="0"/>
    <n v="0"/>
    <n v="0"/>
    <x v="2"/>
  </r>
  <r>
    <x v="7"/>
    <x v="1"/>
    <x v="6"/>
    <x v="1"/>
    <x v="18"/>
    <x v="0"/>
    <x v="0"/>
    <n v="0"/>
    <n v="0"/>
    <n v="0"/>
    <x v="2"/>
  </r>
  <r>
    <x v="7"/>
    <x v="1"/>
    <x v="6"/>
    <x v="1"/>
    <x v="19"/>
    <x v="0"/>
    <x v="0"/>
    <n v="0"/>
    <n v="0"/>
    <n v="0"/>
    <x v="2"/>
  </r>
  <r>
    <x v="7"/>
    <x v="1"/>
    <x v="6"/>
    <x v="1"/>
    <x v="20"/>
    <x v="0"/>
    <x v="0"/>
    <n v="1.29"/>
    <n v="3425.3"/>
    <n v="12093.3"/>
    <x v="2"/>
  </r>
  <r>
    <x v="7"/>
    <x v="1"/>
    <x v="6"/>
    <x v="2"/>
    <x v="21"/>
    <x v="0"/>
    <x v="0"/>
    <n v="1.34"/>
    <n v="3558.06"/>
    <n v="12519.43"/>
    <x v="2"/>
  </r>
  <r>
    <x v="7"/>
    <x v="1"/>
    <x v="6"/>
    <x v="2"/>
    <x v="22"/>
    <x v="0"/>
    <x v="0"/>
    <n v="0"/>
    <n v="0"/>
    <n v="0"/>
    <x v="2"/>
  </r>
  <r>
    <x v="7"/>
    <x v="1"/>
    <x v="6"/>
    <x v="2"/>
    <x v="29"/>
    <x v="0"/>
    <x v="0"/>
    <n v="0"/>
    <n v="0"/>
    <n v="0"/>
    <x v="2"/>
  </r>
  <r>
    <x v="7"/>
    <x v="1"/>
    <x v="6"/>
    <x v="2"/>
    <x v="24"/>
    <x v="0"/>
    <x v="0"/>
    <n v="0"/>
    <n v="0"/>
    <n v="0"/>
    <x v="2"/>
  </r>
  <r>
    <x v="7"/>
    <x v="1"/>
    <x v="6"/>
    <x v="3"/>
    <x v="25"/>
    <x v="0"/>
    <x v="0"/>
    <n v="0"/>
    <n v="0"/>
    <n v="0"/>
    <x v="2"/>
  </r>
  <r>
    <x v="7"/>
    <x v="1"/>
    <x v="6"/>
    <x v="3"/>
    <x v="26"/>
    <x v="0"/>
    <x v="0"/>
    <n v="1.52"/>
    <n v="4036.01"/>
    <n v="14194.87"/>
    <x v="2"/>
  </r>
  <r>
    <x v="7"/>
    <x v="1"/>
    <x v="6"/>
    <x v="3"/>
    <x v="27"/>
    <x v="0"/>
    <x v="0"/>
    <n v="1.49"/>
    <n v="3956.35"/>
    <n v="13999.07"/>
    <x v="2"/>
  </r>
  <r>
    <x v="7"/>
    <x v="1"/>
    <x v="6"/>
    <x v="0"/>
    <x v="0"/>
    <x v="0"/>
    <x v="1"/>
    <n v="1.7"/>
    <n v="4513.96"/>
    <n v="15942.82"/>
    <x v="2"/>
  </r>
  <r>
    <x v="7"/>
    <x v="1"/>
    <x v="6"/>
    <x v="0"/>
    <x v="1"/>
    <x v="0"/>
    <x v="1"/>
    <n v="6.21"/>
    <n v="16489.23"/>
    <n v="58171.46"/>
    <x v="2"/>
  </r>
  <r>
    <x v="7"/>
    <x v="1"/>
    <x v="6"/>
    <x v="0"/>
    <x v="2"/>
    <x v="0"/>
    <x v="1"/>
    <n v="1.93"/>
    <n v="5124.67"/>
    <n v="18064.54"/>
    <x v="2"/>
  </r>
  <r>
    <x v="7"/>
    <x v="1"/>
    <x v="6"/>
    <x v="0"/>
    <x v="3"/>
    <x v="0"/>
    <x v="1"/>
    <n v="5.58"/>
    <n v="14816.41"/>
    <n v="52311.59"/>
    <x v="2"/>
  </r>
  <r>
    <x v="7"/>
    <x v="1"/>
    <x v="6"/>
    <x v="0"/>
    <x v="4"/>
    <x v="0"/>
    <x v="1"/>
    <n v="2.0099999999999998"/>
    <n v="5337.09"/>
    <n v="18791.18"/>
    <x v="2"/>
  </r>
  <r>
    <x v="7"/>
    <x v="1"/>
    <x v="6"/>
    <x v="0"/>
    <x v="5"/>
    <x v="0"/>
    <x v="1"/>
    <n v="3.49"/>
    <n v="9266.89"/>
    <n v="32712.76"/>
    <x v="2"/>
  </r>
  <r>
    <x v="7"/>
    <x v="1"/>
    <x v="6"/>
    <x v="0"/>
    <x v="6"/>
    <x v="0"/>
    <x v="1"/>
    <n v="1.76"/>
    <n v="4673.28"/>
    <n v="16453.48"/>
    <x v="2"/>
  </r>
  <r>
    <x v="7"/>
    <x v="1"/>
    <x v="6"/>
    <x v="0"/>
    <x v="8"/>
    <x v="0"/>
    <x v="1"/>
    <n v="3.54"/>
    <n v="9399.66"/>
    <n v="33204.46"/>
    <x v="2"/>
  </r>
  <r>
    <x v="7"/>
    <x v="1"/>
    <x v="6"/>
    <x v="1"/>
    <x v="10"/>
    <x v="0"/>
    <x v="1"/>
    <n v="3.54"/>
    <n v="9399.66"/>
    <n v="33155.11"/>
    <x v="2"/>
  </r>
  <r>
    <x v="7"/>
    <x v="1"/>
    <x v="6"/>
    <x v="1"/>
    <x v="11"/>
    <x v="0"/>
    <x v="1"/>
    <n v="9.5299999999999994"/>
    <n v="25304.720000000001"/>
    <n v="89292.4"/>
    <x v="2"/>
  </r>
  <r>
    <x v="7"/>
    <x v="1"/>
    <x v="6"/>
    <x v="1"/>
    <x v="13"/>
    <x v="0"/>
    <x v="1"/>
    <n v="3.61"/>
    <n v="9585.52"/>
    <n v="33850.910000000003"/>
    <x v="2"/>
  </r>
  <r>
    <x v="7"/>
    <x v="1"/>
    <x v="6"/>
    <x v="1"/>
    <x v="14"/>
    <x v="0"/>
    <x v="1"/>
    <n v="0.77"/>
    <n v="2044.56"/>
    <n v="7182.49"/>
    <x v="2"/>
  </r>
  <r>
    <x v="7"/>
    <x v="1"/>
    <x v="6"/>
    <x v="1"/>
    <x v="16"/>
    <x v="0"/>
    <x v="1"/>
    <n v="1.66"/>
    <n v="4407.75"/>
    <n v="15565.53"/>
    <x v="2"/>
  </r>
  <r>
    <x v="7"/>
    <x v="1"/>
    <x v="6"/>
    <x v="1"/>
    <x v="17"/>
    <x v="0"/>
    <x v="1"/>
    <n v="0.75"/>
    <n v="1991.45"/>
    <n v="7063.09"/>
    <x v="2"/>
  </r>
  <r>
    <x v="7"/>
    <x v="1"/>
    <x v="6"/>
    <x v="1"/>
    <x v="18"/>
    <x v="0"/>
    <x v="1"/>
    <n v="9.61"/>
    <n v="25517.14"/>
    <n v="90006.39"/>
    <x v="2"/>
  </r>
  <r>
    <x v="7"/>
    <x v="1"/>
    <x v="6"/>
    <x v="1"/>
    <x v="19"/>
    <x v="0"/>
    <x v="1"/>
    <n v="3.4"/>
    <n v="9027.92"/>
    <n v="31893.95"/>
    <x v="2"/>
  </r>
  <r>
    <x v="7"/>
    <x v="1"/>
    <x v="6"/>
    <x v="1"/>
    <x v="20"/>
    <x v="0"/>
    <x v="1"/>
    <n v="8.11"/>
    <n v="21534.240000000002"/>
    <n v="76015.009999999995"/>
    <x v="2"/>
  </r>
  <r>
    <x v="7"/>
    <x v="1"/>
    <x v="6"/>
    <x v="2"/>
    <x v="21"/>
    <x v="0"/>
    <x v="1"/>
    <n v="0"/>
    <n v="0"/>
    <n v="0"/>
    <x v="2"/>
  </r>
  <r>
    <x v="7"/>
    <x v="1"/>
    <x v="6"/>
    <x v="2"/>
    <x v="22"/>
    <x v="0"/>
    <x v="1"/>
    <n v="2.5299999999999998"/>
    <n v="6717.83"/>
    <n v="23708.18"/>
    <x v="2"/>
  </r>
  <r>
    <x v="7"/>
    <x v="1"/>
    <x v="6"/>
    <x v="2"/>
    <x v="29"/>
    <x v="0"/>
    <x v="1"/>
    <n v="1.24"/>
    <n v="3292.53"/>
    <n v="11656.32"/>
    <x v="2"/>
  </r>
  <r>
    <x v="7"/>
    <x v="1"/>
    <x v="6"/>
    <x v="2"/>
    <x v="24"/>
    <x v="0"/>
    <x v="1"/>
    <n v="1.27"/>
    <n v="3372.19"/>
    <n v="11923.57"/>
    <x v="2"/>
  </r>
  <r>
    <x v="7"/>
    <x v="1"/>
    <x v="6"/>
    <x v="3"/>
    <x v="25"/>
    <x v="0"/>
    <x v="1"/>
    <n v="2.46"/>
    <n v="6531.96"/>
    <n v="23062.79"/>
    <x v="2"/>
  </r>
  <r>
    <x v="7"/>
    <x v="1"/>
    <x v="6"/>
    <x v="3"/>
    <x v="26"/>
    <x v="0"/>
    <x v="1"/>
    <n v="1.04"/>
    <n v="2761.48"/>
    <n v="9758.9699999999993"/>
    <x v="2"/>
  </r>
  <r>
    <x v="7"/>
    <x v="1"/>
    <x v="6"/>
    <x v="3"/>
    <x v="27"/>
    <x v="0"/>
    <x v="1"/>
    <n v="7.38"/>
    <n v="19595.89"/>
    <n v="69120.41"/>
    <x v="2"/>
  </r>
  <r>
    <x v="7"/>
    <x v="1"/>
    <x v="6"/>
    <x v="0"/>
    <x v="0"/>
    <x v="1"/>
    <x v="0"/>
    <n v="3.31"/>
    <n v="8788.94"/>
    <n v="20306.96"/>
    <x v="2"/>
  </r>
  <r>
    <x v="7"/>
    <x v="1"/>
    <x v="6"/>
    <x v="0"/>
    <x v="1"/>
    <x v="1"/>
    <x v="0"/>
    <n v="11.39"/>
    <n v="30243.53"/>
    <n v="68590.14"/>
    <x v="2"/>
  </r>
  <r>
    <x v="7"/>
    <x v="1"/>
    <x v="6"/>
    <x v="0"/>
    <x v="2"/>
    <x v="1"/>
    <x v="0"/>
    <n v="2.87"/>
    <n v="7620.62"/>
    <n v="16681.16"/>
    <x v="2"/>
  </r>
  <r>
    <x v="7"/>
    <x v="1"/>
    <x v="6"/>
    <x v="0"/>
    <x v="3"/>
    <x v="1"/>
    <x v="0"/>
    <n v="10.16"/>
    <n v="26977.54"/>
    <n v="61495.1"/>
    <x v="2"/>
  </r>
  <r>
    <x v="7"/>
    <x v="1"/>
    <x v="6"/>
    <x v="0"/>
    <x v="28"/>
    <x v="1"/>
    <x v="0"/>
    <n v="0"/>
    <n v="0"/>
    <n v="0"/>
    <x v="2"/>
  </r>
  <r>
    <x v="7"/>
    <x v="1"/>
    <x v="6"/>
    <x v="0"/>
    <x v="4"/>
    <x v="1"/>
    <x v="0"/>
    <n v="3.34"/>
    <n v="8868.6"/>
    <n v="20044.03"/>
    <x v="2"/>
  </r>
  <r>
    <x v="7"/>
    <x v="1"/>
    <x v="6"/>
    <x v="0"/>
    <x v="5"/>
    <x v="1"/>
    <x v="0"/>
    <n v="2.68"/>
    <n v="7116.12"/>
    <n v="16561.900000000001"/>
    <x v="2"/>
  </r>
  <r>
    <x v="7"/>
    <x v="1"/>
    <x v="6"/>
    <x v="0"/>
    <x v="6"/>
    <x v="1"/>
    <x v="0"/>
    <n v="0"/>
    <n v="0"/>
    <n v="0"/>
    <x v="2"/>
  </r>
  <r>
    <x v="7"/>
    <x v="1"/>
    <x v="6"/>
    <x v="0"/>
    <x v="7"/>
    <x v="1"/>
    <x v="0"/>
    <n v="0"/>
    <n v="0"/>
    <n v="0"/>
    <x v="2"/>
  </r>
  <r>
    <x v="7"/>
    <x v="1"/>
    <x v="6"/>
    <x v="0"/>
    <x v="8"/>
    <x v="1"/>
    <x v="0"/>
    <n v="0"/>
    <n v="0"/>
    <n v="0"/>
    <x v="2"/>
  </r>
  <r>
    <x v="7"/>
    <x v="1"/>
    <x v="6"/>
    <x v="1"/>
    <x v="30"/>
    <x v="1"/>
    <x v="0"/>
    <n v="1.17"/>
    <n v="3106.67"/>
    <n v="7570.13"/>
    <x v="2"/>
  </r>
  <r>
    <x v="7"/>
    <x v="1"/>
    <x v="6"/>
    <x v="1"/>
    <x v="9"/>
    <x v="1"/>
    <x v="0"/>
    <n v="0"/>
    <n v="0"/>
    <n v="0"/>
    <x v="2"/>
  </r>
  <r>
    <x v="7"/>
    <x v="1"/>
    <x v="6"/>
    <x v="1"/>
    <x v="31"/>
    <x v="1"/>
    <x v="0"/>
    <n v="0.74"/>
    <n v="1964.9"/>
    <n v="4827.6099999999997"/>
    <x v="2"/>
  </r>
  <r>
    <x v="7"/>
    <x v="1"/>
    <x v="6"/>
    <x v="1"/>
    <x v="10"/>
    <x v="1"/>
    <x v="0"/>
    <n v="9.6"/>
    <n v="25490.59"/>
    <n v="61301.01"/>
    <x v="2"/>
  </r>
  <r>
    <x v="7"/>
    <x v="1"/>
    <x v="6"/>
    <x v="1"/>
    <x v="11"/>
    <x v="1"/>
    <x v="0"/>
    <n v="7.01"/>
    <n v="18613.439999999999"/>
    <n v="42694.26"/>
    <x v="2"/>
  </r>
  <r>
    <x v="7"/>
    <x v="1"/>
    <x v="6"/>
    <x v="1"/>
    <x v="12"/>
    <x v="1"/>
    <x v="0"/>
    <n v="1.53"/>
    <n v="4062.56"/>
    <n v="9788.7999999999993"/>
    <x v="2"/>
  </r>
  <r>
    <x v="7"/>
    <x v="1"/>
    <x v="6"/>
    <x v="1"/>
    <x v="13"/>
    <x v="1"/>
    <x v="0"/>
    <n v="1.49"/>
    <n v="3956.35"/>
    <n v="9499.4599999999991"/>
    <x v="2"/>
  </r>
  <r>
    <x v="7"/>
    <x v="1"/>
    <x v="6"/>
    <x v="1"/>
    <x v="14"/>
    <x v="1"/>
    <x v="0"/>
    <n v="10.199999999999999"/>
    <n v="27083.75"/>
    <n v="63826.37"/>
    <x v="2"/>
  </r>
  <r>
    <x v="7"/>
    <x v="1"/>
    <x v="6"/>
    <x v="1"/>
    <x v="15"/>
    <x v="1"/>
    <x v="0"/>
    <n v="2.14"/>
    <n v="5682.28"/>
    <n v="13844.81"/>
    <x v="2"/>
  </r>
  <r>
    <x v="7"/>
    <x v="1"/>
    <x v="6"/>
    <x v="1"/>
    <x v="16"/>
    <x v="1"/>
    <x v="0"/>
    <n v="4.07"/>
    <n v="10806.95"/>
    <n v="25059.439999999999"/>
    <x v="2"/>
  </r>
  <r>
    <x v="7"/>
    <x v="1"/>
    <x v="6"/>
    <x v="1"/>
    <x v="17"/>
    <x v="1"/>
    <x v="0"/>
    <n v="4.08"/>
    <n v="10833.5"/>
    <n v="25354.76"/>
    <x v="2"/>
  </r>
  <r>
    <x v="7"/>
    <x v="1"/>
    <x v="6"/>
    <x v="1"/>
    <x v="18"/>
    <x v="1"/>
    <x v="0"/>
    <n v="7.03"/>
    <n v="18666.55"/>
    <n v="45796.15"/>
    <x v="2"/>
  </r>
  <r>
    <x v="7"/>
    <x v="1"/>
    <x v="6"/>
    <x v="1"/>
    <x v="19"/>
    <x v="1"/>
    <x v="0"/>
    <n v="8.89"/>
    <n v="23605.35"/>
    <n v="56137.09"/>
    <x v="2"/>
  </r>
  <r>
    <x v="7"/>
    <x v="1"/>
    <x v="6"/>
    <x v="1"/>
    <x v="20"/>
    <x v="1"/>
    <x v="0"/>
    <n v="10.19"/>
    <n v="27057.200000000001"/>
    <n v="63259.43"/>
    <x v="2"/>
  </r>
  <r>
    <x v="7"/>
    <x v="1"/>
    <x v="6"/>
    <x v="2"/>
    <x v="21"/>
    <x v="1"/>
    <x v="0"/>
    <n v="0"/>
    <n v="0"/>
    <n v="0"/>
    <x v="2"/>
  </r>
  <r>
    <x v="7"/>
    <x v="1"/>
    <x v="6"/>
    <x v="2"/>
    <x v="22"/>
    <x v="1"/>
    <x v="0"/>
    <n v="4.1100000000000003"/>
    <n v="10913.16"/>
    <n v="23448.53"/>
    <x v="2"/>
  </r>
  <r>
    <x v="7"/>
    <x v="1"/>
    <x v="6"/>
    <x v="2"/>
    <x v="29"/>
    <x v="1"/>
    <x v="0"/>
    <n v="0"/>
    <n v="0"/>
    <n v="0"/>
    <x v="2"/>
  </r>
  <r>
    <x v="7"/>
    <x v="1"/>
    <x v="6"/>
    <x v="2"/>
    <x v="23"/>
    <x v="1"/>
    <x v="0"/>
    <n v="0"/>
    <n v="0"/>
    <n v="0"/>
    <x v="2"/>
  </r>
  <r>
    <x v="7"/>
    <x v="1"/>
    <x v="6"/>
    <x v="2"/>
    <x v="24"/>
    <x v="1"/>
    <x v="0"/>
    <n v="2.08"/>
    <n v="5522.96"/>
    <n v="12053.81"/>
    <x v="2"/>
  </r>
  <r>
    <x v="7"/>
    <x v="1"/>
    <x v="6"/>
    <x v="3"/>
    <x v="25"/>
    <x v="1"/>
    <x v="0"/>
    <n v="4.01"/>
    <n v="10647.63"/>
    <n v="25705.38"/>
    <x v="2"/>
  </r>
  <r>
    <x v="7"/>
    <x v="1"/>
    <x v="6"/>
    <x v="3"/>
    <x v="26"/>
    <x v="1"/>
    <x v="0"/>
    <n v="2.68"/>
    <n v="7116.12"/>
    <n v="17309.16"/>
    <x v="2"/>
  </r>
  <r>
    <x v="7"/>
    <x v="1"/>
    <x v="6"/>
    <x v="3"/>
    <x v="27"/>
    <x v="1"/>
    <x v="0"/>
    <n v="9.15"/>
    <n v="24295.72"/>
    <n v="58014.5"/>
    <x v="2"/>
  </r>
  <r>
    <x v="7"/>
    <x v="1"/>
    <x v="6"/>
    <x v="0"/>
    <x v="0"/>
    <x v="1"/>
    <x v="1"/>
    <n v="4.76"/>
    <n v="12639.09"/>
    <n v="29191.25"/>
    <x v="2"/>
  </r>
  <r>
    <x v="7"/>
    <x v="1"/>
    <x v="6"/>
    <x v="0"/>
    <x v="1"/>
    <x v="1"/>
    <x v="1"/>
    <n v="20.350000000000001"/>
    <n v="54034.74"/>
    <n v="122554.45"/>
    <x v="2"/>
  </r>
  <r>
    <x v="7"/>
    <x v="1"/>
    <x v="6"/>
    <x v="0"/>
    <x v="2"/>
    <x v="1"/>
    <x v="1"/>
    <n v="11.73"/>
    <n v="31146.32"/>
    <n v="68241.100000000006"/>
    <x v="2"/>
  </r>
  <r>
    <x v="7"/>
    <x v="1"/>
    <x v="6"/>
    <x v="0"/>
    <x v="3"/>
    <x v="1"/>
    <x v="1"/>
    <n v="22.43"/>
    <n v="59557.71"/>
    <n v="135713.32"/>
    <x v="2"/>
  </r>
  <r>
    <x v="7"/>
    <x v="1"/>
    <x v="6"/>
    <x v="0"/>
    <x v="28"/>
    <x v="1"/>
    <x v="1"/>
    <n v="1.1200000000000001"/>
    <n v="2973.9"/>
    <n v="6880.7"/>
    <x v="2"/>
  </r>
  <r>
    <x v="7"/>
    <x v="1"/>
    <x v="6"/>
    <x v="0"/>
    <x v="4"/>
    <x v="1"/>
    <x v="1"/>
    <n v="6.56"/>
    <n v="17418.57"/>
    <n v="39345.68"/>
    <x v="2"/>
  </r>
  <r>
    <x v="7"/>
    <x v="1"/>
    <x v="6"/>
    <x v="0"/>
    <x v="5"/>
    <x v="1"/>
    <x v="1"/>
    <n v="14.63"/>
    <n v="38846.6"/>
    <n v="90289.09"/>
    <x v="2"/>
  </r>
  <r>
    <x v="7"/>
    <x v="1"/>
    <x v="6"/>
    <x v="0"/>
    <x v="6"/>
    <x v="1"/>
    <x v="1"/>
    <n v="2.1"/>
    <n v="5576.07"/>
    <n v="12933.14"/>
    <x v="2"/>
  </r>
  <r>
    <x v="7"/>
    <x v="1"/>
    <x v="6"/>
    <x v="0"/>
    <x v="7"/>
    <x v="1"/>
    <x v="1"/>
    <n v="2.08"/>
    <n v="5522.96"/>
    <n v="13044.29"/>
    <x v="2"/>
  </r>
  <r>
    <x v="7"/>
    <x v="1"/>
    <x v="6"/>
    <x v="0"/>
    <x v="8"/>
    <x v="1"/>
    <x v="1"/>
    <n v="3.89"/>
    <n v="10329"/>
    <n v="23196.720000000001"/>
    <x v="2"/>
  </r>
  <r>
    <x v="7"/>
    <x v="1"/>
    <x v="6"/>
    <x v="1"/>
    <x v="30"/>
    <x v="1"/>
    <x v="1"/>
    <n v="0"/>
    <n v="0"/>
    <n v="0"/>
    <x v="2"/>
  </r>
  <r>
    <x v="7"/>
    <x v="1"/>
    <x v="6"/>
    <x v="1"/>
    <x v="9"/>
    <x v="1"/>
    <x v="1"/>
    <n v="4.47"/>
    <n v="11869.06"/>
    <n v="28832.14"/>
    <x v="2"/>
  </r>
  <r>
    <x v="7"/>
    <x v="1"/>
    <x v="6"/>
    <x v="1"/>
    <x v="31"/>
    <x v="1"/>
    <x v="1"/>
    <n v="0"/>
    <n v="0"/>
    <n v="0"/>
    <x v="2"/>
  </r>
  <r>
    <x v="7"/>
    <x v="1"/>
    <x v="6"/>
    <x v="1"/>
    <x v="10"/>
    <x v="1"/>
    <x v="1"/>
    <n v="23.94"/>
    <n v="63567.16"/>
    <n v="152971.32"/>
    <x v="2"/>
  </r>
  <r>
    <x v="7"/>
    <x v="1"/>
    <x v="6"/>
    <x v="1"/>
    <x v="11"/>
    <x v="1"/>
    <x v="1"/>
    <n v="23.89"/>
    <n v="63434.400000000001"/>
    <n v="145476.73000000001"/>
    <x v="2"/>
  </r>
  <r>
    <x v="7"/>
    <x v="1"/>
    <x v="6"/>
    <x v="1"/>
    <x v="12"/>
    <x v="1"/>
    <x v="1"/>
    <n v="1.45"/>
    <n v="3850.14"/>
    <n v="9273.6"/>
    <x v="2"/>
  </r>
  <r>
    <x v="7"/>
    <x v="1"/>
    <x v="6"/>
    <x v="1"/>
    <x v="13"/>
    <x v="1"/>
    <x v="1"/>
    <n v="12.44"/>
    <n v="33031.56"/>
    <n v="79348.45"/>
    <x v="2"/>
  </r>
  <r>
    <x v="7"/>
    <x v="1"/>
    <x v="6"/>
    <x v="1"/>
    <x v="14"/>
    <x v="1"/>
    <x v="1"/>
    <n v="7.91"/>
    <n v="21003.19"/>
    <n v="49520.46"/>
    <x v="2"/>
  </r>
  <r>
    <x v="7"/>
    <x v="1"/>
    <x v="6"/>
    <x v="1"/>
    <x v="15"/>
    <x v="1"/>
    <x v="1"/>
    <n v="1.69"/>
    <n v="4487.41"/>
    <n v="10960.47"/>
    <x v="2"/>
  </r>
  <r>
    <x v="7"/>
    <x v="1"/>
    <x v="6"/>
    <x v="1"/>
    <x v="16"/>
    <x v="1"/>
    <x v="1"/>
    <n v="8.75"/>
    <n v="23233.61"/>
    <n v="53932.26"/>
    <x v="2"/>
  </r>
  <r>
    <x v="7"/>
    <x v="1"/>
    <x v="6"/>
    <x v="1"/>
    <x v="17"/>
    <x v="1"/>
    <x v="1"/>
    <n v="3.47"/>
    <n v="9213.7900000000009"/>
    <n v="21578.52"/>
    <x v="2"/>
  </r>
  <r>
    <x v="7"/>
    <x v="1"/>
    <x v="6"/>
    <x v="1"/>
    <x v="18"/>
    <x v="1"/>
    <x v="1"/>
    <n v="25.97"/>
    <n v="68957.36"/>
    <n v="169041.66"/>
    <x v="2"/>
  </r>
  <r>
    <x v="7"/>
    <x v="1"/>
    <x v="6"/>
    <x v="1"/>
    <x v="19"/>
    <x v="1"/>
    <x v="1"/>
    <n v="14.53"/>
    <n v="38581.07"/>
    <n v="91709.119999999995"/>
    <x v="2"/>
  </r>
  <r>
    <x v="7"/>
    <x v="1"/>
    <x v="6"/>
    <x v="1"/>
    <x v="20"/>
    <x v="1"/>
    <x v="1"/>
    <n v="22.11"/>
    <n v="58708.02"/>
    <n v="137332.43"/>
    <x v="2"/>
  </r>
  <r>
    <x v="7"/>
    <x v="1"/>
    <x v="6"/>
    <x v="2"/>
    <x v="21"/>
    <x v="1"/>
    <x v="1"/>
    <n v="2.02"/>
    <n v="5363.65"/>
    <n v="11550.71"/>
    <x v="2"/>
  </r>
  <r>
    <x v="7"/>
    <x v="1"/>
    <x v="6"/>
    <x v="2"/>
    <x v="22"/>
    <x v="1"/>
    <x v="1"/>
    <n v="8.9499999999999993"/>
    <n v="23764.67"/>
    <n v="51035.040000000001"/>
    <x v="2"/>
  </r>
  <r>
    <x v="7"/>
    <x v="1"/>
    <x v="6"/>
    <x v="2"/>
    <x v="29"/>
    <x v="1"/>
    <x v="1"/>
    <n v="2.5"/>
    <n v="6638.18"/>
    <n v="15165.49"/>
    <x v="2"/>
  </r>
  <r>
    <x v="7"/>
    <x v="1"/>
    <x v="6"/>
    <x v="2"/>
    <x v="23"/>
    <x v="1"/>
    <x v="1"/>
    <n v="0.68"/>
    <n v="1805.58"/>
    <n v="4066.23"/>
    <x v="2"/>
  </r>
  <r>
    <x v="7"/>
    <x v="1"/>
    <x v="6"/>
    <x v="2"/>
    <x v="24"/>
    <x v="1"/>
    <x v="1"/>
    <n v="1.3"/>
    <n v="3451.85"/>
    <n v="7533.63"/>
    <x v="2"/>
  </r>
  <r>
    <x v="7"/>
    <x v="1"/>
    <x v="6"/>
    <x v="3"/>
    <x v="25"/>
    <x v="1"/>
    <x v="1"/>
    <n v="7.59"/>
    <n v="20153.5"/>
    <n v="48676.14"/>
    <x v="2"/>
  </r>
  <r>
    <x v="7"/>
    <x v="1"/>
    <x v="6"/>
    <x v="3"/>
    <x v="26"/>
    <x v="1"/>
    <x v="1"/>
    <n v="13.3"/>
    <n v="35315.089999999997"/>
    <n v="85987.45"/>
    <x v="2"/>
  </r>
  <r>
    <x v="7"/>
    <x v="1"/>
    <x v="6"/>
    <x v="3"/>
    <x v="27"/>
    <x v="1"/>
    <x v="1"/>
    <n v="27.01"/>
    <n v="71718.84"/>
    <n v="171306.97"/>
    <x v="2"/>
  </r>
  <r>
    <x v="7"/>
    <x v="1"/>
    <x v="7"/>
    <x v="0"/>
    <x v="0"/>
    <x v="0"/>
    <x v="0"/>
    <n v="2"/>
    <n v="9497.48"/>
    <n v="37120.370000000003"/>
    <x v="2"/>
  </r>
  <r>
    <x v="7"/>
    <x v="1"/>
    <x v="7"/>
    <x v="0"/>
    <x v="1"/>
    <x v="0"/>
    <x v="0"/>
    <n v="3.27"/>
    <n v="15528.38"/>
    <n v="60649.42"/>
    <x v="2"/>
  </r>
  <r>
    <x v="7"/>
    <x v="1"/>
    <x v="7"/>
    <x v="0"/>
    <x v="2"/>
    <x v="0"/>
    <x v="0"/>
    <n v="0"/>
    <n v="0"/>
    <n v="0"/>
    <x v="2"/>
  </r>
  <r>
    <x v="7"/>
    <x v="1"/>
    <x v="7"/>
    <x v="0"/>
    <x v="3"/>
    <x v="0"/>
    <x v="0"/>
    <n v="1.46"/>
    <n v="6933.16"/>
    <n v="27132.34"/>
    <x v="2"/>
  </r>
  <r>
    <x v="7"/>
    <x v="1"/>
    <x v="7"/>
    <x v="0"/>
    <x v="4"/>
    <x v="0"/>
    <x v="0"/>
    <n v="0"/>
    <n v="0"/>
    <n v="0"/>
    <x v="2"/>
  </r>
  <r>
    <x v="7"/>
    <x v="1"/>
    <x v="7"/>
    <x v="0"/>
    <x v="5"/>
    <x v="0"/>
    <x v="0"/>
    <n v="0"/>
    <n v="0"/>
    <n v="0"/>
    <x v="2"/>
  </r>
  <r>
    <x v="7"/>
    <x v="1"/>
    <x v="7"/>
    <x v="0"/>
    <x v="6"/>
    <x v="0"/>
    <x v="0"/>
    <n v="0"/>
    <n v="0"/>
    <n v="0"/>
    <x v="2"/>
  </r>
  <r>
    <x v="7"/>
    <x v="1"/>
    <x v="7"/>
    <x v="0"/>
    <x v="8"/>
    <x v="0"/>
    <x v="0"/>
    <n v="0"/>
    <n v="0"/>
    <n v="0"/>
    <x v="2"/>
  </r>
  <r>
    <x v="7"/>
    <x v="1"/>
    <x v="7"/>
    <x v="1"/>
    <x v="10"/>
    <x v="0"/>
    <x v="0"/>
    <n v="0.93"/>
    <n v="4416.33"/>
    <n v="17195.54"/>
    <x v="2"/>
  </r>
  <r>
    <x v="7"/>
    <x v="1"/>
    <x v="7"/>
    <x v="1"/>
    <x v="11"/>
    <x v="0"/>
    <x v="0"/>
    <n v="0"/>
    <n v="0"/>
    <n v="0"/>
    <x v="2"/>
  </r>
  <r>
    <x v="7"/>
    <x v="1"/>
    <x v="7"/>
    <x v="1"/>
    <x v="13"/>
    <x v="0"/>
    <x v="0"/>
    <n v="0"/>
    <n v="0"/>
    <n v="0"/>
    <x v="2"/>
  </r>
  <r>
    <x v="7"/>
    <x v="1"/>
    <x v="7"/>
    <x v="1"/>
    <x v="14"/>
    <x v="0"/>
    <x v="0"/>
    <n v="0"/>
    <n v="0"/>
    <n v="0"/>
    <x v="2"/>
  </r>
  <r>
    <x v="7"/>
    <x v="1"/>
    <x v="7"/>
    <x v="1"/>
    <x v="16"/>
    <x v="0"/>
    <x v="0"/>
    <n v="0"/>
    <n v="0"/>
    <n v="0"/>
    <x v="2"/>
  </r>
  <r>
    <x v="7"/>
    <x v="1"/>
    <x v="7"/>
    <x v="1"/>
    <x v="17"/>
    <x v="0"/>
    <x v="0"/>
    <n v="0"/>
    <n v="0"/>
    <n v="0"/>
    <x v="2"/>
  </r>
  <r>
    <x v="7"/>
    <x v="1"/>
    <x v="7"/>
    <x v="1"/>
    <x v="18"/>
    <x v="0"/>
    <x v="0"/>
    <n v="0"/>
    <n v="0"/>
    <n v="0"/>
    <x v="2"/>
  </r>
  <r>
    <x v="7"/>
    <x v="1"/>
    <x v="7"/>
    <x v="1"/>
    <x v="19"/>
    <x v="0"/>
    <x v="0"/>
    <n v="0"/>
    <n v="0"/>
    <n v="0"/>
    <x v="2"/>
  </r>
  <r>
    <x v="7"/>
    <x v="1"/>
    <x v="7"/>
    <x v="1"/>
    <x v="20"/>
    <x v="0"/>
    <x v="0"/>
    <n v="1.46"/>
    <n v="6933.16"/>
    <n v="27153.06"/>
    <x v="2"/>
  </r>
  <r>
    <x v="7"/>
    <x v="1"/>
    <x v="7"/>
    <x v="2"/>
    <x v="21"/>
    <x v="0"/>
    <x v="0"/>
    <n v="1.23"/>
    <n v="5840.95"/>
    <n v="22791.040000000001"/>
    <x v="2"/>
  </r>
  <r>
    <x v="7"/>
    <x v="1"/>
    <x v="7"/>
    <x v="2"/>
    <x v="22"/>
    <x v="0"/>
    <x v="0"/>
    <n v="0"/>
    <n v="0"/>
    <n v="0"/>
    <x v="2"/>
  </r>
  <r>
    <x v="7"/>
    <x v="1"/>
    <x v="7"/>
    <x v="2"/>
    <x v="29"/>
    <x v="0"/>
    <x v="0"/>
    <n v="0"/>
    <n v="0"/>
    <n v="0"/>
    <x v="2"/>
  </r>
  <r>
    <x v="7"/>
    <x v="1"/>
    <x v="7"/>
    <x v="2"/>
    <x v="24"/>
    <x v="0"/>
    <x v="0"/>
    <n v="0"/>
    <n v="0"/>
    <n v="0"/>
    <x v="2"/>
  </r>
  <r>
    <x v="7"/>
    <x v="1"/>
    <x v="7"/>
    <x v="3"/>
    <x v="25"/>
    <x v="0"/>
    <x v="0"/>
    <n v="0"/>
    <n v="0"/>
    <n v="0"/>
    <x v="2"/>
  </r>
  <r>
    <x v="7"/>
    <x v="1"/>
    <x v="7"/>
    <x v="3"/>
    <x v="26"/>
    <x v="0"/>
    <x v="0"/>
    <n v="1.8"/>
    <n v="8547.73"/>
    <n v="33331.94"/>
    <x v="2"/>
  </r>
  <r>
    <x v="7"/>
    <x v="1"/>
    <x v="7"/>
    <x v="3"/>
    <x v="27"/>
    <x v="0"/>
    <x v="0"/>
    <n v="1.31"/>
    <n v="6220.85"/>
    <n v="24292.83"/>
    <x v="2"/>
  </r>
  <r>
    <x v="7"/>
    <x v="1"/>
    <x v="7"/>
    <x v="0"/>
    <x v="0"/>
    <x v="0"/>
    <x v="1"/>
    <n v="2"/>
    <n v="9497.48"/>
    <n v="37120.370000000003"/>
    <x v="2"/>
  </r>
  <r>
    <x v="7"/>
    <x v="1"/>
    <x v="7"/>
    <x v="0"/>
    <x v="1"/>
    <x v="0"/>
    <x v="1"/>
    <n v="5.09"/>
    <n v="24171.09"/>
    <n v="94394.22"/>
    <x v="2"/>
  </r>
  <r>
    <x v="7"/>
    <x v="1"/>
    <x v="7"/>
    <x v="0"/>
    <x v="2"/>
    <x v="0"/>
    <x v="1"/>
    <n v="4.3099999999999996"/>
    <n v="20467.07"/>
    <n v="79873.429999999993"/>
    <x v="2"/>
  </r>
  <r>
    <x v="7"/>
    <x v="1"/>
    <x v="7"/>
    <x v="0"/>
    <x v="3"/>
    <x v="0"/>
    <x v="1"/>
    <n v="3.95"/>
    <n v="18757.52"/>
    <n v="73257.31"/>
    <x v="2"/>
  </r>
  <r>
    <x v="7"/>
    <x v="1"/>
    <x v="7"/>
    <x v="0"/>
    <x v="4"/>
    <x v="0"/>
    <x v="1"/>
    <n v="2.6"/>
    <n v="12346.72"/>
    <n v="48248.01"/>
    <x v="2"/>
  </r>
  <r>
    <x v="7"/>
    <x v="1"/>
    <x v="7"/>
    <x v="0"/>
    <x v="5"/>
    <x v="0"/>
    <x v="1"/>
    <n v="2.98"/>
    <n v="14151.25"/>
    <n v="55178.97"/>
    <x v="2"/>
  </r>
  <r>
    <x v="7"/>
    <x v="1"/>
    <x v="7"/>
    <x v="0"/>
    <x v="6"/>
    <x v="0"/>
    <x v="1"/>
    <n v="1.75"/>
    <n v="8310.2999999999993"/>
    <n v="32506.54"/>
    <x v="2"/>
  </r>
  <r>
    <x v="7"/>
    <x v="1"/>
    <x v="7"/>
    <x v="0"/>
    <x v="8"/>
    <x v="0"/>
    <x v="1"/>
    <n v="2.4700000000000002"/>
    <n v="11729.39"/>
    <n v="45824.19"/>
    <x v="2"/>
  </r>
  <r>
    <x v="7"/>
    <x v="1"/>
    <x v="7"/>
    <x v="1"/>
    <x v="10"/>
    <x v="0"/>
    <x v="1"/>
    <n v="3.99"/>
    <n v="18947.47"/>
    <n v="73940.83"/>
    <x v="2"/>
  </r>
  <r>
    <x v="7"/>
    <x v="1"/>
    <x v="7"/>
    <x v="1"/>
    <x v="11"/>
    <x v="0"/>
    <x v="1"/>
    <n v="8.52"/>
    <n v="40459.26"/>
    <n v="157841.57"/>
    <x v="2"/>
  </r>
  <r>
    <x v="7"/>
    <x v="1"/>
    <x v="7"/>
    <x v="1"/>
    <x v="13"/>
    <x v="0"/>
    <x v="1"/>
    <n v="3.79"/>
    <n v="17997.72"/>
    <n v="70296.91"/>
    <x v="2"/>
  </r>
  <r>
    <x v="7"/>
    <x v="1"/>
    <x v="7"/>
    <x v="1"/>
    <x v="14"/>
    <x v="0"/>
    <x v="1"/>
    <n v="1.1599999999999999"/>
    <n v="5508.54"/>
    <n v="21416.560000000001"/>
    <x v="2"/>
  </r>
  <r>
    <x v="7"/>
    <x v="1"/>
    <x v="7"/>
    <x v="1"/>
    <x v="16"/>
    <x v="0"/>
    <x v="1"/>
    <n v="0.56000000000000005"/>
    <n v="2659.29"/>
    <n v="10340.780000000001"/>
    <x v="2"/>
  </r>
  <r>
    <x v="7"/>
    <x v="1"/>
    <x v="7"/>
    <x v="1"/>
    <x v="17"/>
    <x v="0"/>
    <x v="1"/>
    <n v="2.12"/>
    <n v="10067.33"/>
    <n v="39241.620000000003"/>
    <x v="2"/>
  </r>
  <r>
    <x v="7"/>
    <x v="1"/>
    <x v="7"/>
    <x v="1"/>
    <x v="18"/>
    <x v="0"/>
    <x v="1"/>
    <n v="9.64"/>
    <n v="45777.85"/>
    <n v="178598.49"/>
    <x v="2"/>
  </r>
  <r>
    <x v="7"/>
    <x v="1"/>
    <x v="7"/>
    <x v="1"/>
    <x v="19"/>
    <x v="0"/>
    <x v="1"/>
    <n v="3.27"/>
    <n v="15528.38"/>
    <n v="60623.43"/>
    <x v="2"/>
  </r>
  <r>
    <x v="7"/>
    <x v="1"/>
    <x v="7"/>
    <x v="1"/>
    <x v="20"/>
    <x v="0"/>
    <x v="1"/>
    <n v="9.06"/>
    <n v="43023.58"/>
    <n v="168009.57"/>
    <x v="2"/>
  </r>
  <r>
    <x v="7"/>
    <x v="1"/>
    <x v="7"/>
    <x v="2"/>
    <x v="21"/>
    <x v="0"/>
    <x v="1"/>
    <n v="0"/>
    <n v="0"/>
    <n v="0"/>
    <x v="2"/>
  </r>
  <r>
    <x v="7"/>
    <x v="1"/>
    <x v="7"/>
    <x v="2"/>
    <x v="22"/>
    <x v="0"/>
    <x v="1"/>
    <n v="4.29"/>
    <n v="20372.09"/>
    <n v="79587.509999999995"/>
    <x v="2"/>
  </r>
  <r>
    <x v="7"/>
    <x v="1"/>
    <x v="7"/>
    <x v="2"/>
    <x v="29"/>
    <x v="0"/>
    <x v="1"/>
    <n v="1.43"/>
    <n v="6790.7"/>
    <n v="26505.8"/>
    <x v="2"/>
  </r>
  <r>
    <x v="7"/>
    <x v="1"/>
    <x v="7"/>
    <x v="2"/>
    <x v="24"/>
    <x v="0"/>
    <x v="1"/>
    <n v="1.92"/>
    <n v="9117.58"/>
    <n v="35600.17"/>
    <x v="2"/>
  </r>
  <r>
    <x v="7"/>
    <x v="1"/>
    <x v="7"/>
    <x v="3"/>
    <x v="25"/>
    <x v="0"/>
    <x v="1"/>
    <n v="2.42"/>
    <n v="11491.95"/>
    <n v="44833.74"/>
    <x v="2"/>
  </r>
  <r>
    <x v="7"/>
    <x v="1"/>
    <x v="7"/>
    <x v="3"/>
    <x v="26"/>
    <x v="0"/>
    <x v="1"/>
    <n v="1.89"/>
    <n v="8975.1200000000008"/>
    <n v="35086.25"/>
    <x v="2"/>
  </r>
  <r>
    <x v="7"/>
    <x v="1"/>
    <x v="7"/>
    <x v="3"/>
    <x v="27"/>
    <x v="0"/>
    <x v="1"/>
    <n v="3.23"/>
    <n v="15338.43"/>
    <n v="59797.73"/>
    <x v="2"/>
  </r>
  <r>
    <x v="7"/>
    <x v="1"/>
    <x v="7"/>
    <x v="0"/>
    <x v="0"/>
    <x v="1"/>
    <x v="0"/>
    <n v="3.95"/>
    <n v="18757.52"/>
    <n v="47901.94"/>
    <x v="2"/>
  </r>
  <r>
    <x v="7"/>
    <x v="1"/>
    <x v="7"/>
    <x v="0"/>
    <x v="1"/>
    <x v="1"/>
    <x v="0"/>
    <n v="8.8699999999999992"/>
    <n v="42121.32"/>
    <n v="105693.23"/>
    <x v="2"/>
  </r>
  <r>
    <x v="7"/>
    <x v="1"/>
    <x v="7"/>
    <x v="0"/>
    <x v="2"/>
    <x v="1"/>
    <x v="0"/>
    <n v="3.34"/>
    <n v="15860.79"/>
    <n v="38438.160000000003"/>
    <x v="2"/>
  </r>
  <r>
    <x v="7"/>
    <x v="1"/>
    <x v="7"/>
    <x v="0"/>
    <x v="3"/>
    <x v="1"/>
    <x v="0"/>
    <n v="12.36"/>
    <n v="58694.43"/>
    <n v="148053.72"/>
    <x v="2"/>
  </r>
  <r>
    <x v="7"/>
    <x v="1"/>
    <x v="7"/>
    <x v="0"/>
    <x v="28"/>
    <x v="1"/>
    <x v="0"/>
    <n v="0"/>
    <n v="0"/>
    <n v="0"/>
    <x v="2"/>
  </r>
  <r>
    <x v="7"/>
    <x v="1"/>
    <x v="7"/>
    <x v="0"/>
    <x v="4"/>
    <x v="1"/>
    <x v="0"/>
    <n v="4.5599999999999996"/>
    <n v="21654.25"/>
    <n v="54152.1"/>
    <x v="2"/>
  </r>
  <r>
    <x v="7"/>
    <x v="1"/>
    <x v="7"/>
    <x v="0"/>
    <x v="5"/>
    <x v="1"/>
    <x v="0"/>
    <n v="1.82"/>
    <n v="8642.7099999999991"/>
    <n v="22204.11"/>
    <x v="2"/>
  </r>
  <r>
    <x v="7"/>
    <x v="1"/>
    <x v="7"/>
    <x v="0"/>
    <x v="6"/>
    <x v="1"/>
    <x v="0"/>
    <n v="0"/>
    <n v="0"/>
    <n v="0"/>
    <x v="2"/>
  </r>
  <r>
    <x v="7"/>
    <x v="1"/>
    <x v="7"/>
    <x v="0"/>
    <x v="7"/>
    <x v="1"/>
    <x v="0"/>
    <n v="0"/>
    <n v="0"/>
    <n v="0"/>
    <x v="2"/>
  </r>
  <r>
    <x v="7"/>
    <x v="1"/>
    <x v="7"/>
    <x v="0"/>
    <x v="8"/>
    <x v="1"/>
    <x v="0"/>
    <n v="0"/>
    <n v="0"/>
    <n v="0"/>
    <x v="2"/>
  </r>
  <r>
    <x v="7"/>
    <x v="1"/>
    <x v="7"/>
    <x v="1"/>
    <x v="30"/>
    <x v="1"/>
    <x v="0"/>
    <n v="1.28"/>
    <n v="6078.39"/>
    <n v="16395.72"/>
    <x v="2"/>
  </r>
  <r>
    <x v="7"/>
    <x v="1"/>
    <x v="7"/>
    <x v="1"/>
    <x v="9"/>
    <x v="1"/>
    <x v="0"/>
    <n v="0"/>
    <n v="0"/>
    <n v="0"/>
    <x v="2"/>
  </r>
  <r>
    <x v="7"/>
    <x v="1"/>
    <x v="7"/>
    <x v="1"/>
    <x v="31"/>
    <x v="1"/>
    <x v="0"/>
    <n v="1.6"/>
    <n v="7597.98"/>
    <n v="20658.009999999998"/>
    <x v="2"/>
  </r>
  <r>
    <x v="7"/>
    <x v="1"/>
    <x v="7"/>
    <x v="1"/>
    <x v="10"/>
    <x v="1"/>
    <x v="0"/>
    <n v="5.0199999999999996"/>
    <n v="23838.67"/>
    <n v="63479.040000000001"/>
    <x v="2"/>
  </r>
  <r>
    <x v="7"/>
    <x v="1"/>
    <x v="7"/>
    <x v="1"/>
    <x v="11"/>
    <x v="1"/>
    <x v="0"/>
    <n v="5.04"/>
    <n v="23933.65"/>
    <n v="60779.43"/>
    <x v="2"/>
  </r>
  <r>
    <x v="7"/>
    <x v="1"/>
    <x v="7"/>
    <x v="1"/>
    <x v="12"/>
    <x v="1"/>
    <x v="0"/>
    <n v="2.41"/>
    <n v="11444.46"/>
    <n v="30553.93"/>
    <x v="2"/>
  </r>
  <r>
    <x v="7"/>
    <x v="1"/>
    <x v="7"/>
    <x v="1"/>
    <x v="13"/>
    <x v="1"/>
    <x v="0"/>
    <n v="1.21"/>
    <n v="5745.98"/>
    <n v="15295.36"/>
    <x v="2"/>
  </r>
  <r>
    <x v="7"/>
    <x v="1"/>
    <x v="7"/>
    <x v="1"/>
    <x v="14"/>
    <x v="1"/>
    <x v="0"/>
    <n v="11.53"/>
    <n v="54752.97"/>
    <n v="142712.06"/>
    <x v="2"/>
  </r>
  <r>
    <x v="7"/>
    <x v="1"/>
    <x v="7"/>
    <x v="1"/>
    <x v="15"/>
    <x v="1"/>
    <x v="0"/>
    <n v="4.53"/>
    <n v="21511.79"/>
    <n v="57963.519999999997"/>
    <x v="2"/>
  </r>
  <r>
    <x v="7"/>
    <x v="1"/>
    <x v="7"/>
    <x v="1"/>
    <x v="16"/>
    <x v="1"/>
    <x v="0"/>
    <n v="3.3"/>
    <n v="15670.84"/>
    <n v="40214.32"/>
    <x v="2"/>
  </r>
  <r>
    <x v="7"/>
    <x v="1"/>
    <x v="7"/>
    <x v="1"/>
    <x v="17"/>
    <x v="1"/>
    <x v="0"/>
    <n v="7.59"/>
    <n v="36042.94"/>
    <n v="93410.11"/>
    <x v="2"/>
  </r>
  <r>
    <x v="7"/>
    <x v="1"/>
    <x v="7"/>
    <x v="1"/>
    <x v="18"/>
    <x v="1"/>
    <x v="0"/>
    <n v="6.46"/>
    <n v="30676.86"/>
    <n v="83162.55"/>
    <x v="2"/>
  </r>
  <r>
    <x v="7"/>
    <x v="1"/>
    <x v="7"/>
    <x v="1"/>
    <x v="19"/>
    <x v="1"/>
    <x v="0"/>
    <n v="7.38"/>
    <n v="35045.699999999997"/>
    <n v="92170.559999999998"/>
    <x v="2"/>
  </r>
  <r>
    <x v="7"/>
    <x v="1"/>
    <x v="7"/>
    <x v="1"/>
    <x v="20"/>
    <x v="1"/>
    <x v="0"/>
    <n v="10.64"/>
    <n v="50526.59"/>
    <n v="130768.69"/>
    <x v="2"/>
  </r>
  <r>
    <x v="7"/>
    <x v="1"/>
    <x v="7"/>
    <x v="2"/>
    <x v="21"/>
    <x v="1"/>
    <x v="0"/>
    <n v="0"/>
    <n v="0"/>
    <n v="0"/>
    <x v="2"/>
  </r>
  <r>
    <x v="7"/>
    <x v="1"/>
    <x v="7"/>
    <x v="2"/>
    <x v="22"/>
    <x v="1"/>
    <x v="0"/>
    <n v="7.88"/>
    <n v="37420.07"/>
    <n v="88918.75"/>
    <x v="2"/>
  </r>
  <r>
    <x v="7"/>
    <x v="1"/>
    <x v="7"/>
    <x v="2"/>
    <x v="29"/>
    <x v="1"/>
    <x v="0"/>
    <n v="0"/>
    <n v="0"/>
    <n v="0"/>
    <x v="2"/>
  </r>
  <r>
    <x v="7"/>
    <x v="1"/>
    <x v="7"/>
    <x v="2"/>
    <x v="23"/>
    <x v="1"/>
    <x v="0"/>
    <n v="0"/>
    <n v="0"/>
    <n v="0"/>
    <x v="2"/>
  </r>
  <r>
    <x v="7"/>
    <x v="1"/>
    <x v="7"/>
    <x v="2"/>
    <x v="24"/>
    <x v="1"/>
    <x v="0"/>
    <n v="2.09"/>
    <n v="9924.8700000000008"/>
    <n v="24013.75"/>
    <x v="2"/>
  </r>
  <r>
    <x v="7"/>
    <x v="1"/>
    <x v="7"/>
    <x v="3"/>
    <x v="25"/>
    <x v="1"/>
    <x v="0"/>
    <n v="7.07"/>
    <n v="33573.589999999997"/>
    <n v="89816.44"/>
    <x v="2"/>
  </r>
  <r>
    <x v="7"/>
    <x v="1"/>
    <x v="7"/>
    <x v="3"/>
    <x v="26"/>
    <x v="1"/>
    <x v="0"/>
    <n v="5.42"/>
    <n v="25738.17"/>
    <n v="69279.88"/>
    <x v="2"/>
  </r>
  <r>
    <x v="7"/>
    <x v="1"/>
    <x v="7"/>
    <x v="3"/>
    <x v="27"/>
    <x v="1"/>
    <x v="0"/>
    <n v="9.81"/>
    <n v="46585.14"/>
    <n v="123110.59"/>
    <x v="2"/>
  </r>
  <r>
    <x v="7"/>
    <x v="1"/>
    <x v="7"/>
    <x v="0"/>
    <x v="0"/>
    <x v="1"/>
    <x v="1"/>
    <n v="6.72"/>
    <n v="31911.53"/>
    <n v="81433.289999999994"/>
    <x v="2"/>
  </r>
  <r>
    <x v="7"/>
    <x v="1"/>
    <x v="7"/>
    <x v="0"/>
    <x v="1"/>
    <x v="1"/>
    <x v="1"/>
    <n v="15.92"/>
    <n v="75599.94"/>
    <n v="189767.39"/>
    <x v="2"/>
  </r>
  <r>
    <x v="7"/>
    <x v="1"/>
    <x v="7"/>
    <x v="0"/>
    <x v="2"/>
    <x v="1"/>
    <x v="1"/>
    <n v="8.48"/>
    <n v="40269.32"/>
    <n v="97573.78"/>
    <x v="2"/>
  </r>
  <r>
    <x v="7"/>
    <x v="1"/>
    <x v="7"/>
    <x v="0"/>
    <x v="3"/>
    <x v="1"/>
    <x v="1"/>
    <n v="21.86"/>
    <n v="103807.46"/>
    <n v="261700.59"/>
    <x v="2"/>
  </r>
  <r>
    <x v="7"/>
    <x v="1"/>
    <x v="7"/>
    <x v="0"/>
    <x v="28"/>
    <x v="1"/>
    <x v="1"/>
    <n v="2.76"/>
    <n v="13106.52"/>
    <n v="33444.550000000003"/>
    <x v="2"/>
  </r>
  <r>
    <x v="7"/>
    <x v="1"/>
    <x v="7"/>
    <x v="0"/>
    <x v="4"/>
    <x v="1"/>
    <x v="1"/>
    <n v="4.93"/>
    <n v="23411.29"/>
    <n v="58519.199999999997"/>
    <x v="2"/>
  </r>
  <r>
    <x v="7"/>
    <x v="1"/>
    <x v="7"/>
    <x v="0"/>
    <x v="5"/>
    <x v="1"/>
    <x v="1"/>
    <n v="13.76"/>
    <n v="65342.66"/>
    <n v="168116.82"/>
    <x v="2"/>
  </r>
  <r>
    <x v="7"/>
    <x v="1"/>
    <x v="7"/>
    <x v="0"/>
    <x v="6"/>
    <x v="1"/>
    <x v="1"/>
    <n v="1.76"/>
    <n v="8357.7800000000007"/>
    <n v="21487.759999999998"/>
    <x v="2"/>
  </r>
  <r>
    <x v="7"/>
    <x v="1"/>
    <x v="7"/>
    <x v="0"/>
    <x v="7"/>
    <x v="1"/>
    <x v="1"/>
    <n v="5.09"/>
    <n v="24171.09"/>
    <n v="63039.92"/>
    <x v="2"/>
  </r>
  <r>
    <x v="7"/>
    <x v="1"/>
    <x v="7"/>
    <x v="0"/>
    <x v="8"/>
    <x v="1"/>
    <x v="1"/>
    <n v="3.02"/>
    <n v="14341.19"/>
    <n v="35705.53"/>
    <x v="2"/>
  </r>
  <r>
    <x v="7"/>
    <x v="1"/>
    <x v="7"/>
    <x v="1"/>
    <x v="30"/>
    <x v="1"/>
    <x v="1"/>
    <n v="0"/>
    <n v="0"/>
    <n v="0"/>
    <x v="2"/>
  </r>
  <r>
    <x v="7"/>
    <x v="1"/>
    <x v="7"/>
    <x v="1"/>
    <x v="9"/>
    <x v="1"/>
    <x v="1"/>
    <n v="2.79"/>
    <n v="13248.98"/>
    <n v="35588.99"/>
    <x v="2"/>
  </r>
  <r>
    <x v="7"/>
    <x v="1"/>
    <x v="7"/>
    <x v="1"/>
    <x v="31"/>
    <x v="1"/>
    <x v="1"/>
    <n v="0"/>
    <n v="0"/>
    <n v="0"/>
    <x v="2"/>
  </r>
  <r>
    <x v="7"/>
    <x v="1"/>
    <x v="7"/>
    <x v="1"/>
    <x v="10"/>
    <x v="1"/>
    <x v="1"/>
    <n v="28.98"/>
    <n v="137618.49"/>
    <n v="366396.55"/>
    <x v="2"/>
  </r>
  <r>
    <x v="7"/>
    <x v="1"/>
    <x v="7"/>
    <x v="1"/>
    <x v="11"/>
    <x v="1"/>
    <x v="1"/>
    <n v="16.3"/>
    <n v="77404.460000000006"/>
    <n v="196364.33"/>
    <x v="2"/>
  </r>
  <r>
    <x v="7"/>
    <x v="1"/>
    <x v="7"/>
    <x v="1"/>
    <x v="12"/>
    <x v="1"/>
    <x v="1"/>
    <n v="2.68"/>
    <n v="12726.62"/>
    <n v="33948.81"/>
    <x v="2"/>
  </r>
  <r>
    <x v="7"/>
    <x v="1"/>
    <x v="7"/>
    <x v="1"/>
    <x v="13"/>
    <x v="1"/>
    <x v="1"/>
    <n v="10.130000000000001"/>
    <n v="48104.74"/>
    <n v="127825.54"/>
    <x v="2"/>
  </r>
  <r>
    <x v="7"/>
    <x v="1"/>
    <x v="7"/>
    <x v="1"/>
    <x v="14"/>
    <x v="1"/>
    <x v="1"/>
    <n v="7.8"/>
    <n v="37040.17"/>
    <n v="96572.07"/>
    <x v="2"/>
  </r>
  <r>
    <x v="7"/>
    <x v="1"/>
    <x v="7"/>
    <x v="1"/>
    <x v="15"/>
    <x v="1"/>
    <x v="1"/>
    <n v="2.2599999999999998"/>
    <n v="10732.15"/>
    <n v="28981.759999999998"/>
    <x v="2"/>
  </r>
  <r>
    <x v="7"/>
    <x v="1"/>
    <x v="7"/>
    <x v="1"/>
    <x v="16"/>
    <x v="1"/>
    <x v="1"/>
    <n v="11.19"/>
    <n v="53138.400000000001"/>
    <n v="136441.43"/>
    <x v="2"/>
  </r>
  <r>
    <x v="7"/>
    <x v="1"/>
    <x v="7"/>
    <x v="1"/>
    <x v="17"/>
    <x v="1"/>
    <x v="1"/>
    <n v="6.27"/>
    <n v="29774.6"/>
    <n v="77117.649999999994"/>
    <x v="2"/>
  </r>
  <r>
    <x v="7"/>
    <x v="1"/>
    <x v="7"/>
    <x v="1"/>
    <x v="18"/>
    <x v="1"/>
    <x v="1"/>
    <n v="21.57"/>
    <n v="102430.32"/>
    <n v="277910.3"/>
    <x v="2"/>
  </r>
  <r>
    <x v="7"/>
    <x v="1"/>
    <x v="7"/>
    <x v="1"/>
    <x v="19"/>
    <x v="1"/>
    <x v="1"/>
    <n v="13.61"/>
    <n v="64630.35"/>
    <n v="170076.62"/>
    <x v="2"/>
  </r>
  <r>
    <x v="7"/>
    <x v="1"/>
    <x v="7"/>
    <x v="1"/>
    <x v="20"/>
    <x v="1"/>
    <x v="1"/>
    <n v="15.84"/>
    <n v="75220.039999999994"/>
    <n v="194608.52"/>
    <x v="2"/>
  </r>
  <r>
    <x v="7"/>
    <x v="1"/>
    <x v="7"/>
    <x v="2"/>
    <x v="21"/>
    <x v="1"/>
    <x v="1"/>
    <n v="0.7"/>
    <n v="3324.12"/>
    <n v="7911.25"/>
    <x v="2"/>
  </r>
  <r>
    <x v="7"/>
    <x v="1"/>
    <x v="7"/>
    <x v="2"/>
    <x v="22"/>
    <x v="1"/>
    <x v="1"/>
    <n v="18.68"/>
    <n v="88706.46"/>
    <n v="210897.03"/>
    <x v="2"/>
  </r>
  <r>
    <x v="7"/>
    <x v="1"/>
    <x v="7"/>
    <x v="2"/>
    <x v="29"/>
    <x v="1"/>
    <x v="1"/>
    <n v="1.99"/>
    <n v="9449.99"/>
    <n v="23911.88"/>
    <x v="2"/>
  </r>
  <r>
    <x v="7"/>
    <x v="1"/>
    <x v="7"/>
    <x v="2"/>
    <x v="23"/>
    <x v="1"/>
    <x v="1"/>
    <n v="3.03"/>
    <n v="14388.68"/>
    <n v="35561.49"/>
    <x v="2"/>
  </r>
  <r>
    <x v="7"/>
    <x v="1"/>
    <x v="7"/>
    <x v="2"/>
    <x v="24"/>
    <x v="1"/>
    <x v="1"/>
    <n v="3.92"/>
    <n v="18615.060000000001"/>
    <n v="45025.78"/>
    <x v="2"/>
  </r>
  <r>
    <x v="7"/>
    <x v="1"/>
    <x v="7"/>
    <x v="3"/>
    <x v="25"/>
    <x v="1"/>
    <x v="1"/>
    <n v="6.38"/>
    <n v="30296.959999999999"/>
    <n v="80945.679999999993"/>
    <x v="2"/>
  </r>
  <r>
    <x v="7"/>
    <x v="1"/>
    <x v="7"/>
    <x v="3"/>
    <x v="26"/>
    <x v="1"/>
    <x v="1"/>
    <n v="16.86"/>
    <n v="80063.759999999995"/>
    <n v="215661.55"/>
    <x v="2"/>
  </r>
  <r>
    <x v="7"/>
    <x v="1"/>
    <x v="7"/>
    <x v="3"/>
    <x v="27"/>
    <x v="1"/>
    <x v="1"/>
    <n v="28.13"/>
    <n v="133582.06"/>
    <n v="352989.65"/>
    <x v="2"/>
  </r>
  <r>
    <x v="7"/>
    <x v="1"/>
    <x v="8"/>
    <x v="0"/>
    <x v="0"/>
    <x v="0"/>
    <x v="0"/>
    <n v="2.4500000000000002"/>
    <n v="8247.09"/>
    <n v="29537.41"/>
    <x v="2"/>
  </r>
  <r>
    <x v="7"/>
    <x v="1"/>
    <x v="8"/>
    <x v="0"/>
    <x v="1"/>
    <x v="0"/>
    <x v="0"/>
    <n v="4.49"/>
    <n v="15114.06"/>
    <n v="54276.27"/>
    <x v="2"/>
  </r>
  <r>
    <x v="7"/>
    <x v="1"/>
    <x v="8"/>
    <x v="0"/>
    <x v="2"/>
    <x v="0"/>
    <x v="0"/>
    <n v="0"/>
    <n v="0"/>
    <n v="0"/>
    <x v="2"/>
  </r>
  <r>
    <x v="7"/>
    <x v="1"/>
    <x v="8"/>
    <x v="0"/>
    <x v="3"/>
    <x v="0"/>
    <x v="0"/>
    <n v="2.9"/>
    <n v="9761.86"/>
    <n v="34971"/>
    <x v="2"/>
  </r>
  <r>
    <x v="7"/>
    <x v="1"/>
    <x v="8"/>
    <x v="0"/>
    <x v="4"/>
    <x v="0"/>
    <x v="0"/>
    <n v="0"/>
    <n v="0"/>
    <n v="0"/>
    <x v="2"/>
  </r>
  <r>
    <x v="7"/>
    <x v="1"/>
    <x v="8"/>
    <x v="0"/>
    <x v="5"/>
    <x v="0"/>
    <x v="0"/>
    <n v="0"/>
    <n v="0"/>
    <n v="0"/>
    <x v="2"/>
  </r>
  <r>
    <x v="7"/>
    <x v="1"/>
    <x v="8"/>
    <x v="0"/>
    <x v="6"/>
    <x v="0"/>
    <x v="0"/>
    <n v="0"/>
    <n v="0"/>
    <n v="0"/>
    <x v="2"/>
  </r>
  <r>
    <x v="7"/>
    <x v="1"/>
    <x v="8"/>
    <x v="0"/>
    <x v="8"/>
    <x v="0"/>
    <x v="0"/>
    <n v="0"/>
    <n v="0"/>
    <n v="0"/>
    <x v="2"/>
  </r>
  <r>
    <x v="7"/>
    <x v="1"/>
    <x v="8"/>
    <x v="1"/>
    <x v="10"/>
    <x v="0"/>
    <x v="0"/>
    <n v="1.67"/>
    <n v="5621.49"/>
    <n v="20148.22"/>
    <x v="2"/>
  </r>
  <r>
    <x v="7"/>
    <x v="1"/>
    <x v="8"/>
    <x v="1"/>
    <x v="11"/>
    <x v="0"/>
    <x v="0"/>
    <n v="0"/>
    <n v="0"/>
    <n v="0"/>
    <x v="2"/>
  </r>
  <r>
    <x v="7"/>
    <x v="1"/>
    <x v="8"/>
    <x v="1"/>
    <x v="13"/>
    <x v="0"/>
    <x v="0"/>
    <n v="0"/>
    <n v="0"/>
    <n v="0"/>
    <x v="2"/>
  </r>
  <r>
    <x v="7"/>
    <x v="1"/>
    <x v="8"/>
    <x v="1"/>
    <x v="14"/>
    <x v="0"/>
    <x v="0"/>
    <n v="0"/>
    <n v="0"/>
    <n v="0"/>
    <x v="2"/>
  </r>
  <r>
    <x v="7"/>
    <x v="1"/>
    <x v="8"/>
    <x v="1"/>
    <x v="16"/>
    <x v="0"/>
    <x v="0"/>
    <n v="0"/>
    <n v="0"/>
    <n v="0"/>
    <x v="2"/>
  </r>
  <r>
    <x v="7"/>
    <x v="1"/>
    <x v="8"/>
    <x v="1"/>
    <x v="17"/>
    <x v="0"/>
    <x v="0"/>
    <n v="0"/>
    <n v="0"/>
    <n v="0"/>
    <x v="2"/>
  </r>
  <r>
    <x v="7"/>
    <x v="1"/>
    <x v="8"/>
    <x v="1"/>
    <x v="18"/>
    <x v="0"/>
    <x v="0"/>
    <n v="0"/>
    <n v="0"/>
    <n v="0"/>
    <x v="2"/>
  </r>
  <r>
    <x v="7"/>
    <x v="1"/>
    <x v="8"/>
    <x v="1"/>
    <x v="19"/>
    <x v="0"/>
    <x v="0"/>
    <n v="0"/>
    <n v="0"/>
    <n v="0"/>
    <x v="2"/>
  </r>
  <r>
    <x v="7"/>
    <x v="1"/>
    <x v="8"/>
    <x v="1"/>
    <x v="20"/>
    <x v="0"/>
    <x v="0"/>
    <n v="3.44"/>
    <n v="11579.59"/>
    <n v="41508.14"/>
    <x v="2"/>
  </r>
  <r>
    <x v="7"/>
    <x v="1"/>
    <x v="8"/>
    <x v="2"/>
    <x v="21"/>
    <x v="0"/>
    <x v="0"/>
    <n v="3.15"/>
    <n v="10603.4"/>
    <n v="37980.76"/>
    <x v="2"/>
  </r>
  <r>
    <x v="7"/>
    <x v="1"/>
    <x v="8"/>
    <x v="2"/>
    <x v="22"/>
    <x v="0"/>
    <x v="0"/>
    <n v="0"/>
    <n v="0"/>
    <n v="0"/>
    <x v="2"/>
  </r>
  <r>
    <x v="7"/>
    <x v="1"/>
    <x v="8"/>
    <x v="2"/>
    <x v="29"/>
    <x v="0"/>
    <x v="0"/>
    <n v="0"/>
    <n v="0"/>
    <n v="0"/>
    <x v="2"/>
  </r>
  <r>
    <x v="7"/>
    <x v="1"/>
    <x v="8"/>
    <x v="2"/>
    <x v="24"/>
    <x v="0"/>
    <x v="0"/>
    <n v="0"/>
    <n v="0"/>
    <n v="0"/>
    <x v="2"/>
  </r>
  <r>
    <x v="7"/>
    <x v="1"/>
    <x v="8"/>
    <x v="3"/>
    <x v="25"/>
    <x v="0"/>
    <x v="0"/>
    <n v="0"/>
    <n v="0"/>
    <n v="0"/>
    <x v="2"/>
  </r>
  <r>
    <x v="7"/>
    <x v="1"/>
    <x v="8"/>
    <x v="3"/>
    <x v="26"/>
    <x v="0"/>
    <x v="0"/>
    <n v="3.24"/>
    <n v="10906.36"/>
    <n v="39132.699999999997"/>
    <x v="2"/>
  </r>
  <r>
    <x v="7"/>
    <x v="1"/>
    <x v="8"/>
    <x v="3"/>
    <x v="27"/>
    <x v="0"/>
    <x v="0"/>
    <n v="2.88"/>
    <n v="9694.5400000000009"/>
    <n v="34799.61"/>
    <x v="2"/>
  </r>
  <r>
    <x v="7"/>
    <x v="1"/>
    <x v="8"/>
    <x v="0"/>
    <x v="0"/>
    <x v="0"/>
    <x v="1"/>
    <n v="2.16"/>
    <n v="7270.91"/>
    <n v="26129.25"/>
    <x v="2"/>
  </r>
  <r>
    <x v="7"/>
    <x v="1"/>
    <x v="8"/>
    <x v="0"/>
    <x v="1"/>
    <x v="0"/>
    <x v="1"/>
    <n v="5.19"/>
    <n v="17470.37"/>
    <n v="62726.47"/>
    <x v="2"/>
  </r>
  <r>
    <x v="7"/>
    <x v="1"/>
    <x v="8"/>
    <x v="0"/>
    <x v="2"/>
    <x v="0"/>
    <x v="1"/>
    <n v="5.04"/>
    <n v="16965.45"/>
    <n v="60811.519999999997"/>
    <x v="2"/>
  </r>
  <r>
    <x v="7"/>
    <x v="1"/>
    <x v="8"/>
    <x v="0"/>
    <x v="3"/>
    <x v="0"/>
    <x v="1"/>
    <n v="9.34"/>
    <n v="31439.93"/>
    <n v="112809.69"/>
    <x v="2"/>
  </r>
  <r>
    <x v="7"/>
    <x v="1"/>
    <x v="8"/>
    <x v="0"/>
    <x v="4"/>
    <x v="0"/>
    <x v="1"/>
    <n v="2.76"/>
    <n v="9290.6"/>
    <n v="33331.83"/>
    <x v="2"/>
  </r>
  <r>
    <x v="7"/>
    <x v="1"/>
    <x v="8"/>
    <x v="0"/>
    <x v="5"/>
    <x v="0"/>
    <x v="1"/>
    <n v="4.8600000000000003"/>
    <n v="16359.54"/>
    <n v="58663.7"/>
    <x v="2"/>
  </r>
  <r>
    <x v="7"/>
    <x v="1"/>
    <x v="8"/>
    <x v="0"/>
    <x v="6"/>
    <x v="0"/>
    <x v="1"/>
    <n v="2.4900000000000002"/>
    <n v="8381.74"/>
    <n v="30024.34"/>
    <x v="2"/>
  </r>
  <r>
    <x v="7"/>
    <x v="1"/>
    <x v="8"/>
    <x v="0"/>
    <x v="8"/>
    <x v="0"/>
    <x v="1"/>
    <n v="3.91"/>
    <n v="13161.69"/>
    <n v="47185.32"/>
    <x v="2"/>
  </r>
  <r>
    <x v="7"/>
    <x v="1"/>
    <x v="8"/>
    <x v="1"/>
    <x v="10"/>
    <x v="0"/>
    <x v="1"/>
    <n v="5.65"/>
    <n v="19018.8"/>
    <n v="68280.09"/>
    <x v="2"/>
  </r>
  <r>
    <x v="7"/>
    <x v="1"/>
    <x v="8"/>
    <x v="1"/>
    <x v="11"/>
    <x v="0"/>
    <x v="1"/>
    <n v="14.05"/>
    <n v="47294.55"/>
    <n v="169688.92"/>
    <x v="2"/>
  </r>
  <r>
    <x v="7"/>
    <x v="1"/>
    <x v="8"/>
    <x v="1"/>
    <x v="13"/>
    <x v="0"/>
    <x v="1"/>
    <n v="6.14"/>
    <n v="20668.22"/>
    <n v="74141.960000000006"/>
    <x v="2"/>
  </r>
  <r>
    <x v="7"/>
    <x v="1"/>
    <x v="8"/>
    <x v="1"/>
    <x v="14"/>
    <x v="0"/>
    <x v="1"/>
    <n v="2.83"/>
    <n v="9526.23"/>
    <n v="34198.370000000003"/>
    <x v="2"/>
  </r>
  <r>
    <x v="7"/>
    <x v="1"/>
    <x v="8"/>
    <x v="1"/>
    <x v="16"/>
    <x v="0"/>
    <x v="1"/>
    <n v="2.79"/>
    <n v="9391.59"/>
    <n v="33663.269999999997"/>
    <x v="2"/>
  </r>
  <r>
    <x v="7"/>
    <x v="1"/>
    <x v="8"/>
    <x v="1"/>
    <x v="17"/>
    <x v="0"/>
    <x v="1"/>
    <n v="2.5099999999999998"/>
    <n v="8449.06"/>
    <n v="30300.68"/>
    <x v="2"/>
  </r>
  <r>
    <x v="7"/>
    <x v="1"/>
    <x v="8"/>
    <x v="1"/>
    <x v="18"/>
    <x v="0"/>
    <x v="1"/>
    <n v="16.989999999999998"/>
    <n v="57191.06"/>
    <n v="205214.96"/>
    <x v="2"/>
  </r>
  <r>
    <x v="7"/>
    <x v="1"/>
    <x v="8"/>
    <x v="1"/>
    <x v="19"/>
    <x v="0"/>
    <x v="1"/>
    <n v="4.66"/>
    <n v="15686.31"/>
    <n v="56229.26"/>
    <x v="2"/>
  </r>
  <r>
    <x v="7"/>
    <x v="1"/>
    <x v="8"/>
    <x v="1"/>
    <x v="20"/>
    <x v="0"/>
    <x v="1"/>
    <n v="15.05"/>
    <n v="50660.71"/>
    <n v="181738.33"/>
    <x v="2"/>
  </r>
  <r>
    <x v="7"/>
    <x v="1"/>
    <x v="8"/>
    <x v="2"/>
    <x v="21"/>
    <x v="0"/>
    <x v="1"/>
    <n v="0"/>
    <n v="0"/>
    <n v="0"/>
    <x v="2"/>
  </r>
  <r>
    <x v="7"/>
    <x v="1"/>
    <x v="8"/>
    <x v="2"/>
    <x v="22"/>
    <x v="0"/>
    <x v="1"/>
    <n v="5.87"/>
    <n v="19759.36"/>
    <n v="70893.06"/>
    <x v="2"/>
  </r>
  <r>
    <x v="7"/>
    <x v="1"/>
    <x v="8"/>
    <x v="2"/>
    <x v="29"/>
    <x v="0"/>
    <x v="1"/>
    <n v="2.52"/>
    <n v="8482.7199999999993"/>
    <n v="30382.03"/>
    <x v="2"/>
  </r>
  <r>
    <x v="7"/>
    <x v="1"/>
    <x v="8"/>
    <x v="2"/>
    <x v="24"/>
    <x v="0"/>
    <x v="1"/>
    <n v="4.08"/>
    <n v="13733.93"/>
    <n v="49261.36"/>
    <x v="2"/>
  </r>
  <r>
    <x v="7"/>
    <x v="1"/>
    <x v="8"/>
    <x v="3"/>
    <x v="25"/>
    <x v="0"/>
    <x v="1"/>
    <n v="3.74"/>
    <n v="12589.44"/>
    <n v="45163.58"/>
    <x v="2"/>
  </r>
  <r>
    <x v="7"/>
    <x v="1"/>
    <x v="8"/>
    <x v="3"/>
    <x v="26"/>
    <x v="0"/>
    <x v="1"/>
    <n v="3.15"/>
    <n v="10603.4"/>
    <n v="37981.74"/>
    <x v="2"/>
  </r>
  <r>
    <x v="7"/>
    <x v="1"/>
    <x v="8"/>
    <x v="3"/>
    <x v="27"/>
    <x v="0"/>
    <x v="1"/>
    <n v="10.32"/>
    <n v="34738.769999999997"/>
    <n v="124605.06"/>
    <x v="2"/>
  </r>
  <r>
    <x v="7"/>
    <x v="1"/>
    <x v="8"/>
    <x v="0"/>
    <x v="0"/>
    <x v="1"/>
    <x v="0"/>
    <n v="5.61"/>
    <n v="18884.16"/>
    <n v="44310.559999999998"/>
    <x v="2"/>
  </r>
  <r>
    <x v="7"/>
    <x v="1"/>
    <x v="8"/>
    <x v="0"/>
    <x v="1"/>
    <x v="1"/>
    <x v="0"/>
    <n v="14.5"/>
    <n v="48809.32"/>
    <n v="112593.2"/>
    <x v="2"/>
  </r>
  <r>
    <x v="7"/>
    <x v="1"/>
    <x v="8"/>
    <x v="0"/>
    <x v="2"/>
    <x v="1"/>
    <x v="0"/>
    <n v="7.77"/>
    <n v="26155.06"/>
    <n v="58265.65"/>
    <x v="2"/>
  </r>
  <r>
    <x v="7"/>
    <x v="1"/>
    <x v="8"/>
    <x v="0"/>
    <x v="3"/>
    <x v="1"/>
    <x v="0"/>
    <n v="15.45"/>
    <n v="52007.17"/>
    <n v="120534.61"/>
    <x v="2"/>
  </r>
  <r>
    <x v="7"/>
    <x v="1"/>
    <x v="8"/>
    <x v="0"/>
    <x v="28"/>
    <x v="1"/>
    <x v="0"/>
    <n v="0"/>
    <n v="0"/>
    <n v="0"/>
    <x v="2"/>
  </r>
  <r>
    <x v="7"/>
    <x v="1"/>
    <x v="8"/>
    <x v="0"/>
    <x v="4"/>
    <x v="1"/>
    <x v="0"/>
    <n v="10.96"/>
    <n v="36893.11"/>
    <n v="84726.19"/>
    <x v="2"/>
  </r>
  <r>
    <x v="7"/>
    <x v="1"/>
    <x v="8"/>
    <x v="0"/>
    <x v="5"/>
    <x v="1"/>
    <x v="0"/>
    <n v="2.44"/>
    <n v="8213.43"/>
    <n v="19387.32"/>
    <x v="2"/>
  </r>
  <r>
    <x v="7"/>
    <x v="1"/>
    <x v="8"/>
    <x v="0"/>
    <x v="6"/>
    <x v="1"/>
    <x v="0"/>
    <n v="0"/>
    <n v="0"/>
    <n v="0"/>
    <x v="2"/>
  </r>
  <r>
    <x v="7"/>
    <x v="1"/>
    <x v="8"/>
    <x v="0"/>
    <x v="7"/>
    <x v="1"/>
    <x v="0"/>
    <n v="0"/>
    <n v="0"/>
    <n v="0"/>
    <x v="2"/>
  </r>
  <r>
    <x v="7"/>
    <x v="1"/>
    <x v="8"/>
    <x v="0"/>
    <x v="8"/>
    <x v="1"/>
    <x v="0"/>
    <n v="0"/>
    <n v="0"/>
    <n v="0"/>
    <x v="2"/>
  </r>
  <r>
    <x v="7"/>
    <x v="1"/>
    <x v="8"/>
    <x v="1"/>
    <x v="30"/>
    <x v="1"/>
    <x v="0"/>
    <n v="3.8"/>
    <n v="12791.41"/>
    <n v="31636.11"/>
    <x v="2"/>
  </r>
  <r>
    <x v="7"/>
    <x v="1"/>
    <x v="8"/>
    <x v="1"/>
    <x v="9"/>
    <x v="1"/>
    <x v="0"/>
    <n v="0"/>
    <n v="0"/>
    <n v="0"/>
    <x v="2"/>
  </r>
  <r>
    <x v="7"/>
    <x v="1"/>
    <x v="8"/>
    <x v="1"/>
    <x v="31"/>
    <x v="1"/>
    <x v="0"/>
    <n v="3.69"/>
    <n v="12421.13"/>
    <n v="30951.99"/>
    <x v="2"/>
  </r>
  <r>
    <x v="7"/>
    <x v="1"/>
    <x v="8"/>
    <x v="1"/>
    <x v="10"/>
    <x v="1"/>
    <x v="0"/>
    <n v="15.49"/>
    <n v="52141.82"/>
    <n v="127606.88"/>
    <x v="2"/>
  </r>
  <r>
    <x v="7"/>
    <x v="1"/>
    <x v="8"/>
    <x v="1"/>
    <x v="11"/>
    <x v="1"/>
    <x v="0"/>
    <n v="7.77"/>
    <n v="26155.06"/>
    <n v="61012.94"/>
    <x v="2"/>
  </r>
  <r>
    <x v="7"/>
    <x v="1"/>
    <x v="8"/>
    <x v="1"/>
    <x v="12"/>
    <x v="1"/>
    <x v="0"/>
    <n v="2.21"/>
    <n v="7439.21"/>
    <n v="18270.88"/>
    <x v="2"/>
  </r>
  <r>
    <x v="7"/>
    <x v="1"/>
    <x v="8"/>
    <x v="1"/>
    <x v="13"/>
    <x v="1"/>
    <x v="0"/>
    <n v="4.04"/>
    <n v="13599.29"/>
    <n v="33219.61"/>
    <x v="2"/>
  </r>
  <r>
    <x v="7"/>
    <x v="1"/>
    <x v="8"/>
    <x v="1"/>
    <x v="14"/>
    <x v="1"/>
    <x v="0"/>
    <n v="12.91"/>
    <n v="43457.13"/>
    <n v="104148.76"/>
    <x v="2"/>
  </r>
  <r>
    <x v="7"/>
    <x v="1"/>
    <x v="8"/>
    <x v="1"/>
    <x v="15"/>
    <x v="1"/>
    <x v="0"/>
    <n v="2.39"/>
    <n v="8045.12"/>
    <n v="19929.29"/>
    <x v="2"/>
  </r>
  <r>
    <x v="7"/>
    <x v="1"/>
    <x v="8"/>
    <x v="1"/>
    <x v="16"/>
    <x v="1"/>
    <x v="0"/>
    <n v="8.94"/>
    <n v="30093.47"/>
    <n v="71057.19"/>
    <x v="2"/>
  </r>
  <r>
    <x v="7"/>
    <x v="1"/>
    <x v="8"/>
    <x v="1"/>
    <x v="17"/>
    <x v="1"/>
    <x v="0"/>
    <n v="8.51"/>
    <n v="28646.02"/>
    <n v="68259.37"/>
    <x v="2"/>
  </r>
  <r>
    <x v="7"/>
    <x v="1"/>
    <x v="8"/>
    <x v="1"/>
    <x v="18"/>
    <x v="1"/>
    <x v="0"/>
    <n v="5.99"/>
    <n v="20163.3"/>
    <n v="50268.42"/>
    <x v="2"/>
  </r>
  <r>
    <x v="7"/>
    <x v="1"/>
    <x v="8"/>
    <x v="1"/>
    <x v="19"/>
    <x v="1"/>
    <x v="0"/>
    <n v="10.06"/>
    <n v="33863.57"/>
    <n v="81900.820000000007"/>
    <x v="2"/>
  </r>
  <r>
    <x v="7"/>
    <x v="1"/>
    <x v="8"/>
    <x v="1"/>
    <x v="20"/>
    <x v="1"/>
    <x v="0"/>
    <n v="14.29"/>
    <n v="48102.43"/>
    <n v="114402.29"/>
    <x v="2"/>
  </r>
  <r>
    <x v="7"/>
    <x v="1"/>
    <x v="8"/>
    <x v="2"/>
    <x v="21"/>
    <x v="1"/>
    <x v="0"/>
    <n v="0"/>
    <n v="0"/>
    <n v="0"/>
    <x v="2"/>
  </r>
  <r>
    <x v="7"/>
    <x v="1"/>
    <x v="8"/>
    <x v="2"/>
    <x v="22"/>
    <x v="1"/>
    <x v="0"/>
    <n v="7.66"/>
    <n v="25784.79"/>
    <n v="56356.92"/>
    <x v="2"/>
  </r>
  <r>
    <x v="7"/>
    <x v="1"/>
    <x v="8"/>
    <x v="2"/>
    <x v="29"/>
    <x v="1"/>
    <x v="0"/>
    <n v="0"/>
    <n v="0"/>
    <n v="0"/>
    <x v="2"/>
  </r>
  <r>
    <x v="7"/>
    <x v="1"/>
    <x v="8"/>
    <x v="2"/>
    <x v="23"/>
    <x v="1"/>
    <x v="0"/>
    <n v="0"/>
    <n v="0"/>
    <n v="0"/>
    <x v="2"/>
  </r>
  <r>
    <x v="7"/>
    <x v="1"/>
    <x v="8"/>
    <x v="2"/>
    <x v="24"/>
    <x v="1"/>
    <x v="0"/>
    <n v="2.21"/>
    <n v="7439.21"/>
    <n v="16533"/>
    <x v="2"/>
  </r>
  <r>
    <x v="7"/>
    <x v="1"/>
    <x v="8"/>
    <x v="3"/>
    <x v="25"/>
    <x v="1"/>
    <x v="0"/>
    <n v="9.94"/>
    <n v="33459.629999999997"/>
    <n v="82222.31"/>
    <x v="2"/>
  </r>
  <r>
    <x v="7"/>
    <x v="1"/>
    <x v="8"/>
    <x v="3"/>
    <x v="26"/>
    <x v="1"/>
    <x v="0"/>
    <n v="8.7899999999999991"/>
    <n v="29588.55"/>
    <n v="73206.320000000007"/>
    <x v="2"/>
  </r>
  <r>
    <x v="7"/>
    <x v="1"/>
    <x v="8"/>
    <x v="3"/>
    <x v="27"/>
    <x v="1"/>
    <x v="0"/>
    <n v="14.04"/>
    <n v="47260.89"/>
    <n v="114799.07"/>
    <x v="2"/>
  </r>
  <r>
    <x v="7"/>
    <x v="1"/>
    <x v="8"/>
    <x v="0"/>
    <x v="0"/>
    <x v="1"/>
    <x v="1"/>
    <n v="9.32"/>
    <n v="31372.61"/>
    <n v="73623.69"/>
    <x v="2"/>
  </r>
  <r>
    <x v="7"/>
    <x v="1"/>
    <x v="8"/>
    <x v="0"/>
    <x v="1"/>
    <x v="1"/>
    <x v="1"/>
    <n v="19.29"/>
    <n v="64933.23"/>
    <n v="149759.89000000001"/>
    <x v="2"/>
  </r>
  <r>
    <x v="7"/>
    <x v="1"/>
    <x v="8"/>
    <x v="0"/>
    <x v="2"/>
    <x v="1"/>
    <x v="1"/>
    <n v="15.37"/>
    <n v="51737.88"/>
    <n v="115236.51"/>
    <x v="2"/>
  </r>
  <r>
    <x v="7"/>
    <x v="1"/>
    <x v="8"/>
    <x v="0"/>
    <x v="3"/>
    <x v="1"/>
    <x v="1"/>
    <n v="36.869999999999997"/>
    <n v="124110.32"/>
    <n v="287639.40999999997"/>
    <x v="2"/>
  </r>
  <r>
    <x v="7"/>
    <x v="1"/>
    <x v="8"/>
    <x v="0"/>
    <x v="28"/>
    <x v="1"/>
    <x v="1"/>
    <n v="1.87"/>
    <n v="6294.72"/>
    <n v="14807.62"/>
    <x v="2"/>
  </r>
  <r>
    <x v="7"/>
    <x v="1"/>
    <x v="8"/>
    <x v="0"/>
    <x v="4"/>
    <x v="1"/>
    <x v="1"/>
    <n v="10.96"/>
    <n v="36893.11"/>
    <n v="84726.19"/>
    <x v="2"/>
  </r>
  <r>
    <x v="7"/>
    <x v="1"/>
    <x v="8"/>
    <x v="0"/>
    <x v="5"/>
    <x v="1"/>
    <x v="1"/>
    <n v="26.46"/>
    <n v="89068.59"/>
    <n v="210586.39"/>
    <x v="2"/>
  </r>
  <r>
    <x v="7"/>
    <x v="1"/>
    <x v="8"/>
    <x v="0"/>
    <x v="6"/>
    <x v="1"/>
    <x v="1"/>
    <n v="3.06"/>
    <n v="10300.450000000001"/>
    <n v="24260.15"/>
    <x v="2"/>
  </r>
  <r>
    <x v="7"/>
    <x v="1"/>
    <x v="8"/>
    <x v="0"/>
    <x v="7"/>
    <x v="1"/>
    <x v="1"/>
    <n v="3.8"/>
    <n v="12791.41"/>
    <n v="30664.080000000002"/>
    <x v="2"/>
  </r>
  <r>
    <x v="7"/>
    <x v="1"/>
    <x v="8"/>
    <x v="0"/>
    <x v="8"/>
    <x v="1"/>
    <x v="1"/>
    <n v="5.69"/>
    <n v="19153.45"/>
    <n v="43778.81"/>
    <x v="2"/>
  </r>
  <r>
    <x v="7"/>
    <x v="1"/>
    <x v="8"/>
    <x v="1"/>
    <x v="30"/>
    <x v="1"/>
    <x v="1"/>
    <n v="0"/>
    <n v="0"/>
    <n v="0"/>
    <x v="2"/>
  </r>
  <r>
    <x v="7"/>
    <x v="1"/>
    <x v="8"/>
    <x v="1"/>
    <x v="9"/>
    <x v="1"/>
    <x v="1"/>
    <n v="3.2"/>
    <n v="10771.71"/>
    <n v="26624.16"/>
    <x v="2"/>
  </r>
  <r>
    <x v="7"/>
    <x v="1"/>
    <x v="8"/>
    <x v="1"/>
    <x v="31"/>
    <x v="1"/>
    <x v="1"/>
    <n v="0"/>
    <n v="0"/>
    <n v="0"/>
    <x v="2"/>
  </r>
  <r>
    <x v="7"/>
    <x v="1"/>
    <x v="8"/>
    <x v="1"/>
    <x v="10"/>
    <x v="1"/>
    <x v="1"/>
    <n v="34.479999999999997"/>
    <n v="116065.2"/>
    <n v="283960.36"/>
    <x v="2"/>
  </r>
  <r>
    <x v="7"/>
    <x v="1"/>
    <x v="8"/>
    <x v="1"/>
    <x v="11"/>
    <x v="1"/>
    <x v="1"/>
    <n v="32.9"/>
    <n v="110746.66"/>
    <n v="258288.1"/>
    <x v="2"/>
  </r>
  <r>
    <x v="7"/>
    <x v="1"/>
    <x v="8"/>
    <x v="1"/>
    <x v="12"/>
    <x v="1"/>
    <x v="1"/>
    <n v="3.98"/>
    <n v="13397.32"/>
    <n v="32887.58"/>
    <x v="2"/>
  </r>
  <r>
    <x v="7"/>
    <x v="1"/>
    <x v="8"/>
    <x v="1"/>
    <x v="13"/>
    <x v="1"/>
    <x v="1"/>
    <n v="18.18"/>
    <n v="61196.79"/>
    <n v="149488.25"/>
    <x v="2"/>
  </r>
  <r>
    <x v="7"/>
    <x v="1"/>
    <x v="8"/>
    <x v="1"/>
    <x v="14"/>
    <x v="1"/>
    <x v="1"/>
    <n v="7.23"/>
    <n v="24337.34"/>
    <n v="58300.67"/>
    <x v="2"/>
  </r>
  <r>
    <x v="7"/>
    <x v="1"/>
    <x v="8"/>
    <x v="1"/>
    <x v="15"/>
    <x v="1"/>
    <x v="1"/>
    <n v="2.2999999999999998"/>
    <n v="7742.17"/>
    <n v="19217.53"/>
    <x v="2"/>
  </r>
  <r>
    <x v="7"/>
    <x v="1"/>
    <x v="8"/>
    <x v="1"/>
    <x v="16"/>
    <x v="1"/>
    <x v="1"/>
    <n v="10.7"/>
    <n v="36017.910000000003"/>
    <n v="84989.98"/>
    <x v="2"/>
  </r>
  <r>
    <x v="7"/>
    <x v="1"/>
    <x v="8"/>
    <x v="1"/>
    <x v="17"/>
    <x v="1"/>
    <x v="1"/>
    <n v="7.55"/>
    <n v="25414.51"/>
    <n v="60518.61"/>
    <x v="2"/>
  </r>
  <r>
    <x v="7"/>
    <x v="1"/>
    <x v="8"/>
    <x v="1"/>
    <x v="18"/>
    <x v="1"/>
    <x v="1"/>
    <n v="23.14"/>
    <n v="77892.94"/>
    <n v="194194.86"/>
    <x v="2"/>
  </r>
  <r>
    <x v="7"/>
    <x v="1"/>
    <x v="8"/>
    <x v="1"/>
    <x v="19"/>
    <x v="1"/>
    <x v="1"/>
    <n v="16.010000000000002"/>
    <n v="53892.22"/>
    <n v="130329.12"/>
    <x v="2"/>
  </r>
  <r>
    <x v="7"/>
    <x v="1"/>
    <x v="8"/>
    <x v="1"/>
    <x v="20"/>
    <x v="1"/>
    <x v="1"/>
    <n v="26.6"/>
    <n v="89539.86"/>
    <n v="212953.66"/>
    <x v="2"/>
  </r>
  <r>
    <x v="7"/>
    <x v="1"/>
    <x v="8"/>
    <x v="2"/>
    <x v="21"/>
    <x v="1"/>
    <x v="1"/>
    <n v="3.36"/>
    <n v="11310.3"/>
    <n v="24680.53"/>
    <x v="2"/>
  </r>
  <r>
    <x v="7"/>
    <x v="1"/>
    <x v="8"/>
    <x v="2"/>
    <x v="22"/>
    <x v="1"/>
    <x v="1"/>
    <n v="15.39"/>
    <n v="51805.2"/>
    <n v="113221.56"/>
    <x v="2"/>
  </r>
  <r>
    <x v="7"/>
    <x v="1"/>
    <x v="8"/>
    <x v="2"/>
    <x v="29"/>
    <x v="1"/>
    <x v="1"/>
    <n v="1.74"/>
    <n v="5857.12"/>
    <n v="13594.02"/>
    <x v="2"/>
  </r>
  <r>
    <x v="7"/>
    <x v="1"/>
    <x v="8"/>
    <x v="2"/>
    <x v="23"/>
    <x v="1"/>
    <x v="1"/>
    <n v="2.04"/>
    <n v="6866.97"/>
    <n v="15604.8"/>
    <x v="2"/>
  </r>
  <r>
    <x v="7"/>
    <x v="1"/>
    <x v="8"/>
    <x v="2"/>
    <x v="24"/>
    <x v="1"/>
    <x v="1"/>
    <n v="3.57"/>
    <n v="12017.19"/>
    <n v="26707.15"/>
    <x v="2"/>
  </r>
  <r>
    <x v="7"/>
    <x v="1"/>
    <x v="8"/>
    <x v="3"/>
    <x v="25"/>
    <x v="1"/>
    <x v="1"/>
    <n v="10.119999999999999"/>
    <n v="34065.54"/>
    <n v="83677.570000000007"/>
    <x v="2"/>
  </r>
  <r>
    <x v="7"/>
    <x v="1"/>
    <x v="8"/>
    <x v="3"/>
    <x v="26"/>
    <x v="1"/>
    <x v="1"/>
    <n v="22.67"/>
    <n v="76310.850000000006"/>
    <n v="188942.03"/>
    <x v="2"/>
  </r>
  <r>
    <x v="7"/>
    <x v="1"/>
    <x v="8"/>
    <x v="3"/>
    <x v="27"/>
    <x v="1"/>
    <x v="1"/>
    <n v="44.65"/>
    <n v="150299.04"/>
    <n v="365075.3"/>
    <x v="2"/>
  </r>
  <r>
    <x v="7"/>
    <x v="1"/>
    <x v="9"/>
    <x v="0"/>
    <x v="0"/>
    <x v="0"/>
    <x v="0"/>
    <n v="1.3"/>
    <n v="3509.75"/>
    <n v="12157.25"/>
    <x v="2"/>
  </r>
  <r>
    <x v="7"/>
    <x v="1"/>
    <x v="9"/>
    <x v="0"/>
    <x v="1"/>
    <x v="0"/>
    <x v="0"/>
    <n v="3.91"/>
    <n v="10556.26"/>
    <n v="36657.879999999997"/>
    <x v="2"/>
  </r>
  <r>
    <x v="7"/>
    <x v="1"/>
    <x v="9"/>
    <x v="0"/>
    <x v="2"/>
    <x v="0"/>
    <x v="0"/>
    <n v="0"/>
    <n v="0"/>
    <n v="0"/>
    <x v="2"/>
  </r>
  <r>
    <x v="7"/>
    <x v="1"/>
    <x v="9"/>
    <x v="0"/>
    <x v="3"/>
    <x v="0"/>
    <x v="0"/>
    <n v="1.04"/>
    <n v="2807.8"/>
    <n v="9728.94"/>
    <x v="2"/>
  </r>
  <r>
    <x v="7"/>
    <x v="1"/>
    <x v="9"/>
    <x v="0"/>
    <x v="4"/>
    <x v="0"/>
    <x v="0"/>
    <n v="0"/>
    <n v="0"/>
    <n v="0"/>
    <x v="2"/>
  </r>
  <r>
    <x v="7"/>
    <x v="1"/>
    <x v="9"/>
    <x v="0"/>
    <x v="5"/>
    <x v="0"/>
    <x v="0"/>
    <n v="0"/>
    <n v="0"/>
    <n v="0"/>
    <x v="2"/>
  </r>
  <r>
    <x v="7"/>
    <x v="1"/>
    <x v="9"/>
    <x v="0"/>
    <x v="6"/>
    <x v="0"/>
    <x v="0"/>
    <n v="0"/>
    <n v="0"/>
    <n v="0"/>
    <x v="2"/>
  </r>
  <r>
    <x v="7"/>
    <x v="1"/>
    <x v="9"/>
    <x v="0"/>
    <x v="8"/>
    <x v="0"/>
    <x v="0"/>
    <n v="0"/>
    <n v="0"/>
    <n v="0"/>
    <x v="2"/>
  </r>
  <r>
    <x v="7"/>
    <x v="1"/>
    <x v="9"/>
    <x v="1"/>
    <x v="10"/>
    <x v="0"/>
    <x v="0"/>
    <n v="1.69"/>
    <n v="4562.68"/>
    <n v="15837.43"/>
    <x v="2"/>
  </r>
  <r>
    <x v="7"/>
    <x v="1"/>
    <x v="9"/>
    <x v="1"/>
    <x v="11"/>
    <x v="0"/>
    <x v="0"/>
    <n v="0"/>
    <n v="0"/>
    <n v="0"/>
    <x v="2"/>
  </r>
  <r>
    <x v="7"/>
    <x v="1"/>
    <x v="9"/>
    <x v="1"/>
    <x v="13"/>
    <x v="0"/>
    <x v="0"/>
    <n v="0"/>
    <n v="0"/>
    <n v="0"/>
    <x v="2"/>
  </r>
  <r>
    <x v="7"/>
    <x v="1"/>
    <x v="9"/>
    <x v="1"/>
    <x v="14"/>
    <x v="0"/>
    <x v="0"/>
    <n v="0"/>
    <n v="0"/>
    <n v="0"/>
    <x v="2"/>
  </r>
  <r>
    <x v="7"/>
    <x v="1"/>
    <x v="9"/>
    <x v="1"/>
    <x v="16"/>
    <x v="0"/>
    <x v="0"/>
    <n v="0"/>
    <n v="0"/>
    <n v="0"/>
    <x v="2"/>
  </r>
  <r>
    <x v="7"/>
    <x v="1"/>
    <x v="9"/>
    <x v="1"/>
    <x v="17"/>
    <x v="0"/>
    <x v="0"/>
    <n v="0"/>
    <n v="0"/>
    <n v="0"/>
    <x v="2"/>
  </r>
  <r>
    <x v="7"/>
    <x v="1"/>
    <x v="9"/>
    <x v="1"/>
    <x v="18"/>
    <x v="0"/>
    <x v="0"/>
    <n v="0"/>
    <n v="0"/>
    <n v="0"/>
    <x v="2"/>
  </r>
  <r>
    <x v="7"/>
    <x v="1"/>
    <x v="9"/>
    <x v="1"/>
    <x v="19"/>
    <x v="0"/>
    <x v="0"/>
    <n v="0"/>
    <n v="0"/>
    <n v="0"/>
    <x v="2"/>
  </r>
  <r>
    <x v="7"/>
    <x v="1"/>
    <x v="9"/>
    <x v="1"/>
    <x v="20"/>
    <x v="0"/>
    <x v="0"/>
    <n v="1.86"/>
    <n v="5021.6499999999996"/>
    <n v="17480.93"/>
    <x v="2"/>
  </r>
  <r>
    <x v="7"/>
    <x v="1"/>
    <x v="9"/>
    <x v="2"/>
    <x v="21"/>
    <x v="0"/>
    <x v="0"/>
    <n v="2.58"/>
    <n v="6965.51"/>
    <n v="24162.82"/>
    <x v="2"/>
  </r>
  <r>
    <x v="7"/>
    <x v="1"/>
    <x v="9"/>
    <x v="2"/>
    <x v="22"/>
    <x v="0"/>
    <x v="0"/>
    <n v="0"/>
    <n v="0"/>
    <n v="0"/>
    <x v="2"/>
  </r>
  <r>
    <x v="7"/>
    <x v="1"/>
    <x v="9"/>
    <x v="2"/>
    <x v="29"/>
    <x v="0"/>
    <x v="0"/>
    <n v="0"/>
    <n v="0"/>
    <n v="0"/>
    <x v="2"/>
  </r>
  <r>
    <x v="7"/>
    <x v="1"/>
    <x v="9"/>
    <x v="2"/>
    <x v="24"/>
    <x v="0"/>
    <x v="0"/>
    <n v="0"/>
    <n v="0"/>
    <n v="0"/>
    <x v="2"/>
  </r>
  <r>
    <x v="7"/>
    <x v="1"/>
    <x v="9"/>
    <x v="3"/>
    <x v="25"/>
    <x v="0"/>
    <x v="0"/>
    <n v="0"/>
    <n v="0"/>
    <n v="0"/>
    <x v="2"/>
  </r>
  <r>
    <x v="7"/>
    <x v="1"/>
    <x v="9"/>
    <x v="3"/>
    <x v="26"/>
    <x v="0"/>
    <x v="0"/>
    <n v="1.41"/>
    <n v="3806.73"/>
    <n v="13209.32"/>
    <x v="2"/>
  </r>
  <r>
    <x v="7"/>
    <x v="1"/>
    <x v="9"/>
    <x v="3"/>
    <x v="27"/>
    <x v="0"/>
    <x v="0"/>
    <n v="2.97"/>
    <n v="8018.44"/>
    <n v="27897.26"/>
    <x v="2"/>
  </r>
  <r>
    <x v="7"/>
    <x v="1"/>
    <x v="9"/>
    <x v="0"/>
    <x v="0"/>
    <x v="0"/>
    <x v="1"/>
    <n v="1.76"/>
    <n v="4751.67"/>
    <n v="16499.12"/>
    <x v="2"/>
  </r>
  <r>
    <x v="7"/>
    <x v="1"/>
    <x v="9"/>
    <x v="0"/>
    <x v="1"/>
    <x v="0"/>
    <x v="1"/>
    <n v="8.1199999999999992"/>
    <n v="21922.46"/>
    <n v="76135.600000000006"/>
    <x v="2"/>
  </r>
  <r>
    <x v="7"/>
    <x v="1"/>
    <x v="9"/>
    <x v="0"/>
    <x v="2"/>
    <x v="0"/>
    <x v="1"/>
    <n v="3.48"/>
    <n v="9395.34"/>
    <n v="32612.55"/>
    <x v="2"/>
  </r>
  <r>
    <x v="7"/>
    <x v="1"/>
    <x v="9"/>
    <x v="0"/>
    <x v="3"/>
    <x v="0"/>
    <x v="1"/>
    <n v="3.35"/>
    <n v="9044.36"/>
    <n v="31397.94"/>
    <x v="2"/>
  </r>
  <r>
    <x v="7"/>
    <x v="1"/>
    <x v="9"/>
    <x v="0"/>
    <x v="4"/>
    <x v="0"/>
    <x v="1"/>
    <n v="1.71"/>
    <n v="4616.68"/>
    <n v="16071.17"/>
    <x v="2"/>
  </r>
  <r>
    <x v="7"/>
    <x v="1"/>
    <x v="9"/>
    <x v="0"/>
    <x v="5"/>
    <x v="0"/>
    <x v="1"/>
    <n v="3.16"/>
    <n v="8531.4"/>
    <n v="29660.080000000002"/>
    <x v="2"/>
  </r>
  <r>
    <x v="7"/>
    <x v="1"/>
    <x v="9"/>
    <x v="0"/>
    <x v="6"/>
    <x v="0"/>
    <x v="1"/>
    <n v="2.0299999999999998"/>
    <n v="5480.61"/>
    <n v="19062.36"/>
    <x v="2"/>
  </r>
  <r>
    <x v="7"/>
    <x v="1"/>
    <x v="9"/>
    <x v="0"/>
    <x v="8"/>
    <x v="0"/>
    <x v="1"/>
    <n v="3.52"/>
    <n v="9503.33"/>
    <n v="33038.71"/>
    <x v="2"/>
  </r>
  <r>
    <x v="7"/>
    <x v="1"/>
    <x v="9"/>
    <x v="1"/>
    <x v="10"/>
    <x v="0"/>
    <x v="1"/>
    <n v="5.07"/>
    <n v="13688.04"/>
    <n v="47512.29"/>
    <x v="2"/>
  </r>
  <r>
    <x v="7"/>
    <x v="1"/>
    <x v="9"/>
    <x v="1"/>
    <x v="11"/>
    <x v="0"/>
    <x v="1"/>
    <n v="10.58"/>
    <n v="28563.99"/>
    <n v="99237.81"/>
    <x v="2"/>
  </r>
  <r>
    <x v="7"/>
    <x v="1"/>
    <x v="9"/>
    <x v="1"/>
    <x v="13"/>
    <x v="0"/>
    <x v="1"/>
    <n v="3.03"/>
    <n v="8180.42"/>
    <n v="28397.599999999999"/>
    <x v="2"/>
  </r>
  <r>
    <x v="7"/>
    <x v="1"/>
    <x v="9"/>
    <x v="1"/>
    <x v="14"/>
    <x v="0"/>
    <x v="1"/>
    <n v="1.96"/>
    <n v="5291.63"/>
    <n v="18406.87"/>
    <x v="2"/>
  </r>
  <r>
    <x v="7"/>
    <x v="1"/>
    <x v="9"/>
    <x v="1"/>
    <x v="16"/>
    <x v="0"/>
    <x v="1"/>
    <n v="1.51"/>
    <n v="4076.71"/>
    <n v="14174.98"/>
    <x v="2"/>
  </r>
  <r>
    <x v="7"/>
    <x v="1"/>
    <x v="9"/>
    <x v="1"/>
    <x v="17"/>
    <x v="0"/>
    <x v="1"/>
    <n v="2.17"/>
    <n v="5858.59"/>
    <n v="20337.7"/>
    <x v="2"/>
  </r>
  <r>
    <x v="7"/>
    <x v="1"/>
    <x v="9"/>
    <x v="1"/>
    <x v="18"/>
    <x v="0"/>
    <x v="1"/>
    <n v="11.14"/>
    <n v="30075.88"/>
    <n v="104473.06"/>
    <x v="2"/>
  </r>
  <r>
    <x v="7"/>
    <x v="1"/>
    <x v="9"/>
    <x v="1"/>
    <x v="19"/>
    <x v="0"/>
    <x v="1"/>
    <n v="3.62"/>
    <n v="9773.31"/>
    <n v="33918.75"/>
    <x v="2"/>
  </r>
  <r>
    <x v="7"/>
    <x v="1"/>
    <x v="9"/>
    <x v="1"/>
    <x v="20"/>
    <x v="0"/>
    <x v="1"/>
    <n v="10.53"/>
    <n v="28429"/>
    <n v="98767.24"/>
    <x v="2"/>
  </r>
  <r>
    <x v="7"/>
    <x v="1"/>
    <x v="9"/>
    <x v="2"/>
    <x v="21"/>
    <x v="0"/>
    <x v="1"/>
    <n v="0"/>
    <n v="0"/>
    <n v="0"/>
    <x v="2"/>
  </r>
  <r>
    <x v="7"/>
    <x v="1"/>
    <x v="9"/>
    <x v="2"/>
    <x v="22"/>
    <x v="0"/>
    <x v="1"/>
    <n v="3.43"/>
    <n v="9260.35"/>
    <n v="32142.94"/>
    <x v="2"/>
  </r>
  <r>
    <x v="7"/>
    <x v="1"/>
    <x v="9"/>
    <x v="2"/>
    <x v="29"/>
    <x v="0"/>
    <x v="1"/>
    <n v="2.48"/>
    <n v="6695.53"/>
    <n v="23303.08"/>
    <x v="2"/>
  </r>
  <r>
    <x v="7"/>
    <x v="1"/>
    <x v="9"/>
    <x v="2"/>
    <x v="24"/>
    <x v="0"/>
    <x v="1"/>
    <n v="2.16"/>
    <n v="5831.59"/>
    <n v="20222.54"/>
    <x v="2"/>
  </r>
  <r>
    <x v="7"/>
    <x v="1"/>
    <x v="9"/>
    <x v="3"/>
    <x v="25"/>
    <x v="0"/>
    <x v="1"/>
    <n v="1.99"/>
    <n v="5372.62"/>
    <n v="18689.27"/>
    <x v="2"/>
  </r>
  <r>
    <x v="7"/>
    <x v="1"/>
    <x v="9"/>
    <x v="3"/>
    <x v="26"/>
    <x v="0"/>
    <x v="1"/>
    <n v="1.1299999999999999"/>
    <n v="3050.79"/>
    <n v="10567.46"/>
    <x v="2"/>
  </r>
  <r>
    <x v="7"/>
    <x v="1"/>
    <x v="9"/>
    <x v="3"/>
    <x v="27"/>
    <x v="0"/>
    <x v="1"/>
    <n v="8.18"/>
    <n v="22084.45"/>
    <n v="76717.47"/>
    <x v="2"/>
  </r>
  <r>
    <x v="7"/>
    <x v="1"/>
    <x v="9"/>
    <x v="0"/>
    <x v="0"/>
    <x v="1"/>
    <x v="0"/>
    <n v="4.26"/>
    <n v="11501.19"/>
    <n v="26161.71"/>
    <x v="2"/>
  </r>
  <r>
    <x v="7"/>
    <x v="1"/>
    <x v="9"/>
    <x v="0"/>
    <x v="1"/>
    <x v="1"/>
    <x v="0"/>
    <n v="12.58"/>
    <n v="33963.61"/>
    <n v="75882.559999999998"/>
    <x v="2"/>
  </r>
  <r>
    <x v="7"/>
    <x v="1"/>
    <x v="9"/>
    <x v="0"/>
    <x v="2"/>
    <x v="1"/>
    <x v="0"/>
    <n v="7.04"/>
    <n v="19006.66"/>
    <n v="41028.379999999997"/>
    <x v="2"/>
  </r>
  <r>
    <x v="7"/>
    <x v="1"/>
    <x v="9"/>
    <x v="0"/>
    <x v="3"/>
    <x v="1"/>
    <x v="0"/>
    <n v="12.63"/>
    <n v="34098.6"/>
    <n v="76501.83"/>
    <x v="2"/>
  </r>
  <r>
    <x v="7"/>
    <x v="1"/>
    <x v="9"/>
    <x v="0"/>
    <x v="28"/>
    <x v="1"/>
    <x v="0"/>
    <n v="0"/>
    <n v="0"/>
    <n v="0"/>
    <x v="2"/>
  </r>
  <r>
    <x v="7"/>
    <x v="1"/>
    <x v="9"/>
    <x v="0"/>
    <x v="4"/>
    <x v="1"/>
    <x v="0"/>
    <n v="8.7899999999999991"/>
    <n v="23731.33"/>
    <n v="52789.43"/>
    <x v="2"/>
  </r>
  <r>
    <x v="7"/>
    <x v="1"/>
    <x v="9"/>
    <x v="0"/>
    <x v="5"/>
    <x v="1"/>
    <x v="0"/>
    <n v="2.71"/>
    <n v="7316.49"/>
    <n v="16759.560000000001"/>
    <x v="2"/>
  </r>
  <r>
    <x v="7"/>
    <x v="1"/>
    <x v="9"/>
    <x v="0"/>
    <x v="6"/>
    <x v="1"/>
    <x v="0"/>
    <n v="0"/>
    <n v="0"/>
    <n v="0"/>
    <x v="2"/>
  </r>
  <r>
    <x v="7"/>
    <x v="1"/>
    <x v="9"/>
    <x v="0"/>
    <x v="7"/>
    <x v="1"/>
    <x v="0"/>
    <n v="0"/>
    <n v="0"/>
    <n v="0"/>
    <x v="2"/>
  </r>
  <r>
    <x v="7"/>
    <x v="1"/>
    <x v="9"/>
    <x v="0"/>
    <x v="8"/>
    <x v="1"/>
    <x v="0"/>
    <n v="0"/>
    <n v="0"/>
    <n v="0"/>
    <x v="2"/>
  </r>
  <r>
    <x v="7"/>
    <x v="1"/>
    <x v="9"/>
    <x v="1"/>
    <x v="30"/>
    <x v="1"/>
    <x v="0"/>
    <n v="1.27"/>
    <n v="3428.76"/>
    <n v="8188.47"/>
    <x v="2"/>
  </r>
  <r>
    <x v="7"/>
    <x v="1"/>
    <x v="9"/>
    <x v="1"/>
    <x v="9"/>
    <x v="1"/>
    <x v="0"/>
    <n v="0"/>
    <n v="0"/>
    <n v="0"/>
    <x v="2"/>
  </r>
  <r>
    <x v="7"/>
    <x v="1"/>
    <x v="9"/>
    <x v="1"/>
    <x v="31"/>
    <x v="1"/>
    <x v="0"/>
    <n v="1.73"/>
    <n v="4670.67"/>
    <n v="11254.68"/>
    <x v="2"/>
  </r>
  <r>
    <x v="7"/>
    <x v="1"/>
    <x v="9"/>
    <x v="1"/>
    <x v="10"/>
    <x v="1"/>
    <x v="0"/>
    <n v="5.39"/>
    <n v="14551.98"/>
    <n v="34451.019999999997"/>
    <x v="2"/>
  </r>
  <r>
    <x v="7"/>
    <x v="1"/>
    <x v="9"/>
    <x v="1"/>
    <x v="11"/>
    <x v="1"/>
    <x v="0"/>
    <n v="7.78"/>
    <n v="21004.52"/>
    <n v="47409.52"/>
    <x v="2"/>
  </r>
  <r>
    <x v="7"/>
    <x v="1"/>
    <x v="9"/>
    <x v="1"/>
    <x v="12"/>
    <x v="1"/>
    <x v="0"/>
    <n v="2.06"/>
    <n v="5561.61"/>
    <n v="13220.23"/>
    <x v="2"/>
  </r>
  <r>
    <x v="7"/>
    <x v="1"/>
    <x v="9"/>
    <x v="1"/>
    <x v="13"/>
    <x v="1"/>
    <x v="0"/>
    <n v="2.89"/>
    <n v="7802.45"/>
    <n v="18474.169999999998"/>
    <x v="2"/>
  </r>
  <r>
    <x v="7"/>
    <x v="1"/>
    <x v="9"/>
    <x v="1"/>
    <x v="14"/>
    <x v="1"/>
    <x v="0"/>
    <n v="12.78"/>
    <n v="34503.57"/>
    <n v="80046.539999999994"/>
    <x v="2"/>
  </r>
  <r>
    <x v="7"/>
    <x v="1"/>
    <x v="9"/>
    <x v="1"/>
    <x v="15"/>
    <x v="1"/>
    <x v="0"/>
    <n v="1.94"/>
    <n v="5237.63"/>
    <n v="12543.97"/>
    <x v="2"/>
  </r>
  <r>
    <x v="7"/>
    <x v="1"/>
    <x v="9"/>
    <x v="1"/>
    <x v="16"/>
    <x v="1"/>
    <x v="0"/>
    <n v="6.47"/>
    <n v="17467.77"/>
    <n v="39961.01"/>
    <x v="2"/>
  </r>
  <r>
    <x v="7"/>
    <x v="1"/>
    <x v="9"/>
    <x v="1"/>
    <x v="17"/>
    <x v="1"/>
    <x v="0"/>
    <n v="6.25"/>
    <n v="16873.810000000001"/>
    <n v="38896.58"/>
    <x v="2"/>
  </r>
  <r>
    <x v="7"/>
    <x v="1"/>
    <x v="9"/>
    <x v="1"/>
    <x v="18"/>
    <x v="1"/>
    <x v="0"/>
    <n v="7.92"/>
    <n v="21382.5"/>
    <n v="51643.12"/>
    <x v="2"/>
  </r>
  <r>
    <x v="7"/>
    <x v="1"/>
    <x v="9"/>
    <x v="1"/>
    <x v="19"/>
    <x v="1"/>
    <x v="0"/>
    <n v="6.77"/>
    <n v="18277.71"/>
    <n v="42829.55"/>
    <x v="2"/>
  </r>
  <r>
    <x v="7"/>
    <x v="1"/>
    <x v="9"/>
    <x v="1"/>
    <x v="20"/>
    <x v="1"/>
    <x v="0"/>
    <n v="12.35"/>
    <n v="33342.65"/>
    <n v="76784.66"/>
    <x v="2"/>
  </r>
  <r>
    <x v="7"/>
    <x v="1"/>
    <x v="9"/>
    <x v="2"/>
    <x v="21"/>
    <x v="1"/>
    <x v="0"/>
    <n v="0"/>
    <n v="0"/>
    <n v="0"/>
    <x v="2"/>
  </r>
  <r>
    <x v="7"/>
    <x v="1"/>
    <x v="9"/>
    <x v="2"/>
    <x v="22"/>
    <x v="1"/>
    <x v="0"/>
    <n v="7.98"/>
    <n v="21544.48"/>
    <n v="45597.82"/>
    <x v="2"/>
  </r>
  <r>
    <x v="7"/>
    <x v="1"/>
    <x v="9"/>
    <x v="2"/>
    <x v="29"/>
    <x v="1"/>
    <x v="0"/>
    <n v="0"/>
    <n v="0"/>
    <n v="0"/>
    <x v="2"/>
  </r>
  <r>
    <x v="7"/>
    <x v="1"/>
    <x v="9"/>
    <x v="2"/>
    <x v="23"/>
    <x v="1"/>
    <x v="0"/>
    <n v="0"/>
    <n v="0"/>
    <n v="0"/>
    <x v="2"/>
  </r>
  <r>
    <x v="7"/>
    <x v="1"/>
    <x v="9"/>
    <x v="2"/>
    <x v="24"/>
    <x v="1"/>
    <x v="0"/>
    <n v="1.1599999999999999"/>
    <n v="3131.78"/>
    <n v="6771.95"/>
    <x v="2"/>
  </r>
  <r>
    <x v="7"/>
    <x v="1"/>
    <x v="9"/>
    <x v="3"/>
    <x v="25"/>
    <x v="1"/>
    <x v="0"/>
    <n v="5.09"/>
    <n v="13742.03"/>
    <n v="32711.16"/>
    <x v="2"/>
  </r>
  <r>
    <x v="7"/>
    <x v="1"/>
    <x v="9"/>
    <x v="3"/>
    <x v="26"/>
    <x v="1"/>
    <x v="0"/>
    <n v="5.28"/>
    <n v="14255"/>
    <n v="34159.64"/>
    <x v="2"/>
  </r>
  <r>
    <x v="7"/>
    <x v="1"/>
    <x v="9"/>
    <x v="3"/>
    <x v="27"/>
    <x v="1"/>
    <x v="0"/>
    <n v="11.34"/>
    <n v="30615.85"/>
    <n v="72033.63"/>
    <x v="2"/>
  </r>
  <r>
    <x v="7"/>
    <x v="1"/>
    <x v="9"/>
    <x v="0"/>
    <x v="0"/>
    <x v="1"/>
    <x v="1"/>
    <n v="11.14"/>
    <n v="30075.88"/>
    <n v="68340.789999999994"/>
    <x v="2"/>
  </r>
  <r>
    <x v="7"/>
    <x v="1"/>
    <x v="9"/>
    <x v="0"/>
    <x v="1"/>
    <x v="1"/>
    <x v="1"/>
    <n v="22.19"/>
    <n v="59908.78"/>
    <n v="133819.92000000001"/>
    <x v="2"/>
  </r>
  <r>
    <x v="7"/>
    <x v="1"/>
    <x v="9"/>
    <x v="0"/>
    <x v="2"/>
    <x v="1"/>
    <x v="1"/>
    <n v="13.21"/>
    <n v="35664.49"/>
    <n v="76928.22"/>
    <x v="2"/>
  </r>
  <r>
    <x v="7"/>
    <x v="1"/>
    <x v="9"/>
    <x v="0"/>
    <x v="3"/>
    <x v="1"/>
    <x v="1"/>
    <n v="25.69"/>
    <n v="69358.12"/>
    <n v="155641.65"/>
    <x v="2"/>
  </r>
  <r>
    <x v="7"/>
    <x v="1"/>
    <x v="9"/>
    <x v="0"/>
    <x v="28"/>
    <x v="1"/>
    <x v="1"/>
    <n v="1.1399999999999999"/>
    <n v="3077.78"/>
    <n v="6988.47"/>
    <x v="2"/>
  </r>
  <r>
    <x v="7"/>
    <x v="1"/>
    <x v="9"/>
    <x v="0"/>
    <x v="4"/>
    <x v="1"/>
    <x v="1"/>
    <n v="8.35"/>
    <n v="22543.41"/>
    <n v="50123.29"/>
    <x v="2"/>
  </r>
  <r>
    <x v="7"/>
    <x v="1"/>
    <x v="9"/>
    <x v="0"/>
    <x v="5"/>
    <x v="1"/>
    <x v="1"/>
    <n v="21.08"/>
    <n v="56911.99"/>
    <n v="130292.08"/>
    <x v="2"/>
  </r>
  <r>
    <x v="7"/>
    <x v="1"/>
    <x v="9"/>
    <x v="0"/>
    <x v="6"/>
    <x v="1"/>
    <x v="1"/>
    <n v="2.2000000000000002"/>
    <n v="5939.58"/>
    <n v="13572.25"/>
    <x v="2"/>
  </r>
  <r>
    <x v="7"/>
    <x v="1"/>
    <x v="9"/>
    <x v="0"/>
    <x v="7"/>
    <x v="1"/>
    <x v="1"/>
    <n v="4.33"/>
    <n v="11690.18"/>
    <n v="27154.21"/>
    <x v="2"/>
  </r>
  <r>
    <x v="7"/>
    <x v="1"/>
    <x v="9"/>
    <x v="0"/>
    <x v="8"/>
    <x v="1"/>
    <x v="1"/>
    <n v="2.76"/>
    <n v="7451.48"/>
    <n v="16502.45"/>
    <x v="2"/>
  </r>
  <r>
    <x v="7"/>
    <x v="1"/>
    <x v="9"/>
    <x v="1"/>
    <x v="30"/>
    <x v="1"/>
    <x v="1"/>
    <n v="0"/>
    <n v="0"/>
    <n v="0"/>
    <x v="2"/>
  </r>
  <r>
    <x v="7"/>
    <x v="1"/>
    <x v="9"/>
    <x v="1"/>
    <x v="9"/>
    <x v="1"/>
    <x v="1"/>
    <n v="3.9"/>
    <n v="10529.26"/>
    <n v="25186.52"/>
    <x v="2"/>
  </r>
  <r>
    <x v="7"/>
    <x v="1"/>
    <x v="9"/>
    <x v="1"/>
    <x v="31"/>
    <x v="1"/>
    <x v="1"/>
    <n v="0"/>
    <n v="0"/>
    <n v="0"/>
    <x v="2"/>
  </r>
  <r>
    <x v="7"/>
    <x v="1"/>
    <x v="9"/>
    <x v="1"/>
    <x v="10"/>
    <x v="1"/>
    <x v="1"/>
    <n v="31.22"/>
    <n v="84288.07"/>
    <n v="199699.16"/>
    <x v="2"/>
  </r>
  <r>
    <x v="7"/>
    <x v="1"/>
    <x v="9"/>
    <x v="1"/>
    <x v="11"/>
    <x v="1"/>
    <x v="1"/>
    <n v="31.02"/>
    <n v="83748.11"/>
    <n v="189105.39"/>
    <x v="2"/>
  </r>
  <r>
    <x v="7"/>
    <x v="1"/>
    <x v="9"/>
    <x v="1"/>
    <x v="12"/>
    <x v="1"/>
    <x v="1"/>
    <n v="3.14"/>
    <n v="8477.4"/>
    <n v="20117.740000000002"/>
    <x v="2"/>
  </r>
  <r>
    <x v="7"/>
    <x v="1"/>
    <x v="9"/>
    <x v="1"/>
    <x v="13"/>
    <x v="1"/>
    <x v="1"/>
    <n v="11.31"/>
    <n v="30534.85"/>
    <n v="72217.210000000006"/>
    <x v="2"/>
  </r>
  <r>
    <x v="7"/>
    <x v="1"/>
    <x v="9"/>
    <x v="1"/>
    <x v="14"/>
    <x v="1"/>
    <x v="1"/>
    <n v="5.51"/>
    <n v="14875.95"/>
    <n v="34540.629999999997"/>
    <x v="2"/>
  </r>
  <r>
    <x v="7"/>
    <x v="1"/>
    <x v="9"/>
    <x v="1"/>
    <x v="15"/>
    <x v="1"/>
    <x v="1"/>
    <n v="2.38"/>
    <n v="6425.55"/>
    <n v="15394.88"/>
    <x v="2"/>
  </r>
  <r>
    <x v="7"/>
    <x v="1"/>
    <x v="9"/>
    <x v="1"/>
    <x v="16"/>
    <x v="1"/>
    <x v="1"/>
    <n v="9.67"/>
    <n v="26107.16"/>
    <n v="59667.81"/>
    <x v="2"/>
  </r>
  <r>
    <x v="7"/>
    <x v="1"/>
    <x v="9"/>
    <x v="1"/>
    <x v="17"/>
    <x v="1"/>
    <x v="1"/>
    <n v="4.1100000000000003"/>
    <n v="11096.22"/>
    <n v="25575.83"/>
    <x v="2"/>
  </r>
  <r>
    <x v="7"/>
    <x v="1"/>
    <x v="9"/>
    <x v="1"/>
    <x v="18"/>
    <x v="1"/>
    <x v="1"/>
    <n v="27.07"/>
    <n v="73083.86"/>
    <n v="176494.6"/>
    <x v="2"/>
  </r>
  <r>
    <x v="7"/>
    <x v="1"/>
    <x v="9"/>
    <x v="1"/>
    <x v="19"/>
    <x v="1"/>
    <x v="1"/>
    <n v="9.48"/>
    <n v="25594.2"/>
    <n v="59961.37"/>
    <x v="2"/>
  </r>
  <r>
    <x v="7"/>
    <x v="1"/>
    <x v="9"/>
    <x v="1"/>
    <x v="20"/>
    <x v="1"/>
    <x v="1"/>
    <n v="20.420000000000002"/>
    <n v="55130.12"/>
    <n v="126990.02"/>
    <x v="2"/>
  </r>
  <r>
    <x v="7"/>
    <x v="1"/>
    <x v="9"/>
    <x v="2"/>
    <x v="21"/>
    <x v="1"/>
    <x v="1"/>
    <n v="1.81"/>
    <n v="4886.66"/>
    <n v="10343.129999999999"/>
    <x v="2"/>
  </r>
  <r>
    <x v="7"/>
    <x v="1"/>
    <x v="9"/>
    <x v="2"/>
    <x v="22"/>
    <x v="1"/>
    <x v="1"/>
    <n v="10.76"/>
    <n v="29049.96"/>
    <n v="61437.07"/>
    <x v="2"/>
  </r>
  <r>
    <x v="7"/>
    <x v="1"/>
    <x v="9"/>
    <x v="2"/>
    <x v="29"/>
    <x v="1"/>
    <x v="1"/>
    <n v="2.97"/>
    <n v="8018.44"/>
    <n v="18034.14"/>
    <x v="2"/>
  </r>
  <r>
    <x v="7"/>
    <x v="1"/>
    <x v="9"/>
    <x v="2"/>
    <x v="23"/>
    <x v="1"/>
    <x v="1"/>
    <n v="1.19"/>
    <n v="3212.77"/>
    <n v="7048.65"/>
    <x v="2"/>
  </r>
  <r>
    <x v="7"/>
    <x v="1"/>
    <x v="9"/>
    <x v="2"/>
    <x v="24"/>
    <x v="1"/>
    <x v="1"/>
    <n v="2.16"/>
    <n v="5831.59"/>
    <n v="12576.48"/>
    <x v="2"/>
  </r>
  <r>
    <x v="7"/>
    <x v="1"/>
    <x v="9"/>
    <x v="3"/>
    <x v="25"/>
    <x v="1"/>
    <x v="1"/>
    <n v="8.6"/>
    <n v="23218.37"/>
    <n v="55270.58"/>
    <x v="2"/>
  </r>
  <r>
    <x v="7"/>
    <x v="1"/>
    <x v="9"/>
    <x v="3"/>
    <x v="26"/>
    <x v="1"/>
    <x v="1"/>
    <n v="16.89"/>
    <n v="45599.79"/>
    <n v="109310.83"/>
    <x v="2"/>
  </r>
  <r>
    <x v="7"/>
    <x v="1"/>
    <x v="9"/>
    <x v="3"/>
    <x v="27"/>
    <x v="1"/>
    <x v="1"/>
    <n v="39.159999999999997"/>
    <n v="105724.56"/>
    <n v="248654.53"/>
    <x v="2"/>
  </r>
  <r>
    <x v="8"/>
    <x v="1"/>
    <x v="0"/>
    <x v="0"/>
    <x v="0"/>
    <x v="0"/>
    <x v="0"/>
    <n v="3.87"/>
    <n v="25681.55"/>
    <n v="112701.44"/>
    <x v="2"/>
  </r>
  <r>
    <x v="8"/>
    <x v="1"/>
    <x v="0"/>
    <x v="0"/>
    <x v="1"/>
    <x v="0"/>
    <x v="0"/>
    <n v="7.54"/>
    <n v="50035.89"/>
    <n v="219426.82"/>
    <x v="2"/>
  </r>
  <r>
    <x v="8"/>
    <x v="1"/>
    <x v="0"/>
    <x v="0"/>
    <x v="2"/>
    <x v="0"/>
    <x v="0"/>
    <n v="0"/>
    <n v="0"/>
    <n v="0"/>
    <x v="2"/>
  </r>
  <r>
    <x v="8"/>
    <x v="1"/>
    <x v="0"/>
    <x v="0"/>
    <x v="3"/>
    <x v="0"/>
    <x v="0"/>
    <n v="2.2599999999999998"/>
    <n v="14997.5"/>
    <n v="65908.77"/>
    <x v="2"/>
  </r>
  <r>
    <x v="8"/>
    <x v="1"/>
    <x v="0"/>
    <x v="0"/>
    <x v="4"/>
    <x v="0"/>
    <x v="0"/>
    <n v="0"/>
    <n v="0"/>
    <n v="0"/>
    <x v="2"/>
  </r>
  <r>
    <x v="8"/>
    <x v="1"/>
    <x v="0"/>
    <x v="0"/>
    <x v="5"/>
    <x v="0"/>
    <x v="0"/>
    <n v="0"/>
    <n v="0"/>
    <n v="0"/>
    <x v="2"/>
  </r>
  <r>
    <x v="8"/>
    <x v="1"/>
    <x v="0"/>
    <x v="0"/>
    <x v="6"/>
    <x v="0"/>
    <x v="0"/>
    <n v="0"/>
    <n v="0"/>
    <n v="0"/>
    <x v="2"/>
  </r>
  <r>
    <x v="8"/>
    <x v="1"/>
    <x v="0"/>
    <x v="0"/>
    <x v="8"/>
    <x v="0"/>
    <x v="0"/>
    <n v="0"/>
    <n v="0"/>
    <n v="0"/>
    <x v="2"/>
  </r>
  <r>
    <x v="8"/>
    <x v="1"/>
    <x v="0"/>
    <x v="1"/>
    <x v="10"/>
    <x v="0"/>
    <x v="0"/>
    <n v="2.37"/>
    <n v="15727.46"/>
    <n v="68929.320000000007"/>
    <x v="2"/>
  </r>
  <r>
    <x v="8"/>
    <x v="1"/>
    <x v="0"/>
    <x v="1"/>
    <x v="11"/>
    <x v="0"/>
    <x v="0"/>
    <n v="0"/>
    <n v="0"/>
    <n v="0"/>
    <x v="2"/>
  </r>
  <r>
    <x v="8"/>
    <x v="1"/>
    <x v="0"/>
    <x v="1"/>
    <x v="13"/>
    <x v="0"/>
    <x v="0"/>
    <n v="0"/>
    <n v="0"/>
    <n v="0"/>
    <x v="2"/>
  </r>
  <r>
    <x v="8"/>
    <x v="1"/>
    <x v="0"/>
    <x v="1"/>
    <x v="14"/>
    <x v="0"/>
    <x v="0"/>
    <n v="0"/>
    <n v="0"/>
    <n v="0"/>
    <x v="2"/>
  </r>
  <r>
    <x v="8"/>
    <x v="1"/>
    <x v="0"/>
    <x v="1"/>
    <x v="16"/>
    <x v="0"/>
    <x v="0"/>
    <n v="0"/>
    <n v="0"/>
    <n v="0"/>
    <x v="2"/>
  </r>
  <r>
    <x v="8"/>
    <x v="1"/>
    <x v="0"/>
    <x v="1"/>
    <x v="17"/>
    <x v="0"/>
    <x v="0"/>
    <n v="0"/>
    <n v="0"/>
    <n v="0"/>
    <x v="2"/>
  </r>
  <r>
    <x v="8"/>
    <x v="1"/>
    <x v="0"/>
    <x v="1"/>
    <x v="18"/>
    <x v="0"/>
    <x v="0"/>
    <n v="0"/>
    <n v="0"/>
    <n v="0"/>
    <x v="2"/>
  </r>
  <r>
    <x v="8"/>
    <x v="1"/>
    <x v="0"/>
    <x v="1"/>
    <x v="19"/>
    <x v="0"/>
    <x v="0"/>
    <n v="0"/>
    <n v="0"/>
    <n v="0"/>
    <x v="2"/>
  </r>
  <r>
    <x v="8"/>
    <x v="1"/>
    <x v="0"/>
    <x v="1"/>
    <x v="20"/>
    <x v="0"/>
    <x v="0"/>
    <n v="2.97"/>
    <n v="19709.099999999999"/>
    <n v="86538.01"/>
    <x v="2"/>
  </r>
  <r>
    <x v="8"/>
    <x v="1"/>
    <x v="0"/>
    <x v="2"/>
    <x v="21"/>
    <x v="0"/>
    <x v="0"/>
    <n v="2.59"/>
    <n v="17187.400000000001"/>
    <n v="75548.73"/>
    <x v="2"/>
  </r>
  <r>
    <x v="8"/>
    <x v="1"/>
    <x v="0"/>
    <x v="2"/>
    <x v="22"/>
    <x v="0"/>
    <x v="0"/>
    <n v="0"/>
    <n v="0"/>
    <n v="0"/>
    <x v="2"/>
  </r>
  <r>
    <x v="8"/>
    <x v="1"/>
    <x v="0"/>
    <x v="2"/>
    <x v="29"/>
    <x v="0"/>
    <x v="0"/>
    <n v="0"/>
    <n v="0"/>
    <n v="0"/>
    <x v="2"/>
  </r>
  <r>
    <x v="8"/>
    <x v="1"/>
    <x v="0"/>
    <x v="2"/>
    <x v="24"/>
    <x v="0"/>
    <x v="0"/>
    <n v="0"/>
    <n v="0"/>
    <n v="0"/>
    <x v="2"/>
  </r>
  <r>
    <x v="8"/>
    <x v="1"/>
    <x v="0"/>
    <x v="3"/>
    <x v="25"/>
    <x v="0"/>
    <x v="0"/>
    <n v="0"/>
    <n v="0"/>
    <n v="0"/>
    <x v="2"/>
  </r>
  <r>
    <x v="8"/>
    <x v="1"/>
    <x v="0"/>
    <x v="3"/>
    <x v="26"/>
    <x v="0"/>
    <x v="0"/>
    <n v="2.74"/>
    <n v="18182.8"/>
    <n v="79684.91"/>
    <x v="2"/>
  </r>
  <r>
    <x v="8"/>
    <x v="1"/>
    <x v="0"/>
    <x v="3"/>
    <x v="27"/>
    <x v="0"/>
    <x v="0"/>
    <n v="3.44"/>
    <n v="22828.05"/>
    <n v="100031.74"/>
    <x v="2"/>
  </r>
  <r>
    <x v="8"/>
    <x v="1"/>
    <x v="0"/>
    <x v="0"/>
    <x v="0"/>
    <x v="0"/>
    <x v="1"/>
    <n v="3"/>
    <n v="19908.18"/>
    <n v="87343.62"/>
    <x v="2"/>
  </r>
  <r>
    <x v="8"/>
    <x v="1"/>
    <x v="0"/>
    <x v="0"/>
    <x v="1"/>
    <x v="0"/>
    <x v="1"/>
    <n v="7.27"/>
    <n v="48244.160000000003"/>
    <n v="211620.45"/>
    <x v="2"/>
  </r>
  <r>
    <x v="8"/>
    <x v="1"/>
    <x v="0"/>
    <x v="0"/>
    <x v="2"/>
    <x v="0"/>
    <x v="1"/>
    <n v="6.41"/>
    <n v="42537.14"/>
    <n v="186477.48"/>
    <x v="2"/>
  </r>
  <r>
    <x v="8"/>
    <x v="1"/>
    <x v="0"/>
    <x v="0"/>
    <x v="3"/>
    <x v="0"/>
    <x v="1"/>
    <n v="7.64"/>
    <n v="50699.5"/>
    <n v="222442.08"/>
    <x v="2"/>
  </r>
  <r>
    <x v="8"/>
    <x v="1"/>
    <x v="0"/>
    <x v="0"/>
    <x v="4"/>
    <x v="0"/>
    <x v="1"/>
    <n v="2.34"/>
    <n v="15528.38"/>
    <n v="68194.759999999995"/>
    <x v="2"/>
  </r>
  <r>
    <x v="8"/>
    <x v="1"/>
    <x v="0"/>
    <x v="0"/>
    <x v="5"/>
    <x v="0"/>
    <x v="1"/>
    <n v="4.9400000000000004"/>
    <n v="32782.14"/>
    <n v="143955.76"/>
    <x v="2"/>
  </r>
  <r>
    <x v="8"/>
    <x v="1"/>
    <x v="0"/>
    <x v="0"/>
    <x v="6"/>
    <x v="0"/>
    <x v="1"/>
    <n v="3.05"/>
    <n v="20239.98"/>
    <n v="88722.07"/>
    <x v="2"/>
  </r>
  <r>
    <x v="8"/>
    <x v="1"/>
    <x v="0"/>
    <x v="0"/>
    <x v="8"/>
    <x v="0"/>
    <x v="1"/>
    <n v="5.04"/>
    <n v="33445.74"/>
    <n v="146698.14000000001"/>
    <x v="2"/>
  </r>
  <r>
    <x v="8"/>
    <x v="1"/>
    <x v="0"/>
    <x v="1"/>
    <x v="10"/>
    <x v="0"/>
    <x v="1"/>
    <n v="4.92"/>
    <n v="32649.42"/>
    <n v="143372.99"/>
    <x v="2"/>
  </r>
  <r>
    <x v="8"/>
    <x v="1"/>
    <x v="0"/>
    <x v="1"/>
    <x v="11"/>
    <x v="0"/>
    <x v="1"/>
    <n v="13.28"/>
    <n v="88126.88"/>
    <n v="386534.18"/>
    <x v="2"/>
  </r>
  <r>
    <x v="8"/>
    <x v="1"/>
    <x v="0"/>
    <x v="1"/>
    <x v="13"/>
    <x v="0"/>
    <x v="1"/>
    <n v="6.04"/>
    <n v="40081.800000000003"/>
    <n v="175808.8"/>
    <x v="2"/>
  </r>
  <r>
    <x v="8"/>
    <x v="1"/>
    <x v="0"/>
    <x v="1"/>
    <x v="14"/>
    <x v="0"/>
    <x v="1"/>
    <n v="0.82"/>
    <n v="5441.57"/>
    <n v="23992.07"/>
    <x v="2"/>
  </r>
  <r>
    <x v="8"/>
    <x v="1"/>
    <x v="0"/>
    <x v="1"/>
    <x v="16"/>
    <x v="0"/>
    <x v="1"/>
    <n v="2.7"/>
    <n v="17917.36"/>
    <n v="78715.87"/>
    <x v="2"/>
  </r>
  <r>
    <x v="8"/>
    <x v="1"/>
    <x v="0"/>
    <x v="1"/>
    <x v="17"/>
    <x v="0"/>
    <x v="1"/>
    <n v="2.57"/>
    <n v="17054.669999999998"/>
    <n v="74824.509999999995"/>
    <x v="2"/>
  </r>
  <r>
    <x v="8"/>
    <x v="1"/>
    <x v="0"/>
    <x v="1"/>
    <x v="18"/>
    <x v="0"/>
    <x v="1"/>
    <n v="15.7"/>
    <n v="104186.14"/>
    <n v="457143.7"/>
    <x v="2"/>
  </r>
  <r>
    <x v="8"/>
    <x v="1"/>
    <x v="0"/>
    <x v="1"/>
    <x v="19"/>
    <x v="0"/>
    <x v="1"/>
    <n v="4.54"/>
    <n v="30127.71"/>
    <n v="132076.13"/>
    <x v="2"/>
  </r>
  <r>
    <x v="8"/>
    <x v="1"/>
    <x v="0"/>
    <x v="1"/>
    <x v="20"/>
    <x v="0"/>
    <x v="1"/>
    <n v="12.82"/>
    <n v="85074.29"/>
    <n v="373195.15"/>
    <x v="2"/>
  </r>
  <r>
    <x v="8"/>
    <x v="1"/>
    <x v="0"/>
    <x v="2"/>
    <x v="21"/>
    <x v="0"/>
    <x v="1"/>
    <n v="0"/>
    <n v="0"/>
    <n v="0"/>
    <x v="2"/>
  </r>
  <r>
    <x v="8"/>
    <x v="1"/>
    <x v="0"/>
    <x v="2"/>
    <x v="22"/>
    <x v="0"/>
    <x v="1"/>
    <n v="5.46"/>
    <n v="36232.89"/>
    <n v="158873.85999999999"/>
    <x v="2"/>
  </r>
  <r>
    <x v="8"/>
    <x v="1"/>
    <x v="0"/>
    <x v="2"/>
    <x v="29"/>
    <x v="0"/>
    <x v="1"/>
    <n v="3.7"/>
    <n v="24553.42"/>
    <n v="107687.72"/>
    <x v="2"/>
  </r>
  <r>
    <x v="8"/>
    <x v="1"/>
    <x v="0"/>
    <x v="2"/>
    <x v="24"/>
    <x v="0"/>
    <x v="1"/>
    <n v="4.0599999999999996"/>
    <n v="26942.400000000001"/>
    <n v="118065.39"/>
    <x v="2"/>
  </r>
  <r>
    <x v="8"/>
    <x v="1"/>
    <x v="0"/>
    <x v="3"/>
    <x v="25"/>
    <x v="0"/>
    <x v="1"/>
    <n v="2.4900000000000002"/>
    <n v="16523.79"/>
    <n v="72449.36"/>
    <x v="2"/>
  </r>
  <r>
    <x v="8"/>
    <x v="1"/>
    <x v="0"/>
    <x v="3"/>
    <x v="26"/>
    <x v="0"/>
    <x v="1"/>
    <n v="1.79"/>
    <n v="11878.55"/>
    <n v="52207.35"/>
    <x v="2"/>
  </r>
  <r>
    <x v="8"/>
    <x v="1"/>
    <x v="0"/>
    <x v="3"/>
    <x v="27"/>
    <x v="0"/>
    <x v="1"/>
    <n v="12.6"/>
    <n v="83614.36"/>
    <n v="366783.04"/>
    <x v="2"/>
  </r>
  <r>
    <x v="8"/>
    <x v="1"/>
    <x v="0"/>
    <x v="0"/>
    <x v="0"/>
    <x v="1"/>
    <x v="0"/>
    <n v="6.69"/>
    <n v="44395.24"/>
    <n v="127291.36"/>
    <x v="2"/>
  </r>
  <r>
    <x v="8"/>
    <x v="1"/>
    <x v="0"/>
    <x v="0"/>
    <x v="1"/>
    <x v="1"/>
    <x v="0"/>
    <n v="11.97"/>
    <n v="79433.64"/>
    <n v="223990.77"/>
    <x v="2"/>
  </r>
  <r>
    <x v="8"/>
    <x v="1"/>
    <x v="0"/>
    <x v="0"/>
    <x v="2"/>
    <x v="1"/>
    <x v="0"/>
    <n v="4.8499999999999996"/>
    <n v="32184.89"/>
    <n v="87659.43"/>
    <x v="2"/>
  </r>
  <r>
    <x v="8"/>
    <x v="1"/>
    <x v="0"/>
    <x v="0"/>
    <x v="3"/>
    <x v="1"/>
    <x v="0"/>
    <n v="14.2"/>
    <n v="94232.05"/>
    <n v="267002.27"/>
    <x v="2"/>
  </r>
  <r>
    <x v="8"/>
    <x v="1"/>
    <x v="0"/>
    <x v="0"/>
    <x v="28"/>
    <x v="1"/>
    <x v="0"/>
    <n v="0"/>
    <n v="0"/>
    <n v="0"/>
    <x v="2"/>
  </r>
  <r>
    <x v="8"/>
    <x v="1"/>
    <x v="0"/>
    <x v="0"/>
    <x v="4"/>
    <x v="1"/>
    <x v="0"/>
    <n v="6.95"/>
    <n v="46120.62"/>
    <n v="129426.64"/>
    <x v="2"/>
  </r>
  <r>
    <x v="8"/>
    <x v="1"/>
    <x v="0"/>
    <x v="0"/>
    <x v="5"/>
    <x v="1"/>
    <x v="0"/>
    <n v="1.51"/>
    <n v="10020.450000000001"/>
    <n v="28967.35"/>
    <x v="2"/>
  </r>
  <r>
    <x v="8"/>
    <x v="1"/>
    <x v="0"/>
    <x v="0"/>
    <x v="6"/>
    <x v="1"/>
    <x v="0"/>
    <n v="0"/>
    <n v="0"/>
    <n v="0"/>
    <x v="2"/>
  </r>
  <r>
    <x v="8"/>
    <x v="1"/>
    <x v="0"/>
    <x v="0"/>
    <x v="7"/>
    <x v="1"/>
    <x v="0"/>
    <n v="0"/>
    <n v="0"/>
    <n v="0"/>
    <x v="2"/>
  </r>
  <r>
    <x v="8"/>
    <x v="1"/>
    <x v="0"/>
    <x v="0"/>
    <x v="8"/>
    <x v="1"/>
    <x v="0"/>
    <n v="0"/>
    <n v="0"/>
    <n v="0"/>
    <x v="2"/>
  </r>
  <r>
    <x v="8"/>
    <x v="1"/>
    <x v="0"/>
    <x v="1"/>
    <x v="30"/>
    <x v="1"/>
    <x v="0"/>
    <n v="3.05"/>
    <n v="20239.98"/>
    <n v="61251.15"/>
    <x v="2"/>
  </r>
  <r>
    <x v="8"/>
    <x v="1"/>
    <x v="0"/>
    <x v="1"/>
    <x v="9"/>
    <x v="1"/>
    <x v="0"/>
    <n v="0"/>
    <n v="0"/>
    <n v="0"/>
    <x v="2"/>
  </r>
  <r>
    <x v="8"/>
    <x v="1"/>
    <x v="0"/>
    <x v="1"/>
    <x v="31"/>
    <x v="1"/>
    <x v="0"/>
    <n v="3.84"/>
    <n v="25482.47"/>
    <n v="77745.899999999994"/>
    <x v="2"/>
  </r>
  <r>
    <x v="8"/>
    <x v="1"/>
    <x v="0"/>
    <x v="1"/>
    <x v="10"/>
    <x v="1"/>
    <x v="0"/>
    <n v="9.84"/>
    <n v="65298.83"/>
    <n v="195372.12"/>
    <x v="2"/>
  </r>
  <r>
    <x v="8"/>
    <x v="1"/>
    <x v="0"/>
    <x v="1"/>
    <x v="11"/>
    <x v="1"/>
    <x v="0"/>
    <n v="10.029999999999999"/>
    <n v="66559.679999999993"/>
    <n v="189820.28"/>
    <x v="2"/>
  </r>
  <r>
    <x v="8"/>
    <x v="1"/>
    <x v="0"/>
    <x v="1"/>
    <x v="12"/>
    <x v="1"/>
    <x v="0"/>
    <n v="2.54"/>
    <n v="16855.59"/>
    <n v="50674.01"/>
    <x v="2"/>
  </r>
  <r>
    <x v="8"/>
    <x v="1"/>
    <x v="0"/>
    <x v="1"/>
    <x v="13"/>
    <x v="1"/>
    <x v="0"/>
    <n v="2.68"/>
    <n v="17784.64"/>
    <n v="53045.3"/>
    <x v="2"/>
  </r>
  <r>
    <x v="8"/>
    <x v="1"/>
    <x v="0"/>
    <x v="1"/>
    <x v="14"/>
    <x v="1"/>
    <x v="0"/>
    <n v="13.81"/>
    <n v="91643.99"/>
    <n v="268626.3"/>
    <x v="2"/>
  </r>
  <r>
    <x v="8"/>
    <x v="1"/>
    <x v="0"/>
    <x v="1"/>
    <x v="15"/>
    <x v="1"/>
    <x v="0"/>
    <n v="3.24"/>
    <n v="21500.83"/>
    <n v="65234.559999999998"/>
    <x v="2"/>
  </r>
  <r>
    <x v="8"/>
    <x v="1"/>
    <x v="0"/>
    <x v="1"/>
    <x v="16"/>
    <x v="1"/>
    <x v="0"/>
    <n v="2.87"/>
    <n v="19045.490000000002"/>
    <n v="54970.05"/>
    <x v="2"/>
  </r>
  <r>
    <x v="8"/>
    <x v="1"/>
    <x v="0"/>
    <x v="1"/>
    <x v="17"/>
    <x v="1"/>
    <x v="0"/>
    <n v="9.06"/>
    <n v="60122.7"/>
    <n v="175050.76"/>
    <x v="2"/>
  </r>
  <r>
    <x v="8"/>
    <x v="1"/>
    <x v="0"/>
    <x v="1"/>
    <x v="18"/>
    <x v="1"/>
    <x v="0"/>
    <n v="8.81"/>
    <n v="58463.69"/>
    <n v="178320.6"/>
    <x v="2"/>
  </r>
  <r>
    <x v="8"/>
    <x v="1"/>
    <x v="0"/>
    <x v="1"/>
    <x v="19"/>
    <x v="1"/>
    <x v="0"/>
    <n v="13.22"/>
    <n v="87728.71"/>
    <n v="259343.46"/>
    <x v="2"/>
  </r>
  <r>
    <x v="8"/>
    <x v="1"/>
    <x v="0"/>
    <x v="1"/>
    <x v="20"/>
    <x v="1"/>
    <x v="0"/>
    <n v="7.24"/>
    <n v="48045.07"/>
    <n v="139834.21"/>
    <x v="2"/>
  </r>
  <r>
    <x v="8"/>
    <x v="1"/>
    <x v="0"/>
    <x v="2"/>
    <x v="21"/>
    <x v="1"/>
    <x v="0"/>
    <n v="0"/>
    <n v="0"/>
    <n v="0"/>
    <x v="2"/>
  </r>
  <r>
    <x v="8"/>
    <x v="1"/>
    <x v="0"/>
    <x v="2"/>
    <x v="22"/>
    <x v="1"/>
    <x v="0"/>
    <n v="7.49"/>
    <n v="49704.09"/>
    <n v="132726.13"/>
    <x v="2"/>
  </r>
  <r>
    <x v="8"/>
    <x v="1"/>
    <x v="0"/>
    <x v="2"/>
    <x v="29"/>
    <x v="1"/>
    <x v="0"/>
    <n v="0"/>
    <n v="0"/>
    <n v="0"/>
    <x v="2"/>
  </r>
  <r>
    <x v="8"/>
    <x v="1"/>
    <x v="0"/>
    <x v="2"/>
    <x v="23"/>
    <x v="1"/>
    <x v="0"/>
    <n v="0"/>
    <n v="0"/>
    <n v="0"/>
    <x v="2"/>
  </r>
  <r>
    <x v="8"/>
    <x v="1"/>
    <x v="0"/>
    <x v="2"/>
    <x v="24"/>
    <x v="1"/>
    <x v="0"/>
    <n v="2.08"/>
    <n v="13803"/>
    <n v="37571.74"/>
    <x v="2"/>
  </r>
  <r>
    <x v="8"/>
    <x v="1"/>
    <x v="0"/>
    <x v="3"/>
    <x v="25"/>
    <x v="1"/>
    <x v="0"/>
    <n v="8.7899999999999991"/>
    <n v="58330.97"/>
    <n v="175259.86"/>
    <x v="2"/>
  </r>
  <r>
    <x v="8"/>
    <x v="1"/>
    <x v="0"/>
    <x v="3"/>
    <x v="26"/>
    <x v="1"/>
    <x v="0"/>
    <n v="6.09"/>
    <n v="40413.61"/>
    <n v="122242.46"/>
    <x v="2"/>
  </r>
  <r>
    <x v="8"/>
    <x v="1"/>
    <x v="0"/>
    <x v="3"/>
    <x v="27"/>
    <x v="1"/>
    <x v="0"/>
    <n v="15.23"/>
    <n v="101067.19"/>
    <n v="300159.65000000002"/>
    <x v="2"/>
  </r>
  <r>
    <x v="8"/>
    <x v="1"/>
    <x v="0"/>
    <x v="0"/>
    <x v="0"/>
    <x v="1"/>
    <x v="1"/>
    <n v="11.29"/>
    <n v="74921.119999999995"/>
    <n v="214907.49"/>
    <x v="2"/>
  </r>
  <r>
    <x v="8"/>
    <x v="1"/>
    <x v="0"/>
    <x v="0"/>
    <x v="1"/>
    <x v="1"/>
    <x v="1"/>
    <n v="22.41"/>
    <n v="148714.1"/>
    <n v="419609.37"/>
    <x v="2"/>
  </r>
  <r>
    <x v="8"/>
    <x v="1"/>
    <x v="0"/>
    <x v="0"/>
    <x v="2"/>
    <x v="1"/>
    <x v="1"/>
    <n v="14.63"/>
    <n v="97085.56"/>
    <n v="264543.64"/>
    <x v="2"/>
  </r>
  <r>
    <x v="8"/>
    <x v="1"/>
    <x v="0"/>
    <x v="0"/>
    <x v="3"/>
    <x v="1"/>
    <x v="1"/>
    <n v="40.82"/>
    <n v="270883.96999999997"/>
    <n v="767631.52"/>
    <x v="2"/>
  </r>
  <r>
    <x v="8"/>
    <x v="1"/>
    <x v="0"/>
    <x v="0"/>
    <x v="28"/>
    <x v="1"/>
    <x v="1"/>
    <n v="2.3199999999999998"/>
    <n v="15395.66"/>
    <n v="44249.65"/>
    <x v="2"/>
  </r>
  <r>
    <x v="8"/>
    <x v="1"/>
    <x v="0"/>
    <x v="0"/>
    <x v="4"/>
    <x v="1"/>
    <x v="1"/>
    <n v="9.7100000000000009"/>
    <n v="64436.14"/>
    <n v="180865.43"/>
    <x v="2"/>
  </r>
  <r>
    <x v="8"/>
    <x v="1"/>
    <x v="0"/>
    <x v="0"/>
    <x v="5"/>
    <x v="1"/>
    <x v="1"/>
    <n v="26.82"/>
    <n v="177979.13"/>
    <n v="514596.44"/>
    <x v="2"/>
  </r>
  <r>
    <x v="8"/>
    <x v="1"/>
    <x v="0"/>
    <x v="0"/>
    <x v="6"/>
    <x v="1"/>
    <x v="1"/>
    <n v="3.05"/>
    <n v="20239.98"/>
    <n v="58413.83"/>
    <x v="2"/>
  </r>
  <r>
    <x v="8"/>
    <x v="1"/>
    <x v="0"/>
    <x v="0"/>
    <x v="7"/>
    <x v="1"/>
    <x v="1"/>
    <n v="0"/>
    <n v="0"/>
    <n v="0"/>
    <x v="2"/>
  </r>
  <r>
    <x v="8"/>
    <x v="1"/>
    <x v="0"/>
    <x v="0"/>
    <x v="8"/>
    <x v="1"/>
    <x v="1"/>
    <n v="4.37"/>
    <n v="28999.58"/>
    <n v="81054.11"/>
    <x v="2"/>
  </r>
  <r>
    <x v="8"/>
    <x v="1"/>
    <x v="0"/>
    <x v="1"/>
    <x v="30"/>
    <x v="1"/>
    <x v="1"/>
    <n v="0"/>
    <n v="0"/>
    <n v="0"/>
    <x v="2"/>
  </r>
  <r>
    <x v="8"/>
    <x v="1"/>
    <x v="0"/>
    <x v="1"/>
    <x v="9"/>
    <x v="1"/>
    <x v="1"/>
    <n v="4.97"/>
    <n v="32981.22"/>
    <n v="99535.43"/>
    <x v="2"/>
  </r>
  <r>
    <x v="8"/>
    <x v="1"/>
    <x v="0"/>
    <x v="1"/>
    <x v="31"/>
    <x v="1"/>
    <x v="1"/>
    <n v="0"/>
    <n v="0"/>
    <n v="0"/>
    <x v="2"/>
  </r>
  <r>
    <x v="8"/>
    <x v="1"/>
    <x v="0"/>
    <x v="1"/>
    <x v="10"/>
    <x v="1"/>
    <x v="1"/>
    <n v="32"/>
    <n v="212353.92000000001"/>
    <n v="635399.42000000004"/>
    <x v="2"/>
  </r>
  <r>
    <x v="8"/>
    <x v="1"/>
    <x v="0"/>
    <x v="1"/>
    <x v="11"/>
    <x v="1"/>
    <x v="1"/>
    <n v="32.200000000000003"/>
    <n v="213681.13"/>
    <n v="609423.01"/>
    <x v="2"/>
  </r>
  <r>
    <x v="8"/>
    <x v="1"/>
    <x v="0"/>
    <x v="1"/>
    <x v="12"/>
    <x v="1"/>
    <x v="1"/>
    <n v="2.64"/>
    <n v="17519.2"/>
    <n v="52483.8"/>
    <x v="2"/>
  </r>
  <r>
    <x v="8"/>
    <x v="1"/>
    <x v="0"/>
    <x v="1"/>
    <x v="13"/>
    <x v="1"/>
    <x v="1"/>
    <n v="12.08"/>
    <n v="80163.600000000006"/>
    <n v="239559.41"/>
    <x v="2"/>
  </r>
  <r>
    <x v="8"/>
    <x v="1"/>
    <x v="0"/>
    <x v="1"/>
    <x v="14"/>
    <x v="1"/>
    <x v="1"/>
    <n v="8.09"/>
    <n v="53685.73"/>
    <n v="157411.59"/>
    <x v="2"/>
  </r>
  <r>
    <x v="8"/>
    <x v="1"/>
    <x v="0"/>
    <x v="1"/>
    <x v="15"/>
    <x v="1"/>
    <x v="1"/>
    <n v="1.8"/>
    <n v="11944.91"/>
    <n v="36241.42"/>
    <x v="2"/>
  </r>
  <r>
    <x v="8"/>
    <x v="1"/>
    <x v="0"/>
    <x v="1"/>
    <x v="16"/>
    <x v="1"/>
    <x v="1"/>
    <n v="5.94"/>
    <n v="39418.199999999997"/>
    <n v="113797.66"/>
    <x v="2"/>
  </r>
  <r>
    <x v="8"/>
    <x v="1"/>
    <x v="0"/>
    <x v="1"/>
    <x v="17"/>
    <x v="1"/>
    <x v="1"/>
    <n v="5.98"/>
    <n v="39683.64"/>
    <n v="115567.49"/>
    <x v="2"/>
  </r>
  <r>
    <x v="8"/>
    <x v="1"/>
    <x v="0"/>
    <x v="1"/>
    <x v="18"/>
    <x v="1"/>
    <x v="1"/>
    <n v="24.42"/>
    <n v="162052.59"/>
    <n v="494202.82"/>
    <x v="2"/>
  </r>
  <r>
    <x v="8"/>
    <x v="1"/>
    <x v="0"/>
    <x v="1"/>
    <x v="19"/>
    <x v="1"/>
    <x v="1"/>
    <n v="13.67"/>
    <n v="90714.94"/>
    <n v="268164.65999999997"/>
    <x v="2"/>
  </r>
  <r>
    <x v="8"/>
    <x v="1"/>
    <x v="0"/>
    <x v="1"/>
    <x v="20"/>
    <x v="1"/>
    <x v="1"/>
    <n v="26.91"/>
    <n v="178576.37"/>
    <n v="519384.2"/>
    <x v="2"/>
  </r>
  <r>
    <x v="8"/>
    <x v="1"/>
    <x v="0"/>
    <x v="2"/>
    <x v="21"/>
    <x v="1"/>
    <x v="1"/>
    <n v="1.1399999999999999"/>
    <n v="7565.11"/>
    <n v="20149.169999999998"/>
    <x v="2"/>
  </r>
  <r>
    <x v="8"/>
    <x v="1"/>
    <x v="0"/>
    <x v="2"/>
    <x v="22"/>
    <x v="1"/>
    <x v="1"/>
    <n v="17.78"/>
    <n v="117989.15"/>
    <n v="315224.57"/>
    <x v="2"/>
  </r>
  <r>
    <x v="8"/>
    <x v="1"/>
    <x v="0"/>
    <x v="2"/>
    <x v="29"/>
    <x v="1"/>
    <x v="1"/>
    <n v="2.75"/>
    <n v="18249.169999999998"/>
    <n v="51823.16"/>
    <x v="2"/>
  </r>
  <r>
    <x v="8"/>
    <x v="1"/>
    <x v="0"/>
    <x v="2"/>
    <x v="23"/>
    <x v="1"/>
    <x v="1"/>
    <n v="3.02"/>
    <n v="20040.900000000001"/>
    <n v="55708.32"/>
    <x v="2"/>
  </r>
  <r>
    <x v="8"/>
    <x v="1"/>
    <x v="0"/>
    <x v="2"/>
    <x v="24"/>
    <x v="1"/>
    <x v="1"/>
    <n v="1.91"/>
    <n v="12674.87"/>
    <n v="34566"/>
    <x v="2"/>
  </r>
  <r>
    <x v="8"/>
    <x v="1"/>
    <x v="0"/>
    <x v="3"/>
    <x v="25"/>
    <x v="1"/>
    <x v="1"/>
    <n v="12.11"/>
    <n v="80362.69"/>
    <n v="241429.4"/>
    <x v="2"/>
  </r>
  <r>
    <x v="8"/>
    <x v="1"/>
    <x v="0"/>
    <x v="3"/>
    <x v="26"/>
    <x v="1"/>
    <x v="1"/>
    <n v="26.04"/>
    <n v="172803"/>
    <n v="523125.82"/>
    <x v="2"/>
  </r>
  <r>
    <x v="8"/>
    <x v="1"/>
    <x v="0"/>
    <x v="3"/>
    <x v="27"/>
    <x v="1"/>
    <x v="1"/>
    <n v="36.46"/>
    <n v="241950.75"/>
    <n v="718667.97"/>
    <x v="2"/>
  </r>
  <r>
    <x v="8"/>
    <x v="1"/>
    <x v="1"/>
    <x v="0"/>
    <x v="0"/>
    <x v="0"/>
    <x v="0"/>
    <n v="1.2"/>
    <n v="3267.34"/>
    <n v="11563.09"/>
    <x v="2"/>
  </r>
  <r>
    <x v="8"/>
    <x v="1"/>
    <x v="1"/>
    <x v="0"/>
    <x v="1"/>
    <x v="0"/>
    <x v="0"/>
    <n v="2.42"/>
    <n v="6589.13"/>
    <n v="23333.16"/>
    <x v="2"/>
  </r>
  <r>
    <x v="8"/>
    <x v="1"/>
    <x v="1"/>
    <x v="0"/>
    <x v="2"/>
    <x v="0"/>
    <x v="0"/>
    <n v="0"/>
    <n v="0"/>
    <n v="0"/>
    <x v="2"/>
  </r>
  <r>
    <x v="8"/>
    <x v="1"/>
    <x v="1"/>
    <x v="0"/>
    <x v="3"/>
    <x v="0"/>
    <x v="0"/>
    <n v="1.17"/>
    <n v="3185.65"/>
    <n v="11225.55"/>
    <x v="2"/>
  </r>
  <r>
    <x v="8"/>
    <x v="1"/>
    <x v="1"/>
    <x v="0"/>
    <x v="4"/>
    <x v="0"/>
    <x v="0"/>
    <n v="0"/>
    <n v="0"/>
    <n v="0"/>
    <x v="2"/>
  </r>
  <r>
    <x v="8"/>
    <x v="1"/>
    <x v="1"/>
    <x v="0"/>
    <x v="5"/>
    <x v="0"/>
    <x v="0"/>
    <n v="0"/>
    <n v="0"/>
    <n v="0"/>
    <x v="2"/>
  </r>
  <r>
    <x v="8"/>
    <x v="1"/>
    <x v="1"/>
    <x v="0"/>
    <x v="6"/>
    <x v="0"/>
    <x v="0"/>
    <n v="0"/>
    <n v="0"/>
    <n v="0"/>
    <x v="2"/>
  </r>
  <r>
    <x v="8"/>
    <x v="1"/>
    <x v="1"/>
    <x v="0"/>
    <x v="8"/>
    <x v="0"/>
    <x v="0"/>
    <n v="0"/>
    <n v="0"/>
    <n v="0"/>
    <x v="2"/>
  </r>
  <r>
    <x v="8"/>
    <x v="1"/>
    <x v="1"/>
    <x v="1"/>
    <x v="10"/>
    <x v="0"/>
    <x v="0"/>
    <n v="0.96"/>
    <n v="2613.87"/>
    <n v="9227.91"/>
    <x v="2"/>
  </r>
  <r>
    <x v="8"/>
    <x v="1"/>
    <x v="1"/>
    <x v="1"/>
    <x v="11"/>
    <x v="0"/>
    <x v="0"/>
    <n v="0"/>
    <n v="0"/>
    <n v="0"/>
    <x v="2"/>
  </r>
  <r>
    <x v="8"/>
    <x v="1"/>
    <x v="1"/>
    <x v="1"/>
    <x v="13"/>
    <x v="0"/>
    <x v="0"/>
    <n v="0"/>
    <n v="0"/>
    <n v="0"/>
    <x v="2"/>
  </r>
  <r>
    <x v="8"/>
    <x v="1"/>
    <x v="1"/>
    <x v="1"/>
    <x v="14"/>
    <x v="0"/>
    <x v="0"/>
    <n v="0"/>
    <n v="0"/>
    <n v="0"/>
    <x v="2"/>
  </r>
  <r>
    <x v="8"/>
    <x v="1"/>
    <x v="1"/>
    <x v="1"/>
    <x v="16"/>
    <x v="0"/>
    <x v="0"/>
    <n v="0"/>
    <n v="0"/>
    <n v="0"/>
    <x v="2"/>
  </r>
  <r>
    <x v="8"/>
    <x v="1"/>
    <x v="1"/>
    <x v="1"/>
    <x v="17"/>
    <x v="0"/>
    <x v="0"/>
    <n v="0"/>
    <n v="0"/>
    <n v="0"/>
    <x v="2"/>
  </r>
  <r>
    <x v="8"/>
    <x v="1"/>
    <x v="1"/>
    <x v="1"/>
    <x v="18"/>
    <x v="0"/>
    <x v="0"/>
    <n v="0"/>
    <n v="0"/>
    <n v="0"/>
    <x v="2"/>
  </r>
  <r>
    <x v="8"/>
    <x v="1"/>
    <x v="1"/>
    <x v="1"/>
    <x v="19"/>
    <x v="0"/>
    <x v="0"/>
    <n v="0"/>
    <n v="0"/>
    <n v="0"/>
    <x v="2"/>
  </r>
  <r>
    <x v="8"/>
    <x v="1"/>
    <x v="1"/>
    <x v="1"/>
    <x v="20"/>
    <x v="0"/>
    <x v="0"/>
    <n v="1.1200000000000001"/>
    <n v="3049.51"/>
    <n v="10792.39"/>
    <x v="2"/>
  </r>
  <r>
    <x v="8"/>
    <x v="1"/>
    <x v="1"/>
    <x v="2"/>
    <x v="21"/>
    <x v="0"/>
    <x v="0"/>
    <n v="1.18"/>
    <n v="3212.88"/>
    <n v="11333.27"/>
    <x v="2"/>
  </r>
  <r>
    <x v="8"/>
    <x v="1"/>
    <x v="1"/>
    <x v="2"/>
    <x v="22"/>
    <x v="0"/>
    <x v="0"/>
    <n v="0"/>
    <n v="0"/>
    <n v="0"/>
    <x v="2"/>
  </r>
  <r>
    <x v="8"/>
    <x v="1"/>
    <x v="1"/>
    <x v="2"/>
    <x v="29"/>
    <x v="0"/>
    <x v="0"/>
    <n v="0"/>
    <n v="0"/>
    <n v="0"/>
    <x v="2"/>
  </r>
  <r>
    <x v="8"/>
    <x v="1"/>
    <x v="1"/>
    <x v="2"/>
    <x v="24"/>
    <x v="0"/>
    <x v="0"/>
    <n v="0"/>
    <n v="0"/>
    <n v="0"/>
    <x v="2"/>
  </r>
  <r>
    <x v="8"/>
    <x v="1"/>
    <x v="1"/>
    <x v="3"/>
    <x v="25"/>
    <x v="0"/>
    <x v="0"/>
    <n v="0"/>
    <n v="0"/>
    <n v="0"/>
    <x v="2"/>
  </r>
  <r>
    <x v="8"/>
    <x v="1"/>
    <x v="1"/>
    <x v="3"/>
    <x v="26"/>
    <x v="0"/>
    <x v="0"/>
    <n v="2.25"/>
    <n v="6126.26"/>
    <n v="21619.5"/>
    <x v="2"/>
  </r>
  <r>
    <x v="8"/>
    <x v="1"/>
    <x v="1"/>
    <x v="3"/>
    <x v="27"/>
    <x v="0"/>
    <x v="0"/>
    <n v="1.7"/>
    <n v="4628.7299999999996"/>
    <n v="16344.21"/>
    <x v="2"/>
  </r>
  <r>
    <x v="8"/>
    <x v="1"/>
    <x v="1"/>
    <x v="0"/>
    <x v="0"/>
    <x v="0"/>
    <x v="1"/>
    <n v="0.93"/>
    <n v="2532.19"/>
    <n v="8993.52"/>
    <x v="2"/>
  </r>
  <r>
    <x v="8"/>
    <x v="1"/>
    <x v="1"/>
    <x v="0"/>
    <x v="1"/>
    <x v="0"/>
    <x v="1"/>
    <n v="4.16"/>
    <n v="11326.76"/>
    <n v="40040.86"/>
    <x v="2"/>
  </r>
  <r>
    <x v="8"/>
    <x v="1"/>
    <x v="1"/>
    <x v="0"/>
    <x v="2"/>
    <x v="0"/>
    <x v="1"/>
    <n v="2.16"/>
    <n v="5881.2"/>
    <n v="20785.099999999999"/>
    <x v="2"/>
  </r>
  <r>
    <x v="8"/>
    <x v="1"/>
    <x v="1"/>
    <x v="0"/>
    <x v="3"/>
    <x v="0"/>
    <x v="1"/>
    <n v="3.33"/>
    <n v="9066.86"/>
    <n v="32073"/>
    <x v="2"/>
  </r>
  <r>
    <x v="8"/>
    <x v="1"/>
    <x v="1"/>
    <x v="0"/>
    <x v="4"/>
    <x v="0"/>
    <x v="1"/>
    <n v="1.47"/>
    <n v="4002.49"/>
    <n v="14148.42"/>
    <x v="2"/>
  </r>
  <r>
    <x v="8"/>
    <x v="1"/>
    <x v="1"/>
    <x v="0"/>
    <x v="5"/>
    <x v="0"/>
    <x v="1"/>
    <n v="3.05"/>
    <n v="8304.48"/>
    <n v="29327.279999999999"/>
    <x v="2"/>
  </r>
  <r>
    <x v="8"/>
    <x v="1"/>
    <x v="1"/>
    <x v="0"/>
    <x v="6"/>
    <x v="0"/>
    <x v="1"/>
    <n v="1.0900000000000001"/>
    <n v="2967.83"/>
    <n v="10509.29"/>
    <x v="2"/>
  </r>
  <r>
    <x v="8"/>
    <x v="1"/>
    <x v="1"/>
    <x v="0"/>
    <x v="8"/>
    <x v="0"/>
    <x v="1"/>
    <n v="2.0499999999999998"/>
    <n v="5581.7"/>
    <n v="19715.48"/>
    <x v="2"/>
  </r>
  <r>
    <x v="8"/>
    <x v="1"/>
    <x v="1"/>
    <x v="1"/>
    <x v="10"/>
    <x v="0"/>
    <x v="1"/>
    <n v="2.78"/>
    <n v="7569.33"/>
    <n v="26760.94"/>
    <x v="2"/>
  </r>
  <r>
    <x v="8"/>
    <x v="1"/>
    <x v="1"/>
    <x v="1"/>
    <x v="11"/>
    <x v="0"/>
    <x v="1"/>
    <n v="5.28"/>
    <n v="14376.28"/>
    <n v="50798.559999999998"/>
    <x v="2"/>
  </r>
  <r>
    <x v="8"/>
    <x v="1"/>
    <x v="1"/>
    <x v="1"/>
    <x v="13"/>
    <x v="0"/>
    <x v="1"/>
    <n v="1.98"/>
    <n v="5391.1"/>
    <n v="19017.45"/>
    <x v="2"/>
  </r>
  <r>
    <x v="8"/>
    <x v="1"/>
    <x v="1"/>
    <x v="1"/>
    <x v="14"/>
    <x v="0"/>
    <x v="1"/>
    <n v="1.5"/>
    <n v="4084.17"/>
    <n v="14483.36"/>
    <x v="2"/>
  </r>
  <r>
    <x v="8"/>
    <x v="1"/>
    <x v="1"/>
    <x v="1"/>
    <x v="16"/>
    <x v="0"/>
    <x v="1"/>
    <n v="1.29"/>
    <n v="3512.39"/>
    <n v="12466.17"/>
    <x v="2"/>
  </r>
  <r>
    <x v="8"/>
    <x v="1"/>
    <x v="1"/>
    <x v="1"/>
    <x v="17"/>
    <x v="0"/>
    <x v="1"/>
    <n v="0.93"/>
    <n v="2532.19"/>
    <n v="8983.15"/>
    <x v="2"/>
  </r>
  <r>
    <x v="8"/>
    <x v="1"/>
    <x v="1"/>
    <x v="1"/>
    <x v="18"/>
    <x v="0"/>
    <x v="1"/>
    <n v="7.77"/>
    <n v="21156"/>
    <n v="74768.97"/>
    <x v="2"/>
  </r>
  <r>
    <x v="8"/>
    <x v="1"/>
    <x v="1"/>
    <x v="1"/>
    <x v="19"/>
    <x v="0"/>
    <x v="1"/>
    <n v="2.09"/>
    <n v="5690.61"/>
    <n v="20086.080000000002"/>
    <x v="2"/>
  </r>
  <r>
    <x v="8"/>
    <x v="1"/>
    <x v="1"/>
    <x v="1"/>
    <x v="20"/>
    <x v="0"/>
    <x v="1"/>
    <n v="8.5"/>
    <n v="23143.63"/>
    <n v="81842.259999999995"/>
    <x v="2"/>
  </r>
  <r>
    <x v="8"/>
    <x v="1"/>
    <x v="1"/>
    <x v="2"/>
    <x v="21"/>
    <x v="0"/>
    <x v="1"/>
    <n v="0"/>
    <n v="0"/>
    <n v="0"/>
    <x v="2"/>
  </r>
  <r>
    <x v="8"/>
    <x v="1"/>
    <x v="1"/>
    <x v="2"/>
    <x v="22"/>
    <x v="0"/>
    <x v="1"/>
    <n v="2.91"/>
    <n v="7923.29"/>
    <n v="28007.4"/>
    <x v="2"/>
  </r>
  <r>
    <x v="8"/>
    <x v="1"/>
    <x v="1"/>
    <x v="2"/>
    <x v="29"/>
    <x v="0"/>
    <x v="1"/>
    <n v="2.0699999999999998"/>
    <n v="5636.15"/>
    <n v="19966.490000000002"/>
    <x v="2"/>
  </r>
  <r>
    <x v="8"/>
    <x v="1"/>
    <x v="1"/>
    <x v="2"/>
    <x v="24"/>
    <x v="0"/>
    <x v="1"/>
    <n v="2.19"/>
    <n v="5962.89"/>
    <n v="21086.34"/>
    <x v="2"/>
  </r>
  <r>
    <x v="8"/>
    <x v="1"/>
    <x v="1"/>
    <x v="3"/>
    <x v="25"/>
    <x v="0"/>
    <x v="1"/>
    <n v="1.43"/>
    <n v="3893.58"/>
    <n v="13790.72"/>
    <x v="2"/>
  </r>
  <r>
    <x v="8"/>
    <x v="1"/>
    <x v="1"/>
    <x v="3"/>
    <x v="26"/>
    <x v="0"/>
    <x v="1"/>
    <n v="1.07"/>
    <n v="2913.37"/>
    <n v="10295"/>
    <x v="2"/>
  </r>
  <r>
    <x v="8"/>
    <x v="1"/>
    <x v="1"/>
    <x v="3"/>
    <x v="27"/>
    <x v="0"/>
    <x v="1"/>
    <n v="6.69"/>
    <n v="18215.400000000001"/>
    <n v="64355.33"/>
    <x v="2"/>
  </r>
  <r>
    <x v="8"/>
    <x v="1"/>
    <x v="1"/>
    <x v="0"/>
    <x v="0"/>
    <x v="1"/>
    <x v="0"/>
    <n v="4.1100000000000003"/>
    <n v="11190.63"/>
    <n v="25847.439999999999"/>
    <x v="2"/>
  </r>
  <r>
    <x v="8"/>
    <x v="1"/>
    <x v="1"/>
    <x v="0"/>
    <x v="1"/>
    <x v="1"/>
    <x v="0"/>
    <n v="4.54"/>
    <n v="12361.42"/>
    <n v="28077.14"/>
    <x v="2"/>
  </r>
  <r>
    <x v="8"/>
    <x v="1"/>
    <x v="1"/>
    <x v="0"/>
    <x v="2"/>
    <x v="1"/>
    <x v="0"/>
    <n v="2.15"/>
    <n v="5853.98"/>
    <n v="12863.59"/>
    <x v="2"/>
  </r>
  <r>
    <x v="8"/>
    <x v="1"/>
    <x v="1"/>
    <x v="0"/>
    <x v="3"/>
    <x v="1"/>
    <x v="0"/>
    <n v="5.13"/>
    <n v="13967.86"/>
    <n v="31913.8"/>
    <x v="2"/>
  </r>
  <r>
    <x v="8"/>
    <x v="1"/>
    <x v="1"/>
    <x v="0"/>
    <x v="28"/>
    <x v="1"/>
    <x v="0"/>
    <n v="0"/>
    <n v="0"/>
    <n v="0"/>
    <x v="2"/>
  </r>
  <r>
    <x v="8"/>
    <x v="1"/>
    <x v="1"/>
    <x v="0"/>
    <x v="4"/>
    <x v="1"/>
    <x v="0"/>
    <n v="4.88"/>
    <n v="13287.17"/>
    <n v="30052.85"/>
    <x v="2"/>
  </r>
  <r>
    <x v="8"/>
    <x v="1"/>
    <x v="1"/>
    <x v="0"/>
    <x v="5"/>
    <x v="1"/>
    <x v="0"/>
    <n v="0.86"/>
    <n v="2341.59"/>
    <n v="5440.16"/>
    <x v="2"/>
  </r>
  <r>
    <x v="8"/>
    <x v="1"/>
    <x v="1"/>
    <x v="0"/>
    <x v="6"/>
    <x v="1"/>
    <x v="0"/>
    <n v="0"/>
    <n v="0"/>
    <n v="0"/>
    <x v="2"/>
  </r>
  <r>
    <x v="8"/>
    <x v="1"/>
    <x v="1"/>
    <x v="0"/>
    <x v="7"/>
    <x v="1"/>
    <x v="0"/>
    <n v="0"/>
    <n v="0"/>
    <n v="0"/>
    <x v="2"/>
  </r>
  <r>
    <x v="8"/>
    <x v="1"/>
    <x v="1"/>
    <x v="0"/>
    <x v="8"/>
    <x v="1"/>
    <x v="0"/>
    <n v="0"/>
    <n v="0"/>
    <n v="0"/>
    <x v="2"/>
  </r>
  <r>
    <x v="8"/>
    <x v="1"/>
    <x v="1"/>
    <x v="1"/>
    <x v="30"/>
    <x v="1"/>
    <x v="0"/>
    <n v="0.86"/>
    <n v="2341.59"/>
    <n v="5700.2"/>
    <x v="2"/>
  </r>
  <r>
    <x v="8"/>
    <x v="1"/>
    <x v="1"/>
    <x v="1"/>
    <x v="9"/>
    <x v="1"/>
    <x v="0"/>
    <n v="0"/>
    <n v="0"/>
    <n v="0"/>
    <x v="2"/>
  </r>
  <r>
    <x v="8"/>
    <x v="1"/>
    <x v="1"/>
    <x v="1"/>
    <x v="31"/>
    <x v="1"/>
    <x v="0"/>
    <n v="2.34"/>
    <n v="6371.31"/>
    <n v="15660.32"/>
    <x v="2"/>
  </r>
  <r>
    <x v="8"/>
    <x v="1"/>
    <x v="1"/>
    <x v="1"/>
    <x v="10"/>
    <x v="1"/>
    <x v="0"/>
    <n v="6.25"/>
    <n v="17017.38"/>
    <n v="41020.94"/>
    <x v="2"/>
  </r>
  <r>
    <x v="8"/>
    <x v="1"/>
    <x v="1"/>
    <x v="1"/>
    <x v="11"/>
    <x v="1"/>
    <x v="0"/>
    <n v="4.34"/>
    <n v="11816.87"/>
    <n v="27155.61"/>
    <x v="2"/>
  </r>
  <r>
    <x v="8"/>
    <x v="1"/>
    <x v="1"/>
    <x v="1"/>
    <x v="12"/>
    <x v="1"/>
    <x v="0"/>
    <n v="1.69"/>
    <n v="4601.5"/>
    <n v="11096.51"/>
    <x v="2"/>
  </r>
  <r>
    <x v="8"/>
    <x v="1"/>
    <x v="1"/>
    <x v="1"/>
    <x v="13"/>
    <x v="1"/>
    <x v="0"/>
    <n v="1.21"/>
    <n v="3294.56"/>
    <n v="7937.85"/>
    <x v="2"/>
  </r>
  <r>
    <x v="8"/>
    <x v="1"/>
    <x v="1"/>
    <x v="1"/>
    <x v="14"/>
    <x v="1"/>
    <x v="0"/>
    <n v="9.26"/>
    <n v="25212.94"/>
    <n v="59539.34"/>
    <x v="2"/>
  </r>
  <r>
    <x v="8"/>
    <x v="1"/>
    <x v="1"/>
    <x v="1"/>
    <x v="15"/>
    <x v="1"/>
    <x v="0"/>
    <n v="0.93"/>
    <n v="2532.19"/>
    <n v="6189.87"/>
    <x v="2"/>
  </r>
  <r>
    <x v="8"/>
    <x v="1"/>
    <x v="1"/>
    <x v="1"/>
    <x v="16"/>
    <x v="1"/>
    <x v="0"/>
    <n v="3.01"/>
    <n v="8195.57"/>
    <n v="19040.82"/>
    <x v="2"/>
  </r>
  <r>
    <x v="8"/>
    <x v="1"/>
    <x v="1"/>
    <x v="1"/>
    <x v="17"/>
    <x v="1"/>
    <x v="0"/>
    <n v="5.7"/>
    <n v="15519.85"/>
    <n v="36449.29"/>
    <x v="2"/>
  </r>
  <r>
    <x v="8"/>
    <x v="1"/>
    <x v="1"/>
    <x v="1"/>
    <x v="18"/>
    <x v="1"/>
    <x v="0"/>
    <n v="6.13"/>
    <n v="16690.64"/>
    <n v="41015.269999999997"/>
    <x v="2"/>
  </r>
  <r>
    <x v="8"/>
    <x v="1"/>
    <x v="1"/>
    <x v="1"/>
    <x v="19"/>
    <x v="1"/>
    <x v="0"/>
    <n v="5.69"/>
    <n v="15492.62"/>
    <n v="36935.65"/>
    <x v="2"/>
  </r>
  <r>
    <x v="8"/>
    <x v="1"/>
    <x v="1"/>
    <x v="1"/>
    <x v="20"/>
    <x v="1"/>
    <x v="0"/>
    <n v="5.88"/>
    <n v="16009.95"/>
    <n v="37501.040000000001"/>
    <x v="2"/>
  </r>
  <r>
    <x v="8"/>
    <x v="1"/>
    <x v="1"/>
    <x v="2"/>
    <x v="21"/>
    <x v="1"/>
    <x v="0"/>
    <n v="0"/>
    <n v="0"/>
    <n v="0"/>
    <x v="2"/>
  </r>
  <r>
    <x v="8"/>
    <x v="1"/>
    <x v="1"/>
    <x v="2"/>
    <x v="22"/>
    <x v="1"/>
    <x v="0"/>
    <n v="2.72"/>
    <n v="7405.96"/>
    <n v="15947.17"/>
    <x v="2"/>
  </r>
  <r>
    <x v="8"/>
    <x v="1"/>
    <x v="1"/>
    <x v="2"/>
    <x v="29"/>
    <x v="1"/>
    <x v="0"/>
    <n v="0"/>
    <n v="0"/>
    <n v="0"/>
    <x v="2"/>
  </r>
  <r>
    <x v="8"/>
    <x v="1"/>
    <x v="1"/>
    <x v="2"/>
    <x v="23"/>
    <x v="1"/>
    <x v="0"/>
    <n v="0"/>
    <n v="0"/>
    <n v="0"/>
    <x v="2"/>
  </r>
  <r>
    <x v="8"/>
    <x v="1"/>
    <x v="1"/>
    <x v="2"/>
    <x v="24"/>
    <x v="1"/>
    <x v="0"/>
    <n v="2.17"/>
    <n v="5908.43"/>
    <n v="12967.42"/>
    <x v="2"/>
  </r>
  <r>
    <x v="8"/>
    <x v="1"/>
    <x v="1"/>
    <x v="3"/>
    <x v="25"/>
    <x v="1"/>
    <x v="0"/>
    <n v="3.99"/>
    <n v="10863.89"/>
    <n v="26339.040000000001"/>
    <x v="2"/>
  </r>
  <r>
    <x v="8"/>
    <x v="1"/>
    <x v="1"/>
    <x v="3"/>
    <x v="26"/>
    <x v="1"/>
    <x v="0"/>
    <n v="1.63"/>
    <n v="4438.13"/>
    <n v="10843.75"/>
    <x v="2"/>
  </r>
  <r>
    <x v="8"/>
    <x v="1"/>
    <x v="1"/>
    <x v="3"/>
    <x v="27"/>
    <x v="1"/>
    <x v="0"/>
    <n v="6.44"/>
    <n v="17534.7"/>
    <n v="42002.54"/>
    <x v="2"/>
  </r>
  <r>
    <x v="8"/>
    <x v="1"/>
    <x v="1"/>
    <x v="0"/>
    <x v="0"/>
    <x v="1"/>
    <x v="1"/>
    <n v="7.94"/>
    <n v="21618.87"/>
    <n v="50009.17"/>
    <x v="2"/>
  </r>
  <r>
    <x v="8"/>
    <x v="1"/>
    <x v="1"/>
    <x v="0"/>
    <x v="1"/>
    <x v="1"/>
    <x v="1"/>
    <n v="6.49"/>
    <n v="17670.84"/>
    <n v="40147.69"/>
    <x v="2"/>
  </r>
  <r>
    <x v="8"/>
    <x v="1"/>
    <x v="1"/>
    <x v="0"/>
    <x v="2"/>
    <x v="1"/>
    <x v="1"/>
    <n v="10.58"/>
    <n v="28807.01"/>
    <n v="63245.96"/>
    <x v="2"/>
  </r>
  <r>
    <x v="8"/>
    <x v="1"/>
    <x v="1"/>
    <x v="0"/>
    <x v="3"/>
    <x v="1"/>
    <x v="1"/>
    <n v="17.66"/>
    <n v="48084.29"/>
    <n v="109805.11"/>
    <x v="2"/>
  </r>
  <r>
    <x v="8"/>
    <x v="1"/>
    <x v="1"/>
    <x v="0"/>
    <x v="28"/>
    <x v="1"/>
    <x v="1"/>
    <n v="2.4500000000000002"/>
    <n v="6670.81"/>
    <n v="15451.71"/>
    <x v="2"/>
  </r>
  <r>
    <x v="8"/>
    <x v="1"/>
    <x v="1"/>
    <x v="0"/>
    <x v="4"/>
    <x v="1"/>
    <x v="1"/>
    <n v="5.59"/>
    <n v="15220.34"/>
    <n v="34424.17"/>
    <x v="2"/>
  </r>
  <r>
    <x v="8"/>
    <x v="1"/>
    <x v="1"/>
    <x v="0"/>
    <x v="5"/>
    <x v="1"/>
    <x v="1"/>
    <n v="16.190000000000001"/>
    <n v="44081.81"/>
    <n v="102682.94"/>
    <x v="2"/>
  </r>
  <r>
    <x v="8"/>
    <x v="1"/>
    <x v="1"/>
    <x v="0"/>
    <x v="6"/>
    <x v="1"/>
    <x v="1"/>
    <n v="2.87"/>
    <n v="7814.38"/>
    <n v="18145.080000000002"/>
    <x v="2"/>
  </r>
  <r>
    <x v="8"/>
    <x v="1"/>
    <x v="1"/>
    <x v="0"/>
    <x v="7"/>
    <x v="1"/>
    <x v="1"/>
    <n v="2.85"/>
    <n v="7759.92"/>
    <n v="18331.43"/>
    <x v="2"/>
  </r>
  <r>
    <x v="8"/>
    <x v="1"/>
    <x v="1"/>
    <x v="0"/>
    <x v="8"/>
    <x v="1"/>
    <x v="1"/>
    <n v="2.34"/>
    <n v="6371.31"/>
    <n v="14327.99"/>
    <x v="2"/>
  </r>
  <r>
    <x v="8"/>
    <x v="1"/>
    <x v="1"/>
    <x v="1"/>
    <x v="30"/>
    <x v="1"/>
    <x v="1"/>
    <n v="0"/>
    <n v="0"/>
    <n v="0"/>
    <x v="2"/>
  </r>
  <r>
    <x v="8"/>
    <x v="1"/>
    <x v="1"/>
    <x v="1"/>
    <x v="9"/>
    <x v="1"/>
    <x v="1"/>
    <n v="0.33"/>
    <n v="898.52"/>
    <n v="2180.25"/>
    <x v="2"/>
  </r>
  <r>
    <x v="8"/>
    <x v="1"/>
    <x v="1"/>
    <x v="1"/>
    <x v="31"/>
    <x v="1"/>
    <x v="1"/>
    <n v="0"/>
    <n v="0"/>
    <n v="0"/>
    <x v="2"/>
  </r>
  <r>
    <x v="8"/>
    <x v="1"/>
    <x v="1"/>
    <x v="1"/>
    <x v="10"/>
    <x v="1"/>
    <x v="1"/>
    <n v="16.98"/>
    <n v="46232.800000000003"/>
    <n v="111507.62"/>
    <x v="2"/>
  </r>
  <r>
    <x v="8"/>
    <x v="1"/>
    <x v="1"/>
    <x v="1"/>
    <x v="11"/>
    <x v="1"/>
    <x v="1"/>
    <n v="14.41"/>
    <n v="39235.26"/>
    <n v="90156.62"/>
    <x v="2"/>
  </r>
  <r>
    <x v="8"/>
    <x v="1"/>
    <x v="1"/>
    <x v="1"/>
    <x v="12"/>
    <x v="1"/>
    <x v="1"/>
    <n v="0.8"/>
    <n v="2178.2199999999998"/>
    <n v="5256.24"/>
    <x v="2"/>
  </r>
  <r>
    <x v="8"/>
    <x v="1"/>
    <x v="1"/>
    <x v="1"/>
    <x v="13"/>
    <x v="1"/>
    <x v="1"/>
    <n v="5.71"/>
    <n v="15547.07"/>
    <n v="37421.300000000003"/>
    <x v="2"/>
  </r>
  <r>
    <x v="8"/>
    <x v="1"/>
    <x v="1"/>
    <x v="1"/>
    <x v="14"/>
    <x v="1"/>
    <x v="1"/>
    <n v="4.33"/>
    <n v="11789.64"/>
    <n v="27822.12"/>
    <x v="2"/>
  </r>
  <r>
    <x v="8"/>
    <x v="1"/>
    <x v="1"/>
    <x v="1"/>
    <x v="15"/>
    <x v="1"/>
    <x v="1"/>
    <n v="2.2799999999999998"/>
    <n v="6207.94"/>
    <n v="15193.31"/>
    <x v="2"/>
  </r>
  <r>
    <x v="8"/>
    <x v="1"/>
    <x v="1"/>
    <x v="1"/>
    <x v="16"/>
    <x v="1"/>
    <x v="1"/>
    <n v="8.82"/>
    <n v="24014.92"/>
    <n v="55894.02"/>
    <x v="2"/>
  </r>
  <r>
    <x v="8"/>
    <x v="1"/>
    <x v="1"/>
    <x v="1"/>
    <x v="17"/>
    <x v="1"/>
    <x v="1"/>
    <n v="2.02"/>
    <n v="5500.02"/>
    <n v="12897.44"/>
    <x v="2"/>
  </r>
  <r>
    <x v="8"/>
    <x v="1"/>
    <x v="1"/>
    <x v="1"/>
    <x v="18"/>
    <x v="1"/>
    <x v="1"/>
    <n v="25.46"/>
    <n v="69321.98"/>
    <n v="170371.14"/>
    <x v="2"/>
  </r>
  <r>
    <x v="8"/>
    <x v="1"/>
    <x v="1"/>
    <x v="1"/>
    <x v="19"/>
    <x v="1"/>
    <x v="1"/>
    <n v="9.81"/>
    <n v="26710.47"/>
    <n v="63642.97"/>
    <x v="2"/>
  </r>
  <r>
    <x v="8"/>
    <x v="1"/>
    <x v="1"/>
    <x v="1"/>
    <x v="20"/>
    <x v="1"/>
    <x v="1"/>
    <n v="13.35"/>
    <n v="36349.11"/>
    <n v="85180.93"/>
    <x v="2"/>
  </r>
  <r>
    <x v="8"/>
    <x v="1"/>
    <x v="1"/>
    <x v="2"/>
    <x v="21"/>
    <x v="1"/>
    <x v="1"/>
    <n v="2.31"/>
    <n v="6289.62"/>
    <n v="13526.08"/>
    <x v="2"/>
  </r>
  <r>
    <x v="8"/>
    <x v="1"/>
    <x v="1"/>
    <x v="2"/>
    <x v="22"/>
    <x v="1"/>
    <x v="1"/>
    <n v="9.35"/>
    <n v="25457.99"/>
    <n v="54818.39"/>
    <x v="2"/>
  </r>
  <r>
    <x v="8"/>
    <x v="1"/>
    <x v="1"/>
    <x v="2"/>
    <x v="29"/>
    <x v="1"/>
    <x v="1"/>
    <n v="2.71"/>
    <n v="7378.73"/>
    <n v="16864.53"/>
    <x v="2"/>
  </r>
  <r>
    <x v="8"/>
    <x v="1"/>
    <x v="1"/>
    <x v="2"/>
    <x v="23"/>
    <x v="1"/>
    <x v="1"/>
    <n v="1.49"/>
    <n v="4056.94"/>
    <n v="9120.6200000000008"/>
    <x v="2"/>
  </r>
  <r>
    <x v="8"/>
    <x v="1"/>
    <x v="1"/>
    <x v="2"/>
    <x v="24"/>
    <x v="1"/>
    <x v="1"/>
    <n v="1.91"/>
    <n v="5200.51"/>
    <n v="11411.33"/>
    <x v="2"/>
  </r>
  <r>
    <x v="8"/>
    <x v="1"/>
    <x v="1"/>
    <x v="3"/>
    <x v="25"/>
    <x v="1"/>
    <x v="1"/>
    <n v="5.38"/>
    <n v="14648.56"/>
    <n v="35500.44"/>
    <x v="2"/>
  </r>
  <r>
    <x v="8"/>
    <x v="1"/>
    <x v="1"/>
    <x v="3"/>
    <x v="26"/>
    <x v="1"/>
    <x v="1"/>
    <n v="13.15"/>
    <n v="35804.559999999998"/>
    <n v="87320.74"/>
    <x v="2"/>
  </r>
  <r>
    <x v="8"/>
    <x v="1"/>
    <x v="1"/>
    <x v="3"/>
    <x v="27"/>
    <x v="1"/>
    <x v="1"/>
    <n v="19.510000000000002"/>
    <n v="53121.440000000002"/>
    <n v="127158.37"/>
    <x v="2"/>
  </r>
  <r>
    <x v="8"/>
    <x v="1"/>
    <x v="2"/>
    <x v="0"/>
    <x v="0"/>
    <x v="0"/>
    <x v="0"/>
    <n v="2.39"/>
    <n v="12953.13"/>
    <n v="55898.44"/>
    <x v="2"/>
  </r>
  <r>
    <x v="8"/>
    <x v="1"/>
    <x v="2"/>
    <x v="0"/>
    <x v="1"/>
    <x v="0"/>
    <x v="0"/>
    <n v="4.01"/>
    <n v="21733.08"/>
    <n v="94043.79"/>
    <x v="2"/>
  </r>
  <r>
    <x v="8"/>
    <x v="1"/>
    <x v="2"/>
    <x v="0"/>
    <x v="2"/>
    <x v="0"/>
    <x v="0"/>
    <n v="0"/>
    <n v="0"/>
    <n v="0"/>
    <x v="2"/>
  </r>
  <r>
    <x v="8"/>
    <x v="1"/>
    <x v="2"/>
    <x v="0"/>
    <x v="3"/>
    <x v="0"/>
    <x v="0"/>
    <n v="3.1"/>
    <n v="16801.13"/>
    <n v="72581.509999999995"/>
    <x v="2"/>
  </r>
  <r>
    <x v="8"/>
    <x v="1"/>
    <x v="2"/>
    <x v="0"/>
    <x v="4"/>
    <x v="0"/>
    <x v="0"/>
    <n v="0"/>
    <n v="0"/>
    <n v="0"/>
    <x v="2"/>
  </r>
  <r>
    <x v="8"/>
    <x v="1"/>
    <x v="2"/>
    <x v="0"/>
    <x v="5"/>
    <x v="0"/>
    <x v="0"/>
    <n v="0"/>
    <n v="0"/>
    <n v="0"/>
    <x v="2"/>
  </r>
  <r>
    <x v="8"/>
    <x v="1"/>
    <x v="2"/>
    <x v="0"/>
    <x v="6"/>
    <x v="0"/>
    <x v="0"/>
    <n v="0"/>
    <n v="0"/>
    <n v="0"/>
    <x v="2"/>
  </r>
  <r>
    <x v="8"/>
    <x v="1"/>
    <x v="2"/>
    <x v="0"/>
    <x v="8"/>
    <x v="0"/>
    <x v="0"/>
    <n v="0"/>
    <n v="0"/>
    <n v="0"/>
    <x v="2"/>
  </r>
  <r>
    <x v="8"/>
    <x v="1"/>
    <x v="2"/>
    <x v="1"/>
    <x v="10"/>
    <x v="0"/>
    <x v="0"/>
    <n v="1.62"/>
    <n v="8779.9500000000007"/>
    <n v="37981.72"/>
    <x v="2"/>
  </r>
  <r>
    <x v="8"/>
    <x v="1"/>
    <x v="2"/>
    <x v="1"/>
    <x v="11"/>
    <x v="0"/>
    <x v="0"/>
    <n v="0"/>
    <n v="0"/>
    <n v="0"/>
    <x v="2"/>
  </r>
  <r>
    <x v="8"/>
    <x v="1"/>
    <x v="2"/>
    <x v="1"/>
    <x v="13"/>
    <x v="0"/>
    <x v="0"/>
    <n v="0"/>
    <n v="0"/>
    <n v="0"/>
    <x v="2"/>
  </r>
  <r>
    <x v="8"/>
    <x v="1"/>
    <x v="2"/>
    <x v="1"/>
    <x v="14"/>
    <x v="0"/>
    <x v="0"/>
    <n v="0"/>
    <n v="0"/>
    <n v="0"/>
    <x v="2"/>
  </r>
  <r>
    <x v="8"/>
    <x v="1"/>
    <x v="2"/>
    <x v="1"/>
    <x v="16"/>
    <x v="0"/>
    <x v="0"/>
    <n v="0"/>
    <n v="0"/>
    <n v="0"/>
    <x v="2"/>
  </r>
  <r>
    <x v="8"/>
    <x v="1"/>
    <x v="2"/>
    <x v="1"/>
    <x v="17"/>
    <x v="0"/>
    <x v="0"/>
    <n v="0"/>
    <n v="0"/>
    <n v="0"/>
    <x v="2"/>
  </r>
  <r>
    <x v="8"/>
    <x v="1"/>
    <x v="2"/>
    <x v="1"/>
    <x v="18"/>
    <x v="0"/>
    <x v="0"/>
    <n v="0"/>
    <n v="0"/>
    <n v="0"/>
    <x v="2"/>
  </r>
  <r>
    <x v="8"/>
    <x v="1"/>
    <x v="2"/>
    <x v="1"/>
    <x v="19"/>
    <x v="0"/>
    <x v="0"/>
    <n v="0"/>
    <n v="0"/>
    <n v="0"/>
    <x v="2"/>
  </r>
  <r>
    <x v="8"/>
    <x v="1"/>
    <x v="2"/>
    <x v="1"/>
    <x v="20"/>
    <x v="0"/>
    <x v="0"/>
    <n v="1.99"/>
    <n v="10785.24"/>
    <n v="46702.97"/>
    <x v="2"/>
  </r>
  <r>
    <x v="8"/>
    <x v="1"/>
    <x v="2"/>
    <x v="2"/>
    <x v="21"/>
    <x v="0"/>
    <x v="0"/>
    <n v="2.66"/>
    <n v="14416.46"/>
    <n v="62399.67"/>
    <x v="2"/>
  </r>
  <r>
    <x v="8"/>
    <x v="1"/>
    <x v="2"/>
    <x v="2"/>
    <x v="22"/>
    <x v="0"/>
    <x v="0"/>
    <n v="0"/>
    <n v="0"/>
    <n v="0"/>
    <x v="2"/>
  </r>
  <r>
    <x v="8"/>
    <x v="1"/>
    <x v="2"/>
    <x v="2"/>
    <x v="29"/>
    <x v="0"/>
    <x v="0"/>
    <n v="0"/>
    <n v="0"/>
    <n v="0"/>
    <x v="2"/>
  </r>
  <r>
    <x v="8"/>
    <x v="1"/>
    <x v="2"/>
    <x v="2"/>
    <x v="24"/>
    <x v="0"/>
    <x v="0"/>
    <n v="0"/>
    <n v="0"/>
    <n v="0"/>
    <x v="2"/>
  </r>
  <r>
    <x v="8"/>
    <x v="1"/>
    <x v="2"/>
    <x v="3"/>
    <x v="25"/>
    <x v="0"/>
    <x v="0"/>
    <n v="0"/>
    <n v="0"/>
    <n v="0"/>
    <x v="2"/>
  </r>
  <r>
    <x v="8"/>
    <x v="1"/>
    <x v="2"/>
    <x v="3"/>
    <x v="26"/>
    <x v="0"/>
    <x v="0"/>
    <n v="2.0299999999999998"/>
    <n v="11002.03"/>
    <n v="47529.65"/>
    <x v="2"/>
  </r>
  <r>
    <x v="8"/>
    <x v="1"/>
    <x v="2"/>
    <x v="3"/>
    <x v="27"/>
    <x v="0"/>
    <x v="0"/>
    <n v="1.7"/>
    <n v="9213.52"/>
    <n v="39744.449999999997"/>
    <x v="2"/>
  </r>
  <r>
    <x v="8"/>
    <x v="1"/>
    <x v="2"/>
    <x v="0"/>
    <x v="0"/>
    <x v="0"/>
    <x v="1"/>
    <n v="2.48"/>
    <n v="13440.91"/>
    <n v="58134.38"/>
    <x v="2"/>
  </r>
  <r>
    <x v="8"/>
    <x v="1"/>
    <x v="2"/>
    <x v="0"/>
    <x v="1"/>
    <x v="0"/>
    <x v="1"/>
    <n v="6.82"/>
    <n v="36962.49"/>
    <n v="159816.74"/>
    <x v="2"/>
  </r>
  <r>
    <x v="8"/>
    <x v="1"/>
    <x v="2"/>
    <x v="0"/>
    <x v="2"/>
    <x v="0"/>
    <x v="1"/>
    <n v="5.83"/>
    <n v="31596.97"/>
    <n v="136564.91"/>
    <x v="2"/>
  </r>
  <r>
    <x v="8"/>
    <x v="1"/>
    <x v="2"/>
    <x v="0"/>
    <x v="3"/>
    <x v="0"/>
    <x v="1"/>
    <n v="8.4499999999999993"/>
    <n v="45796.63"/>
    <n v="197949.58"/>
    <x v="2"/>
  </r>
  <r>
    <x v="8"/>
    <x v="1"/>
    <x v="2"/>
    <x v="0"/>
    <x v="4"/>
    <x v="0"/>
    <x v="1"/>
    <n v="1.55"/>
    <n v="8400.57"/>
    <n v="36381.03"/>
    <x v="2"/>
  </r>
  <r>
    <x v="8"/>
    <x v="1"/>
    <x v="2"/>
    <x v="0"/>
    <x v="5"/>
    <x v="0"/>
    <x v="1"/>
    <n v="5.17"/>
    <n v="28019.95"/>
    <n v="121273.22"/>
    <x v="2"/>
  </r>
  <r>
    <x v="8"/>
    <x v="1"/>
    <x v="2"/>
    <x v="0"/>
    <x v="6"/>
    <x v="0"/>
    <x v="1"/>
    <n v="2.5499999999999998"/>
    <n v="13820.29"/>
    <n v="59648.03"/>
    <x v="2"/>
  </r>
  <r>
    <x v="8"/>
    <x v="1"/>
    <x v="2"/>
    <x v="0"/>
    <x v="8"/>
    <x v="0"/>
    <x v="1"/>
    <n v="4.3600000000000003"/>
    <n v="23629.98"/>
    <n v="102291.07"/>
    <x v="2"/>
  </r>
  <r>
    <x v="8"/>
    <x v="1"/>
    <x v="2"/>
    <x v="1"/>
    <x v="10"/>
    <x v="0"/>
    <x v="1"/>
    <n v="5.43"/>
    <n v="29429.08"/>
    <n v="127350.48"/>
    <x v="2"/>
  </r>
  <r>
    <x v="8"/>
    <x v="1"/>
    <x v="2"/>
    <x v="1"/>
    <x v="11"/>
    <x v="0"/>
    <x v="1"/>
    <n v="8.9"/>
    <n v="48235.51"/>
    <n v="208605.09"/>
    <x v="2"/>
  </r>
  <r>
    <x v="8"/>
    <x v="1"/>
    <x v="2"/>
    <x v="1"/>
    <x v="13"/>
    <x v="0"/>
    <x v="1"/>
    <n v="3.34"/>
    <n v="18101.86"/>
    <n v="78320.679999999993"/>
    <x v="2"/>
  </r>
  <r>
    <x v="8"/>
    <x v="1"/>
    <x v="2"/>
    <x v="1"/>
    <x v="14"/>
    <x v="0"/>
    <x v="1"/>
    <n v="1.67"/>
    <n v="9050.93"/>
    <n v="39189.9"/>
    <x v="2"/>
  </r>
  <r>
    <x v="8"/>
    <x v="1"/>
    <x v="2"/>
    <x v="1"/>
    <x v="16"/>
    <x v="0"/>
    <x v="1"/>
    <n v="2.06"/>
    <n v="11164.62"/>
    <n v="48191.26"/>
    <x v="2"/>
  </r>
  <r>
    <x v="8"/>
    <x v="1"/>
    <x v="2"/>
    <x v="1"/>
    <x v="17"/>
    <x v="0"/>
    <x v="1"/>
    <n v="1.1499999999999999"/>
    <n v="6232.68"/>
    <n v="26948.42"/>
    <x v="2"/>
  </r>
  <r>
    <x v="8"/>
    <x v="1"/>
    <x v="2"/>
    <x v="1"/>
    <x v="18"/>
    <x v="0"/>
    <x v="1"/>
    <n v="13.19"/>
    <n v="71486.11"/>
    <n v="309140.55"/>
    <x v="2"/>
  </r>
  <r>
    <x v="8"/>
    <x v="1"/>
    <x v="2"/>
    <x v="1"/>
    <x v="19"/>
    <x v="0"/>
    <x v="1"/>
    <n v="4.5199999999999996"/>
    <n v="24497.13"/>
    <n v="105859.57"/>
    <x v="2"/>
  </r>
  <r>
    <x v="8"/>
    <x v="1"/>
    <x v="2"/>
    <x v="1"/>
    <x v="20"/>
    <x v="0"/>
    <x v="1"/>
    <n v="12.53"/>
    <n v="67909.09"/>
    <n v="293561.56"/>
    <x v="2"/>
  </r>
  <r>
    <x v="8"/>
    <x v="1"/>
    <x v="2"/>
    <x v="2"/>
    <x v="21"/>
    <x v="0"/>
    <x v="1"/>
    <n v="0"/>
    <n v="0"/>
    <n v="0"/>
    <x v="2"/>
  </r>
  <r>
    <x v="8"/>
    <x v="1"/>
    <x v="2"/>
    <x v="2"/>
    <x v="22"/>
    <x v="0"/>
    <x v="1"/>
    <n v="5.74"/>
    <n v="31109.19"/>
    <n v="134421.6"/>
    <x v="2"/>
  </r>
  <r>
    <x v="8"/>
    <x v="1"/>
    <x v="2"/>
    <x v="2"/>
    <x v="29"/>
    <x v="0"/>
    <x v="1"/>
    <n v="2.65"/>
    <n v="14362.26"/>
    <n v="62192.75"/>
    <x v="2"/>
  </r>
  <r>
    <x v="8"/>
    <x v="1"/>
    <x v="2"/>
    <x v="2"/>
    <x v="24"/>
    <x v="0"/>
    <x v="1"/>
    <n v="2.38"/>
    <n v="12898.93"/>
    <n v="55888.800000000003"/>
    <x v="2"/>
  </r>
  <r>
    <x v="8"/>
    <x v="1"/>
    <x v="2"/>
    <x v="3"/>
    <x v="25"/>
    <x v="0"/>
    <x v="1"/>
    <n v="0.12"/>
    <n v="650.37"/>
    <n v="2872.09"/>
    <x v="2"/>
  </r>
  <r>
    <x v="8"/>
    <x v="1"/>
    <x v="2"/>
    <x v="3"/>
    <x v="26"/>
    <x v="0"/>
    <x v="1"/>
    <n v="1.64"/>
    <n v="8888.34"/>
    <n v="38476.379999999997"/>
    <x v="2"/>
  </r>
  <r>
    <x v="8"/>
    <x v="1"/>
    <x v="2"/>
    <x v="3"/>
    <x v="27"/>
    <x v="0"/>
    <x v="1"/>
    <n v="8.67"/>
    <n v="46988.97"/>
    <n v="203138.28"/>
    <x v="2"/>
  </r>
  <r>
    <x v="8"/>
    <x v="1"/>
    <x v="2"/>
    <x v="0"/>
    <x v="0"/>
    <x v="1"/>
    <x v="0"/>
    <n v="4.0999999999999996"/>
    <n v="22220.85"/>
    <n v="62775.39"/>
    <x v="2"/>
  </r>
  <r>
    <x v="8"/>
    <x v="1"/>
    <x v="2"/>
    <x v="0"/>
    <x v="1"/>
    <x v="1"/>
    <x v="0"/>
    <n v="15.01"/>
    <n v="81350"/>
    <n v="226212.69"/>
    <x v="2"/>
  </r>
  <r>
    <x v="8"/>
    <x v="1"/>
    <x v="2"/>
    <x v="0"/>
    <x v="2"/>
    <x v="1"/>
    <x v="0"/>
    <n v="6.45"/>
    <n v="34957.19"/>
    <n v="93838.13"/>
    <x v="2"/>
  </r>
  <r>
    <x v="8"/>
    <x v="1"/>
    <x v="2"/>
    <x v="0"/>
    <x v="3"/>
    <x v="1"/>
    <x v="0"/>
    <n v="13.59"/>
    <n v="73653.990000000005"/>
    <n v="205797.62"/>
    <x v="2"/>
  </r>
  <r>
    <x v="8"/>
    <x v="1"/>
    <x v="2"/>
    <x v="0"/>
    <x v="28"/>
    <x v="1"/>
    <x v="0"/>
    <n v="0"/>
    <n v="0"/>
    <n v="0"/>
    <x v="2"/>
  </r>
  <r>
    <x v="8"/>
    <x v="1"/>
    <x v="2"/>
    <x v="0"/>
    <x v="4"/>
    <x v="1"/>
    <x v="0"/>
    <n v="7.52"/>
    <n v="40756.29"/>
    <n v="112851.29"/>
    <x v="2"/>
  </r>
  <r>
    <x v="8"/>
    <x v="1"/>
    <x v="2"/>
    <x v="0"/>
    <x v="5"/>
    <x v="1"/>
    <x v="0"/>
    <n v="2.42"/>
    <n v="13115.72"/>
    <n v="37398.19"/>
    <x v="2"/>
  </r>
  <r>
    <x v="8"/>
    <x v="1"/>
    <x v="2"/>
    <x v="0"/>
    <x v="6"/>
    <x v="1"/>
    <x v="0"/>
    <n v="0"/>
    <n v="0"/>
    <n v="0"/>
    <x v="2"/>
  </r>
  <r>
    <x v="8"/>
    <x v="1"/>
    <x v="2"/>
    <x v="0"/>
    <x v="7"/>
    <x v="1"/>
    <x v="0"/>
    <n v="0"/>
    <n v="0"/>
    <n v="0"/>
    <x v="2"/>
  </r>
  <r>
    <x v="8"/>
    <x v="1"/>
    <x v="2"/>
    <x v="0"/>
    <x v="8"/>
    <x v="1"/>
    <x v="0"/>
    <n v="0"/>
    <n v="0"/>
    <n v="0"/>
    <x v="2"/>
  </r>
  <r>
    <x v="8"/>
    <x v="1"/>
    <x v="2"/>
    <x v="1"/>
    <x v="30"/>
    <x v="1"/>
    <x v="0"/>
    <n v="3.84"/>
    <n v="20811.72"/>
    <n v="62005.32"/>
    <x v="2"/>
  </r>
  <r>
    <x v="8"/>
    <x v="1"/>
    <x v="2"/>
    <x v="1"/>
    <x v="9"/>
    <x v="1"/>
    <x v="0"/>
    <n v="0"/>
    <n v="0"/>
    <n v="0"/>
    <x v="2"/>
  </r>
  <r>
    <x v="8"/>
    <x v="1"/>
    <x v="2"/>
    <x v="1"/>
    <x v="31"/>
    <x v="1"/>
    <x v="0"/>
    <n v="1.26"/>
    <n v="6828.85"/>
    <n v="20496.32"/>
    <x v="2"/>
  </r>
  <r>
    <x v="8"/>
    <x v="1"/>
    <x v="2"/>
    <x v="1"/>
    <x v="10"/>
    <x v="1"/>
    <x v="0"/>
    <n v="8.08"/>
    <n v="43791.34"/>
    <n v="129173.59"/>
    <x v="2"/>
  </r>
  <r>
    <x v="8"/>
    <x v="1"/>
    <x v="2"/>
    <x v="1"/>
    <x v="11"/>
    <x v="1"/>
    <x v="0"/>
    <n v="11.32"/>
    <n v="61351.23"/>
    <n v="172507.63"/>
    <x v="2"/>
  </r>
  <r>
    <x v="8"/>
    <x v="1"/>
    <x v="2"/>
    <x v="1"/>
    <x v="12"/>
    <x v="1"/>
    <x v="0"/>
    <n v="0.74"/>
    <n v="4010.59"/>
    <n v="11872.26"/>
    <x v="2"/>
  </r>
  <r>
    <x v="8"/>
    <x v="1"/>
    <x v="2"/>
    <x v="1"/>
    <x v="13"/>
    <x v="1"/>
    <x v="0"/>
    <n v="2.2999999999999998"/>
    <n v="12465.36"/>
    <n v="36759.589999999997"/>
    <x v="2"/>
  </r>
  <r>
    <x v="8"/>
    <x v="1"/>
    <x v="2"/>
    <x v="1"/>
    <x v="14"/>
    <x v="1"/>
    <x v="0"/>
    <n v="18.27"/>
    <n v="99018.28"/>
    <n v="286044.77"/>
    <x v="2"/>
  </r>
  <r>
    <x v="8"/>
    <x v="1"/>
    <x v="2"/>
    <x v="1"/>
    <x v="15"/>
    <x v="1"/>
    <x v="0"/>
    <n v="1.46"/>
    <n v="7912.79"/>
    <n v="23706.34"/>
    <x v="2"/>
  </r>
  <r>
    <x v="8"/>
    <x v="1"/>
    <x v="2"/>
    <x v="1"/>
    <x v="16"/>
    <x v="1"/>
    <x v="0"/>
    <n v="6.96"/>
    <n v="37721.25"/>
    <n v="107351.31"/>
    <x v="2"/>
  </r>
  <r>
    <x v="8"/>
    <x v="1"/>
    <x v="2"/>
    <x v="1"/>
    <x v="17"/>
    <x v="1"/>
    <x v="0"/>
    <n v="0.47"/>
    <n v="2547.27"/>
    <n v="7280.58"/>
    <x v="2"/>
  </r>
  <r>
    <x v="8"/>
    <x v="1"/>
    <x v="2"/>
    <x v="1"/>
    <x v="18"/>
    <x v="1"/>
    <x v="0"/>
    <n v="9.86"/>
    <n v="53438.44"/>
    <n v="160562.94"/>
    <x v="2"/>
  </r>
  <r>
    <x v="8"/>
    <x v="1"/>
    <x v="2"/>
    <x v="1"/>
    <x v="19"/>
    <x v="1"/>
    <x v="0"/>
    <n v="11.57"/>
    <n v="62706.16"/>
    <n v="182783.08"/>
    <x v="2"/>
  </r>
  <r>
    <x v="8"/>
    <x v="1"/>
    <x v="2"/>
    <x v="1"/>
    <x v="20"/>
    <x v="1"/>
    <x v="0"/>
    <n v="16.38"/>
    <n v="88775.01"/>
    <n v="254592.01"/>
    <x v="2"/>
  </r>
  <r>
    <x v="8"/>
    <x v="1"/>
    <x v="2"/>
    <x v="2"/>
    <x v="21"/>
    <x v="1"/>
    <x v="0"/>
    <n v="0"/>
    <n v="0"/>
    <n v="0"/>
    <x v="2"/>
  </r>
  <r>
    <x v="8"/>
    <x v="1"/>
    <x v="2"/>
    <x v="2"/>
    <x v="22"/>
    <x v="1"/>
    <x v="0"/>
    <n v="10.07"/>
    <n v="54576.58"/>
    <n v="143749.26999999999"/>
    <x v="2"/>
  </r>
  <r>
    <x v="8"/>
    <x v="1"/>
    <x v="2"/>
    <x v="2"/>
    <x v="29"/>
    <x v="1"/>
    <x v="0"/>
    <n v="0"/>
    <n v="0"/>
    <n v="0"/>
    <x v="2"/>
  </r>
  <r>
    <x v="8"/>
    <x v="1"/>
    <x v="2"/>
    <x v="2"/>
    <x v="23"/>
    <x v="1"/>
    <x v="0"/>
    <n v="0"/>
    <n v="0"/>
    <n v="0"/>
    <x v="2"/>
  </r>
  <r>
    <x v="8"/>
    <x v="1"/>
    <x v="2"/>
    <x v="2"/>
    <x v="24"/>
    <x v="1"/>
    <x v="0"/>
    <n v="4.37"/>
    <n v="23684.18"/>
    <n v="63556.639999999999"/>
    <x v="2"/>
  </r>
  <r>
    <x v="8"/>
    <x v="1"/>
    <x v="2"/>
    <x v="3"/>
    <x v="25"/>
    <x v="1"/>
    <x v="0"/>
    <n v="8.1999999999999993"/>
    <n v="44441.7"/>
    <n v="131643.45000000001"/>
    <x v="2"/>
  </r>
  <r>
    <x v="8"/>
    <x v="1"/>
    <x v="2"/>
    <x v="3"/>
    <x v="26"/>
    <x v="1"/>
    <x v="0"/>
    <n v="2.12"/>
    <n v="11489.81"/>
    <n v="34322.720000000001"/>
    <x v="2"/>
  </r>
  <r>
    <x v="8"/>
    <x v="1"/>
    <x v="2"/>
    <x v="3"/>
    <x v="27"/>
    <x v="1"/>
    <x v="0"/>
    <n v="11.44"/>
    <n v="62001.599999999999"/>
    <n v="181440.29"/>
    <x v="2"/>
  </r>
  <r>
    <x v="8"/>
    <x v="1"/>
    <x v="2"/>
    <x v="0"/>
    <x v="0"/>
    <x v="1"/>
    <x v="1"/>
    <n v="13.98"/>
    <n v="75767.69"/>
    <n v="214255.14"/>
    <x v="2"/>
  </r>
  <r>
    <x v="8"/>
    <x v="1"/>
    <x v="2"/>
    <x v="0"/>
    <x v="1"/>
    <x v="1"/>
    <x v="1"/>
    <n v="20.54"/>
    <n v="111321.05"/>
    <n v="309488.8"/>
    <x v="2"/>
  </r>
  <r>
    <x v="8"/>
    <x v="1"/>
    <x v="2"/>
    <x v="0"/>
    <x v="2"/>
    <x v="1"/>
    <x v="1"/>
    <n v="18.11"/>
    <n v="98151.13"/>
    <n v="263518.02"/>
    <x v="2"/>
  </r>
  <r>
    <x v="8"/>
    <x v="1"/>
    <x v="2"/>
    <x v="0"/>
    <x v="3"/>
    <x v="1"/>
    <x v="1"/>
    <n v="28.35"/>
    <n v="153649.06"/>
    <n v="429163.33"/>
    <x v="2"/>
  </r>
  <r>
    <x v="8"/>
    <x v="1"/>
    <x v="2"/>
    <x v="0"/>
    <x v="28"/>
    <x v="1"/>
    <x v="1"/>
    <n v="5.2"/>
    <n v="28182.54"/>
    <n v="79684.62"/>
    <x v="2"/>
  </r>
  <r>
    <x v="8"/>
    <x v="1"/>
    <x v="2"/>
    <x v="0"/>
    <x v="4"/>
    <x v="1"/>
    <x v="1"/>
    <n v="6.73"/>
    <n v="36474.720000000001"/>
    <n v="100902.33"/>
    <x v="2"/>
  </r>
  <r>
    <x v="8"/>
    <x v="1"/>
    <x v="2"/>
    <x v="0"/>
    <x v="5"/>
    <x v="1"/>
    <x v="1"/>
    <n v="18.850000000000001"/>
    <n v="102161.72"/>
    <n v="291171.62"/>
    <x v="2"/>
  </r>
  <r>
    <x v="8"/>
    <x v="1"/>
    <x v="2"/>
    <x v="0"/>
    <x v="6"/>
    <x v="1"/>
    <x v="1"/>
    <n v="3.39"/>
    <n v="18372.849999999999"/>
    <n v="52138.64"/>
    <x v="2"/>
  </r>
  <r>
    <x v="8"/>
    <x v="1"/>
    <x v="2"/>
    <x v="0"/>
    <x v="7"/>
    <x v="1"/>
    <x v="1"/>
    <n v="4.43"/>
    <n v="24009.360000000001"/>
    <n v="69399.179999999993"/>
    <x v="2"/>
  </r>
  <r>
    <x v="8"/>
    <x v="1"/>
    <x v="2"/>
    <x v="0"/>
    <x v="8"/>
    <x v="1"/>
    <x v="1"/>
    <n v="4.6900000000000004"/>
    <n v="25418.49"/>
    <n v="70075.3"/>
    <x v="2"/>
  </r>
  <r>
    <x v="8"/>
    <x v="1"/>
    <x v="2"/>
    <x v="1"/>
    <x v="30"/>
    <x v="1"/>
    <x v="1"/>
    <n v="0"/>
    <n v="0"/>
    <n v="0"/>
    <x v="2"/>
  </r>
  <r>
    <x v="8"/>
    <x v="1"/>
    <x v="2"/>
    <x v="1"/>
    <x v="9"/>
    <x v="1"/>
    <x v="1"/>
    <n v="10.87"/>
    <n v="58912.36"/>
    <n v="175301.91"/>
    <x v="2"/>
  </r>
  <r>
    <x v="8"/>
    <x v="1"/>
    <x v="2"/>
    <x v="1"/>
    <x v="31"/>
    <x v="1"/>
    <x v="1"/>
    <n v="0"/>
    <n v="0"/>
    <n v="0"/>
    <x v="2"/>
  </r>
  <r>
    <x v="8"/>
    <x v="1"/>
    <x v="2"/>
    <x v="1"/>
    <x v="10"/>
    <x v="1"/>
    <x v="1"/>
    <n v="36.32"/>
    <n v="196844.23"/>
    <n v="580571.4"/>
    <x v="2"/>
  </r>
  <r>
    <x v="8"/>
    <x v="1"/>
    <x v="2"/>
    <x v="1"/>
    <x v="11"/>
    <x v="1"/>
    <x v="1"/>
    <n v="33.26"/>
    <n v="180259.89"/>
    <n v="506656.26"/>
    <x v="2"/>
  </r>
  <r>
    <x v="8"/>
    <x v="1"/>
    <x v="2"/>
    <x v="1"/>
    <x v="12"/>
    <x v="1"/>
    <x v="1"/>
    <n v="3.52"/>
    <n v="19077.41"/>
    <n v="56393.21"/>
    <x v="2"/>
  </r>
  <r>
    <x v="8"/>
    <x v="1"/>
    <x v="2"/>
    <x v="1"/>
    <x v="13"/>
    <x v="1"/>
    <x v="1"/>
    <n v="14.97"/>
    <n v="81133.210000000006"/>
    <n v="238937.35"/>
    <x v="2"/>
  </r>
  <r>
    <x v="8"/>
    <x v="1"/>
    <x v="2"/>
    <x v="1"/>
    <x v="14"/>
    <x v="1"/>
    <x v="1"/>
    <n v="11.72"/>
    <n v="63519.12"/>
    <n v="183558.14"/>
    <x v="2"/>
  </r>
  <r>
    <x v="8"/>
    <x v="1"/>
    <x v="2"/>
    <x v="1"/>
    <x v="15"/>
    <x v="1"/>
    <x v="1"/>
    <n v="1.55"/>
    <n v="8400.57"/>
    <n v="25100.83"/>
    <x v="2"/>
  </r>
  <r>
    <x v="8"/>
    <x v="1"/>
    <x v="2"/>
    <x v="1"/>
    <x v="16"/>
    <x v="1"/>
    <x v="1"/>
    <n v="11.84"/>
    <n v="64169.48"/>
    <n v="182636.65"/>
    <x v="2"/>
  </r>
  <r>
    <x v="8"/>
    <x v="1"/>
    <x v="2"/>
    <x v="1"/>
    <x v="17"/>
    <x v="1"/>
    <x v="1"/>
    <n v="0.25"/>
    <n v="1354.93"/>
    <n v="3902.99"/>
    <x v="2"/>
  </r>
  <r>
    <x v="8"/>
    <x v="1"/>
    <x v="2"/>
    <x v="1"/>
    <x v="18"/>
    <x v="1"/>
    <x v="1"/>
    <n v="41.92"/>
    <n v="227194.66"/>
    <n v="682833.6"/>
    <x v="2"/>
  </r>
  <r>
    <x v="8"/>
    <x v="1"/>
    <x v="2"/>
    <x v="1"/>
    <x v="19"/>
    <x v="1"/>
    <x v="1"/>
    <n v="17.670000000000002"/>
    <n v="95766.45"/>
    <n v="279133.86"/>
    <x v="2"/>
  </r>
  <r>
    <x v="8"/>
    <x v="1"/>
    <x v="2"/>
    <x v="1"/>
    <x v="20"/>
    <x v="1"/>
    <x v="1"/>
    <n v="31.62"/>
    <n v="171371.55"/>
    <n v="491293.77"/>
    <x v="2"/>
  </r>
  <r>
    <x v="8"/>
    <x v="1"/>
    <x v="2"/>
    <x v="2"/>
    <x v="21"/>
    <x v="1"/>
    <x v="1"/>
    <n v="3.43"/>
    <n v="18589.64"/>
    <n v="48984.01"/>
    <x v="2"/>
  </r>
  <r>
    <x v="8"/>
    <x v="1"/>
    <x v="2"/>
    <x v="2"/>
    <x v="22"/>
    <x v="1"/>
    <x v="1"/>
    <n v="21.63"/>
    <n v="117228.54"/>
    <n v="308748.42"/>
    <x v="2"/>
  </r>
  <r>
    <x v="8"/>
    <x v="1"/>
    <x v="2"/>
    <x v="2"/>
    <x v="29"/>
    <x v="1"/>
    <x v="1"/>
    <n v="3.85"/>
    <n v="20865.919999999998"/>
    <n v="58315.72"/>
    <x v="2"/>
  </r>
  <r>
    <x v="8"/>
    <x v="1"/>
    <x v="2"/>
    <x v="2"/>
    <x v="23"/>
    <x v="1"/>
    <x v="1"/>
    <n v="2.44"/>
    <n v="13224.12"/>
    <n v="36275.129999999997"/>
    <x v="2"/>
  </r>
  <r>
    <x v="8"/>
    <x v="1"/>
    <x v="2"/>
    <x v="2"/>
    <x v="24"/>
    <x v="1"/>
    <x v="1"/>
    <n v="3.06"/>
    <n v="16584.34"/>
    <n v="44489.65"/>
    <x v="2"/>
  </r>
  <r>
    <x v="8"/>
    <x v="1"/>
    <x v="2"/>
    <x v="3"/>
    <x v="25"/>
    <x v="1"/>
    <x v="1"/>
    <n v="11.08"/>
    <n v="60050.5"/>
    <n v="177935.66"/>
    <x v="2"/>
  </r>
  <r>
    <x v="8"/>
    <x v="1"/>
    <x v="2"/>
    <x v="3"/>
    <x v="26"/>
    <x v="1"/>
    <x v="1"/>
    <n v="20.32"/>
    <n v="110128.71"/>
    <n v="328517.45"/>
    <x v="2"/>
  </r>
  <r>
    <x v="8"/>
    <x v="1"/>
    <x v="2"/>
    <x v="3"/>
    <x v="27"/>
    <x v="1"/>
    <x v="1"/>
    <n v="31.84"/>
    <n v="172563.88"/>
    <n v="505120.8"/>
    <x v="2"/>
  </r>
  <r>
    <x v="8"/>
    <x v="1"/>
    <x v="3"/>
    <x v="0"/>
    <x v="0"/>
    <x v="0"/>
    <x v="0"/>
    <n v="2.25"/>
    <n v="13553.55"/>
    <n v="61933.440000000002"/>
    <x v="2"/>
  </r>
  <r>
    <x v="8"/>
    <x v="1"/>
    <x v="3"/>
    <x v="0"/>
    <x v="1"/>
    <x v="0"/>
    <x v="0"/>
    <n v="4.95"/>
    <n v="29817.81"/>
    <n v="136154.99"/>
    <x v="2"/>
  </r>
  <r>
    <x v="8"/>
    <x v="1"/>
    <x v="3"/>
    <x v="0"/>
    <x v="2"/>
    <x v="0"/>
    <x v="0"/>
    <n v="0"/>
    <n v="0"/>
    <n v="0"/>
    <x v="2"/>
  </r>
  <r>
    <x v="8"/>
    <x v="1"/>
    <x v="3"/>
    <x v="0"/>
    <x v="3"/>
    <x v="0"/>
    <x v="0"/>
    <n v="2.09"/>
    <n v="12589.74"/>
    <n v="57490.3"/>
    <x v="2"/>
  </r>
  <r>
    <x v="8"/>
    <x v="1"/>
    <x v="3"/>
    <x v="0"/>
    <x v="4"/>
    <x v="0"/>
    <x v="0"/>
    <n v="0"/>
    <n v="0"/>
    <n v="0"/>
    <x v="2"/>
  </r>
  <r>
    <x v="8"/>
    <x v="1"/>
    <x v="3"/>
    <x v="0"/>
    <x v="5"/>
    <x v="0"/>
    <x v="0"/>
    <n v="0"/>
    <n v="0"/>
    <n v="0"/>
    <x v="2"/>
  </r>
  <r>
    <x v="8"/>
    <x v="1"/>
    <x v="3"/>
    <x v="0"/>
    <x v="6"/>
    <x v="0"/>
    <x v="0"/>
    <n v="0"/>
    <n v="0"/>
    <n v="0"/>
    <x v="2"/>
  </r>
  <r>
    <x v="8"/>
    <x v="1"/>
    <x v="3"/>
    <x v="0"/>
    <x v="8"/>
    <x v="0"/>
    <x v="0"/>
    <n v="0"/>
    <n v="0"/>
    <n v="0"/>
    <x v="2"/>
  </r>
  <r>
    <x v="8"/>
    <x v="1"/>
    <x v="3"/>
    <x v="1"/>
    <x v="10"/>
    <x v="0"/>
    <x v="0"/>
    <n v="1.58"/>
    <n v="9517.6"/>
    <n v="43423.77"/>
    <x v="2"/>
  </r>
  <r>
    <x v="8"/>
    <x v="1"/>
    <x v="3"/>
    <x v="1"/>
    <x v="11"/>
    <x v="0"/>
    <x v="0"/>
    <n v="0"/>
    <n v="0"/>
    <n v="0"/>
    <x v="2"/>
  </r>
  <r>
    <x v="8"/>
    <x v="1"/>
    <x v="3"/>
    <x v="1"/>
    <x v="13"/>
    <x v="0"/>
    <x v="0"/>
    <n v="0"/>
    <n v="0"/>
    <n v="0"/>
    <x v="2"/>
  </r>
  <r>
    <x v="8"/>
    <x v="1"/>
    <x v="3"/>
    <x v="1"/>
    <x v="14"/>
    <x v="0"/>
    <x v="0"/>
    <n v="0"/>
    <n v="0"/>
    <n v="0"/>
    <x v="2"/>
  </r>
  <r>
    <x v="8"/>
    <x v="1"/>
    <x v="3"/>
    <x v="1"/>
    <x v="16"/>
    <x v="0"/>
    <x v="0"/>
    <n v="0"/>
    <n v="0"/>
    <n v="0"/>
    <x v="2"/>
  </r>
  <r>
    <x v="8"/>
    <x v="1"/>
    <x v="3"/>
    <x v="1"/>
    <x v="17"/>
    <x v="0"/>
    <x v="0"/>
    <n v="0"/>
    <n v="0"/>
    <n v="0"/>
    <x v="2"/>
  </r>
  <r>
    <x v="8"/>
    <x v="1"/>
    <x v="3"/>
    <x v="1"/>
    <x v="18"/>
    <x v="0"/>
    <x v="0"/>
    <n v="0"/>
    <n v="0"/>
    <n v="0"/>
    <x v="2"/>
  </r>
  <r>
    <x v="8"/>
    <x v="1"/>
    <x v="3"/>
    <x v="1"/>
    <x v="19"/>
    <x v="0"/>
    <x v="0"/>
    <n v="0"/>
    <n v="0"/>
    <n v="0"/>
    <x v="2"/>
  </r>
  <r>
    <x v="8"/>
    <x v="1"/>
    <x v="3"/>
    <x v="1"/>
    <x v="20"/>
    <x v="0"/>
    <x v="0"/>
    <n v="2.4500000000000002"/>
    <n v="14758.31"/>
    <n v="67203.42"/>
    <x v="2"/>
  </r>
  <r>
    <x v="8"/>
    <x v="1"/>
    <x v="3"/>
    <x v="2"/>
    <x v="21"/>
    <x v="0"/>
    <x v="0"/>
    <n v="3.53"/>
    <n v="21264.01"/>
    <n v="97119.03"/>
    <x v="2"/>
  </r>
  <r>
    <x v="8"/>
    <x v="1"/>
    <x v="3"/>
    <x v="2"/>
    <x v="22"/>
    <x v="0"/>
    <x v="0"/>
    <n v="0"/>
    <n v="0"/>
    <n v="0"/>
    <x v="2"/>
  </r>
  <r>
    <x v="8"/>
    <x v="1"/>
    <x v="3"/>
    <x v="2"/>
    <x v="29"/>
    <x v="0"/>
    <x v="0"/>
    <n v="0"/>
    <n v="0"/>
    <n v="0"/>
    <x v="2"/>
  </r>
  <r>
    <x v="8"/>
    <x v="1"/>
    <x v="3"/>
    <x v="2"/>
    <x v="24"/>
    <x v="0"/>
    <x v="0"/>
    <n v="0"/>
    <n v="0"/>
    <n v="0"/>
    <x v="2"/>
  </r>
  <r>
    <x v="8"/>
    <x v="1"/>
    <x v="3"/>
    <x v="3"/>
    <x v="25"/>
    <x v="0"/>
    <x v="0"/>
    <n v="0"/>
    <n v="0"/>
    <n v="0"/>
    <x v="2"/>
  </r>
  <r>
    <x v="8"/>
    <x v="1"/>
    <x v="3"/>
    <x v="3"/>
    <x v="26"/>
    <x v="0"/>
    <x v="0"/>
    <n v="3.19"/>
    <n v="19215.919999999998"/>
    <n v="87716.5"/>
    <x v="2"/>
  </r>
  <r>
    <x v="8"/>
    <x v="1"/>
    <x v="3"/>
    <x v="3"/>
    <x v="27"/>
    <x v="0"/>
    <x v="0"/>
    <n v="2.71"/>
    <n v="16324.5"/>
    <n v="74467.16"/>
    <x v="2"/>
  </r>
  <r>
    <x v="8"/>
    <x v="1"/>
    <x v="3"/>
    <x v="0"/>
    <x v="0"/>
    <x v="0"/>
    <x v="1"/>
    <n v="2.4500000000000002"/>
    <n v="14758.31"/>
    <n v="67318.960000000006"/>
    <x v="2"/>
  </r>
  <r>
    <x v="8"/>
    <x v="1"/>
    <x v="3"/>
    <x v="0"/>
    <x v="1"/>
    <x v="0"/>
    <x v="1"/>
    <n v="7.34"/>
    <n v="44214.69"/>
    <n v="201841"/>
    <x v="2"/>
  </r>
  <r>
    <x v="8"/>
    <x v="1"/>
    <x v="3"/>
    <x v="0"/>
    <x v="2"/>
    <x v="0"/>
    <x v="1"/>
    <n v="6.17"/>
    <n v="37166.85"/>
    <n v="169679.3"/>
    <x v="2"/>
  </r>
  <r>
    <x v="8"/>
    <x v="1"/>
    <x v="3"/>
    <x v="0"/>
    <x v="3"/>
    <x v="0"/>
    <x v="1"/>
    <n v="9.32"/>
    <n v="56141.82"/>
    <n v="256093.17"/>
    <x v="2"/>
  </r>
  <r>
    <x v="8"/>
    <x v="1"/>
    <x v="3"/>
    <x v="0"/>
    <x v="4"/>
    <x v="0"/>
    <x v="1"/>
    <n v="2.15"/>
    <n v="12951.17"/>
    <n v="58957.09"/>
    <x v="2"/>
  </r>
  <r>
    <x v="8"/>
    <x v="1"/>
    <x v="3"/>
    <x v="0"/>
    <x v="5"/>
    <x v="0"/>
    <x v="1"/>
    <n v="5"/>
    <n v="30119"/>
    <n v="137348.13"/>
    <x v="2"/>
  </r>
  <r>
    <x v="8"/>
    <x v="1"/>
    <x v="3"/>
    <x v="0"/>
    <x v="6"/>
    <x v="0"/>
    <x v="1"/>
    <n v="2.57"/>
    <n v="15481.17"/>
    <n v="70722.84"/>
    <x v="2"/>
  </r>
  <r>
    <x v="8"/>
    <x v="1"/>
    <x v="3"/>
    <x v="0"/>
    <x v="8"/>
    <x v="0"/>
    <x v="1"/>
    <n v="3.03"/>
    <n v="18252.11"/>
    <n v="83240.45"/>
    <x v="2"/>
  </r>
  <r>
    <x v="8"/>
    <x v="1"/>
    <x v="3"/>
    <x v="1"/>
    <x v="10"/>
    <x v="0"/>
    <x v="1"/>
    <n v="3.91"/>
    <n v="23553.06"/>
    <n v="107525.52"/>
    <x v="2"/>
  </r>
  <r>
    <x v="8"/>
    <x v="1"/>
    <x v="3"/>
    <x v="1"/>
    <x v="11"/>
    <x v="0"/>
    <x v="1"/>
    <n v="14.28"/>
    <n v="86019.86"/>
    <n v="392459.8"/>
    <x v="2"/>
  </r>
  <r>
    <x v="8"/>
    <x v="1"/>
    <x v="3"/>
    <x v="1"/>
    <x v="13"/>
    <x v="0"/>
    <x v="1"/>
    <n v="5.76"/>
    <n v="34697.089999999997"/>
    <n v="158243.44"/>
    <x v="2"/>
  </r>
  <r>
    <x v="8"/>
    <x v="1"/>
    <x v="3"/>
    <x v="1"/>
    <x v="14"/>
    <x v="0"/>
    <x v="1"/>
    <n v="1.95"/>
    <n v="11746.41"/>
    <n v="53608.97"/>
    <x v="2"/>
  </r>
  <r>
    <x v="8"/>
    <x v="1"/>
    <x v="3"/>
    <x v="1"/>
    <x v="16"/>
    <x v="0"/>
    <x v="1"/>
    <n v="2.31"/>
    <n v="13914.98"/>
    <n v="63525.29"/>
    <x v="2"/>
  </r>
  <r>
    <x v="8"/>
    <x v="1"/>
    <x v="3"/>
    <x v="1"/>
    <x v="17"/>
    <x v="0"/>
    <x v="1"/>
    <n v="1.73"/>
    <n v="10421.17"/>
    <n v="47482.95"/>
    <x v="2"/>
  </r>
  <r>
    <x v="8"/>
    <x v="1"/>
    <x v="3"/>
    <x v="1"/>
    <x v="18"/>
    <x v="0"/>
    <x v="1"/>
    <n v="16.88"/>
    <n v="101681.74"/>
    <n v="464030.71"/>
    <x v="2"/>
  </r>
  <r>
    <x v="8"/>
    <x v="1"/>
    <x v="3"/>
    <x v="1"/>
    <x v="19"/>
    <x v="0"/>
    <x v="1"/>
    <n v="5.13"/>
    <n v="30902.09"/>
    <n v="140951.66"/>
    <x v="2"/>
  </r>
  <r>
    <x v="8"/>
    <x v="1"/>
    <x v="3"/>
    <x v="1"/>
    <x v="20"/>
    <x v="0"/>
    <x v="1"/>
    <n v="12.79"/>
    <n v="77044.399999999994"/>
    <n v="351525.58"/>
    <x v="2"/>
  </r>
  <r>
    <x v="8"/>
    <x v="1"/>
    <x v="3"/>
    <x v="2"/>
    <x v="21"/>
    <x v="0"/>
    <x v="1"/>
    <n v="0"/>
    <n v="0"/>
    <n v="0"/>
    <x v="2"/>
  </r>
  <r>
    <x v="8"/>
    <x v="1"/>
    <x v="3"/>
    <x v="2"/>
    <x v="22"/>
    <x v="0"/>
    <x v="1"/>
    <n v="5.83"/>
    <n v="35118.75"/>
    <n v="160307"/>
    <x v="2"/>
  </r>
  <r>
    <x v="8"/>
    <x v="1"/>
    <x v="3"/>
    <x v="2"/>
    <x v="29"/>
    <x v="0"/>
    <x v="1"/>
    <n v="3.67"/>
    <n v="22107.35"/>
    <n v="100891.75"/>
    <x v="2"/>
  </r>
  <r>
    <x v="8"/>
    <x v="1"/>
    <x v="3"/>
    <x v="2"/>
    <x v="24"/>
    <x v="0"/>
    <x v="1"/>
    <n v="2.4700000000000002"/>
    <n v="14878.79"/>
    <n v="67891.53"/>
    <x v="2"/>
  </r>
  <r>
    <x v="8"/>
    <x v="1"/>
    <x v="3"/>
    <x v="3"/>
    <x v="25"/>
    <x v="0"/>
    <x v="1"/>
    <n v="2.87"/>
    <n v="17288.310000000001"/>
    <n v="78915.02"/>
    <x v="2"/>
  </r>
  <r>
    <x v="8"/>
    <x v="1"/>
    <x v="3"/>
    <x v="3"/>
    <x v="26"/>
    <x v="0"/>
    <x v="1"/>
    <n v="3.09"/>
    <n v="18613.54"/>
    <n v="85058.42"/>
    <x v="2"/>
  </r>
  <r>
    <x v="8"/>
    <x v="1"/>
    <x v="3"/>
    <x v="3"/>
    <x v="27"/>
    <x v="0"/>
    <x v="1"/>
    <n v="11.63"/>
    <n v="70056.789999999994"/>
    <n v="319588.21000000002"/>
    <x v="2"/>
  </r>
  <r>
    <x v="8"/>
    <x v="1"/>
    <x v="3"/>
    <x v="0"/>
    <x v="0"/>
    <x v="1"/>
    <x v="0"/>
    <n v="4.7300000000000004"/>
    <n v="28492.57"/>
    <n v="85012.4"/>
    <x v="2"/>
  </r>
  <r>
    <x v="8"/>
    <x v="1"/>
    <x v="3"/>
    <x v="0"/>
    <x v="1"/>
    <x v="1"/>
    <x v="0"/>
    <n v="12.8"/>
    <n v="77104.639999999999"/>
    <n v="226197.14"/>
    <x v="2"/>
  </r>
  <r>
    <x v="8"/>
    <x v="1"/>
    <x v="3"/>
    <x v="0"/>
    <x v="2"/>
    <x v="1"/>
    <x v="0"/>
    <n v="4.8899999999999997"/>
    <n v="29456.38"/>
    <n v="83477.86"/>
    <x v="2"/>
  </r>
  <r>
    <x v="8"/>
    <x v="1"/>
    <x v="3"/>
    <x v="0"/>
    <x v="3"/>
    <x v="1"/>
    <x v="0"/>
    <n v="11.43"/>
    <n v="68852.03"/>
    <n v="202911.73"/>
    <x v="2"/>
  </r>
  <r>
    <x v="8"/>
    <x v="1"/>
    <x v="3"/>
    <x v="0"/>
    <x v="28"/>
    <x v="1"/>
    <x v="0"/>
    <n v="0"/>
    <n v="0"/>
    <n v="0"/>
    <x v="2"/>
  </r>
  <r>
    <x v="8"/>
    <x v="1"/>
    <x v="3"/>
    <x v="0"/>
    <x v="4"/>
    <x v="1"/>
    <x v="0"/>
    <n v="7.16"/>
    <n v="43130.41"/>
    <n v="125906.49"/>
    <x v="2"/>
  </r>
  <r>
    <x v="8"/>
    <x v="1"/>
    <x v="3"/>
    <x v="0"/>
    <x v="5"/>
    <x v="1"/>
    <x v="0"/>
    <n v="3.07"/>
    <n v="18493.07"/>
    <n v="55575.51"/>
    <x v="2"/>
  </r>
  <r>
    <x v="8"/>
    <x v="1"/>
    <x v="3"/>
    <x v="0"/>
    <x v="6"/>
    <x v="1"/>
    <x v="0"/>
    <n v="0"/>
    <n v="0"/>
    <n v="0"/>
    <x v="2"/>
  </r>
  <r>
    <x v="8"/>
    <x v="1"/>
    <x v="3"/>
    <x v="0"/>
    <x v="7"/>
    <x v="1"/>
    <x v="0"/>
    <n v="0"/>
    <n v="0"/>
    <n v="0"/>
    <x v="2"/>
  </r>
  <r>
    <x v="8"/>
    <x v="1"/>
    <x v="3"/>
    <x v="0"/>
    <x v="8"/>
    <x v="1"/>
    <x v="0"/>
    <n v="0"/>
    <n v="0"/>
    <n v="0"/>
    <x v="2"/>
  </r>
  <r>
    <x v="8"/>
    <x v="1"/>
    <x v="3"/>
    <x v="1"/>
    <x v="30"/>
    <x v="1"/>
    <x v="0"/>
    <n v="2.79"/>
    <n v="16806.400000000001"/>
    <n v="52815.62"/>
    <x v="2"/>
  </r>
  <r>
    <x v="8"/>
    <x v="1"/>
    <x v="3"/>
    <x v="1"/>
    <x v="9"/>
    <x v="1"/>
    <x v="0"/>
    <n v="0"/>
    <n v="0"/>
    <n v="0"/>
    <x v="2"/>
  </r>
  <r>
    <x v="8"/>
    <x v="1"/>
    <x v="3"/>
    <x v="1"/>
    <x v="31"/>
    <x v="1"/>
    <x v="0"/>
    <n v="2.08"/>
    <n v="12529.5"/>
    <n v="39690.660000000003"/>
    <x v="2"/>
  </r>
  <r>
    <x v="8"/>
    <x v="1"/>
    <x v="3"/>
    <x v="1"/>
    <x v="10"/>
    <x v="1"/>
    <x v="0"/>
    <n v="11.77"/>
    <n v="70900.13"/>
    <n v="220656.65"/>
    <x v="2"/>
  </r>
  <r>
    <x v="8"/>
    <x v="1"/>
    <x v="3"/>
    <x v="1"/>
    <x v="11"/>
    <x v="1"/>
    <x v="0"/>
    <n v="8.66"/>
    <n v="52166.11"/>
    <n v="154677.93"/>
    <x v="2"/>
  </r>
  <r>
    <x v="8"/>
    <x v="1"/>
    <x v="3"/>
    <x v="1"/>
    <x v="12"/>
    <x v="1"/>
    <x v="0"/>
    <n v="1.63"/>
    <n v="9818.7900000000009"/>
    <n v="30551.89"/>
    <x v="2"/>
  </r>
  <r>
    <x v="8"/>
    <x v="1"/>
    <x v="3"/>
    <x v="1"/>
    <x v="13"/>
    <x v="1"/>
    <x v="0"/>
    <n v="2.2799999999999998"/>
    <n v="13734.26"/>
    <n v="42633"/>
    <x v="2"/>
  </r>
  <r>
    <x v="8"/>
    <x v="1"/>
    <x v="3"/>
    <x v="1"/>
    <x v="14"/>
    <x v="1"/>
    <x v="0"/>
    <n v="14.45"/>
    <n v="87043.91"/>
    <n v="265362.23"/>
    <x v="2"/>
  </r>
  <r>
    <x v="8"/>
    <x v="1"/>
    <x v="3"/>
    <x v="1"/>
    <x v="15"/>
    <x v="1"/>
    <x v="0"/>
    <n v="1.8"/>
    <n v="10842.84"/>
    <n v="34194.1"/>
    <x v="2"/>
  </r>
  <r>
    <x v="8"/>
    <x v="1"/>
    <x v="3"/>
    <x v="1"/>
    <x v="16"/>
    <x v="1"/>
    <x v="0"/>
    <n v="6.55"/>
    <n v="39455.89"/>
    <n v="118510.71"/>
    <x v="2"/>
  </r>
  <r>
    <x v="8"/>
    <x v="1"/>
    <x v="3"/>
    <x v="1"/>
    <x v="17"/>
    <x v="1"/>
    <x v="0"/>
    <n v="6.26"/>
    <n v="37708.99"/>
    <n v="114306.77"/>
    <x v="2"/>
  </r>
  <r>
    <x v="8"/>
    <x v="1"/>
    <x v="3"/>
    <x v="1"/>
    <x v="18"/>
    <x v="1"/>
    <x v="0"/>
    <n v="5.68"/>
    <n v="34215.18"/>
    <n v="108545.25"/>
    <x v="2"/>
  </r>
  <r>
    <x v="8"/>
    <x v="1"/>
    <x v="3"/>
    <x v="1"/>
    <x v="19"/>
    <x v="1"/>
    <x v="0"/>
    <n v="11.28"/>
    <n v="67948.460000000006"/>
    <n v="208997.01"/>
    <x v="2"/>
  </r>
  <r>
    <x v="8"/>
    <x v="1"/>
    <x v="3"/>
    <x v="1"/>
    <x v="20"/>
    <x v="1"/>
    <x v="0"/>
    <n v="14.09"/>
    <n v="84875.34"/>
    <n v="256746.18"/>
    <x v="2"/>
  </r>
  <r>
    <x v="8"/>
    <x v="1"/>
    <x v="3"/>
    <x v="2"/>
    <x v="21"/>
    <x v="1"/>
    <x v="0"/>
    <n v="0"/>
    <n v="0"/>
    <n v="0"/>
    <x v="2"/>
  </r>
  <r>
    <x v="8"/>
    <x v="1"/>
    <x v="3"/>
    <x v="2"/>
    <x v="22"/>
    <x v="1"/>
    <x v="0"/>
    <n v="6.53"/>
    <n v="39335.410000000003"/>
    <n v="109359.19"/>
    <x v="2"/>
  </r>
  <r>
    <x v="8"/>
    <x v="1"/>
    <x v="3"/>
    <x v="2"/>
    <x v="29"/>
    <x v="1"/>
    <x v="0"/>
    <n v="0"/>
    <n v="0"/>
    <n v="0"/>
    <x v="2"/>
  </r>
  <r>
    <x v="8"/>
    <x v="1"/>
    <x v="3"/>
    <x v="2"/>
    <x v="23"/>
    <x v="1"/>
    <x v="0"/>
    <n v="0"/>
    <n v="0"/>
    <n v="0"/>
    <x v="2"/>
  </r>
  <r>
    <x v="8"/>
    <x v="1"/>
    <x v="3"/>
    <x v="2"/>
    <x v="24"/>
    <x v="1"/>
    <x v="0"/>
    <n v="2.74"/>
    <n v="16505.21"/>
    <n v="46643.01"/>
    <x v="2"/>
  </r>
  <r>
    <x v="8"/>
    <x v="1"/>
    <x v="3"/>
    <x v="3"/>
    <x v="25"/>
    <x v="1"/>
    <x v="0"/>
    <n v="8.3800000000000008"/>
    <n v="50479.44"/>
    <n v="157712.72"/>
    <x v="2"/>
  </r>
  <r>
    <x v="8"/>
    <x v="1"/>
    <x v="3"/>
    <x v="3"/>
    <x v="26"/>
    <x v="1"/>
    <x v="0"/>
    <n v="6.05"/>
    <n v="36443.99"/>
    <n v="114683.61"/>
    <x v="2"/>
  </r>
  <r>
    <x v="8"/>
    <x v="1"/>
    <x v="3"/>
    <x v="3"/>
    <x v="27"/>
    <x v="1"/>
    <x v="0"/>
    <n v="16.07"/>
    <n v="96802.47"/>
    <n v="299052.51"/>
    <x v="2"/>
  </r>
  <r>
    <x v="8"/>
    <x v="1"/>
    <x v="3"/>
    <x v="0"/>
    <x v="0"/>
    <x v="1"/>
    <x v="1"/>
    <n v="11.87"/>
    <n v="71502.509999999995"/>
    <n v="213333"/>
    <x v="2"/>
  </r>
  <r>
    <x v="8"/>
    <x v="1"/>
    <x v="3"/>
    <x v="0"/>
    <x v="1"/>
    <x v="1"/>
    <x v="1"/>
    <n v="16.71"/>
    <n v="100657.7"/>
    <n v="295352.95"/>
    <x v="2"/>
  </r>
  <r>
    <x v="8"/>
    <x v="1"/>
    <x v="3"/>
    <x v="0"/>
    <x v="2"/>
    <x v="1"/>
    <x v="1"/>
    <n v="18.23"/>
    <n v="109813.87"/>
    <n v="311144.74"/>
    <x v="2"/>
  </r>
  <r>
    <x v="8"/>
    <x v="1"/>
    <x v="3"/>
    <x v="0"/>
    <x v="3"/>
    <x v="1"/>
    <x v="1"/>
    <n v="27.53"/>
    <n v="165835.21"/>
    <n v="488765.47"/>
    <x v="2"/>
  </r>
  <r>
    <x v="8"/>
    <x v="1"/>
    <x v="3"/>
    <x v="0"/>
    <x v="28"/>
    <x v="1"/>
    <x v="1"/>
    <n v="2.57"/>
    <n v="15481.17"/>
    <n v="46249.64"/>
    <x v="2"/>
  </r>
  <r>
    <x v="8"/>
    <x v="1"/>
    <x v="3"/>
    <x v="0"/>
    <x v="4"/>
    <x v="1"/>
    <x v="1"/>
    <n v="10.78"/>
    <n v="64936.56"/>
    <n v="189656.61"/>
    <x v="2"/>
  </r>
  <r>
    <x v="8"/>
    <x v="1"/>
    <x v="3"/>
    <x v="0"/>
    <x v="5"/>
    <x v="1"/>
    <x v="1"/>
    <n v="25.25"/>
    <n v="152100.95000000001"/>
    <n v="457307.04"/>
    <x v="2"/>
  </r>
  <r>
    <x v="8"/>
    <x v="1"/>
    <x v="3"/>
    <x v="0"/>
    <x v="6"/>
    <x v="1"/>
    <x v="1"/>
    <n v="1.26"/>
    <n v="7589.99"/>
    <n v="22695.200000000001"/>
    <x v="2"/>
  </r>
  <r>
    <x v="8"/>
    <x v="1"/>
    <x v="3"/>
    <x v="0"/>
    <x v="7"/>
    <x v="1"/>
    <x v="1"/>
    <n v="4.63"/>
    <n v="27890.19"/>
    <n v="85078.76"/>
    <x v="2"/>
  </r>
  <r>
    <x v="8"/>
    <x v="1"/>
    <x v="3"/>
    <x v="0"/>
    <x v="8"/>
    <x v="1"/>
    <x v="1"/>
    <n v="3.54"/>
    <n v="21324.25"/>
    <n v="62045.19"/>
    <x v="2"/>
  </r>
  <r>
    <x v="8"/>
    <x v="1"/>
    <x v="3"/>
    <x v="1"/>
    <x v="30"/>
    <x v="1"/>
    <x v="1"/>
    <n v="0"/>
    <n v="0"/>
    <n v="0"/>
    <x v="2"/>
  </r>
  <r>
    <x v="8"/>
    <x v="1"/>
    <x v="3"/>
    <x v="1"/>
    <x v="9"/>
    <x v="1"/>
    <x v="1"/>
    <n v="4.83"/>
    <n v="29094.95"/>
    <n v="91304.48"/>
    <x v="2"/>
  </r>
  <r>
    <x v="8"/>
    <x v="1"/>
    <x v="3"/>
    <x v="1"/>
    <x v="31"/>
    <x v="1"/>
    <x v="1"/>
    <n v="0"/>
    <n v="0"/>
    <n v="0"/>
    <x v="2"/>
  </r>
  <r>
    <x v="8"/>
    <x v="1"/>
    <x v="3"/>
    <x v="1"/>
    <x v="10"/>
    <x v="1"/>
    <x v="1"/>
    <n v="31.99"/>
    <n v="192701.36"/>
    <n v="599647.09"/>
    <x v="2"/>
  </r>
  <r>
    <x v="8"/>
    <x v="1"/>
    <x v="3"/>
    <x v="1"/>
    <x v="11"/>
    <x v="1"/>
    <x v="1"/>
    <n v="31.1"/>
    <n v="187340.18"/>
    <n v="555577.87"/>
    <x v="2"/>
  </r>
  <r>
    <x v="8"/>
    <x v="1"/>
    <x v="3"/>
    <x v="1"/>
    <x v="12"/>
    <x v="1"/>
    <x v="1"/>
    <n v="3.97"/>
    <n v="23914.49"/>
    <n v="74682.39"/>
    <x v="2"/>
  </r>
  <r>
    <x v="8"/>
    <x v="1"/>
    <x v="3"/>
    <x v="1"/>
    <x v="13"/>
    <x v="1"/>
    <x v="1"/>
    <n v="11.74"/>
    <n v="70719.41"/>
    <n v="219723.94"/>
    <x v="2"/>
  </r>
  <r>
    <x v="8"/>
    <x v="1"/>
    <x v="3"/>
    <x v="1"/>
    <x v="14"/>
    <x v="1"/>
    <x v="1"/>
    <n v="7.55"/>
    <n v="45479.69"/>
    <n v="138522.42000000001"/>
    <x v="2"/>
  </r>
  <r>
    <x v="8"/>
    <x v="1"/>
    <x v="3"/>
    <x v="1"/>
    <x v="15"/>
    <x v="1"/>
    <x v="1"/>
    <n v="2.23"/>
    <n v="13433.07"/>
    <n v="42335.56"/>
    <x v="2"/>
  </r>
  <r>
    <x v="8"/>
    <x v="1"/>
    <x v="3"/>
    <x v="1"/>
    <x v="16"/>
    <x v="1"/>
    <x v="1"/>
    <n v="13.11"/>
    <n v="78972.02"/>
    <n v="237021.42"/>
    <x v="2"/>
  </r>
  <r>
    <x v="8"/>
    <x v="1"/>
    <x v="3"/>
    <x v="1"/>
    <x v="17"/>
    <x v="1"/>
    <x v="1"/>
    <n v="3.72"/>
    <n v="22408.54"/>
    <n v="67966.19"/>
    <x v="2"/>
  </r>
  <r>
    <x v="8"/>
    <x v="1"/>
    <x v="3"/>
    <x v="1"/>
    <x v="18"/>
    <x v="1"/>
    <x v="1"/>
    <n v="25.06"/>
    <n v="150956.43"/>
    <n v="478585.86"/>
    <x v="2"/>
  </r>
  <r>
    <x v="8"/>
    <x v="1"/>
    <x v="3"/>
    <x v="1"/>
    <x v="19"/>
    <x v="1"/>
    <x v="1"/>
    <n v="14.75"/>
    <n v="88851.05"/>
    <n v="273177.2"/>
    <x v="2"/>
  </r>
  <r>
    <x v="8"/>
    <x v="1"/>
    <x v="3"/>
    <x v="1"/>
    <x v="20"/>
    <x v="1"/>
    <x v="1"/>
    <n v="26.17"/>
    <n v="157642.85"/>
    <n v="476814.34"/>
    <x v="2"/>
  </r>
  <r>
    <x v="8"/>
    <x v="1"/>
    <x v="3"/>
    <x v="2"/>
    <x v="21"/>
    <x v="1"/>
    <x v="1"/>
    <n v="2.71"/>
    <n v="16324.5"/>
    <n v="45363.41"/>
    <x v="2"/>
  </r>
  <r>
    <x v="8"/>
    <x v="1"/>
    <x v="3"/>
    <x v="2"/>
    <x v="22"/>
    <x v="1"/>
    <x v="1"/>
    <n v="13.15"/>
    <n v="79212.97"/>
    <n v="220120.42"/>
    <x v="2"/>
  </r>
  <r>
    <x v="8"/>
    <x v="1"/>
    <x v="3"/>
    <x v="2"/>
    <x v="29"/>
    <x v="1"/>
    <x v="1"/>
    <n v="2.34"/>
    <n v="14095.69"/>
    <n v="41526.769999999997"/>
    <x v="2"/>
  </r>
  <r>
    <x v="8"/>
    <x v="1"/>
    <x v="3"/>
    <x v="2"/>
    <x v="23"/>
    <x v="1"/>
    <x v="1"/>
    <n v="0.74"/>
    <n v="4457.6099999999997"/>
    <n v="12911.96"/>
    <x v="2"/>
  </r>
  <r>
    <x v="8"/>
    <x v="1"/>
    <x v="3"/>
    <x v="2"/>
    <x v="24"/>
    <x v="1"/>
    <x v="1"/>
    <n v="2.83"/>
    <n v="17047.349999999999"/>
    <n v="48147.62"/>
    <x v="2"/>
  </r>
  <r>
    <x v="8"/>
    <x v="1"/>
    <x v="3"/>
    <x v="3"/>
    <x v="25"/>
    <x v="1"/>
    <x v="1"/>
    <n v="10.09"/>
    <n v="60780.14"/>
    <n v="189933.59"/>
    <x v="2"/>
  </r>
  <r>
    <x v="8"/>
    <x v="1"/>
    <x v="3"/>
    <x v="3"/>
    <x v="26"/>
    <x v="1"/>
    <x v="1"/>
    <n v="25.18"/>
    <n v="151679.28"/>
    <n v="477563.11"/>
    <x v="2"/>
  </r>
  <r>
    <x v="8"/>
    <x v="1"/>
    <x v="3"/>
    <x v="3"/>
    <x v="27"/>
    <x v="1"/>
    <x v="1"/>
    <n v="31.97"/>
    <n v="192580.89"/>
    <n v="594818.73"/>
    <x v="2"/>
  </r>
  <r>
    <x v="8"/>
    <x v="1"/>
    <x v="4"/>
    <x v="0"/>
    <x v="0"/>
    <x v="0"/>
    <x v="0"/>
    <n v="1.6"/>
    <n v="8435.41"/>
    <n v="39261.75"/>
    <x v="2"/>
  </r>
  <r>
    <x v="8"/>
    <x v="1"/>
    <x v="4"/>
    <x v="0"/>
    <x v="1"/>
    <x v="0"/>
    <x v="0"/>
    <n v="2.83"/>
    <n v="14920.13"/>
    <n v="69264.539999999994"/>
    <x v="2"/>
  </r>
  <r>
    <x v="8"/>
    <x v="1"/>
    <x v="4"/>
    <x v="0"/>
    <x v="2"/>
    <x v="0"/>
    <x v="0"/>
    <n v="0"/>
    <n v="0"/>
    <n v="0"/>
    <x v="2"/>
  </r>
  <r>
    <x v="8"/>
    <x v="1"/>
    <x v="4"/>
    <x v="0"/>
    <x v="3"/>
    <x v="0"/>
    <x v="0"/>
    <n v="1.83"/>
    <n v="9648"/>
    <n v="44734.62"/>
    <x v="2"/>
  </r>
  <r>
    <x v="8"/>
    <x v="1"/>
    <x v="4"/>
    <x v="0"/>
    <x v="4"/>
    <x v="0"/>
    <x v="0"/>
    <n v="0"/>
    <n v="0"/>
    <n v="0"/>
    <x v="2"/>
  </r>
  <r>
    <x v="8"/>
    <x v="1"/>
    <x v="4"/>
    <x v="0"/>
    <x v="5"/>
    <x v="0"/>
    <x v="0"/>
    <n v="0"/>
    <n v="0"/>
    <n v="0"/>
    <x v="2"/>
  </r>
  <r>
    <x v="8"/>
    <x v="1"/>
    <x v="4"/>
    <x v="0"/>
    <x v="6"/>
    <x v="0"/>
    <x v="0"/>
    <n v="0"/>
    <n v="0"/>
    <n v="0"/>
    <x v="2"/>
  </r>
  <r>
    <x v="8"/>
    <x v="1"/>
    <x v="4"/>
    <x v="0"/>
    <x v="8"/>
    <x v="0"/>
    <x v="0"/>
    <n v="0"/>
    <n v="0"/>
    <n v="0"/>
    <x v="2"/>
  </r>
  <r>
    <x v="8"/>
    <x v="1"/>
    <x v="4"/>
    <x v="1"/>
    <x v="10"/>
    <x v="0"/>
    <x v="0"/>
    <n v="0.9"/>
    <n v="4744.92"/>
    <n v="22130.52"/>
    <x v="2"/>
  </r>
  <r>
    <x v="8"/>
    <x v="1"/>
    <x v="4"/>
    <x v="1"/>
    <x v="11"/>
    <x v="0"/>
    <x v="0"/>
    <n v="0"/>
    <n v="0"/>
    <n v="0"/>
    <x v="2"/>
  </r>
  <r>
    <x v="8"/>
    <x v="1"/>
    <x v="4"/>
    <x v="1"/>
    <x v="13"/>
    <x v="0"/>
    <x v="0"/>
    <n v="0"/>
    <n v="0"/>
    <n v="0"/>
    <x v="2"/>
  </r>
  <r>
    <x v="8"/>
    <x v="1"/>
    <x v="4"/>
    <x v="1"/>
    <x v="14"/>
    <x v="0"/>
    <x v="0"/>
    <n v="0"/>
    <n v="0"/>
    <n v="0"/>
    <x v="2"/>
  </r>
  <r>
    <x v="8"/>
    <x v="1"/>
    <x v="4"/>
    <x v="1"/>
    <x v="16"/>
    <x v="0"/>
    <x v="0"/>
    <n v="0"/>
    <n v="0"/>
    <n v="0"/>
    <x v="2"/>
  </r>
  <r>
    <x v="8"/>
    <x v="1"/>
    <x v="4"/>
    <x v="1"/>
    <x v="17"/>
    <x v="0"/>
    <x v="0"/>
    <n v="0"/>
    <n v="0"/>
    <n v="0"/>
    <x v="2"/>
  </r>
  <r>
    <x v="8"/>
    <x v="1"/>
    <x v="4"/>
    <x v="1"/>
    <x v="18"/>
    <x v="0"/>
    <x v="0"/>
    <n v="0"/>
    <n v="0"/>
    <n v="0"/>
    <x v="2"/>
  </r>
  <r>
    <x v="8"/>
    <x v="1"/>
    <x v="4"/>
    <x v="1"/>
    <x v="19"/>
    <x v="0"/>
    <x v="0"/>
    <n v="0"/>
    <n v="0"/>
    <n v="0"/>
    <x v="2"/>
  </r>
  <r>
    <x v="8"/>
    <x v="1"/>
    <x v="4"/>
    <x v="1"/>
    <x v="20"/>
    <x v="0"/>
    <x v="0"/>
    <n v="1.54"/>
    <n v="8119.08"/>
    <n v="37635.440000000002"/>
    <x v="2"/>
  </r>
  <r>
    <x v="8"/>
    <x v="1"/>
    <x v="4"/>
    <x v="2"/>
    <x v="21"/>
    <x v="0"/>
    <x v="0"/>
    <n v="1.54"/>
    <n v="8119.08"/>
    <n v="37829.94"/>
    <x v="2"/>
  </r>
  <r>
    <x v="8"/>
    <x v="1"/>
    <x v="4"/>
    <x v="2"/>
    <x v="22"/>
    <x v="0"/>
    <x v="0"/>
    <n v="0"/>
    <n v="0"/>
    <n v="0"/>
    <x v="2"/>
  </r>
  <r>
    <x v="8"/>
    <x v="1"/>
    <x v="4"/>
    <x v="2"/>
    <x v="29"/>
    <x v="0"/>
    <x v="0"/>
    <n v="0"/>
    <n v="0"/>
    <n v="0"/>
    <x v="2"/>
  </r>
  <r>
    <x v="8"/>
    <x v="1"/>
    <x v="4"/>
    <x v="2"/>
    <x v="24"/>
    <x v="0"/>
    <x v="0"/>
    <n v="0"/>
    <n v="0"/>
    <n v="0"/>
    <x v="2"/>
  </r>
  <r>
    <x v="8"/>
    <x v="1"/>
    <x v="4"/>
    <x v="3"/>
    <x v="25"/>
    <x v="0"/>
    <x v="0"/>
    <n v="0"/>
    <n v="0"/>
    <n v="0"/>
    <x v="2"/>
  </r>
  <r>
    <x v="8"/>
    <x v="1"/>
    <x v="4"/>
    <x v="3"/>
    <x v="26"/>
    <x v="0"/>
    <x v="0"/>
    <n v="0.78"/>
    <n v="4112.26"/>
    <n v="19104.36"/>
    <x v="2"/>
  </r>
  <r>
    <x v="8"/>
    <x v="1"/>
    <x v="4"/>
    <x v="3"/>
    <x v="27"/>
    <x v="0"/>
    <x v="0"/>
    <n v="1.47"/>
    <n v="7750.03"/>
    <n v="36076.559999999998"/>
    <x v="2"/>
  </r>
  <r>
    <x v="8"/>
    <x v="1"/>
    <x v="4"/>
    <x v="0"/>
    <x v="0"/>
    <x v="0"/>
    <x v="1"/>
    <n v="0.94"/>
    <n v="4955.8"/>
    <n v="23095.15"/>
    <x v="2"/>
  </r>
  <r>
    <x v="8"/>
    <x v="1"/>
    <x v="4"/>
    <x v="0"/>
    <x v="1"/>
    <x v="0"/>
    <x v="1"/>
    <n v="4.34"/>
    <n v="22881.040000000001"/>
    <n v="106335.7"/>
    <x v="2"/>
  </r>
  <r>
    <x v="8"/>
    <x v="1"/>
    <x v="4"/>
    <x v="0"/>
    <x v="2"/>
    <x v="0"/>
    <x v="1"/>
    <n v="3.04"/>
    <n v="16027.28"/>
    <n v="74585.72"/>
    <x v="2"/>
  </r>
  <r>
    <x v="8"/>
    <x v="1"/>
    <x v="4"/>
    <x v="0"/>
    <x v="3"/>
    <x v="0"/>
    <x v="1"/>
    <n v="3.1"/>
    <n v="16343.6"/>
    <n v="76048.850000000006"/>
    <x v="2"/>
  </r>
  <r>
    <x v="8"/>
    <x v="1"/>
    <x v="4"/>
    <x v="0"/>
    <x v="4"/>
    <x v="0"/>
    <x v="1"/>
    <n v="1.96"/>
    <n v="10333.370000000001"/>
    <n v="47982.16"/>
    <x v="2"/>
  </r>
  <r>
    <x v="8"/>
    <x v="1"/>
    <x v="4"/>
    <x v="0"/>
    <x v="5"/>
    <x v="0"/>
    <x v="1"/>
    <n v="0.97"/>
    <n v="5113.97"/>
    <n v="23713.98"/>
    <x v="2"/>
  </r>
  <r>
    <x v="8"/>
    <x v="1"/>
    <x v="4"/>
    <x v="0"/>
    <x v="6"/>
    <x v="0"/>
    <x v="1"/>
    <n v="2.0699999999999998"/>
    <n v="10913.31"/>
    <n v="50841.279999999999"/>
    <x v="2"/>
  </r>
  <r>
    <x v="8"/>
    <x v="1"/>
    <x v="4"/>
    <x v="0"/>
    <x v="8"/>
    <x v="0"/>
    <x v="1"/>
    <n v="2.5099999999999998"/>
    <n v="13233.05"/>
    <n v="61478.8"/>
    <x v="2"/>
  </r>
  <r>
    <x v="8"/>
    <x v="1"/>
    <x v="4"/>
    <x v="1"/>
    <x v="10"/>
    <x v="0"/>
    <x v="1"/>
    <n v="1.26"/>
    <n v="6642.88"/>
    <n v="30982.73"/>
    <x v="2"/>
  </r>
  <r>
    <x v="8"/>
    <x v="1"/>
    <x v="4"/>
    <x v="1"/>
    <x v="11"/>
    <x v="0"/>
    <x v="1"/>
    <n v="8.11"/>
    <n v="42756.97"/>
    <n v="198708.38"/>
    <x v="2"/>
  </r>
  <r>
    <x v="8"/>
    <x v="1"/>
    <x v="4"/>
    <x v="1"/>
    <x v="13"/>
    <x v="0"/>
    <x v="1"/>
    <n v="0.32"/>
    <n v="1687.08"/>
    <n v="7899.53"/>
    <x v="2"/>
  </r>
  <r>
    <x v="8"/>
    <x v="1"/>
    <x v="4"/>
    <x v="1"/>
    <x v="14"/>
    <x v="0"/>
    <x v="1"/>
    <n v="1.62"/>
    <n v="8540.85"/>
    <n v="39582.57"/>
    <x v="2"/>
  </r>
  <r>
    <x v="8"/>
    <x v="1"/>
    <x v="4"/>
    <x v="1"/>
    <x v="16"/>
    <x v="0"/>
    <x v="1"/>
    <n v="0.82"/>
    <n v="4323.1499999999996"/>
    <n v="20048.52"/>
    <x v="2"/>
  </r>
  <r>
    <x v="8"/>
    <x v="1"/>
    <x v="4"/>
    <x v="1"/>
    <x v="17"/>
    <x v="0"/>
    <x v="1"/>
    <n v="0.47"/>
    <n v="2477.9"/>
    <n v="11541.76"/>
    <x v="2"/>
  </r>
  <r>
    <x v="8"/>
    <x v="1"/>
    <x v="4"/>
    <x v="1"/>
    <x v="18"/>
    <x v="0"/>
    <x v="1"/>
    <n v="8.02"/>
    <n v="42282.48"/>
    <n v="196529.5"/>
    <x v="2"/>
  </r>
  <r>
    <x v="8"/>
    <x v="1"/>
    <x v="4"/>
    <x v="1"/>
    <x v="19"/>
    <x v="0"/>
    <x v="1"/>
    <n v="3.35"/>
    <n v="17661.64"/>
    <n v="82013.23"/>
    <x v="2"/>
  </r>
  <r>
    <x v="8"/>
    <x v="1"/>
    <x v="4"/>
    <x v="1"/>
    <x v="20"/>
    <x v="0"/>
    <x v="1"/>
    <n v="5.51"/>
    <n v="29049.439999999999"/>
    <n v="135044.81"/>
    <x v="2"/>
  </r>
  <r>
    <x v="8"/>
    <x v="1"/>
    <x v="4"/>
    <x v="2"/>
    <x v="21"/>
    <x v="0"/>
    <x v="1"/>
    <n v="0"/>
    <n v="0"/>
    <n v="0"/>
    <x v="2"/>
  </r>
  <r>
    <x v="8"/>
    <x v="1"/>
    <x v="4"/>
    <x v="2"/>
    <x v="22"/>
    <x v="0"/>
    <x v="1"/>
    <n v="3.54"/>
    <n v="18663.34"/>
    <n v="86691.19"/>
    <x v="2"/>
  </r>
  <r>
    <x v="8"/>
    <x v="1"/>
    <x v="4"/>
    <x v="2"/>
    <x v="29"/>
    <x v="0"/>
    <x v="1"/>
    <n v="1.54"/>
    <n v="8119.08"/>
    <n v="37745.72"/>
    <x v="2"/>
  </r>
  <r>
    <x v="8"/>
    <x v="1"/>
    <x v="4"/>
    <x v="2"/>
    <x v="24"/>
    <x v="0"/>
    <x v="1"/>
    <n v="0.68"/>
    <n v="3585.05"/>
    <n v="16692.27"/>
    <x v="2"/>
  </r>
  <r>
    <x v="8"/>
    <x v="1"/>
    <x v="4"/>
    <x v="3"/>
    <x v="25"/>
    <x v="0"/>
    <x v="1"/>
    <n v="1.53"/>
    <n v="8066.36"/>
    <n v="37498.050000000003"/>
    <x v="2"/>
  </r>
  <r>
    <x v="8"/>
    <x v="1"/>
    <x v="4"/>
    <x v="3"/>
    <x v="26"/>
    <x v="0"/>
    <x v="1"/>
    <n v="0.92"/>
    <n v="4850.3599999999997"/>
    <n v="22577.88"/>
    <x v="2"/>
  </r>
  <r>
    <x v="8"/>
    <x v="1"/>
    <x v="4"/>
    <x v="3"/>
    <x v="27"/>
    <x v="0"/>
    <x v="1"/>
    <n v="5.99"/>
    <n v="31580.06"/>
    <n v="146883.15"/>
    <x v="2"/>
  </r>
  <r>
    <x v="8"/>
    <x v="1"/>
    <x v="4"/>
    <x v="0"/>
    <x v="0"/>
    <x v="1"/>
    <x v="0"/>
    <n v="2.0699999999999998"/>
    <n v="10913.31"/>
    <n v="33245.4"/>
    <x v="2"/>
  </r>
  <r>
    <x v="8"/>
    <x v="1"/>
    <x v="4"/>
    <x v="0"/>
    <x v="1"/>
    <x v="1"/>
    <x v="0"/>
    <n v="12.65"/>
    <n v="66692.44"/>
    <n v="199332.61"/>
    <x v="2"/>
  </r>
  <r>
    <x v="8"/>
    <x v="1"/>
    <x v="4"/>
    <x v="0"/>
    <x v="2"/>
    <x v="1"/>
    <x v="0"/>
    <n v="6.59"/>
    <n v="34743.339999999997"/>
    <n v="100236.54"/>
    <x v="2"/>
  </r>
  <r>
    <x v="8"/>
    <x v="1"/>
    <x v="4"/>
    <x v="0"/>
    <x v="3"/>
    <x v="1"/>
    <x v="0"/>
    <n v="13.52"/>
    <n v="71279.199999999997"/>
    <n v="213995.64"/>
    <x v="2"/>
  </r>
  <r>
    <x v="8"/>
    <x v="1"/>
    <x v="4"/>
    <x v="0"/>
    <x v="28"/>
    <x v="1"/>
    <x v="0"/>
    <n v="0"/>
    <n v="0"/>
    <n v="0"/>
    <x v="2"/>
  </r>
  <r>
    <x v="8"/>
    <x v="1"/>
    <x v="4"/>
    <x v="0"/>
    <x v="4"/>
    <x v="1"/>
    <x v="0"/>
    <n v="7.6"/>
    <n v="40068.19"/>
    <n v="119191.73"/>
    <x v="2"/>
  </r>
  <r>
    <x v="8"/>
    <x v="1"/>
    <x v="4"/>
    <x v="0"/>
    <x v="5"/>
    <x v="1"/>
    <x v="0"/>
    <n v="3.1"/>
    <n v="16343.6"/>
    <n v="50107.42"/>
    <x v="2"/>
  </r>
  <r>
    <x v="8"/>
    <x v="1"/>
    <x v="4"/>
    <x v="0"/>
    <x v="6"/>
    <x v="1"/>
    <x v="0"/>
    <n v="0"/>
    <n v="0"/>
    <n v="0"/>
    <x v="2"/>
  </r>
  <r>
    <x v="8"/>
    <x v="1"/>
    <x v="4"/>
    <x v="0"/>
    <x v="7"/>
    <x v="1"/>
    <x v="0"/>
    <n v="0"/>
    <n v="0"/>
    <n v="0"/>
    <x v="2"/>
  </r>
  <r>
    <x v="8"/>
    <x v="1"/>
    <x v="4"/>
    <x v="0"/>
    <x v="8"/>
    <x v="1"/>
    <x v="0"/>
    <n v="0"/>
    <n v="0"/>
    <n v="0"/>
    <x v="2"/>
  </r>
  <r>
    <x v="8"/>
    <x v="1"/>
    <x v="4"/>
    <x v="1"/>
    <x v="30"/>
    <x v="1"/>
    <x v="0"/>
    <n v="2.61"/>
    <n v="13760.26"/>
    <n v="44121.24"/>
    <x v="2"/>
  </r>
  <r>
    <x v="8"/>
    <x v="1"/>
    <x v="4"/>
    <x v="1"/>
    <x v="9"/>
    <x v="1"/>
    <x v="0"/>
    <n v="0"/>
    <n v="0"/>
    <n v="0"/>
    <x v="2"/>
  </r>
  <r>
    <x v="8"/>
    <x v="1"/>
    <x v="4"/>
    <x v="1"/>
    <x v="31"/>
    <x v="1"/>
    <x v="0"/>
    <n v="0"/>
    <n v="0"/>
    <n v="0"/>
    <x v="2"/>
  </r>
  <r>
    <x v="8"/>
    <x v="1"/>
    <x v="4"/>
    <x v="1"/>
    <x v="10"/>
    <x v="1"/>
    <x v="0"/>
    <n v="10.84"/>
    <n v="57149.89"/>
    <n v="181075.92"/>
    <x v="2"/>
  </r>
  <r>
    <x v="8"/>
    <x v="1"/>
    <x v="4"/>
    <x v="1"/>
    <x v="11"/>
    <x v="1"/>
    <x v="0"/>
    <n v="7.69"/>
    <n v="40542.68"/>
    <n v="122544.39"/>
    <x v="2"/>
  </r>
  <r>
    <x v="8"/>
    <x v="1"/>
    <x v="4"/>
    <x v="1"/>
    <x v="12"/>
    <x v="1"/>
    <x v="0"/>
    <n v="2.87"/>
    <n v="15131.01"/>
    <n v="48037.94"/>
    <x v="2"/>
  </r>
  <r>
    <x v="8"/>
    <x v="1"/>
    <x v="4"/>
    <x v="1"/>
    <x v="13"/>
    <x v="1"/>
    <x v="0"/>
    <n v="4.37"/>
    <n v="23039.21"/>
    <n v="72935.05"/>
    <x v="2"/>
  </r>
  <r>
    <x v="8"/>
    <x v="1"/>
    <x v="4"/>
    <x v="1"/>
    <x v="14"/>
    <x v="1"/>
    <x v="0"/>
    <n v="15.4"/>
    <n v="81190.8"/>
    <n v="252048.21"/>
    <x v="2"/>
  </r>
  <r>
    <x v="8"/>
    <x v="1"/>
    <x v="4"/>
    <x v="1"/>
    <x v="15"/>
    <x v="1"/>
    <x v="0"/>
    <n v="4.25"/>
    <n v="22406.55"/>
    <n v="71939.91"/>
    <x v="2"/>
  </r>
  <r>
    <x v="8"/>
    <x v="1"/>
    <x v="4"/>
    <x v="1"/>
    <x v="16"/>
    <x v="1"/>
    <x v="0"/>
    <n v="6.53"/>
    <n v="34427.01"/>
    <n v="105268.64"/>
    <x v="2"/>
  </r>
  <r>
    <x v="8"/>
    <x v="1"/>
    <x v="4"/>
    <x v="1"/>
    <x v="17"/>
    <x v="1"/>
    <x v="0"/>
    <n v="5.75"/>
    <n v="30314.75"/>
    <n v="93548.68"/>
    <x v="2"/>
  </r>
  <r>
    <x v="8"/>
    <x v="1"/>
    <x v="4"/>
    <x v="1"/>
    <x v="18"/>
    <x v="1"/>
    <x v="0"/>
    <n v="5.33"/>
    <n v="28100.45"/>
    <n v="90788.98"/>
    <x v="2"/>
  </r>
  <r>
    <x v="8"/>
    <x v="1"/>
    <x v="4"/>
    <x v="1"/>
    <x v="19"/>
    <x v="1"/>
    <x v="0"/>
    <n v="13.16"/>
    <n v="69381.23"/>
    <n v="217304.81"/>
    <x v="2"/>
  </r>
  <r>
    <x v="8"/>
    <x v="1"/>
    <x v="4"/>
    <x v="1"/>
    <x v="20"/>
    <x v="1"/>
    <x v="0"/>
    <n v="14.39"/>
    <n v="75865.95"/>
    <n v="233790.33"/>
    <x v="2"/>
  </r>
  <r>
    <x v="8"/>
    <x v="1"/>
    <x v="4"/>
    <x v="2"/>
    <x v="21"/>
    <x v="1"/>
    <x v="0"/>
    <n v="0"/>
    <n v="0"/>
    <n v="0"/>
    <x v="2"/>
  </r>
  <r>
    <x v="8"/>
    <x v="1"/>
    <x v="4"/>
    <x v="2"/>
    <x v="22"/>
    <x v="1"/>
    <x v="0"/>
    <n v="9.23"/>
    <n v="48661.760000000002"/>
    <n v="137812.32"/>
    <x v="2"/>
  </r>
  <r>
    <x v="8"/>
    <x v="1"/>
    <x v="4"/>
    <x v="2"/>
    <x v="29"/>
    <x v="1"/>
    <x v="0"/>
    <n v="0"/>
    <n v="0"/>
    <n v="0"/>
    <x v="2"/>
  </r>
  <r>
    <x v="8"/>
    <x v="1"/>
    <x v="4"/>
    <x v="2"/>
    <x v="23"/>
    <x v="1"/>
    <x v="0"/>
    <n v="0"/>
    <n v="0"/>
    <n v="0"/>
    <x v="2"/>
  </r>
  <r>
    <x v="8"/>
    <x v="1"/>
    <x v="4"/>
    <x v="2"/>
    <x v="24"/>
    <x v="1"/>
    <x v="0"/>
    <n v="2.4900000000000002"/>
    <n v="13127.6"/>
    <n v="37873.01"/>
    <x v="2"/>
  </r>
  <r>
    <x v="8"/>
    <x v="1"/>
    <x v="4"/>
    <x v="3"/>
    <x v="25"/>
    <x v="1"/>
    <x v="0"/>
    <n v="9.3000000000000007"/>
    <n v="49030.81"/>
    <n v="156178.29999999999"/>
    <x v="2"/>
  </r>
  <r>
    <x v="8"/>
    <x v="1"/>
    <x v="4"/>
    <x v="3"/>
    <x v="26"/>
    <x v="1"/>
    <x v="0"/>
    <n v="4.8600000000000003"/>
    <n v="25622.55"/>
    <n v="82195.509999999995"/>
    <x v="2"/>
  </r>
  <r>
    <x v="8"/>
    <x v="1"/>
    <x v="4"/>
    <x v="3"/>
    <x v="27"/>
    <x v="1"/>
    <x v="0"/>
    <n v="14.24"/>
    <n v="75075.13"/>
    <n v="236224.68"/>
    <x v="2"/>
  </r>
  <r>
    <x v="8"/>
    <x v="1"/>
    <x v="4"/>
    <x v="0"/>
    <x v="0"/>
    <x v="1"/>
    <x v="1"/>
    <n v="5.1100000000000003"/>
    <n v="26940.58"/>
    <n v="81834.820000000007"/>
    <x v="2"/>
  </r>
  <r>
    <x v="8"/>
    <x v="1"/>
    <x v="4"/>
    <x v="0"/>
    <x v="1"/>
    <x v="1"/>
    <x v="1"/>
    <n v="19.95"/>
    <n v="105178.99"/>
    <n v="314285.15999999997"/>
    <x v="2"/>
  </r>
  <r>
    <x v="8"/>
    <x v="1"/>
    <x v="4"/>
    <x v="0"/>
    <x v="2"/>
    <x v="1"/>
    <x v="1"/>
    <n v="21.06"/>
    <n v="111031.06"/>
    <n v="320453.19"/>
    <x v="2"/>
  </r>
  <r>
    <x v="8"/>
    <x v="1"/>
    <x v="4"/>
    <x v="0"/>
    <x v="3"/>
    <x v="1"/>
    <x v="1"/>
    <n v="45.86"/>
    <n v="241779.88"/>
    <n v="725906.77"/>
    <x v="2"/>
  </r>
  <r>
    <x v="8"/>
    <x v="1"/>
    <x v="4"/>
    <x v="0"/>
    <x v="28"/>
    <x v="1"/>
    <x v="1"/>
    <n v="2.73"/>
    <n v="14392.91"/>
    <n v="43673.91"/>
    <x v="2"/>
  </r>
  <r>
    <x v="8"/>
    <x v="1"/>
    <x v="4"/>
    <x v="0"/>
    <x v="4"/>
    <x v="1"/>
    <x v="1"/>
    <n v="7.51"/>
    <n v="39593.699999999997"/>
    <n v="117821.71"/>
    <x v="2"/>
  </r>
  <r>
    <x v="8"/>
    <x v="1"/>
    <x v="4"/>
    <x v="0"/>
    <x v="5"/>
    <x v="1"/>
    <x v="1"/>
    <n v="24.47"/>
    <n v="129009.02"/>
    <n v="395132.82"/>
    <x v="2"/>
  </r>
  <r>
    <x v="8"/>
    <x v="1"/>
    <x v="4"/>
    <x v="0"/>
    <x v="6"/>
    <x v="1"/>
    <x v="1"/>
    <n v="4.9000000000000004"/>
    <n v="25833.439999999999"/>
    <n v="78926.83"/>
    <x v="2"/>
  </r>
  <r>
    <x v="8"/>
    <x v="1"/>
    <x v="4"/>
    <x v="0"/>
    <x v="7"/>
    <x v="1"/>
    <x v="1"/>
    <n v="2.9"/>
    <n v="15289.18"/>
    <n v="47505.33"/>
    <x v="2"/>
  </r>
  <r>
    <x v="8"/>
    <x v="1"/>
    <x v="4"/>
    <x v="0"/>
    <x v="8"/>
    <x v="1"/>
    <x v="1"/>
    <n v="3.55"/>
    <n v="18716.060000000001"/>
    <n v="55389.34"/>
    <x v="2"/>
  </r>
  <r>
    <x v="8"/>
    <x v="1"/>
    <x v="4"/>
    <x v="1"/>
    <x v="30"/>
    <x v="1"/>
    <x v="1"/>
    <n v="0"/>
    <n v="0"/>
    <n v="0"/>
    <x v="2"/>
  </r>
  <r>
    <x v="8"/>
    <x v="1"/>
    <x v="4"/>
    <x v="1"/>
    <x v="9"/>
    <x v="1"/>
    <x v="1"/>
    <n v="5.31"/>
    <n v="27995.01"/>
    <n v="89460.78"/>
    <x v="2"/>
  </r>
  <r>
    <x v="8"/>
    <x v="1"/>
    <x v="4"/>
    <x v="1"/>
    <x v="31"/>
    <x v="1"/>
    <x v="1"/>
    <n v="0"/>
    <n v="0"/>
    <n v="0"/>
    <x v="2"/>
  </r>
  <r>
    <x v="8"/>
    <x v="1"/>
    <x v="4"/>
    <x v="1"/>
    <x v="10"/>
    <x v="1"/>
    <x v="1"/>
    <n v="29.86"/>
    <n v="157425.79999999999"/>
    <n v="499062.91"/>
    <x v="2"/>
  </r>
  <r>
    <x v="8"/>
    <x v="1"/>
    <x v="4"/>
    <x v="1"/>
    <x v="11"/>
    <x v="1"/>
    <x v="1"/>
    <n v="28.99"/>
    <n v="152839.04999999999"/>
    <n v="461798.87"/>
    <x v="2"/>
  </r>
  <r>
    <x v="8"/>
    <x v="1"/>
    <x v="4"/>
    <x v="1"/>
    <x v="12"/>
    <x v="1"/>
    <x v="1"/>
    <n v="3.33"/>
    <n v="17556.189999999999"/>
    <n v="55785.99"/>
    <x v="2"/>
  </r>
  <r>
    <x v="8"/>
    <x v="1"/>
    <x v="4"/>
    <x v="1"/>
    <x v="13"/>
    <x v="1"/>
    <x v="1"/>
    <n v="12.43"/>
    <n v="65532.58"/>
    <n v="207364.37"/>
    <x v="2"/>
  </r>
  <r>
    <x v="8"/>
    <x v="1"/>
    <x v="4"/>
    <x v="1"/>
    <x v="14"/>
    <x v="1"/>
    <x v="1"/>
    <n v="7.17"/>
    <n v="37801.17"/>
    <n v="117431.55"/>
    <x v="2"/>
  </r>
  <r>
    <x v="8"/>
    <x v="1"/>
    <x v="4"/>
    <x v="1"/>
    <x v="15"/>
    <x v="1"/>
    <x v="1"/>
    <n v="1.23"/>
    <n v="6484.72"/>
    <n v="20824.71"/>
    <x v="2"/>
  </r>
  <r>
    <x v="8"/>
    <x v="1"/>
    <x v="4"/>
    <x v="1"/>
    <x v="16"/>
    <x v="1"/>
    <x v="1"/>
    <n v="8.82"/>
    <n v="46500.19"/>
    <n v="142254.92000000001"/>
    <x v="2"/>
  </r>
  <r>
    <x v="8"/>
    <x v="1"/>
    <x v="4"/>
    <x v="1"/>
    <x v="17"/>
    <x v="1"/>
    <x v="1"/>
    <n v="4.75"/>
    <n v="25042.62"/>
    <n v="77279.34"/>
    <x v="2"/>
  </r>
  <r>
    <x v="8"/>
    <x v="1"/>
    <x v="4"/>
    <x v="1"/>
    <x v="18"/>
    <x v="1"/>
    <x v="1"/>
    <n v="24.35"/>
    <n v="128376.37"/>
    <n v="414715.11"/>
    <x v="2"/>
  </r>
  <r>
    <x v="8"/>
    <x v="1"/>
    <x v="4"/>
    <x v="1"/>
    <x v="19"/>
    <x v="1"/>
    <x v="1"/>
    <n v="14.75"/>
    <n v="77763.92"/>
    <n v="243556.4"/>
    <x v="2"/>
  </r>
  <r>
    <x v="8"/>
    <x v="1"/>
    <x v="4"/>
    <x v="1"/>
    <x v="20"/>
    <x v="1"/>
    <x v="1"/>
    <n v="23.66"/>
    <n v="124738.6"/>
    <n v="384391.47"/>
    <x v="2"/>
  </r>
  <r>
    <x v="8"/>
    <x v="1"/>
    <x v="4"/>
    <x v="2"/>
    <x v="21"/>
    <x v="1"/>
    <x v="1"/>
    <n v="1.4"/>
    <n v="7380.98"/>
    <n v="20896.830000000002"/>
    <x v="2"/>
  </r>
  <r>
    <x v="8"/>
    <x v="1"/>
    <x v="4"/>
    <x v="2"/>
    <x v="22"/>
    <x v="1"/>
    <x v="1"/>
    <n v="14.11"/>
    <n v="74389.75"/>
    <n v="210618.83"/>
    <x v="2"/>
  </r>
  <r>
    <x v="8"/>
    <x v="1"/>
    <x v="4"/>
    <x v="2"/>
    <x v="29"/>
    <x v="1"/>
    <x v="1"/>
    <n v="2.1800000000000002"/>
    <n v="11493.24"/>
    <n v="34568.42"/>
    <x v="2"/>
  </r>
  <r>
    <x v="8"/>
    <x v="1"/>
    <x v="4"/>
    <x v="2"/>
    <x v="23"/>
    <x v="1"/>
    <x v="1"/>
    <n v="2.1"/>
    <n v="11071.47"/>
    <n v="32691.79"/>
    <x v="2"/>
  </r>
  <r>
    <x v="8"/>
    <x v="1"/>
    <x v="4"/>
    <x v="2"/>
    <x v="24"/>
    <x v="1"/>
    <x v="1"/>
    <n v="3.74"/>
    <n v="19717.77"/>
    <n v="56809.52"/>
    <x v="2"/>
  </r>
  <r>
    <x v="8"/>
    <x v="1"/>
    <x v="4"/>
    <x v="3"/>
    <x v="25"/>
    <x v="1"/>
    <x v="1"/>
    <n v="8.76"/>
    <n v="46183.86"/>
    <n v="147080.53"/>
    <x v="2"/>
  </r>
  <r>
    <x v="8"/>
    <x v="1"/>
    <x v="4"/>
    <x v="3"/>
    <x v="26"/>
    <x v="1"/>
    <x v="1"/>
    <n v="13.09"/>
    <n v="69012.179999999993"/>
    <n v="221295.6"/>
    <x v="2"/>
  </r>
  <r>
    <x v="8"/>
    <x v="1"/>
    <x v="4"/>
    <x v="3"/>
    <x v="27"/>
    <x v="1"/>
    <x v="1"/>
    <n v="32.5"/>
    <n v="171344.23"/>
    <n v="539148.1"/>
    <x v="2"/>
  </r>
  <r>
    <x v="8"/>
    <x v="1"/>
    <x v="5"/>
    <x v="0"/>
    <x v="0"/>
    <x v="0"/>
    <x v="0"/>
    <n v="2.1800000000000002"/>
    <n v="12201.26"/>
    <n v="50159.34"/>
    <x v="2"/>
  </r>
  <r>
    <x v="8"/>
    <x v="1"/>
    <x v="5"/>
    <x v="0"/>
    <x v="1"/>
    <x v="0"/>
    <x v="0"/>
    <n v="3.8"/>
    <n v="21268.26"/>
    <n v="87185.83"/>
    <x v="2"/>
  </r>
  <r>
    <x v="8"/>
    <x v="1"/>
    <x v="5"/>
    <x v="0"/>
    <x v="2"/>
    <x v="0"/>
    <x v="0"/>
    <n v="0"/>
    <n v="0"/>
    <n v="0"/>
    <x v="2"/>
  </r>
  <r>
    <x v="8"/>
    <x v="1"/>
    <x v="5"/>
    <x v="0"/>
    <x v="3"/>
    <x v="0"/>
    <x v="0"/>
    <n v="1.58"/>
    <n v="8843.1200000000008"/>
    <n v="36183.42"/>
    <x v="2"/>
  </r>
  <r>
    <x v="8"/>
    <x v="1"/>
    <x v="5"/>
    <x v="0"/>
    <x v="4"/>
    <x v="0"/>
    <x v="0"/>
    <n v="0"/>
    <n v="0"/>
    <n v="0"/>
    <x v="2"/>
  </r>
  <r>
    <x v="8"/>
    <x v="1"/>
    <x v="5"/>
    <x v="0"/>
    <x v="5"/>
    <x v="0"/>
    <x v="0"/>
    <n v="0"/>
    <n v="0"/>
    <n v="0"/>
    <x v="2"/>
  </r>
  <r>
    <x v="8"/>
    <x v="1"/>
    <x v="5"/>
    <x v="0"/>
    <x v="6"/>
    <x v="0"/>
    <x v="0"/>
    <n v="0"/>
    <n v="0"/>
    <n v="0"/>
    <x v="2"/>
  </r>
  <r>
    <x v="8"/>
    <x v="1"/>
    <x v="5"/>
    <x v="0"/>
    <x v="8"/>
    <x v="0"/>
    <x v="0"/>
    <n v="0"/>
    <n v="0"/>
    <n v="0"/>
    <x v="2"/>
  </r>
  <r>
    <x v="8"/>
    <x v="1"/>
    <x v="5"/>
    <x v="1"/>
    <x v="10"/>
    <x v="0"/>
    <x v="0"/>
    <n v="1.51"/>
    <n v="8451.33"/>
    <n v="34586.18"/>
    <x v="2"/>
  </r>
  <r>
    <x v="8"/>
    <x v="1"/>
    <x v="5"/>
    <x v="1"/>
    <x v="11"/>
    <x v="0"/>
    <x v="0"/>
    <n v="0"/>
    <n v="0"/>
    <n v="0"/>
    <x v="2"/>
  </r>
  <r>
    <x v="8"/>
    <x v="1"/>
    <x v="5"/>
    <x v="1"/>
    <x v="13"/>
    <x v="0"/>
    <x v="0"/>
    <n v="0"/>
    <n v="0"/>
    <n v="0"/>
    <x v="2"/>
  </r>
  <r>
    <x v="8"/>
    <x v="1"/>
    <x v="5"/>
    <x v="1"/>
    <x v="14"/>
    <x v="0"/>
    <x v="0"/>
    <n v="0"/>
    <n v="0"/>
    <n v="0"/>
    <x v="2"/>
  </r>
  <r>
    <x v="8"/>
    <x v="1"/>
    <x v="5"/>
    <x v="1"/>
    <x v="16"/>
    <x v="0"/>
    <x v="0"/>
    <n v="0"/>
    <n v="0"/>
    <n v="0"/>
    <x v="2"/>
  </r>
  <r>
    <x v="8"/>
    <x v="1"/>
    <x v="5"/>
    <x v="1"/>
    <x v="17"/>
    <x v="0"/>
    <x v="0"/>
    <n v="0"/>
    <n v="0"/>
    <n v="0"/>
    <x v="2"/>
  </r>
  <r>
    <x v="8"/>
    <x v="1"/>
    <x v="5"/>
    <x v="1"/>
    <x v="18"/>
    <x v="0"/>
    <x v="0"/>
    <n v="0"/>
    <n v="0"/>
    <n v="0"/>
    <x v="2"/>
  </r>
  <r>
    <x v="8"/>
    <x v="1"/>
    <x v="5"/>
    <x v="1"/>
    <x v="19"/>
    <x v="0"/>
    <x v="0"/>
    <n v="0"/>
    <n v="0"/>
    <n v="0"/>
    <x v="2"/>
  </r>
  <r>
    <x v="8"/>
    <x v="1"/>
    <x v="5"/>
    <x v="1"/>
    <x v="20"/>
    <x v="0"/>
    <x v="0"/>
    <n v="1.78"/>
    <n v="9962.5"/>
    <n v="40936.550000000003"/>
    <x v="2"/>
  </r>
  <r>
    <x v="8"/>
    <x v="1"/>
    <x v="5"/>
    <x v="2"/>
    <x v="21"/>
    <x v="0"/>
    <x v="0"/>
    <n v="0.27"/>
    <n v="1511.17"/>
    <n v="6266.79"/>
    <x v="2"/>
  </r>
  <r>
    <x v="8"/>
    <x v="1"/>
    <x v="5"/>
    <x v="2"/>
    <x v="22"/>
    <x v="0"/>
    <x v="0"/>
    <n v="0"/>
    <n v="0"/>
    <n v="0"/>
    <x v="2"/>
  </r>
  <r>
    <x v="8"/>
    <x v="1"/>
    <x v="5"/>
    <x v="2"/>
    <x v="29"/>
    <x v="0"/>
    <x v="0"/>
    <n v="0"/>
    <n v="0"/>
    <n v="0"/>
    <x v="2"/>
  </r>
  <r>
    <x v="8"/>
    <x v="1"/>
    <x v="5"/>
    <x v="2"/>
    <x v="24"/>
    <x v="0"/>
    <x v="0"/>
    <n v="0"/>
    <n v="0"/>
    <n v="0"/>
    <x v="2"/>
  </r>
  <r>
    <x v="8"/>
    <x v="1"/>
    <x v="5"/>
    <x v="3"/>
    <x v="25"/>
    <x v="0"/>
    <x v="0"/>
    <n v="0"/>
    <n v="0"/>
    <n v="0"/>
    <x v="2"/>
  </r>
  <r>
    <x v="8"/>
    <x v="1"/>
    <x v="5"/>
    <x v="3"/>
    <x v="26"/>
    <x v="0"/>
    <x v="0"/>
    <n v="1.81"/>
    <n v="10130.41"/>
    <n v="41518.1"/>
    <x v="2"/>
  </r>
  <r>
    <x v="8"/>
    <x v="1"/>
    <x v="5"/>
    <x v="3"/>
    <x v="27"/>
    <x v="0"/>
    <x v="0"/>
    <n v="2.1"/>
    <n v="11753.51"/>
    <n v="48183.71"/>
    <x v="2"/>
  </r>
  <r>
    <x v="8"/>
    <x v="1"/>
    <x v="5"/>
    <x v="0"/>
    <x v="0"/>
    <x v="0"/>
    <x v="1"/>
    <n v="1.8"/>
    <n v="10074.44"/>
    <n v="41435.97"/>
    <x v="2"/>
  </r>
  <r>
    <x v="8"/>
    <x v="1"/>
    <x v="5"/>
    <x v="0"/>
    <x v="1"/>
    <x v="0"/>
    <x v="1"/>
    <n v="4.38"/>
    <n v="24514.47"/>
    <n v="100599.03999999999"/>
    <x v="2"/>
  </r>
  <r>
    <x v="8"/>
    <x v="1"/>
    <x v="5"/>
    <x v="0"/>
    <x v="2"/>
    <x v="0"/>
    <x v="1"/>
    <n v="4.7"/>
    <n v="26305.48"/>
    <n v="107930.16"/>
    <x v="2"/>
  </r>
  <r>
    <x v="8"/>
    <x v="1"/>
    <x v="5"/>
    <x v="0"/>
    <x v="3"/>
    <x v="0"/>
    <x v="1"/>
    <n v="5.75"/>
    <n v="32182.23"/>
    <n v="131963.04999999999"/>
    <x v="2"/>
  </r>
  <r>
    <x v="8"/>
    <x v="1"/>
    <x v="5"/>
    <x v="0"/>
    <x v="4"/>
    <x v="0"/>
    <x v="1"/>
    <n v="0.49"/>
    <n v="2742.49"/>
    <n v="11252.33"/>
    <x v="2"/>
  </r>
  <r>
    <x v="8"/>
    <x v="1"/>
    <x v="5"/>
    <x v="0"/>
    <x v="5"/>
    <x v="0"/>
    <x v="1"/>
    <n v="3.49"/>
    <n v="19533.22"/>
    <n v="80228.94"/>
    <x v="2"/>
  </r>
  <r>
    <x v="8"/>
    <x v="1"/>
    <x v="5"/>
    <x v="0"/>
    <x v="6"/>
    <x v="0"/>
    <x v="1"/>
    <n v="1.34"/>
    <n v="7499.86"/>
    <n v="30790.65"/>
    <x v="2"/>
  </r>
  <r>
    <x v="8"/>
    <x v="1"/>
    <x v="5"/>
    <x v="0"/>
    <x v="8"/>
    <x v="0"/>
    <x v="1"/>
    <n v="1.86"/>
    <n v="10410.25"/>
    <n v="42779.37"/>
    <x v="2"/>
  </r>
  <r>
    <x v="8"/>
    <x v="1"/>
    <x v="5"/>
    <x v="1"/>
    <x v="10"/>
    <x v="0"/>
    <x v="1"/>
    <n v="3.29"/>
    <n v="18413.830000000002"/>
    <n v="75657.27"/>
    <x v="2"/>
  </r>
  <r>
    <x v="8"/>
    <x v="1"/>
    <x v="5"/>
    <x v="1"/>
    <x v="11"/>
    <x v="0"/>
    <x v="1"/>
    <n v="9.2100000000000009"/>
    <n v="51547.54"/>
    <n v="211574.22"/>
    <x v="2"/>
  </r>
  <r>
    <x v="8"/>
    <x v="1"/>
    <x v="5"/>
    <x v="1"/>
    <x v="13"/>
    <x v="0"/>
    <x v="1"/>
    <n v="6.25"/>
    <n v="34980.69"/>
    <n v="143530.18"/>
    <x v="2"/>
  </r>
  <r>
    <x v="8"/>
    <x v="1"/>
    <x v="5"/>
    <x v="1"/>
    <x v="14"/>
    <x v="0"/>
    <x v="1"/>
    <n v="1.1499999999999999"/>
    <n v="6436.45"/>
    <n v="26374.37"/>
    <x v="2"/>
  </r>
  <r>
    <x v="8"/>
    <x v="1"/>
    <x v="5"/>
    <x v="1"/>
    <x v="16"/>
    <x v="0"/>
    <x v="1"/>
    <n v="0.4"/>
    <n v="2238.7600000000002"/>
    <n v="9137.07"/>
    <x v="2"/>
  </r>
  <r>
    <x v="8"/>
    <x v="1"/>
    <x v="5"/>
    <x v="1"/>
    <x v="17"/>
    <x v="0"/>
    <x v="1"/>
    <n v="1.71"/>
    <n v="9570.7199999999993"/>
    <n v="39219.64"/>
    <x v="2"/>
  </r>
  <r>
    <x v="8"/>
    <x v="1"/>
    <x v="5"/>
    <x v="1"/>
    <x v="18"/>
    <x v="0"/>
    <x v="1"/>
    <n v="10.92"/>
    <n v="61118.26"/>
    <n v="250682.94"/>
    <x v="2"/>
  </r>
  <r>
    <x v="8"/>
    <x v="1"/>
    <x v="5"/>
    <x v="1"/>
    <x v="19"/>
    <x v="0"/>
    <x v="1"/>
    <n v="4.75"/>
    <n v="26585.32"/>
    <n v="108982.95"/>
    <x v="2"/>
  </r>
  <r>
    <x v="8"/>
    <x v="1"/>
    <x v="5"/>
    <x v="1"/>
    <x v="20"/>
    <x v="0"/>
    <x v="1"/>
    <n v="10.6"/>
    <n v="59327.25"/>
    <n v="243345.04"/>
    <x v="2"/>
  </r>
  <r>
    <x v="8"/>
    <x v="1"/>
    <x v="5"/>
    <x v="2"/>
    <x v="21"/>
    <x v="0"/>
    <x v="1"/>
    <n v="0"/>
    <n v="0"/>
    <n v="0"/>
    <x v="2"/>
  </r>
  <r>
    <x v="8"/>
    <x v="1"/>
    <x v="5"/>
    <x v="2"/>
    <x v="22"/>
    <x v="0"/>
    <x v="1"/>
    <n v="2.9"/>
    <n v="16231.04"/>
    <n v="66655.23"/>
    <x v="2"/>
  </r>
  <r>
    <x v="8"/>
    <x v="1"/>
    <x v="5"/>
    <x v="2"/>
    <x v="29"/>
    <x v="0"/>
    <x v="1"/>
    <n v="1.94"/>
    <n v="10858.01"/>
    <n v="44585.02"/>
    <x v="2"/>
  </r>
  <r>
    <x v="8"/>
    <x v="1"/>
    <x v="5"/>
    <x v="2"/>
    <x v="24"/>
    <x v="0"/>
    <x v="1"/>
    <n v="2.06"/>
    <n v="11529.63"/>
    <n v="47304.160000000003"/>
    <x v="2"/>
  </r>
  <r>
    <x v="8"/>
    <x v="1"/>
    <x v="5"/>
    <x v="3"/>
    <x v="25"/>
    <x v="0"/>
    <x v="1"/>
    <n v="1.38"/>
    <n v="7723.74"/>
    <n v="31578.47"/>
    <x v="2"/>
  </r>
  <r>
    <x v="8"/>
    <x v="1"/>
    <x v="5"/>
    <x v="3"/>
    <x v="26"/>
    <x v="0"/>
    <x v="1"/>
    <n v="1.52"/>
    <n v="8507.2999999999993"/>
    <n v="34962.61"/>
    <x v="2"/>
  </r>
  <r>
    <x v="8"/>
    <x v="1"/>
    <x v="5"/>
    <x v="3"/>
    <x v="27"/>
    <x v="0"/>
    <x v="1"/>
    <n v="7.99"/>
    <n v="44719.31"/>
    <n v="183557"/>
    <x v="2"/>
  </r>
  <r>
    <x v="8"/>
    <x v="1"/>
    <x v="5"/>
    <x v="0"/>
    <x v="0"/>
    <x v="1"/>
    <x v="0"/>
    <n v="3.78"/>
    <n v="21156.32"/>
    <n v="56715.01"/>
    <x v="2"/>
  </r>
  <r>
    <x v="8"/>
    <x v="1"/>
    <x v="5"/>
    <x v="0"/>
    <x v="1"/>
    <x v="1"/>
    <x v="0"/>
    <n v="10.83"/>
    <n v="60614.54"/>
    <n v="159972.07"/>
    <x v="2"/>
  </r>
  <r>
    <x v="8"/>
    <x v="1"/>
    <x v="5"/>
    <x v="0"/>
    <x v="2"/>
    <x v="1"/>
    <x v="0"/>
    <n v="4.4000000000000004"/>
    <n v="24626.400000000001"/>
    <n v="62751.79"/>
    <x v="2"/>
  </r>
  <r>
    <x v="8"/>
    <x v="1"/>
    <x v="5"/>
    <x v="0"/>
    <x v="3"/>
    <x v="1"/>
    <x v="0"/>
    <n v="8.4700000000000006"/>
    <n v="47405.83"/>
    <n v="125595.55"/>
    <x v="2"/>
  </r>
  <r>
    <x v="8"/>
    <x v="1"/>
    <x v="5"/>
    <x v="0"/>
    <x v="28"/>
    <x v="1"/>
    <x v="0"/>
    <n v="0"/>
    <n v="0"/>
    <n v="0"/>
    <x v="2"/>
  </r>
  <r>
    <x v="8"/>
    <x v="1"/>
    <x v="5"/>
    <x v="0"/>
    <x v="4"/>
    <x v="1"/>
    <x v="0"/>
    <n v="3.98"/>
    <n v="22275.7"/>
    <n v="58423.43"/>
    <x v="2"/>
  </r>
  <r>
    <x v="8"/>
    <x v="1"/>
    <x v="5"/>
    <x v="0"/>
    <x v="5"/>
    <x v="1"/>
    <x v="0"/>
    <n v="2.1"/>
    <n v="11753.51"/>
    <n v="31743.46"/>
    <x v="2"/>
  </r>
  <r>
    <x v="8"/>
    <x v="1"/>
    <x v="5"/>
    <x v="0"/>
    <x v="6"/>
    <x v="1"/>
    <x v="0"/>
    <n v="0"/>
    <n v="0"/>
    <n v="0"/>
    <x v="2"/>
  </r>
  <r>
    <x v="8"/>
    <x v="1"/>
    <x v="5"/>
    <x v="0"/>
    <x v="7"/>
    <x v="1"/>
    <x v="0"/>
    <n v="0"/>
    <n v="0"/>
    <n v="0"/>
    <x v="2"/>
  </r>
  <r>
    <x v="8"/>
    <x v="1"/>
    <x v="5"/>
    <x v="0"/>
    <x v="8"/>
    <x v="1"/>
    <x v="0"/>
    <n v="0"/>
    <n v="0"/>
    <n v="0"/>
    <x v="2"/>
  </r>
  <r>
    <x v="8"/>
    <x v="1"/>
    <x v="5"/>
    <x v="1"/>
    <x v="30"/>
    <x v="1"/>
    <x v="0"/>
    <n v="1.75"/>
    <n v="9794.59"/>
    <n v="27723.59"/>
    <x v="2"/>
  </r>
  <r>
    <x v="8"/>
    <x v="1"/>
    <x v="5"/>
    <x v="1"/>
    <x v="9"/>
    <x v="1"/>
    <x v="0"/>
    <n v="0"/>
    <n v="0"/>
    <n v="0"/>
    <x v="2"/>
  </r>
  <r>
    <x v="8"/>
    <x v="1"/>
    <x v="5"/>
    <x v="1"/>
    <x v="31"/>
    <x v="1"/>
    <x v="0"/>
    <n v="3.33"/>
    <n v="18637.71"/>
    <n v="53130.09"/>
    <x v="2"/>
  </r>
  <r>
    <x v="8"/>
    <x v="1"/>
    <x v="5"/>
    <x v="1"/>
    <x v="10"/>
    <x v="1"/>
    <x v="0"/>
    <n v="6.35"/>
    <n v="35540.379999999997"/>
    <n v="99433.71"/>
    <x v="2"/>
  </r>
  <r>
    <x v="8"/>
    <x v="1"/>
    <x v="5"/>
    <x v="1"/>
    <x v="11"/>
    <x v="1"/>
    <x v="0"/>
    <n v="4.53"/>
    <n v="25354"/>
    <n v="67587.98"/>
    <x v="2"/>
  </r>
  <r>
    <x v="8"/>
    <x v="1"/>
    <x v="5"/>
    <x v="1"/>
    <x v="12"/>
    <x v="1"/>
    <x v="0"/>
    <n v="0.84"/>
    <n v="4701.3999999999996"/>
    <n v="13259.45"/>
    <x v="2"/>
  </r>
  <r>
    <x v="8"/>
    <x v="1"/>
    <x v="5"/>
    <x v="1"/>
    <x v="13"/>
    <x v="1"/>
    <x v="0"/>
    <n v="4.95"/>
    <n v="27704.7"/>
    <n v="77343.7"/>
    <x v="2"/>
  </r>
  <r>
    <x v="8"/>
    <x v="1"/>
    <x v="5"/>
    <x v="1"/>
    <x v="14"/>
    <x v="1"/>
    <x v="0"/>
    <n v="10.76"/>
    <n v="60222.75"/>
    <n v="165021.41"/>
    <x v="2"/>
  </r>
  <r>
    <x v="8"/>
    <x v="1"/>
    <x v="5"/>
    <x v="1"/>
    <x v="15"/>
    <x v="1"/>
    <x v="0"/>
    <n v="1.52"/>
    <n v="8507.2999999999993"/>
    <n v="24126.15"/>
    <x v="2"/>
  </r>
  <r>
    <x v="8"/>
    <x v="1"/>
    <x v="5"/>
    <x v="1"/>
    <x v="16"/>
    <x v="1"/>
    <x v="0"/>
    <n v="2.16"/>
    <n v="12089.33"/>
    <n v="32635.13"/>
    <x v="2"/>
  </r>
  <r>
    <x v="8"/>
    <x v="1"/>
    <x v="5"/>
    <x v="1"/>
    <x v="17"/>
    <x v="1"/>
    <x v="0"/>
    <n v="3.77"/>
    <n v="21100.35"/>
    <n v="57483.28"/>
    <x v="2"/>
  </r>
  <r>
    <x v="8"/>
    <x v="1"/>
    <x v="5"/>
    <x v="1"/>
    <x v="18"/>
    <x v="1"/>
    <x v="0"/>
    <n v="6.42"/>
    <n v="35932.160000000003"/>
    <n v="102407.69"/>
    <x v="2"/>
  </r>
  <r>
    <x v="8"/>
    <x v="1"/>
    <x v="5"/>
    <x v="1"/>
    <x v="19"/>
    <x v="1"/>
    <x v="0"/>
    <n v="5.46"/>
    <n v="30559.13"/>
    <n v="84499.839999999997"/>
    <x v="2"/>
  </r>
  <r>
    <x v="8"/>
    <x v="1"/>
    <x v="5"/>
    <x v="1"/>
    <x v="20"/>
    <x v="1"/>
    <x v="0"/>
    <n v="9.4700000000000006"/>
    <n v="53002.74"/>
    <n v="144213.75"/>
    <x v="2"/>
  </r>
  <r>
    <x v="8"/>
    <x v="1"/>
    <x v="5"/>
    <x v="2"/>
    <x v="21"/>
    <x v="1"/>
    <x v="0"/>
    <n v="0"/>
    <n v="0"/>
    <n v="0"/>
    <x v="2"/>
  </r>
  <r>
    <x v="8"/>
    <x v="1"/>
    <x v="5"/>
    <x v="2"/>
    <x v="22"/>
    <x v="1"/>
    <x v="0"/>
    <n v="5.1100000000000003"/>
    <n v="28600.21"/>
    <n v="71412.3"/>
    <x v="2"/>
  </r>
  <r>
    <x v="8"/>
    <x v="1"/>
    <x v="5"/>
    <x v="2"/>
    <x v="29"/>
    <x v="1"/>
    <x v="0"/>
    <n v="0"/>
    <n v="0"/>
    <n v="0"/>
    <x v="2"/>
  </r>
  <r>
    <x v="8"/>
    <x v="1"/>
    <x v="5"/>
    <x v="2"/>
    <x v="23"/>
    <x v="1"/>
    <x v="0"/>
    <n v="0"/>
    <n v="0"/>
    <n v="0"/>
    <x v="2"/>
  </r>
  <r>
    <x v="8"/>
    <x v="1"/>
    <x v="5"/>
    <x v="2"/>
    <x v="24"/>
    <x v="1"/>
    <x v="0"/>
    <n v="0.84"/>
    <n v="4701.3999999999996"/>
    <n v="12012.01"/>
    <x v="2"/>
  </r>
  <r>
    <x v="8"/>
    <x v="1"/>
    <x v="5"/>
    <x v="3"/>
    <x v="25"/>
    <x v="1"/>
    <x v="0"/>
    <n v="4.22"/>
    <n v="23618.959999999999"/>
    <n v="66444.25"/>
    <x v="2"/>
  </r>
  <r>
    <x v="8"/>
    <x v="1"/>
    <x v="5"/>
    <x v="3"/>
    <x v="26"/>
    <x v="1"/>
    <x v="0"/>
    <n v="4.57"/>
    <n v="25577.88"/>
    <n v="72361.17"/>
    <x v="2"/>
  </r>
  <r>
    <x v="8"/>
    <x v="1"/>
    <x v="5"/>
    <x v="3"/>
    <x v="27"/>
    <x v="1"/>
    <x v="0"/>
    <n v="10.73"/>
    <n v="60054.84"/>
    <n v="166841.9"/>
    <x v="2"/>
  </r>
  <r>
    <x v="8"/>
    <x v="1"/>
    <x v="5"/>
    <x v="0"/>
    <x v="0"/>
    <x v="1"/>
    <x v="1"/>
    <n v="6.01"/>
    <n v="33637.43"/>
    <n v="90228.42"/>
    <x v="2"/>
  </r>
  <r>
    <x v="8"/>
    <x v="1"/>
    <x v="5"/>
    <x v="0"/>
    <x v="1"/>
    <x v="1"/>
    <x v="1"/>
    <n v="11.98"/>
    <n v="67050.98"/>
    <n v="176938.81"/>
    <x v="2"/>
  </r>
  <r>
    <x v="8"/>
    <x v="1"/>
    <x v="5"/>
    <x v="0"/>
    <x v="2"/>
    <x v="1"/>
    <x v="1"/>
    <n v="9.49"/>
    <n v="53114.68"/>
    <n v="135346.99"/>
    <x v="2"/>
  </r>
  <r>
    <x v="8"/>
    <x v="1"/>
    <x v="5"/>
    <x v="0"/>
    <x v="3"/>
    <x v="1"/>
    <x v="1"/>
    <n v="19.23"/>
    <n v="107628.58"/>
    <n v="285231.02"/>
    <x v="2"/>
  </r>
  <r>
    <x v="8"/>
    <x v="1"/>
    <x v="5"/>
    <x v="0"/>
    <x v="28"/>
    <x v="1"/>
    <x v="1"/>
    <n v="2.8"/>
    <n v="15671.35"/>
    <n v="41998.54"/>
    <x v="2"/>
  </r>
  <r>
    <x v="8"/>
    <x v="1"/>
    <x v="5"/>
    <x v="0"/>
    <x v="4"/>
    <x v="1"/>
    <x v="1"/>
    <n v="5.57"/>
    <n v="31174.79"/>
    <n v="81792.800000000003"/>
    <x v="2"/>
  </r>
  <r>
    <x v="8"/>
    <x v="1"/>
    <x v="5"/>
    <x v="0"/>
    <x v="5"/>
    <x v="1"/>
    <x v="1"/>
    <n v="17.25"/>
    <n v="96546.7"/>
    <n v="261001.81"/>
    <x v="2"/>
  </r>
  <r>
    <x v="8"/>
    <x v="1"/>
    <x v="5"/>
    <x v="0"/>
    <x v="6"/>
    <x v="1"/>
    <x v="1"/>
    <n v="0.83"/>
    <n v="4645.4399999999996"/>
    <n v="12492.74"/>
    <x v="2"/>
  </r>
  <r>
    <x v="8"/>
    <x v="1"/>
    <x v="5"/>
    <x v="0"/>
    <x v="7"/>
    <x v="1"/>
    <x v="1"/>
    <n v="3.14"/>
    <n v="17574.3"/>
    <n v="48120.38"/>
    <x v="2"/>
  </r>
  <r>
    <x v="8"/>
    <x v="1"/>
    <x v="5"/>
    <x v="0"/>
    <x v="8"/>
    <x v="1"/>
    <x v="1"/>
    <n v="1.51"/>
    <n v="8451.33"/>
    <n v="22140.18"/>
    <x v="2"/>
  </r>
  <r>
    <x v="8"/>
    <x v="1"/>
    <x v="5"/>
    <x v="1"/>
    <x v="30"/>
    <x v="1"/>
    <x v="1"/>
    <n v="0"/>
    <n v="0"/>
    <n v="0"/>
    <x v="2"/>
  </r>
  <r>
    <x v="8"/>
    <x v="1"/>
    <x v="5"/>
    <x v="1"/>
    <x v="9"/>
    <x v="1"/>
    <x v="1"/>
    <n v="3.87"/>
    <n v="21660.04"/>
    <n v="61213.82"/>
    <x v="2"/>
  </r>
  <r>
    <x v="8"/>
    <x v="1"/>
    <x v="5"/>
    <x v="1"/>
    <x v="31"/>
    <x v="1"/>
    <x v="1"/>
    <n v="0"/>
    <n v="0"/>
    <n v="0"/>
    <x v="2"/>
  </r>
  <r>
    <x v="8"/>
    <x v="1"/>
    <x v="5"/>
    <x v="1"/>
    <x v="10"/>
    <x v="1"/>
    <x v="1"/>
    <n v="25.13"/>
    <n v="140650.35"/>
    <n v="393591.75"/>
    <x v="2"/>
  </r>
  <r>
    <x v="8"/>
    <x v="1"/>
    <x v="5"/>
    <x v="1"/>
    <x v="11"/>
    <x v="1"/>
    <x v="1"/>
    <n v="14.37"/>
    <n v="80427.600000000006"/>
    <n v="214518.38"/>
    <x v="2"/>
  </r>
  <r>
    <x v="8"/>
    <x v="1"/>
    <x v="5"/>
    <x v="1"/>
    <x v="12"/>
    <x v="1"/>
    <x v="1"/>
    <n v="2.4500000000000002"/>
    <n v="13712.43"/>
    <n v="38452.400000000001"/>
    <x v="2"/>
  </r>
  <r>
    <x v="8"/>
    <x v="1"/>
    <x v="5"/>
    <x v="1"/>
    <x v="13"/>
    <x v="1"/>
    <x v="1"/>
    <n v="8.52"/>
    <n v="47685.67"/>
    <n v="133269.15"/>
    <x v="2"/>
  </r>
  <r>
    <x v="8"/>
    <x v="1"/>
    <x v="5"/>
    <x v="1"/>
    <x v="14"/>
    <x v="1"/>
    <x v="1"/>
    <n v="5.21"/>
    <n v="29159.9"/>
    <n v="79849.070000000007"/>
    <x v="2"/>
  </r>
  <r>
    <x v="8"/>
    <x v="1"/>
    <x v="5"/>
    <x v="1"/>
    <x v="15"/>
    <x v="1"/>
    <x v="1"/>
    <n v="1.52"/>
    <n v="8507.2999999999993"/>
    <n v="24126.15"/>
    <x v="2"/>
  </r>
  <r>
    <x v="8"/>
    <x v="1"/>
    <x v="5"/>
    <x v="1"/>
    <x v="16"/>
    <x v="1"/>
    <x v="1"/>
    <n v="4.17"/>
    <n v="23339.11"/>
    <n v="62980.08"/>
    <x v="2"/>
  </r>
  <r>
    <x v="8"/>
    <x v="1"/>
    <x v="5"/>
    <x v="1"/>
    <x v="17"/>
    <x v="1"/>
    <x v="1"/>
    <n v="3.28"/>
    <n v="18357.86"/>
    <n v="49985.47"/>
    <x v="2"/>
  </r>
  <r>
    <x v="8"/>
    <x v="1"/>
    <x v="5"/>
    <x v="1"/>
    <x v="18"/>
    <x v="1"/>
    <x v="1"/>
    <n v="25.58"/>
    <n v="143168.95999999999"/>
    <n v="408227.92"/>
    <x v="2"/>
  </r>
  <r>
    <x v="8"/>
    <x v="1"/>
    <x v="5"/>
    <x v="1"/>
    <x v="19"/>
    <x v="1"/>
    <x v="1"/>
    <n v="8.1300000000000008"/>
    <n v="45502.879999999997"/>
    <n v="125789.53"/>
    <x v="2"/>
  </r>
  <r>
    <x v="8"/>
    <x v="1"/>
    <x v="5"/>
    <x v="1"/>
    <x v="20"/>
    <x v="1"/>
    <x v="1"/>
    <n v="18.420000000000002"/>
    <n v="103095.08"/>
    <n v="280415.63"/>
    <x v="2"/>
  </r>
  <r>
    <x v="8"/>
    <x v="1"/>
    <x v="5"/>
    <x v="2"/>
    <x v="21"/>
    <x v="1"/>
    <x v="1"/>
    <n v="2.0699999999999998"/>
    <n v="11585.6"/>
    <n v="28989.79"/>
    <x v="2"/>
  </r>
  <r>
    <x v="8"/>
    <x v="1"/>
    <x v="5"/>
    <x v="2"/>
    <x v="22"/>
    <x v="1"/>
    <x v="1"/>
    <n v="10.72"/>
    <n v="59998.879999999997"/>
    <n v="149965.82999999999"/>
    <x v="2"/>
  </r>
  <r>
    <x v="8"/>
    <x v="1"/>
    <x v="5"/>
    <x v="2"/>
    <x v="29"/>
    <x v="1"/>
    <x v="1"/>
    <n v="1.24"/>
    <n v="6940.17"/>
    <n v="18379.21"/>
    <x v="2"/>
  </r>
  <r>
    <x v="8"/>
    <x v="1"/>
    <x v="5"/>
    <x v="2"/>
    <x v="23"/>
    <x v="1"/>
    <x v="1"/>
    <n v="1.85"/>
    <n v="10354.280000000001"/>
    <n v="26927.5"/>
    <x v="2"/>
  </r>
  <r>
    <x v="8"/>
    <x v="1"/>
    <x v="5"/>
    <x v="2"/>
    <x v="24"/>
    <x v="1"/>
    <x v="1"/>
    <n v="1.3"/>
    <n v="7275.98"/>
    <n v="18564.02"/>
    <x v="2"/>
  </r>
  <r>
    <x v="8"/>
    <x v="1"/>
    <x v="5"/>
    <x v="3"/>
    <x v="25"/>
    <x v="1"/>
    <x v="1"/>
    <n v="7.5"/>
    <n v="41976.83"/>
    <n v="117972.44"/>
    <x v="2"/>
  </r>
  <r>
    <x v="8"/>
    <x v="1"/>
    <x v="5"/>
    <x v="3"/>
    <x v="26"/>
    <x v="1"/>
    <x v="1"/>
    <n v="11.03"/>
    <n v="61733.919999999998"/>
    <n v="174759.04000000001"/>
    <x v="2"/>
  </r>
  <r>
    <x v="8"/>
    <x v="1"/>
    <x v="5"/>
    <x v="3"/>
    <x v="27"/>
    <x v="1"/>
    <x v="1"/>
    <n v="28.32"/>
    <n v="158504.49"/>
    <n v="440353.22"/>
    <x v="2"/>
  </r>
  <r>
    <x v="8"/>
    <x v="1"/>
    <x v="6"/>
    <x v="0"/>
    <x v="0"/>
    <x v="0"/>
    <x v="0"/>
    <n v="2.21"/>
    <n v="5868.15"/>
    <n v="20742.34"/>
    <x v="2"/>
  </r>
  <r>
    <x v="8"/>
    <x v="1"/>
    <x v="6"/>
    <x v="0"/>
    <x v="1"/>
    <x v="0"/>
    <x v="0"/>
    <n v="3.01"/>
    <n v="7992.36"/>
    <n v="28205.52"/>
    <x v="2"/>
  </r>
  <r>
    <x v="8"/>
    <x v="1"/>
    <x v="6"/>
    <x v="0"/>
    <x v="2"/>
    <x v="0"/>
    <x v="0"/>
    <n v="0"/>
    <n v="0"/>
    <n v="0"/>
    <x v="2"/>
  </r>
  <r>
    <x v="8"/>
    <x v="1"/>
    <x v="6"/>
    <x v="0"/>
    <x v="3"/>
    <x v="0"/>
    <x v="0"/>
    <n v="1.41"/>
    <n v="3743.93"/>
    <n v="13189.34"/>
    <x v="2"/>
  </r>
  <r>
    <x v="8"/>
    <x v="1"/>
    <x v="6"/>
    <x v="0"/>
    <x v="4"/>
    <x v="0"/>
    <x v="0"/>
    <n v="0"/>
    <n v="0"/>
    <n v="0"/>
    <x v="2"/>
  </r>
  <r>
    <x v="8"/>
    <x v="1"/>
    <x v="6"/>
    <x v="0"/>
    <x v="5"/>
    <x v="0"/>
    <x v="0"/>
    <n v="0"/>
    <n v="0"/>
    <n v="0"/>
    <x v="2"/>
  </r>
  <r>
    <x v="8"/>
    <x v="1"/>
    <x v="6"/>
    <x v="0"/>
    <x v="6"/>
    <x v="0"/>
    <x v="0"/>
    <n v="0"/>
    <n v="0"/>
    <n v="0"/>
    <x v="2"/>
  </r>
  <r>
    <x v="8"/>
    <x v="1"/>
    <x v="6"/>
    <x v="0"/>
    <x v="8"/>
    <x v="0"/>
    <x v="0"/>
    <n v="0"/>
    <n v="0"/>
    <n v="0"/>
    <x v="2"/>
  </r>
  <r>
    <x v="8"/>
    <x v="1"/>
    <x v="6"/>
    <x v="1"/>
    <x v="10"/>
    <x v="0"/>
    <x v="0"/>
    <n v="2.54"/>
    <n v="6744.39"/>
    <n v="23769.03"/>
    <x v="2"/>
  </r>
  <r>
    <x v="8"/>
    <x v="1"/>
    <x v="6"/>
    <x v="1"/>
    <x v="11"/>
    <x v="0"/>
    <x v="0"/>
    <n v="0"/>
    <n v="0"/>
    <n v="0"/>
    <x v="2"/>
  </r>
  <r>
    <x v="8"/>
    <x v="1"/>
    <x v="6"/>
    <x v="1"/>
    <x v="13"/>
    <x v="0"/>
    <x v="0"/>
    <n v="0"/>
    <n v="0"/>
    <n v="0"/>
    <x v="2"/>
  </r>
  <r>
    <x v="8"/>
    <x v="1"/>
    <x v="6"/>
    <x v="1"/>
    <x v="14"/>
    <x v="0"/>
    <x v="0"/>
    <n v="0"/>
    <n v="0"/>
    <n v="0"/>
    <x v="2"/>
  </r>
  <r>
    <x v="8"/>
    <x v="1"/>
    <x v="6"/>
    <x v="1"/>
    <x v="16"/>
    <x v="0"/>
    <x v="0"/>
    <n v="0"/>
    <n v="0"/>
    <n v="0"/>
    <x v="2"/>
  </r>
  <r>
    <x v="8"/>
    <x v="1"/>
    <x v="6"/>
    <x v="1"/>
    <x v="17"/>
    <x v="0"/>
    <x v="0"/>
    <n v="0"/>
    <n v="0"/>
    <n v="0"/>
    <x v="2"/>
  </r>
  <r>
    <x v="8"/>
    <x v="1"/>
    <x v="6"/>
    <x v="1"/>
    <x v="18"/>
    <x v="0"/>
    <x v="0"/>
    <n v="0"/>
    <n v="0"/>
    <n v="0"/>
    <x v="2"/>
  </r>
  <r>
    <x v="8"/>
    <x v="1"/>
    <x v="6"/>
    <x v="1"/>
    <x v="19"/>
    <x v="0"/>
    <x v="0"/>
    <n v="0"/>
    <n v="0"/>
    <n v="0"/>
    <x v="2"/>
  </r>
  <r>
    <x v="8"/>
    <x v="1"/>
    <x v="6"/>
    <x v="1"/>
    <x v="20"/>
    <x v="0"/>
    <x v="0"/>
    <n v="1.29"/>
    <n v="3425.3"/>
    <n v="12129.1"/>
    <x v="2"/>
  </r>
  <r>
    <x v="8"/>
    <x v="1"/>
    <x v="6"/>
    <x v="2"/>
    <x v="21"/>
    <x v="0"/>
    <x v="0"/>
    <n v="1.37"/>
    <n v="3637.72"/>
    <n v="12856.12"/>
    <x v="2"/>
  </r>
  <r>
    <x v="8"/>
    <x v="1"/>
    <x v="6"/>
    <x v="2"/>
    <x v="22"/>
    <x v="0"/>
    <x v="0"/>
    <n v="0"/>
    <n v="0"/>
    <n v="0"/>
    <x v="2"/>
  </r>
  <r>
    <x v="8"/>
    <x v="1"/>
    <x v="6"/>
    <x v="2"/>
    <x v="29"/>
    <x v="0"/>
    <x v="0"/>
    <n v="0"/>
    <n v="0"/>
    <n v="0"/>
    <x v="2"/>
  </r>
  <r>
    <x v="8"/>
    <x v="1"/>
    <x v="6"/>
    <x v="2"/>
    <x v="24"/>
    <x v="0"/>
    <x v="0"/>
    <n v="0"/>
    <n v="0"/>
    <n v="0"/>
    <x v="2"/>
  </r>
  <r>
    <x v="8"/>
    <x v="1"/>
    <x v="6"/>
    <x v="3"/>
    <x v="25"/>
    <x v="0"/>
    <x v="0"/>
    <n v="0"/>
    <n v="0"/>
    <n v="0"/>
    <x v="2"/>
  </r>
  <r>
    <x v="8"/>
    <x v="1"/>
    <x v="6"/>
    <x v="3"/>
    <x v="26"/>
    <x v="0"/>
    <x v="0"/>
    <n v="1.54"/>
    <n v="4089.12"/>
    <n v="14468.46"/>
    <x v="2"/>
  </r>
  <r>
    <x v="8"/>
    <x v="1"/>
    <x v="6"/>
    <x v="3"/>
    <x v="27"/>
    <x v="0"/>
    <x v="0"/>
    <n v="1.51"/>
    <n v="4009.46"/>
    <n v="14150.54"/>
    <x v="2"/>
  </r>
  <r>
    <x v="8"/>
    <x v="1"/>
    <x v="6"/>
    <x v="0"/>
    <x v="0"/>
    <x v="0"/>
    <x v="1"/>
    <n v="1.73"/>
    <n v="4593.62"/>
    <n v="16233.13"/>
    <x v="2"/>
  </r>
  <r>
    <x v="8"/>
    <x v="1"/>
    <x v="6"/>
    <x v="0"/>
    <x v="1"/>
    <x v="0"/>
    <x v="1"/>
    <n v="6.3"/>
    <n v="16728.2"/>
    <n v="59028.05"/>
    <x v="2"/>
  </r>
  <r>
    <x v="8"/>
    <x v="1"/>
    <x v="6"/>
    <x v="0"/>
    <x v="2"/>
    <x v="0"/>
    <x v="1"/>
    <n v="2.96"/>
    <n v="7859.6"/>
    <n v="27688.82"/>
    <x v="2"/>
  </r>
  <r>
    <x v="8"/>
    <x v="1"/>
    <x v="6"/>
    <x v="0"/>
    <x v="3"/>
    <x v="0"/>
    <x v="1"/>
    <n v="5.63"/>
    <n v="14949.17"/>
    <n v="52757.34"/>
    <x v="2"/>
  </r>
  <r>
    <x v="8"/>
    <x v="1"/>
    <x v="6"/>
    <x v="0"/>
    <x v="4"/>
    <x v="0"/>
    <x v="1"/>
    <n v="2.06"/>
    <n v="5469.86"/>
    <n v="19268.71"/>
    <x v="2"/>
  </r>
  <r>
    <x v="8"/>
    <x v="1"/>
    <x v="6"/>
    <x v="0"/>
    <x v="5"/>
    <x v="0"/>
    <x v="1"/>
    <n v="3.49"/>
    <n v="9266.89"/>
    <n v="32729.53"/>
    <x v="2"/>
  </r>
  <r>
    <x v="8"/>
    <x v="1"/>
    <x v="6"/>
    <x v="0"/>
    <x v="6"/>
    <x v="0"/>
    <x v="1"/>
    <n v="1.77"/>
    <n v="4699.83"/>
    <n v="16569.38"/>
    <x v="2"/>
  </r>
  <r>
    <x v="8"/>
    <x v="1"/>
    <x v="6"/>
    <x v="0"/>
    <x v="8"/>
    <x v="0"/>
    <x v="1"/>
    <n v="2.79"/>
    <n v="7408.2"/>
    <n v="26161.17"/>
    <x v="2"/>
  </r>
  <r>
    <x v="8"/>
    <x v="1"/>
    <x v="6"/>
    <x v="1"/>
    <x v="10"/>
    <x v="0"/>
    <x v="1"/>
    <n v="3.57"/>
    <n v="9479.31"/>
    <n v="33452.71"/>
    <x v="2"/>
  </r>
  <r>
    <x v="8"/>
    <x v="1"/>
    <x v="6"/>
    <x v="1"/>
    <x v="11"/>
    <x v="0"/>
    <x v="1"/>
    <n v="11.92"/>
    <n v="31650.82"/>
    <n v="111613.33"/>
    <x v="2"/>
  </r>
  <r>
    <x v="8"/>
    <x v="1"/>
    <x v="6"/>
    <x v="1"/>
    <x v="13"/>
    <x v="0"/>
    <x v="1"/>
    <n v="3.63"/>
    <n v="9638.6299999999992"/>
    <n v="34033.480000000003"/>
    <x v="2"/>
  </r>
  <r>
    <x v="8"/>
    <x v="1"/>
    <x v="6"/>
    <x v="1"/>
    <x v="14"/>
    <x v="0"/>
    <x v="1"/>
    <n v="2.86"/>
    <n v="7594.07"/>
    <n v="26830.15"/>
    <x v="2"/>
  </r>
  <r>
    <x v="8"/>
    <x v="1"/>
    <x v="6"/>
    <x v="1"/>
    <x v="16"/>
    <x v="0"/>
    <x v="1"/>
    <n v="1.67"/>
    <n v="4434.3"/>
    <n v="15608.14"/>
    <x v="2"/>
  </r>
  <r>
    <x v="8"/>
    <x v="1"/>
    <x v="6"/>
    <x v="1"/>
    <x v="17"/>
    <x v="0"/>
    <x v="1"/>
    <n v="0.55000000000000004"/>
    <n v="1460.4"/>
    <n v="5165.07"/>
    <x v="2"/>
  </r>
  <r>
    <x v="8"/>
    <x v="1"/>
    <x v="6"/>
    <x v="1"/>
    <x v="18"/>
    <x v="0"/>
    <x v="1"/>
    <n v="9.64"/>
    <n v="25596.799999999999"/>
    <n v="90339.16"/>
    <x v="2"/>
  </r>
  <r>
    <x v="8"/>
    <x v="1"/>
    <x v="6"/>
    <x v="1"/>
    <x v="19"/>
    <x v="0"/>
    <x v="1"/>
    <n v="3.47"/>
    <n v="9213.7900000000009"/>
    <n v="32486.71"/>
    <x v="2"/>
  </r>
  <r>
    <x v="8"/>
    <x v="1"/>
    <x v="6"/>
    <x v="1"/>
    <x v="20"/>
    <x v="0"/>
    <x v="1"/>
    <n v="8.14"/>
    <n v="21613.9"/>
    <n v="76240.070000000007"/>
    <x v="2"/>
  </r>
  <r>
    <x v="8"/>
    <x v="1"/>
    <x v="6"/>
    <x v="2"/>
    <x v="21"/>
    <x v="0"/>
    <x v="1"/>
    <n v="0"/>
    <n v="0"/>
    <n v="0"/>
    <x v="2"/>
  </r>
  <r>
    <x v="8"/>
    <x v="1"/>
    <x v="6"/>
    <x v="2"/>
    <x v="22"/>
    <x v="0"/>
    <x v="1"/>
    <n v="2.5"/>
    <n v="6638.18"/>
    <n v="23434.639999999999"/>
    <x v="2"/>
  </r>
  <r>
    <x v="8"/>
    <x v="1"/>
    <x v="6"/>
    <x v="2"/>
    <x v="29"/>
    <x v="0"/>
    <x v="1"/>
    <n v="1.27"/>
    <n v="3372.19"/>
    <n v="11929.02"/>
    <x v="2"/>
  </r>
  <r>
    <x v="8"/>
    <x v="1"/>
    <x v="6"/>
    <x v="2"/>
    <x v="24"/>
    <x v="0"/>
    <x v="1"/>
    <n v="1.26"/>
    <n v="3345.64"/>
    <n v="11840.15"/>
    <x v="2"/>
  </r>
  <r>
    <x v="8"/>
    <x v="1"/>
    <x v="6"/>
    <x v="3"/>
    <x v="25"/>
    <x v="0"/>
    <x v="1"/>
    <n v="2.81"/>
    <n v="7461.31"/>
    <n v="26337.11"/>
    <x v="2"/>
  </r>
  <r>
    <x v="8"/>
    <x v="1"/>
    <x v="6"/>
    <x v="3"/>
    <x v="26"/>
    <x v="0"/>
    <x v="1"/>
    <n v="1.06"/>
    <n v="2814.59"/>
    <n v="9947.06"/>
    <x v="2"/>
  </r>
  <r>
    <x v="8"/>
    <x v="1"/>
    <x v="6"/>
    <x v="3"/>
    <x v="27"/>
    <x v="0"/>
    <x v="1"/>
    <n v="7.46"/>
    <n v="19808.310000000001"/>
    <n v="69868.27"/>
    <x v="2"/>
  </r>
  <r>
    <x v="8"/>
    <x v="1"/>
    <x v="6"/>
    <x v="0"/>
    <x v="0"/>
    <x v="1"/>
    <x v="0"/>
    <n v="2.41"/>
    <n v="6399.2"/>
    <n v="14740.26"/>
    <x v="2"/>
  </r>
  <r>
    <x v="8"/>
    <x v="1"/>
    <x v="6"/>
    <x v="0"/>
    <x v="1"/>
    <x v="1"/>
    <x v="0"/>
    <n v="11.52"/>
    <n v="30588.71"/>
    <n v="69377.94"/>
    <x v="2"/>
  </r>
  <r>
    <x v="8"/>
    <x v="1"/>
    <x v="6"/>
    <x v="0"/>
    <x v="2"/>
    <x v="1"/>
    <x v="0"/>
    <n v="2.87"/>
    <n v="7620.62"/>
    <n v="16712.099999999999"/>
    <x v="2"/>
  </r>
  <r>
    <x v="8"/>
    <x v="1"/>
    <x v="6"/>
    <x v="0"/>
    <x v="3"/>
    <x v="1"/>
    <x v="0"/>
    <n v="10.24"/>
    <n v="27189.96"/>
    <n v="61953.14"/>
    <x v="2"/>
  </r>
  <r>
    <x v="8"/>
    <x v="1"/>
    <x v="6"/>
    <x v="0"/>
    <x v="28"/>
    <x v="1"/>
    <x v="0"/>
    <n v="0"/>
    <n v="0"/>
    <n v="0"/>
    <x v="2"/>
  </r>
  <r>
    <x v="8"/>
    <x v="1"/>
    <x v="6"/>
    <x v="0"/>
    <x v="4"/>
    <x v="1"/>
    <x v="0"/>
    <n v="5.67"/>
    <n v="15055.38"/>
    <n v="34012.559999999998"/>
    <x v="2"/>
  </r>
  <r>
    <x v="8"/>
    <x v="1"/>
    <x v="6"/>
    <x v="0"/>
    <x v="5"/>
    <x v="1"/>
    <x v="0"/>
    <n v="2.68"/>
    <n v="7116.12"/>
    <n v="16551.689999999999"/>
    <x v="2"/>
  </r>
  <r>
    <x v="8"/>
    <x v="1"/>
    <x v="6"/>
    <x v="0"/>
    <x v="6"/>
    <x v="1"/>
    <x v="0"/>
    <n v="0"/>
    <n v="0"/>
    <n v="0"/>
    <x v="2"/>
  </r>
  <r>
    <x v="8"/>
    <x v="1"/>
    <x v="6"/>
    <x v="0"/>
    <x v="7"/>
    <x v="1"/>
    <x v="0"/>
    <n v="0"/>
    <n v="0"/>
    <n v="0"/>
    <x v="2"/>
  </r>
  <r>
    <x v="8"/>
    <x v="1"/>
    <x v="6"/>
    <x v="0"/>
    <x v="8"/>
    <x v="1"/>
    <x v="0"/>
    <n v="0"/>
    <n v="0"/>
    <n v="0"/>
    <x v="2"/>
  </r>
  <r>
    <x v="8"/>
    <x v="1"/>
    <x v="6"/>
    <x v="1"/>
    <x v="30"/>
    <x v="1"/>
    <x v="0"/>
    <n v="1.19"/>
    <n v="3159.77"/>
    <n v="7673.11"/>
    <x v="2"/>
  </r>
  <r>
    <x v="8"/>
    <x v="1"/>
    <x v="6"/>
    <x v="1"/>
    <x v="9"/>
    <x v="1"/>
    <x v="0"/>
    <n v="0"/>
    <n v="0"/>
    <n v="0"/>
    <x v="2"/>
  </r>
  <r>
    <x v="8"/>
    <x v="1"/>
    <x v="6"/>
    <x v="1"/>
    <x v="31"/>
    <x v="1"/>
    <x v="0"/>
    <n v="0.71"/>
    <n v="1885.24"/>
    <n v="4633.37"/>
    <x v="2"/>
  </r>
  <r>
    <x v="8"/>
    <x v="1"/>
    <x v="6"/>
    <x v="1"/>
    <x v="10"/>
    <x v="1"/>
    <x v="0"/>
    <n v="9.69"/>
    <n v="25729.57"/>
    <n v="61888.32"/>
    <x v="2"/>
  </r>
  <r>
    <x v="8"/>
    <x v="1"/>
    <x v="6"/>
    <x v="1"/>
    <x v="11"/>
    <x v="1"/>
    <x v="0"/>
    <n v="7.04"/>
    <n v="18693.099999999999"/>
    <n v="42888.42"/>
    <x v="2"/>
  </r>
  <r>
    <x v="8"/>
    <x v="1"/>
    <x v="6"/>
    <x v="1"/>
    <x v="12"/>
    <x v="1"/>
    <x v="0"/>
    <n v="1.66"/>
    <n v="4407.75"/>
    <n v="10664.54"/>
    <x v="2"/>
  </r>
  <r>
    <x v="8"/>
    <x v="1"/>
    <x v="6"/>
    <x v="1"/>
    <x v="13"/>
    <x v="1"/>
    <x v="0"/>
    <n v="1.5"/>
    <n v="3982.91"/>
    <n v="9581.66"/>
    <x v="2"/>
  </r>
  <r>
    <x v="8"/>
    <x v="1"/>
    <x v="6"/>
    <x v="1"/>
    <x v="14"/>
    <x v="1"/>
    <x v="0"/>
    <n v="10.27"/>
    <n v="27269.62"/>
    <n v="64255.95"/>
    <x v="2"/>
  </r>
  <r>
    <x v="8"/>
    <x v="1"/>
    <x v="6"/>
    <x v="1"/>
    <x v="15"/>
    <x v="1"/>
    <x v="0"/>
    <n v="2.15"/>
    <n v="5708.83"/>
    <n v="13923.92"/>
    <x v="2"/>
  </r>
  <r>
    <x v="8"/>
    <x v="1"/>
    <x v="6"/>
    <x v="1"/>
    <x v="16"/>
    <x v="1"/>
    <x v="0"/>
    <n v="4.1100000000000003"/>
    <n v="10913.16"/>
    <n v="25318.09"/>
    <x v="2"/>
  </r>
  <r>
    <x v="8"/>
    <x v="1"/>
    <x v="6"/>
    <x v="1"/>
    <x v="17"/>
    <x v="1"/>
    <x v="0"/>
    <n v="4.08"/>
    <n v="10833.5"/>
    <n v="25405.34"/>
    <x v="2"/>
  </r>
  <r>
    <x v="8"/>
    <x v="1"/>
    <x v="6"/>
    <x v="1"/>
    <x v="18"/>
    <x v="1"/>
    <x v="0"/>
    <n v="4.3"/>
    <n v="11417.66"/>
    <n v="27996.880000000001"/>
    <x v="2"/>
  </r>
  <r>
    <x v="8"/>
    <x v="1"/>
    <x v="6"/>
    <x v="1"/>
    <x v="19"/>
    <x v="1"/>
    <x v="0"/>
    <n v="8.9600000000000009"/>
    <n v="23791.22"/>
    <n v="56589.35"/>
    <x v="2"/>
  </r>
  <r>
    <x v="8"/>
    <x v="1"/>
    <x v="6"/>
    <x v="1"/>
    <x v="20"/>
    <x v="1"/>
    <x v="0"/>
    <n v="10.25"/>
    <n v="27216.52"/>
    <n v="63659.83"/>
    <x v="2"/>
  </r>
  <r>
    <x v="8"/>
    <x v="1"/>
    <x v="6"/>
    <x v="2"/>
    <x v="21"/>
    <x v="1"/>
    <x v="0"/>
    <n v="0"/>
    <n v="0"/>
    <n v="0"/>
    <x v="2"/>
  </r>
  <r>
    <x v="8"/>
    <x v="1"/>
    <x v="6"/>
    <x v="2"/>
    <x v="22"/>
    <x v="1"/>
    <x v="0"/>
    <n v="3.98"/>
    <n v="10567.97"/>
    <n v="22717.15"/>
    <x v="2"/>
  </r>
  <r>
    <x v="8"/>
    <x v="1"/>
    <x v="6"/>
    <x v="2"/>
    <x v="29"/>
    <x v="1"/>
    <x v="0"/>
    <n v="0"/>
    <n v="0"/>
    <n v="0"/>
    <x v="2"/>
  </r>
  <r>
    <x v="8"/>
    <x v="1"/>
    <x v="6"/>
    <x v="2"/>
    <x v="23"/>
    <x v="1"/>
    <x v="0"/>
    <n v="0"/>
    <n v="0"/>
    <n v="0"/>
    <x v="2"/>
  </r>
  <r>
    <x v="8"/>
    <x v="1"/>
    <x v="6"/>
    <x v="2"/>
    <x v="24"/>
    <x v="1"/>
    <x v="0"/>
    <n v="2.08"/>
    <n v="5522.96"/>
    <n v="12104.79"/>
    <x v="2"/>
  </r>
  <r>
    <x v="8"/>
    <x v="1"/>
    <x v="6"/>
    <x v="3"/>
    <x v="25"/>
    <x v="1"/>
    <x v="0"/>
    <n v="3.95"/>
    <n v="10488.32"/>
    <n v="25364.17"/>
    <x v="2"/>
  </r>
  <r>
    <x v="8"/>
    <x v="1"/>
    <x v="6"/>
    <x v="3"/>
    <x v="26"/>
    <x v="1"/>
    <x v="0"/>
    <n v="2.67"/>
    <n v="7089.57"/>
    <n v="17233.57"/>
    <x v="2"/>
  </r>
  <r>
    <x v="8"/>
    <x v="1"/>
    <x v="6"/>
    <x v="3"/>
    <x v="27"/>
    <x v="1"/>
    <x v="0"/>
    <n v="9.1300000000000008"/>
    <n v="24242.62"/>
    <n v="57917.29"/>
    <x v="2"/>
  </r>
  <r>
    <x v="8"/>
    <x v="1"/>
    <x v="6"/>
    <x v="0"/>
    <x v="0"/>
    <x v="1"/>
    <x v="1"/>
    <n v="3.46"/>
    <n v="9187.23"/>
    <n v="21189.13"/>
    <x v="2"/>
  </r>
  <r>
    <x v="8"/>
    <x v="1"/>
    <x v="6"/>
    <x v="0"/>
    <x v="1"/>
    <x v="1"/>
    <x v="1"/>
    <n v="20.58"/>
    <n v="54645.46"/>
    <n v="123962.05"/>
    <x v="2"/>
  </r>
  <r>
    <x v="8"/>
    <x v="1"/>
    <x v="6"/>
    <x v="0"/>
    <x v="2"/>
    <x v="1"/>
    <x v="1"/>
    <n v="11.75"/>
    <n v="31199.42"/>
    <n v="68367.67"/>
    <x v="2"/>
  </r>
  <r>
    <x v="8"/>
    <x v="1"/>
    <x v="6"/>
    <x v="0"/>
    <x v="3"/>
    <x v="1"/>
    <x v="1"/>
    <n v="22.59"/>
    <n v="59982.55"/>
    <n v="136724.18"/>
    <x v="2"/>
  </r>
  <r>
    <x v="8"/>
    <x v="1"/>
    <x v="6"/>
    <x v="0"/>
    <x v="28"/>
    <x v="1"/>
    <x v="1"/>
    <n v="4.45"/>
    <n v="11815.95"/>
    <n v="27261.73"/>
    <x v="2"/>
  </r>
  <r>
    <x v="8"/>
    <x v="1"/>
    <x v="6"/>
    <x v="0"/>
    <x v="4"/>
    <x v="1"/>
    <x v="1"/>
    <n v="11.14"/>
    <n v="29579.71"/>
    <n v="66765.399999999994"/>
    <x v="2"/>
  </r>
  <r>
    <x v="8"/>
    <x v="1"/>
    <x v="6"/>
    <x v="0"/>
    <x v="5"/>
    <x v="1"/>
    <x v="1"/>
    <n v="14.62"/>
    <n v="38820.050000000003"/>
    <n v="90233.42"/>
    <x v="2"/>
  </r>
  <r>
    <x v="8"/>
    <x v="1"/>
    <x v="6"/>
    <x v="0"/>
    <x v="6"/>
    <x v="1"/>
    <x v="1"/>
    <n v="2.11"/>
    <n v="5602.62"/>
    <n v="12959.34"/>
    <x v="2"/>
  </r>
  <r>
    <x v="8"/>
    <x v="1"/>
    <x v="6"/>
    <x v="0"/>
    <x v="7"/>
    <x v="1"/>
    <x v="1"/>
    <n v="2.02"/>
    <n v="5363.65"/>
    <n v="12630.86"/>
    <x v="2"/>
  </r>
  <r>
    <x v="8"/>
    <x v="1"/>
    <x v="6"/>
    <x v="0"/>
    <x v="8"/>
    <x v="1"/>
    <x v="1"/>
    <n v="3.93"/>
    <n v="10435.209999999999"/>
    <n v="23471.119999999999"/>
    <x v="2"/>
  </r>
  <r>
    <x v="8"/>
    <x v="1"/>
    <x v="6"/>
    <x v="1"/>
    <x v="30"/>
    <x v="1"/>
    <x v="1"/>
    <n v="0"/>
    <n v="0"/>
    <n v="0"/>
    <x v="2"/>
  </r>
  <r>
    <x v="8"/>
    <x v="1"/>
    <x v="6"/>
    <x v="1"/>
    <x v="9"/>
    <x v="1"/>
    <x v="1"/>
    <n v="4.5599999999999996"/>
    <n v="12108.03"/>
    <n v="29376.31"/>
    <x v="2"/>
  </r>
  <r>
    <x v="8"/>
    <x v="1"/>
    <x v="6"/>
    <x v="1"/>
    <x v="31"/>
    <x v="1"/>
    <x v="1"/>
    <n v="0"/>
    <n v="0"/>
    <n v="0"/>
    <x v="2"/>
  </r>
  <r>
    <x v="8"/>
    <x v="1"/>
    <x v="6"/>
    <x v="1"/>
    <x v="10"/>
    <x v="1"/>
    <x v="1"/>
    <n v="24.17"/>
    <n v="64177.88"/>
    <n v="154436.91"/>
    <x v="2"/>
  </r>
  <r>
    <x v="8"/>
    <x v="1"/>
    <x v="6"/>
    <x v="1"/>
    <x v="11"/>
    <x v="1"/>
    <x v="1"/>
    <n v="24"/>
    <n v="63726.48"/>
    <n v="146138.32"/>
    <x v="2"/>
  </r>
  <r>
    <x v="8"/>
    <x v="1"/>
    <x v="6"/>
    <x v="1"/>
    <x v="12"/>
    <x v="1"/>
    <x v="1"/>
    <n v="1.58"/>
    <n v="4195.33"/>
    <n v="10103.25"/>
    <x v="2"/>
  </r>
  <r>
    <x v="8"/>
    <x v="1"/>
    <x v="6"/>
    <x v="1"/>
    <x v="13"/>
    <x v="1"/>
    <x v="1"/>
    <n v="12.55"/>
    <n v="33323.64"/>
    <n v="80035.009999999995"/>
    <x v="2"/>
  </r>
  <r>
    <x v="8"/>
    <x v="1"/>
    <x v="6"/>
    <x v="1"/>
    <x v="14"/>
    <x v="1"/>
    <x v="1"/>
    <n v="7.97"/>
    <n v="21162.5"/>
    <n v="49853.75"/>
    <x v="2"/>
  </r>
  <r>
    <x v="8"/>
    <x v="1"/>
    <x v="6"/>
    <x v="1"/>
    <x v="15"/>
    <x v="1"/>
    <x v="1"/>
    <n v="1.7"/>
    <n v="4513.96"/>
    <n v="11023.11"/>
    <x v="2"/>
  </r>
  <r>
    <x v="8"/>
    <x v="1"/>
    <x v="6"/>
    <x v="1"/>
    <x v="16"/>
    <x v="1"/>
    <x v="1"/>
    <n v="8.84"/>
    <n v="23472.59"/>
    <n v="54488.94"/>
    <x v="2"/>
  </r>
  <r>
    <x v="8"/>
    <x v="1"/>
    <x v="6"/>
    <x v="1"/>
    <x v="17"/>
    <x v="1"/>
    <x v="1"/>
    <n v="3.48"/>
    <n v="9240.34"/>
    <n v="21621.57"/>
    <x v="2"/>
  </r>
  <r>
    <x v="8"/>
    <x v="1"/>
    <x v="6"/>
    <x v="1"/>
    <x v="18"/>
    <x v="1"/>
    <x v="1"/>
    <n v="15.87"/>
    <n v="42139.13"/>
    <n v="103341.41"/>
    <x v="2"/>
  </r>
  <r>
    <x v="8"/>
    <x v="1"/>
    <x v="6"/>
    <x v="1"/>
    <x v="19"/>
    <x v="1"/>
    <x v="1"/>
    <n v="14.64"/>
    <n v="38873.15"/>
    <n v="92447.95"/>
    <x v="2"/>
  </r>
  <r>
    <x v="8"/>
    <x v="1"/>
    <x v="6"/>
    <x v="1"/>
    <x v="20"/>
    <x v="1"/>
    <x v="1"/>
    <n v="22.25"/>
    <n v="59079.76"/>
    <n v="138201.68"/>
    <x v="2"/>
  </r>
  <r>
    <x v="8"/>
    <x v="1"/>
    <x v="6"/>
    <x v="2"/>
    <x v="21"/>
    <x v="1"/>
    <x v="1"/>
    <n v="2.08"/>
    <n v="5522.96"/>
    <n v="11851.46"/>
    <x v="2"/>
  </r>
  <r>
    <x v="8"/>
    <x v="1"/>
    <x v="6"/>
    <x v="2"/>
    <x v="22"/>
    <x v="1"/>
    <x v="1"/>
    <n v="8.67"/>
    <n v="23021.19"/>
    <n v="49443.21"/>
    <x v="2"/>
  </r>
  <r>
    <x v="8"/>
    <x v="1"/>
    <x v="6"/>
    <x v="2"/>
    <x v="29"/>
    <x v="1"/>
    <x v="1"/>
    <n v="2.5099999999999998"/>
    <n v="6664.73"/>
    <n v="15199.98"/>
    <x v="2"/>
  </r>
  <r>
    <x v="8"/>
    <x v="1"/>
    <x v="6"/>
    <x v="2"/>
    <x v="23"/>
    <x v="1"/>
    <x v="1"/>
    <n v="0.43"/>
    <n v="1141.77"/>
    <n v="2574.81"/>
    <x v="2"/>
  </r>
  <r>
    <x v="8"/>
    <x v="1"/>
    <x v="6"/>
    <x v="2"/>
    <x v="24"/>
    <x v="1"/>
    <x v="1"/>
    <n v="1.3"/>
    <n v="3451.85"/>
    <n v="7565.49"/>
    <x v="2"/>
  </r>
  <r>
    <x v="8"/>
    <x v="1"/>
    <x v="6"/>
    <x v="3"/>
    <x v="25"/>
    <x v="1"/>
    <x v="1"/>
    <n v="7.49"/>
    <n v="19887.97"/>
    <n v="48030.02"/>
    <x v="2"/>
  </r>
  <r>
    <x v="8"/>
    <x v="1"/>
    <x v="6"/>
    <x v="3"/>
    <x v="26"/>
    <x v="1"/>
    <x v="1"/>
    <n v="13.25"/>
    <n v="35182.33"/>
    <n v="85611.94"/>
    <x v="2"/>
  </r>
  <r>
    <x v="8"/>
    <x v="1"/>
    <x v="6"/>
    <x v="3"/>
    <x v="27"/>
    <x v="1"/>
    <x v="1"/>
    <n v="26.97"/>
    <n v="71612.63"/>
    <n v="171019.92"/>
    <x v="2"/>
  </r>
  <r>
    <x v="8"/>
    <x v="1"/>
    <x v="7"/>
    <x v="0"/>
    <x v="0"/>
    <x v="0"/>
    <x v="0"/>
    <n v="1.61"/>
    <n v="7645.47"/>
    <n v="29920.69"/>
    <x v="2"/>
  </r>
  <r>
    <x v="8"/>
    <x v="1"/>
    <x v="7"/>
    <x v="0"/>
    <x v="1"/>
    <x v="0"/>
    <x v="0"/>
    <n v="3.3"/>
    <n v="15670.84"/>
    <n v="61206.02"/>
    <x v="2"/>
  </r>
  <r>
    <x v="8"/>
    <x v="1"/>
    <x v="7"/>
    <x v="0"/>
    <x v="2"/>
    <x v="0"/>
    <x v="0"/>
    <n v="0"/>
    <n v="0"/>
    <n v="0"/>
    <x v="2"/>
  </r>
  <r>
    <x v="8"/>
    <x v="1"/>
    <x v="7"/>
    <x v="0"/>
    <x v="3"/>
    <x v="0"/>
    <x v="0"/>
    <n v="1.83"/>
    <n v="8690.19"/>
    <n v="33848.11"/>
    <x v="2"/>
  </r>
  <r>
    <x v="8"/>
    <x v="1"/>
    <x v="7"/>
    <x v="0"/>
    <x v="4"/>
    <x v="0"/>
    <x v="0"/>
    <n v="0"/>
    <n v="0"/>
    <n v="0"/>
    <x v="2"/>
  </r>
  <r>
    <x v="8"/>
    <x v="1"/>
    <x v="7"/>
    <x v="0"/>
    <x v="5"/>
    <x v="0"/>
    <x v="0"/>
    <n v="0"/>
    <n v="0"/>
    <n v="0"/>
    <x v="2"/>
  </r>
  <r>
    <x v="8"/>
    <x v="1"/>
    <x v="7"/>
    <x v="0"/>
    <x v="6"/>
    <x v="0"/>
    <x v="0"/>
    <n v="0"/>
    <n v="0"/>
    <n v="0"/>
    <x v="2"/>
  </r>
  <r>
    <x v="8"/>
    <x v="1"/>
    <x v="7"/>
    <x v="0"/>
    <x v="8"/>
    <x v="0"/>
    <x v="0"/>
    <n v="0"/>
    <n v="0"/>
    <n v="0"/>
    <x v="2"/>
  </r>
  <r>
    <x v="8"/>
    <x v="1"/>
    <x v="7"/>
    <x v="1"/>
    <x v="10"/>
    <x v="0"/>
    <x v="0"/>
    <n v="0.93"/>
    <n v="4416.33"/>
    <n v="17304.14"/>
    <x v="2"/>
  </r>
  <r>
    <x v="8"/>
    <x v="1"/>
    <x v="7"/>
    <x v="1"/>
    <x v="11"/>
    <x v="0"/>
    <x v="0"/>
    <n v="0"/>
    <n v="0"/>
    <n v="0"/>
    <x v="2"/>
  </r>
  <r>
    <x v="8"/>
    <x v="1"/>
    <x v="7"/>
    <x v="1"/>
    <x v="13"/>
    <x v="0"/>
    <x v="0"/>
    <n v="0"/>
    <n v="0"/>
    <n v="0"/>
    <x v="2"/>
  </r>
  <r>
    <x v="8"/>
    <x v="1"/>
    <x v="7"/>
    <x v="1"/>
    <x v="14"/>
    <x v="0"/>
    <x v="0"/>
    <n v="0"/>
    <n v="0"/>
    <n v="0"/>
    <x v="2"/>
  </r>
  <r>
    <x v="8"/>
    <x v="1"/>
    <x v="7"/>
    <x v="1"/>
    <x v="16"/>
    <x v="0"/>
    <x v="0"/>
    <n v="0"/>
    <n v="0"/>
    <n v="0"/>
    <x v="2"/>
  </r>
  <r>
    <x v="8"/>
    <x v="1"/>
    <x v="7"/>
    <x v="1"/>
    <x v="17"/>
    <x v="0"/>
    <x v="0"/>
    <n v="0"/>
    <n v="0"/>
    <n v="0"/>
    <x v="2"/>
  </r>
  <r>
    <x v="8"/>
    <x v="1"/>
    <x v="7"/>
    <x v="1"/>
    <x v="18"/>
    <x v="0"/>
    <x v="0"/>
    <n v="0"/>
    <n v="0"/>
    <n v="0"/>
    <x v="2"/>
  </r>
  <r>
    <x v="8"/>
    <x v="1"/>
    <x v="7"/>
    <x v="1"/>
    <x v="19"/>
    <x v="0"/>
    <x v="0"/>
    <n v="0"/>
    <n v="0"/>
    <n v="0"/>
    <x v="2"/>
  </r>
  <r>
    <x v="8"/>
    <x v="1"/>
    <x v="7"/>
    <x v="1"/>
    <x v="20"/>
    <x v="0"/>
    <x v="0"/>
    <n v="1.46"/>
    <n v="6933.16"/>
    <n v="27103.52"/>
    <x v="2"/>
  </r>
  <r>
    <x v="8"/>
    <x v="1"/>
    <x v="7"/>
    <x v="2"/>
    <x v="21"/>
    <x v="0"/>
    <x v="0"/>
    <n v="1.26"/>
    <n v="5983.41"/>
    <n v="23267.78"/>
    <x v="2"/>
  </r>
  <r>
    <x v="8"/>
    <x v="1"/>
    <x v="7"/>
    <x v="2"/>
    <x v="22"/>
    <x v="0"/>
    <x v="0"/>
    <n v="0"/>
    <n v="0"/>
    <n v="0"/>
    <x v="2"/>
  </r>
  <r>
    <x v="8"/>
    <x v="1"/>
    <x v="7"/>
    <x v="2"/>
    <x v="29"/>
    <x v="0"/>
    <x v="0"/>
    <n v="0"/>
    <n v="0"/>
    <n v="0"/>
    <x v="2"/>
  </r>
  <r>
    <x v="8"/>
    <x v="1"/>
    <x v="7"/>
    <x v="2"/>
    <x v="24"/>
    <x v="0"/>
    <x v="0"/>
    <n v="0"/>
    <n v="0"/>
    <n v="0"/>
    <x v="2"/>
  </r>
  <r>
    <x v="8"/>
    <x v="1"/>
    <x v="7"/>
    <x v="3"/>
    <x v="25"/>
    <x v="0"/>
    <x v="0"/>
    <n v="0"/>
    <n v="0"/>
    <n v="0"/>
    <x v="2"/>
  </r>
  <r>
    <x v="8"/>
    <x v="1"/>
    <x v="7"/>
    <x v="3"/>
    <x v="26"/>
    <x v="0"/>
    <x v="0"/>
    <n v="1.83"/>
    <n v="8690.19"/>
    <n v="33959.120000000003"/>
    <x v="2"/>
  </r>
  <r>
    <x v="8"/>
    <x v="1"/>
    <x v="7"/>
    <x v="3"/>
    <x v="27"/>
    <x v="0"/>
    <x v="0"/>
    <n v="2.71"/>
    <n v="12869.09"/>
    <n v="50256.05"/>
    <x v="2"/>
  </r>
  <r>
    <x v="8"/>
    <x v="1"/>
    <x v="7"/>
    <x v="0"/>
    <x v="0"/>
    <x v="0"/>
    <x v="1"/>
    <n v="1.61"/>
    <n v="7645.47"/>
    <n v="29920.69"/>
    <x v="2"/>
  </r>
  <r>
    <x v="8"/>
    <x v="1"/>
    <x v="7"/>
    <x v="0"/>
    <x v="1"/>
    <x v="0"/>
    <x v="1"/>
    <n v="5.14"/>
    <n v="24408.52"/>
    <n v="95260.5"/>
    <x v="2"/>
  </r>
  <r>
    <x v="8"/>
    <x v="1"/>
    <x v="7"/>
    <x v="0"/>
    <x v="2"/>
    <x v="0"/>
    <x v="1"/>
    <n v="4.37"/>
    <n v="20751.990000000002"/>
    <n v="80966.53"/>
    <x v="2"/>
  </r>
  <r>
    <x v="8"/>
    <x v="1"/>
    <x v="7"/>
    <x v="0"/>
    <x v="3"/>
    <x v="0"/>
    <x v="1"/>
    <n v="4.93"/>
    <n v="23411.29"/>
    <n v="91389.89"/>
    <x v="2"/>
  </r>
  <r>
    <x v="8"/>
    <x v="1"/>
    <x v="7"/>
    <x v="0"/>
    <x v="4"/>
    <x v="0"/>
    <x v="1"/>
    <n v="4.3"/>
    <n v="20419.580000000002"/>
    <n v="79647.759999999995"/>
    <x v="2"/>
  </r>
  <r>
    <x v="8"/>
    <x v="1"/>
    <x v="7"/>
    <x v="0"/>
    <x v="5"/>
    <x v="0"/>
    <x v="1"/>
    <n v="1.81"/>
    <n v="8595.2199999999993"/>
    <n v="33538.97"/>
    <x v="2"/>
  </r>
  <r>
    <x v="8"/>
    <x v="1"/>
    <x v="7"/>
    <x v="0"/>
    <x v="6"/>
    <x v="0"/>
    <x v="1"/>
    <n v="1.76"/>
    <n v="8357.7800000000007"/>
    <n v="32701.46"/>
    <x v="2"/>
  </r>
  <r>
    <x v="8"/>
    <x v="1"/>
    <x v="7"/>
    <x v="0"/>
    <x v="8"/>
    <x v="0"/>
    <x v="1"/>
    <n v="2.4900000000000002"/>
    <n v="11824.36"/>
    <n v="46154.75"/>
    <x v="2"/>
  </r>
  <r>
    <x v="8"/>
    <x v="1"/>
    <x v="7"/>
    <x v="1"/>
    <x v="10"/>
    <x v="0"/>
    <x v="1"/>
    <n v="4.01"/>
    <n v="19042.45"/>
    <n v="74407.8"/>
    <x v="2"/>
  </r>
  <r>
    <x v="8"/>
    <x v="1"/>
    <x v="7"/>
    <x v="1"/>
    <x v="11"/>
    <x v="0"/>
    <x v="1"/>
    <n v="8.6199999999999992"/>
    <n v="40934.14"/>
    <n v="159757.79"/>
    <x v="2"/>
  </r>
  <r>
    <x v="8"/>
    <x v="1"/>
    <x v="7"/>
    <x v="1"/>
    <x v="13"/>
    <x v="0"/>
    <x v="1"/>
    <n v="3.81"/>
    <n v="18092.7"/>
    <n v="70595.100000000006"/>
    <x v="2"/>
  </r>
  <r>
    <x v="8"/>
    <x v="1"/>
    <x v="7"/>
    <x v="1"/>
    <x v="14"/>
    <x v="0"/>
    <x v="1"/>
    <n v="1.1299999999999999"/>
    <n v="5366.08"/>
    <n v="20950.86"/>
    <x v="2"/>
  </r>
  <r>
    <x v="8"/>
    <x v="1"/>
    <x v="7"/>
    <x v="1"/>
    <x v="16"/>
    <x v="0"/>
    <x v="1"/>
    <n v="0.97"/>
    <n v="4606.28"/>
    <n v="17913.88"/>
    <x v="2"/>
  </r>
  <r>
    <x v="8"/>
    <x v="1"/>
    <x v="7"/>
    <x v="1"/>
    <x v="17"/>
    <x v="0"/>
    <x v="1"/>
    <n v="2.12"/>
    <n v="10067.33"/>
    <n v="39357.24"/>
    <x v="2"/>
  </r>
  <r>
    <x v="8"/>
    <x v="1"/>
    <x v="7"/>
    <x v="1"/>
    <x v="18"/>
    <x v="0"/>
    <x v="1"/>
    <n v="9.69"/>
    <n v="46015.29"/>
    <n v="179586.15"/>
    <x v="2"/>
  </r>
  <r>
    <x v="8"/>
    <x v="1"/>
    <x v="7"/>
    <x v="1"/>
    <x v="19"/>
    <x v="0"/>
    <x v="1"/>
    <n v="3.31"/>
    <n v="15718.33"/>
    <n v="61273.63"/>
    <x v="2"/>
  </r>
  <r>
    <x v="8"/>
    <x v="1"/>
    <x v="7"/>
    <x v="1"/>
    <x v="20"/>
    <x v="0"/>
    <x v="1"/>
    <n v="9.0500000000000007"/>
    <n v="42976.1"/>
    <n v="167703.01999999999"/>
    <x v="2"/>
  </r>
  <r>
    <x v="8"/>
    <x v="1"/>
    <x v="7"/>
    <x v="2"/>
    <x v="21"/>
    <x v="0"/>
    <x v="1"/>
    <n v="0"/>
    <n v="0"/>
    <n v="0"/>
    <x v="2"/>
  </r>
  <r>
    <x v="8"/>
    <x v="1"/>
    <x v="7"/>
    <x v="2"/>
    <x v="22"/>
    <x v="0"/>
    <x v="1"/>
    <n v="4.28"/>
    <n v="20324.61"/>
    <n v="79360.679999999993"/>
    <x v="2"/>
  </r>
  <r>
    <x v="8"/>
    <x v="1"/>
    <x v="7"/>
    <x v="2"/>
    <x v="29"/>
    <x v="0"/>
    <x v="1"/>
    <n v="1.46"/>
    <n v="6933.16"/>
    <n v="27056.22"/>
    <x v="2"/>
  </r>
  <r>
    <x v="8"/>
    <x v="1"/>
    <x v="7"/>
    <x v="2"/>
    <x v="24"/>
    <x v="0"/>
    <x v="1"/>
    <n v="1.91"/>
    <n v="9070.09"/>
    <n v="35491.620000000003"/>
    <x v="2"/>
  </r>
  <r>
    <x v="8"/>
    <x v="1"/>
    <x v="7"/>
    <x v="3"/>
    <x v="25"/>
    <x v="0"/>
    <x v="1"/>
    <n v="2.44"/>
    <n v="11586.93"/>
    <n v="45167.47"/>
    <x v="2"/>
  </r>
  <r>
    <x v="8"/>
    <x v="1"/>
    <x v="7"/>
    <x v="3"/>
    <x v="26"/>
    <x v="0"/>
    <x v="1"/>
    <n v="1.93"/>
    <n v="9165.07"/>
    <n v="35746.44"/>
    <x v="2"/>
  </r>
  <r>
    <x v="8"/>
    <x v="1"/>
    <x v="7"/>
    <x v="3"/>
    <x v="27"/>
    <x v="0"/>
    <x v="1"/>
    <n v="6.67"/>
    <n v="31674.1"/>
    <n v="123707.2"/>
    <x v="2"/>
  </r>
  <r>
    <x v="8"/>
    <x v="1"/>
    <x v="7"/>
    <x v="0"/>
    <x v="0"/>
    <x v="1"/>
    <x v="0"/>
    <n v="5.22"/>
    <n v="24788.42"/>
    <n v="63269.47"/>
    <x v="2"/>
  </r>
  <r>
    <x v="8"/>
    <x v="1"/>
    <x v="7"/>
    <x v="0"/>
    <x v="1"/>
    <x v="1"/>
    <x v="0"/>
    <n v="8.8000000000000007"/>
    <n v="41788.910000000003"/>
    <n v="104931.05"/>
    <x v="2"/>
  </r>
  <r>
    <x v="8"/>
    <x v="1"/>
    <x v="7"/>
    <x v="0"/>
    <x v="2"/>
    <x v="1"/>
    <x v="0"/>
    <n v="3.33"/>
    <n v="15813.3"/>
    <n v="38347.03"/>
    <x v="2"/>
  </r>
  <r>
    <x v="8"/>
    <x v="1"/>
    <x v="7"/>
    <x v="0"/>
    <x v="3"/>
    <x v="1"/>
    <x v="0"/>
    <n v="12.4"/>
    <n v="58884.38"/>
    <n v="148492.25"/>
    <x v="2"/>
  </r>
  <r>
    <x v="8"/>
    <x v="1"/>
    <x v="7"/>
    <x v="0"/>
    <x v="28"/>
    <x v="1"/>
    <x v="0"/>
    <n v="0"/>
    <n v="0"/>
    <n v="0"/>
    <x v="2"/>
  </r>
  <r>
    <x v="8"/>
    <x v="1"/>
    <x v="7"/>
    <x v="0"/>
    <x v="4"/>
    <x v="1"/>
    <x v="0"/>
    <n v="4.3099999999999996"/>
    <n v="20467.07"/>
    <n v="51172.86"/>
    <x v="2"/>
  </r>
  <r>
    <x v="8"/>
    <x v="1"/>
    <x v="7"/>
    <x v="0"/>
    <x v="5"/>
    <x v="1"/>
    <x v="0"/>
    <n v="1.82"/>
    <n v="8642.7099999999991"/>
    <n v="22170.97"/>
    <x v="2"/>
  </r>
  <r>
    <x v="8"/>
    <x v="1"/>
    <x v="7"/>
    <x v="0"/>
    <x v="6"/>
    <x v="1"/>
    <x v="0"/>
    <n v="0"/>
    <n v="0"/>
    <n v="0"/>
    <x v="2"/>
  </r>
  <r>
    <x v="8"/>
    <x v="1"/>
    <x v="7"/>
    <x v="0"/>
    <x v="7"/>
    <x v="1"/>
    <x v="0"/>
    <n v="0"/>
    <n v="0"/>
    <n v="0"/>
    <x v="2"/>
  </r>
  <r>
    <x v="8"/>
    <x v="1"/>
    <x v="7"/>
    <x v="0"/>
    <x v="8"/>
    <x v="1"/>
    <x v="0"/>
    <n v="0"/>
    <n v="0"/>
    <n v="0"/>
    <x v="2"/>
  </r>
  <r>
    <x v="8"/>
    <x v="1"/>
    <x v="7"/>
    <x v="1"/>
    <x v="30"/>
    <x v="1"/>
    <x v="0"/>
    <n v="1.26"/>
    <n v="5983.41"/>
    <n v="16038.4"/>
    <x v="2"/>
  </r>
  <r>
    <x v="8"/>
    <x v="1"/>
    <x v="7"/>
    <x v="1"/>
    <x v="9"/>
    <x v="1"/>
    <x v="0"/>
    <n v="0"/>
    <n v="0"/>
    <n v="0"/>
    <x v="2"/>
  </r>
  <r>
    <x v="8"/>
    <x v="1"/>
    <x v="7"/>
    <x v="1"/>
    <x v="31"/>
    <x v="1"/>
    <x v="0"/>
    <n v="1.62"/>
    <n v="7692.96"/>
    <n v="20924.12"/>
    <x v="2"/>
  </r>
  <r>
    <x v="8"/>
    <x v="1"/>
    <x v="7"/>
    <x v="1"/>
    <x v="10"/>
    <x v="1"/>
    <x v="0"/>
    <n v="5.07"/>
    <n v="24076.11"/>
    <n v="64047.199999999997"/>
    <x v="2"/>
  </r>
  <r>
    <x v="8"/>
    <x v="1"/>
    <x v="7"/>
    <x v="1"/>
    <x v="11"/>
    <x v="1"/>
    <x v="0"/>
    <n v="6.87"/>
    <n v="32623.84"/>
    <n v="82788.73"/>
    <x v="2"/>
  </r>
  <r>
    <x v="8"/>
    <x v="1"/>
    <x v="7"/>
    <x v="1"/>
    <x v="12"/>
    <x v="1"/>
    <x v="0"/>
    <n v="2.4300000000000002"/>
    <n v="11539.44"/>
    <n v="30846.639999999999"/>
    <x v="2"/>
  </r>
  <r>
    <x v="8"/>
    <x v="1"/>
    <x v="7"/>
    <x v="1"/>
    <x v="13"/>
    <x v="1"/>
    <x v="0"/>
    <n v="1.22"/>
    <n v="5793.46"/>
    <n v="15340.9"/>
    <x v="2"/>
  </r>
  <r>
    <x v="8"/>
    <x v="1"/>
    <x v="7"/>
    <x v="1"/>
    <x v="14"/>
    <x v="1"/>
    <x v="0"/>
    <n v="11.48"/>
    <n v="54515.54"/>
    <n v="142172.41"/>
    <x v="2"/>
  </r>
  <r>
    <x v="8"/>
    <x v="1"/>
    <x v="7"/>
    <x v="1"/>
    <x v="15"/>
    <x v="1"/>
    <x v="0"/>
    <n v="4.5999999999999996"/>
    <n v="21844.2"/>
    <n v="58881.84"/>
    <x v="2"/>
  </r>
  <r>
    <x v="8"/>
    <x v="1"/>
    <x v="7"/>
    <x v="1"/>
    <x v="16"/>
    <x v="1"/>
    <x v="0"/>
    <n v="1.78"/>
    <n v="8452.76"/>
    <n v="21725.05"/>
    <x v="2"/>
  </r>
  <r>
    <x v="8"/>
    <x v="1"/>
    <x v="7"/>
    <x v="1"/>
    <x v="17"/>
    <x v="1"/>
    <x v="0"/>
    <n v="7.68"/>
    <n v="36470.32"/>
    <n v="94548.73"/>
    <x v="2"/>
  </r>
  <r>
    <x v="8"/>
    <x v="1"/>
    <x v="7"/>
    <x v="1"/>
    <x v="18"/>
    <x v="1"/>
    <x v="0"/>
    <n v="6.4"/>
    <n v="30391.94"/>
    <n v="82400.210000000006"/>
    <x v="2"/>
  </r>
  <r>
    <x v="8"/>
    <x v="1"/>
    <x v="7"/>
    <x v="1"/>
    <x v="19"/>
    <x v="1"/>
    <x v="0"/>
    <n v="7.43"/>
    <n v="35283.14"/>
    <n v="92804.7"/>
    <x v="2"/>
  </r>
  <r>
    <x v="8"/>
    <x v="1"/>
    <x v="7"/>
    <x v="1"/>
    <x v="20"/>
    <x v="1"/>
    <x v="0"/>
    <n v="11.38"/>
    <n v="54040.66"/>
    <n v="139836.15"/>
    <x v="2"/>
  </r>
  <r>
    <x v="8"/>
    <x v="1"/>
    <x v="7"/>
    <x v="2"/>
    <x v="21"/>
    <x v="1"/>
    <x v="0"/>
    <n v="0"/>
    <n v="0"/>
    <n v="0"/>
    <x v="2"/>
  </r>
  <r>
    <x v="8"/>
    <x v="1"/>
    <x v="7"/>
    <x v="2"/>
    <x v="22"/>
    <x v="1"/>
    <x v="0"/>
    <n v="7.48"/>
    <n v="35520.58"/>
    <n v="84405.42"/>
    <x v="2"/>
  </r>
  <r>
    <x v="8"/>
    <x v="1"/>
    <x v="7"/>
    <x v="2"/>
    <x v="29"/>
    <x v="1"/>
    <x v="0"/>
    <n v="0"/>
    <n v="0"/>
    <n v="0"/>
    <x v="2"/>
  </r>
  <r>
    <x v="8"/>
    <x v="1"/>
    <x v="7"/>
    <x v="2"/>
    <x v="23"/>
    <x v="1"/>
    <x v="0"/>
    <n v="0"/>
    <n v="0"/>
    <n v="0"/>
    <x v="2"/>
  </r>
  <r>
    <x v="8"/>
    <x v="1"/>
    <x v="7"/>
    <x v="2"/>
    <x v="24"/>
    <x v="1"/>
    <x v="0"/>
    <n v="2.1"/>
    <n v="9972.35"/>
    <n v="24178.46"/>
    <x v="2"/>
  </r>
  <r>
    <x v="8"/>
    <x v="1"/>
    <x v="7"/>
    <x v="3"/>
    <x v="25"/>
    <x v="1"/>
    <x v="0"/>
    <n v="7.06"/>
    <n v="33526.1"/>
    <n v="89676.66"/>
    <x v="2"/>
  </r>
  <r>
    <x v="8"/>
    <x v="1"/>
    <x v="7"/>
    <x v="3"/>
    <x v="26"/>
    <x v="1"/>
    <x v="0"/>
    <n v="5.44"/>
    <n v="25833.15"/>
    <n v="69514.990000000005"/>
    <x v="2"/>
  </r>
  <r>
    <x v="8"/>
    <x v="1"/>
    <x v="7"/>
    <x v="3"/>
    <x v="27"/>
    <x v="1"/>
    <x v="0"/>
    <n v="9.83"/>
    <n v="46680.11"/>
    <n v="123306.46"/>
    <x v="2"/>
  </r>
  <r>
    <x v="8"/>
    <x v="1"/>
    <x v="7"/>
    <x v="0"/>
    <x v="0"/>
    <x v="1"/>
    <x v="1"/>
    <n v="8.8699999999999992"/>
    <n v="42121.32"/>
    <n v="107558.1"/>
    <x v="2"/>
  </r>
  <r>
    <x v="8"/>
    <x v="1"/>
    <x v="7"/>
    <x v="0"/>
    <x v="1"/>
    <x v="1"/>
    <x v="1"/>
    <n v="15.81"/>
    <n v="75077.58"/>
    <n v="188398.94"/>
    <x v="2"/>
  </r>
  <r>
    <x v="8"/>
    <x v="1"/>
    <x v="7"/>
    <x v="0"/>
    <x v="2"/>
    <x v="1"/>
    <x v="1"/>
    <n v="8.4600000000000009"/>
    <n v="40174.339999999997"/>
    <n v="97342.47"/>
    <x v="2"/>
  </r>
  <r>
    <x v="8"/>
    <x v="1"/>
    <x v="7"/>
    <x v="0"/>
    <x v="3"/>
    <x v="1"/>
    <x v="1"/>
    <n v="21.92"/>
    <n v="104092.38"/>
    <n v="262475.73"/>
    <x v="2"/>
  </r>
  <r>
    <x v="8"/>
    <x v="1"/>
    <x v="7"/>
    <x v="0"/>
    <x v="28"/>
    <x v="1"/>
    <x v="1"/>
    <n v="2.78"/>
    <n v="13201.5"/>
    <n v="33651.800000000003"/>
    <x v="2"/>
  </r>
  <r>
    <x v="8"/>
    <x v="1"/>
    <x v="7"/>
    <x v="0"/>
    <x v="4"/>
    <x v="1"/>
    <x v="1"/>
    <n v="4.66"/>
    <n v="22129.13"/>
    <n v="55299.71"/>
    <x v="2"/>
  </r>
  <r>
    <x v="8"/>
    <x v="1"/>
    <x v="7"/>
    <x v="0"/>
    <x v="5"/>
    <x v="1"/>
    <x v="1"/>
    <n v="13.74"/>
    <n v="65247.69"/>
    <n v="167865.94"/>
    <x v="2"/>
  </r>
  <r>
    <x v="8"/>
    <x v="1"/>
    <x v="7"/>
    <x v="0"/>
    <x v="6"/>
    <x v="1"/>
    <x v="1"/>
    <n v="1.78"/>
    <n v="8452.76"/>
    <n v="21632.400000000001"/>
    <x v="2"/>
  </r>
  <r>
    <x v="8"/>
    <x v="1"/>
    <x v="7"/>
    <x v="0"/>
    <x v="7"/>
    <x v="1"/>
    <x v="1"/>
    <n v="5.12"/>
    <n v="24313.55"/>
    <n v="63419.97"/>
    <x v="2"/>
  </r>
  <r>
    <x v="8"/>
    <x v="1"/>
    <x v="7"/>
    <x v="0"/>
    <x v="8"/>
    <x v="1"/>
    <x v="1"/>
    <n v="3.05"/>
    <n v="14483.66"/>
    <n v="35982.14"/>
    <x v="2"/>
  </r>
  <r>
    <x v="8"/>
    <x v="1"/>
    <x v="7"/>
    <x v="1"/>
    <x v="30"/>
    <x v="1"/>
    <x v="1"/>
    <n v="0"/>
    <n v="0"/>
    <n v="0"/>
    <x v="2"/>
  </r>
  <r>
    <x v="8"/>
    <x v="1"/>
    <x v="7"/>
    <x v="1"/>
    <x v="9"/>
    <x v="1"/>
    <x v="1"/>
    <n v="0.35"/>
    <n v="1662.06"/>
    <n v="4430.55"/>
    <x v="2"/>
  </r>
  <r>
    <x v="8"/>
    <x v="1"/>
    <x v="7"/>
    <x v="1"/>
    <x v="31"/>
    <x v="1"/>
    <x v="1"/>
    <n v="0"/>
    <n v="0"/>
    <n v="0"/>
    <x v="2"/>
  </r>
  <r>
    <x v="8"/>
    <x v="1"/>
    <x v="7"/>
    <x v="1"/>
    <x v="10"/>
    <x v="1"/>
    <x v="1"/>
    <n v="29.24"/>
    <n v="138853.16"/>
    <n v="369675.94"/>
    <x v="2"/>
  </r>
  <r>
    <x v="8"/>
    <x v="1"/>
    <x v="7"/>
    <x v="1"/>
    <x v="11"/>
    <x v="1"/>
    <x v="1"/>
    <n v="22.2"/>
    <n v="105422.03"/>
    <n v="267471.28999999998"/>
    <x v="2"/>
  </r>
  <r>
    <x v="8"/>
    <x v="1"/>
    <x v="7"/>
    <x v="1"/>
    <x v="12"/>
    <x v="1"/>
    <x v="1"/>
    <n v="2.7"/>
    <n v="12821.6"/>
    <n v="34274.04"/>
    <x v="2"/>
  </r>
  <r>
    <x v="8"/>
    <x v="1"/>
    <x v="7"/>
    <x v="1"/>
    <x v="13"/>
    <x v="1"/>
    <x v="1"/>
    <n v="10.16"/>
    <n v="48247.199999999997"/>
    <n v="128206.08"/>
    <x v="2"/>
  </r>
  <r>
    <x v="8"/>
    <x v="1"/>
    <x v="7"/>
    <x v="1"/>
    <x v="14"/>
    <x v="1"/>
    <x v="1"/>
    <n v="7.77"/>
    <n v="36897.71"/>
    <n v="96206.89"/>
    <x v="2"/>
  </r>
  <r>
    <x v="8"/>
    <x v="1"/>
    <x v="7"/>
    <x v="1"/>
    <x v="15"/>
    <x v="1"/>
    <x v="1"/>
    <n v="2.2999999999999998"/>
    <n v="10922.1"/>
    <n v="29440.92"/>
    <x v="2"/>
  </r>
  <r>
    <x v="8"/>
    <x v="1"/>
    <x v="7"/>
    <x v="1"/>
    <x v="16"/>
    <x v="1"/>
    <x v="1"/>
    <n v="6.04"/>
    <n v="28682.39"/>
    <n v="73710"/>
    <x v="2"/>
  </r>
  <r>
    <x v="8"/>
    <x v="1"/>
    <x v="7"/>
    <x v="1"/>
    <x v="17"/>
    <x v="1"/>
    <x v="1"/>
    <n v="6.34"/>
    <n v="30107.01"/>
    <n v="78057.67"/>
    <x v="2"/>
  </r>
  <r>
    <x v="8"/>
    <x v="1"/>
    <x v="7"/>
    <x v="1"/>
    <x v="18"/>
    <x v="1"/>
    <x v="1"/>
    <n v="21.37"/>
    <n v="101480.57"/>
    <n v="275362.74"/>
    <x v="2"/>
  </r>
  <r>
    <x v="8"/>
    <x v="1"/>
    <x v="7"/>
    <x v="1"/>
    <x v="19"/>
    <x v="1"/>
    <x v="1"/>
    <n v="13.71"/>
    <n v="65105.23"/>
    <n v="171246.77"/>
    <x v="2"/>
  </r>
  <r>
    <x v="8"/>
    <x v="1"/>
    <x v="7"/>
    <x v="1"/>
    <x v="20"/>
    <x v="1"/>
    <x v="1"/>
    <n v="16.93"/>
    <n v="80396.17"/>
    <n v="208102.62"/>
    <x v="2"/>
  </r>
  <r>
    <x v="8"/>
    <x v="1"/>
    <x v="7"/>
    <x v="2"/>
    <x v="21"/>
    <x v="1"/>
    <x v="1"/>
    <n v="0.68"/>
    <n v="3229.14"/>
    <n v="7702.66"/>
    <x v="2"/>
  </r>
  <r>
    <x v="8"/>
    <x v="1"/>
    <x v="7"/>
    <x v="2"/>
    <x v="22"/>
    <x v="1"/>
    <x v="1"/>
    <n v="17.73"/>
    <n v="84195.16"/>
    <n v="200192.34"/>
    <x v="2"/>
  </r>
  <r>
    <x v="8"/>
    <x v="1"/>
    <x v="7"/>
    <x v="2"/>
    <x v="29"/>
    <x v="1"/>
    <x v="1"/>
    <n v="1.77"/>
    <n v="8405.27"/>
    <n v="21251.4"/>
    <x v="2"/>
  </r>
  <r>
    <x v="8"/>
    <x v="1"/>
    <x v="7"/>
    <x v="2"/>
    <x v="23"/>
    <x v="1"/>
    <x v="1"/>
    <n v="3.06"/>
    <n v="14531.14"/>
    <n v="36010.26"/>
    <x v="2"/>
  </r>
  <r>
    <x v="8"/>
    <x v="1"/>
    <x v="7"/>
    <x v="2"/>
    <x v="24"/>
    <x v="1"/>
    <x v="1"/>
    <n v="3.94"/>
    <n v="18710.04"/>
    <n v="45334.6"/>
    <x v="2"/>
  </r>
  <r>
    <x v="8"/>
    <x v="1"/>
    <x v="7"/>
    <x v="3"/>
    <x v="25"/>
    <x v="1"/>
    <x v="1"/>
    <n v="6.37"/>
    <n v="30249.47"/>
    <n v="80819.710000000006"/>
    <x v="2"/>
  </r>
  <r>
    <x v="8"/>
    <x v="1"/>
    <x v="7"/>
    <x v="3"/>
    <x v="26"/>
    <x v="1"/>
    <x v="1"/>
    <n v="16.920000000000002"/>
    <n v="80348.679999999993"/>
    <n v="216393.42"/>
    <x v="2"/>
  </r>
  <r>
    <x v="8"/>
    <x v="1"/>
    <x v="7"/>
    <x v="3"/>
    <x v="27"/>
    <x v="1"/>
    <x v="1"/>
    <n v="28.17"/>
    <n v="133772.01"/>
    <n v="353551.28"/>
    <x v="2"/>
  </r>
  <r>
    <x v="8"/>
    <x v="1"/>
    <x v="8"/>
    <x v="0"/>
    <x v="0"/>
    <x v="0"/>
    <x v="0"/>
    <n v="2.48"/>
    <n v="8348.08"/>
    <n v="29977.15"/>
    <x v="2"/>
  </r>
  <r>
    <x v="8"/>
    <x v="1"/>
    <x v="8"/>
    <x v="0"/>
    <x v="1"/>
    <x v="0"/>
    <x v="0"/>
    <n v="8.27"/>
    <n v="27838.14"/>
    <n v="99812.66"/>
    <x v="2"/>
  </r>
  <r>
    <x v="8"/>
    <x v="1"/>
    <x v="8"/>
    <x v="0"/>
    <x v="2"/>
    <x v="0"/>
    <x v="0"/>
    <n v="0"/>
    <n v="0"/>
    <n v="0"/>
    <x v="2"/>
  </r>
  <r>
    <x v="8"/>
    <x v="1"/>
    <x v="8"/>
    <x v="0"/>
    <x v="3"/>
    <x v="0"/>
    <x v="0"/>
    <n v="2.93"/>
    <n v="9862.85"/>
    <n v="35352.26"/>
    <x v="2"/>
  </r>
  <r>
    <x v="8"/>
    <x v="1"/>
    <x v="8"/>
    <x v="0"/>
    <x v="4"/>
    <x v="0"/>
    <x v="0"/>
    <n v="0"/>
    <n v="0"/>
    <n v="0"/>
    <x v="2"/>
  </r>
  <r>
    <x v="8"/>
    <x v="1"/>
    <x v="8"/>
    <x v="0"/>
    <x v="5"/>
    <x v="0"/>
    <x v="0"/>
    <n v="0"/>
    <n v="0"/>
    <n v="0"/>
    <x v="2"/>
  </r>
  <r>
    <x v="8"/>
    <x v="1"/>
    <x v="8"/>
    <x v="0"/>
    <x v="6"/>
    <x v="0"/>
    <x v="0"/>
    <n v="0"/>
    <n v="0"/>
    <n v="0"/>
    <x v="2"/>
  </r>
  <r>
    <x v="8"/>
    <x v="1"/>
    <x v="8"/>
    <x v="0"/>
    <x v="8"/>
    <x v="0"/>
    <x v="0"/>
    <n v="0"/>
    <n v="0"/>
    <n v="0"/>
    <x v="2"/>
  </r>
  <r>
    <x v="8"/>
    <x v="1"/>
    <x v="8"/>
    <x v="1"/>
    <x v="10"/>
    <x v="0"/>
    <x v="0"/>
    <n v="1.68"/>
    <n v="5655.15"/>
    <n v="20263.97"/>
    <x v="2"/>
  </r>
  <r>
    <x v="8"/>
    <x v="1"/>
    <x v="8"/>
    <x v="1"/>
    <x v="11"/>
    <x v="0"/>
    <x v="0"/>
    <n v="0"/>
    <n v="0"/>
    <n v="0"/>
    <x v="2"/>
  </r>
  <r>
    <x v="8"/>
    <x v="1"/>
    <x v="8"/>
    <x v="1"/>
    <x v="13"/>
    <x v="0"/>
    <x v="0"/>
    <n v="0"/>
    <n v="0"/>
    <n v="0"/>
    <x v="2"/>
  </r>
  <r>
    <x v="8"/>
    <x v="1"/>
    <x v="8"/>
    <x v="1"/>
    <x v="14"/>
    <x v="0"/>
    <x v="0"/>
    <n v="0"/>
    <n v="0"/>
    <n v="0"/>
    <x v="2"/>
  </r>
  <r>
    <x v="8"/>
    <x v="1"/>
    <x v="8"/>
    <x v="1"/>
    <x v="16"/>
    <x v="0"/>
    <x v="0"/>
    <n v="0"/>
    <n v="0"/>
    <n v="0"/>
    <x v="2"/>
  </r>
  <r>
    <x v="8"/>
    <x v="1"/>
    <x v="8"/>
    <x v="1"/>
    <x v="17"/>
    <x v="0"/>
    <x v="0"/>
    <n v="0"/>
    <n v="0"/>
    <n v="0"/>
    <x v="2"/>
  </r>
  <r>
    <x v="8"/>
    <x v="1"/>
    <x v="8"/>
    <x v="1"/>
    <x v="18"/>
    <x v="0"/>
    <x v="0"/>
    <n v="0"/>
    <n v="0"/>
    <n v="0"/>
    <x v="2"/>
  </r>
  <r>
    <x v="8"/>
    <x v="1"/>
    <x v="8"/>
    <x v="1"/>
    <x v="19"/>
    <x v="0"/>
    <x v="0"/>
    <n v="0"/>
    <n v="0"/>
    <n v="0"/>
    <x v="2"/>
  </r>
  <r>
    <x v="8"/>
    <x v="1"/>
    <x v="8"/>
    <x v="1"/>
    <x v="20"/>
    <x v="0"/>
    <x v="0"/>
    <n v="3.46"/>
    <n v="11646.91"/>
    <n v="41832.589999999997"/>
    <x v="2"/>
  </r>
  <r>
    <x v="8"/>
    <x v="1"/>
    <x v="8"/>
    <x v="2"/>
    <x v="21"/>
    <x v="0"/>
    <x v="0"/>
    <n v="3.23"/>
    <n v="10872.7"/>
    <n v="38961.199999999997"/>
    <x v="2"/>
  </r>
  <r>
    <x v="8"/>
    <x v="1"/>
    <x v="8"/>
    <x v="2"/>
    <x v="22"/>
    <x v="0"/>
    <x v="0"/>
    <n v="0"/>
    <n v="0"/>
    <n v="0"/>
    <x v="2"/>
  </r>
  <r>
    <x v="8"/>
    <x v="1"/>
    <x v="8"/>
    <x v="2"/>
    <x v="29"/>
    <x v="0"/>
    <x v="0"/>
    <n v="0"/>
    <n v="0"/>
    <n v="0"/>
    <x v="2"/>
  </r>
  <r>
    <x v="8"/>
    <x v="1"/>
    <x v="8"/>
    <x v="2"/>
    <x v="24"/>
    <x v="0"/>
    <x v="0"/>
    <n v="0"/>
    <n v="0"/>
    <n v="0"/>
    <x v="2"/>
  </r>
  <r>
    <x v="8"/>
    <x v="1"/>
    <x v="8"/>
    <x v="3"/>
    <x v="25"/>
    <x v="0"/>
    <x v="0"/>
    <n v="0"/>
    <n v="0"/>
    <n v="0"/>
    <x v="2"/>
  </r>
  <r>
    <x v="8"/>
    <x v="1"/>
    <x v="8"/>
    <x v="3"/>
    <x v="26"/>
    <x v="0"/>
    <x v="0"/>
    <n v="3.51"/>
    <n v="11815.22"/>
    <n v="42389.41"/>
    <x v="2"/>
  </r>
  <r>
    <x v="8"/>
    <x v="1"/>
    <x v="8"/>
    <x v="3"/>
    <x v="27"/>
    <x v="0"/>
    <x v="0"/>
    <n v="2.9"/>
    <n v="9761.86"/>
    <n v="35065.910000000003"/>
    <x v="2"/>
  </r>
  <r>
    <x v="8"/>
    <x v="1"/>
    <x v="8"/>
    <x v="0"/>
    <x v="0"/>
    <x v="0"/>
    <x v="1"/>
    <n v="2.2000000000000002"/>
    <n v="7405.55"/>
    <n v="26518.25"/>
    <x v="2"/>
  </r>
  <r>
    <x v="8"/>
    <x v="1"/>
    <x v="8"/>
    <x v="0"/>
    <x v="1"/>
    <x v="0"/>
    <x v="1"/>
    <n v="9.5500000000000007"/>
    <n v="32146.83"/>
    <n v="115352.35"/>
    <x v="2"/>
  </r>
  <r>
    <x v="8"/>
    <x v="1"/>
    <x v="8"/>
    <x v="0"/>
    <x v="2"/>
    <x v="0"/>
    <x v="1"/>
    <n v="5.09"/>
    <n v="17133.75"/>
    <n v="61462.67"/>
    <x v="2"/>
  </r>
  <r>
    <x v="8"/>
    <x v="1"/>
    <x v="8"/>
    <x v="0"/>
    <x v="3"/>
    <x v="0"/>
    <x v="1"/>
    <n v="9.44"/>
    <n v="31776.55"/>
    <n v="114039.56"/>
    <x v="2"/>
  </r>
  <r>
    <x v="8"/>
    <x v="1"/>
    <x v="8"/>
    <x v="0"/>
    <x v="4"/>
    <x v="0"/>
    <x v="1"/>
    <n v="2.82"/>
    <n v="9492.57"/>
    <n v="34100.01"/>
    <x v="2"/>
  </r>
  <r>
    <x v="8"/>
    <x v="1"/>
    <x v="8"/>
    <x v="0"/>
    <x v="5"/>
    <x v="0"/>
    <x v="1"/>
    <n v="4.8499999999999996"/>
    <n v="16325.88"/>
    <n v="58588.75"/>
    <x v="2"/>
  </r>
  <r>
    <x v="8"/>
    <x v="1"/>
    <x v="8"/>
    <x v="0"/>
    <x v="6"/>
    <x v="0"/>
    <x v="1"/>
    <n v="2.58"/>
    <n v="8684.69"/>
    <n v="31121.83"/>
    <x v="2"/>
  </r>
  <r>
    <x v="8"/>
    <x v="1"/>
    <x v="8"/>
    <x v="0"/>
    <x v="8"/>
    <x v="0"/>
    <x v="1"/>
    <n v="3.85"/>
    <n v="12959.72"/>
    <n v="46531.98"/>
    <x v="2"/>
  </r>
  <r>
    <x v="8"/>
    <x v="1"/>
    <x v="8"/>
    <x v="1"/>
    <x v="10"/>
    <x v="0"/>
    <x v="1"/>
    <n v="5.69"/>
    <n v="19153.45"/>
    <n v="68672.350000000006"/>
    <x v="2"/>
  </r>
  <r>
    <x v="8"/>
    <x v="1"/>
    <x v="8"/>
    <x v="1"/>
    <x v="11"/>
    <x v="0"/>
    <x v="1"/>
    <n v="14.23"/>
    <n v="47900.46"/>
    <n v="171866.23"/>
    <x v="2"/>
  </r>
  <r>
    <x v="8"/>
    <x v="1"/>
    <x v="8"/>
    <x v="1"/>
    <x v="13"/>
    <x v="0"/>
    <x v="1"/>
    <n v="6.19"/>
    <n v="20836.53"/>
    <n v="74732.11"/>
    <x v="2"/>
  </r>
  <r>
    <x v="8"/>
    <x v="1"/>
    <x v="8"/>
    <x v="1"/>
    <x v="14"/>
    <x v="0"/>
    <x v="1"/>
    <n v="2.82"/>
    <n v="9492.57"/>
    <n v="34091.78"/>
    <x v="2"/>
  </r>
  <r>
    <x v="8"/>
    <x v="1"/>
    <x v="8"/>
    <x v="1"/>
    <x v="16"/>
    <x v="0"/>
    <x v="1"/>
    <n v="2.81"/>
    <n v="9458.91"/>
    <n v="33899.99"/>
    <x v="2"/>
  </r>
  <r>
    <x v="8"/>
    <x v="1"/>
    <x v="8"/>
    <x v="1"/>
    <x v="17"/>
    <x v="0"/>
    <x v="1"/>
    <n v="2.5299999999999998"/>
    <n v="8516.3799999999992"/>
    <n v="30581.040000000001"/>
    <x v="2"/>
  </r>
  <r>
    <x v="8"/>
    <x v="1"/>
    <x v="8"/>
    <x v="1"/>
    <x v="18"/>
    <x v="0"/>
    <x v="1"/>
    <n v="17.11"/>
    <n v="57595"/>
    <n v="206658.73"/>
    <x v="2"/>
  </r>
  <r>
    <x v="8"/>
    <x v="1"/>
    <x v="8"/>
    <x v="1"/>
    <x v="19"/>
    <x v="0"/>
    <x v="1"/>
    <n v="4.7"/>
    <n v="15820.95"/>
    <n v="56704.43"/>
    <x v="2"/>
  </r>
  <r>
    <x v="8"/>
    <x v="1"/>
    <x v="8"/>
    <x v="1"/>
    <x v="20"/>
    <x v="0"/>
    <x v="1"/>
    <n v="15.17"/>
    <n v="51064.65"/>
    <n v="183158.92"/>
    <x v="2"/>
  </r>
  <r>
    <x v="8"/>
    <x v="1"/>
    <x v="8"/>
    <x v="2"/>
    <x v="21"/>
    <x v="0"/>
    <x v="1"/>
    <n v="0"/>
    <n v="0"/>
    <n v="0"/>
    <x v="2"/>
  </r>
  <r>
    <x v="8"/>
    <x v="1"/>
    <x v="8"/>
    <x v="2"/>
    <x v="22"/>
    <x v="0"/>
    <x v="1"/>
    <n v="5.89"/>
    <n v="19826.68"/>
    <n v="71124.09"/>
    <x v="2"/>
  </r>
  <r>
    <x v="8"/>
    <x v="1"/>
    <x v="8"/>
    <x v="2"/>
    <x v="29"/>
    <x v="0"/>
    <x v="1"/>
    <n v="2.59"/>
    <n v="8718.35"/>
    <n v="31303.14"/>
    <x v="2"/>
  </r>
  <r>
    <x v="8"/>
    <x v="1"/>
    <x v="8"/>
    <x v="2"/>
    <x v="24"/>
    <x v="0"/>
    <x v="1"/>
    <n v="4.0999999999999996"/>
    <n v="13801.26"/>
    <n v="49556.12"/>
    <x v="2"/>
  </r>
  <r>
    <x v="8"/>
    <x v="1"/>
    <x v="8"/>
    <x v="3"/>
    <x v="25"/>
    <x v="0"/>
    <x v="1"/>
    <n v="3.78"/>
    <n v="12724.08"/>
    <n v="45648.38"/>
    <x v="2"/>
  </r>
  <r>
    <x v="8"/>
    <x v="1"/>
    <x v="8"/>
    <x v="3"/>
    <x v="26"/>
    <x v="0"/>
    <x v="1"/>
    <n v="3.41"/>
    <n v="11478.61"/>
    <n v="41142.660000000003"/>
    <x v="2"/>
  </r>
  <r>
    <x v="8"/>
    <x v="1"/>
    <x v="8"/>
    <x v="3"/>
    <x v="27"/>
    <x v="0"/>
    <x v="1"/>
    <n v="10.4"/>
    <n v="35008.06"/>
    <n v="125558.59"/>
    <x v="2"/>
  </r>
  <r>
    <x v="8"/>
    <x v="1"/>
    <x v="8"/>
    <x v="0"/>
    <x v="0"/>
    <x v="1"/>
    <x v="0"/>
    <n v="5.61"/>
    <n v="18884.16"/>
    <n v="44297.57"/>
    <x v="2"/>
  </r>
  <r>
    <x v="8"/>
    <x v="1"/>
    <x v="8"/>
    <x v="0"/>
    <x v="1"/>
    <x v="1"/>
    <x v="0"/>
    <n v="14.55"/>
    <n v="48977.63"/>
    <n v="112994.57"/>
    <x v="2"/>
  </r>
  <r>
    <x v="8"/>
    <x v="1"/>
    <x v="8"/>
    <x v="0"/>
    <x v="2"/>
    <x v="1"/>
    <x v="0"/>
    <n v="7.76"/>
    <n v="26121.4"/>
    <n v="58185.55"/>
    <x v="2"/>
  </r>
  <r>
    <x v="8"/>
    <x v="1"/>
    <x v="8"/>
    <x v="0"/>
    <x v="3"/>
    <x v="1"/>
    <x v="0"/>
    <n v="15.6"/>
    <n v="52512.1"/>
    <n v="121668.08"/>
    <x v="2"/>
  </r>
  <r>
    <x v="8"/>
    <x v="1"/>
    <x v="8"/>
    <x v="0"/>
    <x v="28"/>
    <x v="1"/>
    <x v="0"/>
    <n v="0"/>
    <n v="0"/>
    <n v="0"/>
    <x v="2"/>
  </r>
  <r>
    <x v="8"/>
    <x v="1"/>
    <x v="8"/>
    <x v="0"/>
    <x v="4"/>
    <x v="1"/>
    <x v="0"/>
    <n v="11.14"/>
    <n v="37499.019999999997"/>
    <n v="86076.35"/>
    <x v="2"/>
  </r>
  <r>
    <x v="8"/>
    <x v="1"/>
    <x v="8"/>
    <x v="0"/>
    <x v="5"/>
    <x v="1"/>
    <x v="0"/>
    <n v="2.4300000000000002"/>
    <n v="8179.77"/>
    <n v="19333.810000000001"/>
    <x v="2"/>
  </r>
  <r>
    <x v="8"/>
    <x v="1"/>
    <x v="8"/>
    <x v="0"/>
    <x v="6"/>
    <x v="1"/>
    <x v="0"/>
    <n v="0"/>
    <n v="0"/>
    <n v="0"/>
    <x v="2"/>
  </r>
  <r>
    <x v="8"/>
    <x v="1"/>
    <x v="8"/>
    <x v="0"/>
    <x v="7"/>
    <x v="1"/>
    <x v="0"/>
    <n v="0"/>
    <n v="0"/>
    <n v="0"/>
    <x v="2"/>
  </r>
  <r>
    <x v="8"/>
    <x v="1"/>
    <x v="8"/>
    <x v="0"/>
    <x v="8"/>
    <x v="1"/>
    <x v="0"/>
    <n v="0"/>
    <n v="0"/>
    <n v="0"/>
    <x v="2"/>
  </r>
  <r>
    <x v="8"/>
    <x v="1"/>
    <x v="8"/>
    <x v="1"/>
    <x v="30"/>
    <x v="1"/>
    <x v="0"/>
    <n v="3.8"/>
    <n v="12791.41"/>
    <n v="31644.94"/>
    <x v="2"/>
  </r>
  <r>
    <x v="8"/>
    <x v="1"/>
    <x v="8"/>
    <x v="1"/>
    <x v="9"/>
    <x v="1"/>
    <x v="0"/>
    <n v="0"/>
    <n v="0"/>
    <n v="0"/>
    <x v="2"/>
  </r>
  <r>
    <x v="8"/>
    <x v="1"/>
    <x v="8"/>
    <x v="1"/>
    <x v="31"/>
    <x v="1"/>
    <x v="0"/>
    <n v="2.34"/>
    <n v="7876.81"/>
    <n v="19646.45"/>
    <x v="2"/>
  </r>
  <r>
    <x v="8"/>
    <x v="1"/>
    <x v="8"/>
    <x v="1"/>
    <x v="10"/>
    <x v="1"/>
    <x v="0"/>
    <n v="19.27"/>
    <n v="64865.9"/>
    <n v="158682.74"/>
    <x v="2"/>
  </r>
  <r>
    <x v="8"/>
    <x v="1"/>
    <x v="8"/>
    <x v="1"/>
    <x v="11"/>
    <x v="1"/>
    <x v="0"/>
    <n v="7.79"/>
    <n v="26222.39"/>
    <n v="61134.94"/>
    <x v="2"/>
  </r>
  <r>
    <x v="8"/>
    <x v="1"/>
    <x v="8"/>
    <x v="1"/>
    <x v="12"/>
    <x v="1"/>
    <x v="0"/>
    <n v="2.2200000000000002"/>
    <n v="7472.88"/>
    <n v="18340.2"/>
    <x v="2"/>
  </r>
  <r>
    <x v="8"/>
    <x v="1"/>
    <x v="8"/>
    <x v="1"/>
    <x v="13"/>
    <x v="1"/>
    <x v="0"/>
    <n v="4.08"/>
    <n v="13733.93"/>
    <n v="33577.58"/>
    <x v="2"/>
  </r>
  <r>
    <x v="8"/>
    <x v="1"/>
    <x v="8"/>
    <x v="1"/>
    <x v="14"/>
    <x v="1"/>
    <x v="0"/>
    <n v="11.27"/>
    <n v="37936.620000000003"/>
    <n v="90881.38"/>
    <x v="2"/>
  </r>
  <r>
    <x v="8"/>
    <x v="1"/>
    <x v="8"/>
    <x v="1"/>
    <x v="15"/>
    <x v="1"/>
    <x v="0"/>
    <n v="2.33"/>
    <n v="7843.15"/>
    <n v="19451.97"/>
    <x v="2"/>
  </r>
  <r>
    <x v="8"/>
    <x v="1"/>
    <x v="8"/>
    <x v="1"/>
    <x v="16"/>
    <x v="1"/>
    <x v="0"/>
    <n v="8.99"/>
    <n v="30261.78"/>
    <n v="71433.039999999994"/>
    <x v="2"/>
  </r>
  <r>
    <x v="8"/>
    <x v="1"/>
    <x v="8"/>
    <x v="1"/>
    <x v="17"/>
    <x v="1"/>
    <x v="0"/>
    <n v="8.59"/>
    <n v="28915.31"/>
    <n v="68843.27"/>
    <x v="2"/>
  </r>
  <r>
    <x v="8"/>
    <x v="1"/>
    <x v="8"/>
    <x v="1"/>
    <x v="18"/>
    <x v="1"/>
    <x v="0"/>
    <n v="6.78"/>
    <n v="22822.560000000001"/>
    <n v="56929.16"/>
    <x v="2"/>
  </r>
  <r>
    <x v="8"/>
    <x v="1"/>
    <x v="8"/>
    <x v="1"/>
    <x v="19"/>
    <x v="1"/>
    <x v="0"/>
    <n v="10.11"/>
    <n v="34031.879999999997"/>
    <n v="82317.41"/>
    <x v="2"/>
  </r>
  <r>
    <x v="8"/>
    <x v="1"/>
    <x v="8"/>
    <x v="1"/>
    <x v="20"/>
    <x v="1"/>
    <x v="0"/>
    <n v="14.34"/>
    <n v="48270.73"/>
    <n v="114820.33"/>
    <x v="2"/>
  </r>
  <r>
    <x v="8"/>
    <x v="1"/>
    <x v="8"/>
    <x v="2"/>
    <x v="21"/>
    <x v="1"/>
    <x v="0"/>
    <n v="0"/>
    <n v="0"/>
    <n v="0"/>
    <x v="2"/>
  </r>
  <r>
    <x v="8"/>
    <x v="1"/>
    <x v="8"/>
    <x v="2"/>
    <x v="22"/>
    <x v="1"/>
    <x v="0"/>
    <n v="12.54"/>
    <n v="42211.65"/>
    <n v="92258.8"/>
    <x v="2"/>
  </r>
  <r>
    <x v="8"/>
    <x v="1"/>
    <x v="8"/>
    <x v="2"/>
    <x v="29"/>
    <x v="1"/>
    <x v="0"/>
    <n v="0"/>
    <n v="0"/>
    <n v="0"/>
    <x v="2"/>
  </r>
  <r>
    <x v="8"/>
    <x v="1"/>
    <x v="8"/>
    <x v="2"/>
    <x v="23"/>
    <x v="1"/>
    <x v="0"/>
    <n v="0"/>
    <n v="0"/>
    <n v="0"/>
    <x v="2"/>
  </r>
  <r>
    <x v="8"/>
    <x v="1"/>
    <x v="8"/>
    <x v="2"/>
    <x v="24"/>
    <x v="1"/>
    <x v="0"/>
    <n v="2.21"/>
    <n v="7439.21"/>
    <n v="16566.47"/>
    <x v="2"/>
  </r>
  <r>
    <x v="8"/>
    <x v="1"/>
    <x v="8"/>
    <x v="3"/>
    <x v="25"/>
    <x v="1"/>
    <x v="0"/>
    <n v="10.02"/>
    <n v="33728.92"/>
    <n v="82919.3"/>
    <x v="2"/>
  </r>
  <r>
    <x v="8"/>
    <x v="1"/>
    <x v="8"/>
    <x v="3"/>
    <x v="26"/>
    <x v="1"/>
    <x v="0"/>
    <n v="11.96"/>
    <n v="40259.269999999997"/>
    <n v="99627.28"/>
    <x v="2"/>
  </r>
  <r>
    <x v="8"/>
    <x v="1"/>
    <x v="8"/>
    <x v="3"/>
    <x v="27"/>
    <x v="1"/>
    <x v="0"/>
    <n v="14.11"/>
    <n v="47496.52"/>
    <n v="115346.99"/>
    <x v="2"/>
  </r>
  <r>
    <x v="8"/>
    <x v="1"/>
    <x v="8"/>
    <x v="0"/>
    <x v="0"/>
    <x v="1"/>
    <x v="1"/>
    <n v="9.32"/>
    <n v="31372.61"/>
    <n v="73602.11"/>
    <x v="2"/>
  </r>
  <r>
    <x v="8"/>
    <x v="1"/>
    <x v="8"/>
    <x v="0"/>
    <x v="1"/>
    <x v="1"/>
    <x v="1"/>
    <n v="19.350000000000001"/>
    <n v="65135.199999999997"/>
    <n v="150293.74"/>
    <x v="2"/>
  </r>
  <r>
    <x v="8"/>
    <x v="1"/>
    <x v="8"/>
    <x v="0"/>
    <x v="2"/>
    <x v="1"/>
    <x v="1"/>
    <n v="15.34"/>
    <n v="51636.89"/>
    <n v="115078.08"/>
    <x v="2"/>
  </r>
  <r>
    <x v="8"/>
    <x v="1"/>
    <x v="8"/>
    <x v="0"/>
    <x v="3"/>
    <x v="1"/>
    <x v="1"/>
    <n v="37.22"/>
    <n v="125288.48"/>
    <n v="290344.28999999998"/>
    <x v="2"/>
  </r>
  <r>
    <x v="8"/>
    <x v="1"/>
    <x v="8"/>
    <x v="0"/>
    <x v="28"/>
    <x v="1"/>
    <x v="1"/>
    <n v="1.89"/>
    <n v="6362.04"/>
    <n v="14930.38"/>
    <x v="2"/>
  </r>
  <r>
    <x v="8"/>
    <x v="1"/>
    <x v="8"/>
    <x v="0"/>
    <x v="4"/>
    <x v="1"/>
    <x v="1"/>
    <n v="11.14"/>
    <n v="37499.019999999997"/>
    <n v="86076.35"/>
    <x v="2"/>
  </r>
  <r>
    <x v="8"/>
    <x v="1"/>
    <x v="8"/>
    <x v="0"/>
    <x v="5"/>
    <x v="1"/>
    <x v="1"/>
    <n v="26.39"/>
    <n v="88832.960000000006"/>
    <n v="210005.19"/>
    <x v="2"/>
  </r>
  <r>
    <x v="8"/>
    <x v="1"/>
    <x v="8"/>
    <x v="0"/>
    <x v="6"/>
    <x v="1"/>
    <x v="1"/>
    <n v="3.12"/>
    <n v="10502.42"/>
    <n v="24720.7"/>
    <x v="2"/>
  </r>
  <r>
    <x v="8"/>
    <x v="1"/>
    <x v="8"/>
    <x v="0"/>
    <x v="7"/>
    <x v="1"/>
    <x v="1"/>
    <n v="3.77"/>
    <n v="12690.42"/>
    <n v="30453.09"/>
    <x v="2"/>
  </r>
  <r>
    <x v="8"/>
    <x v="1"/>
    <x v="8"/>
    <x v="0"/>
    <x v="8"/>
    <x v="1"/>
    <x v="1"/>
    <n v="5.74"/>
    <n v="19321.759999999998"/>
    <n v="44149.62"/>
    <x v="2"/>
  </r>
  <r>
    <x v="8"/>
    <x v="1"/>
    <x v="8"/>
    <x v="1"/>
    <x v="30"/>
    <x v="1"/>
    <x v="1"/>
    <n v="0"/>
    <n v="0"/>
    <n v="0"/>
    <x v="2"/>
  </r>
  <r>
    <x v="8"/>
    <x v="1"/>
    <x v="8"/>
    <x v="1"/>
    <x v="9"/>
    <x v="1"/>
    <x v="1"/>
    <n v="4.55"/>
    <n v="15316.03"/>
    <n v="37806.17"/>
    <x v="2"/>
  </r>
  <r>
    <x v="8"/>
    <x v="1"/>
    <x v="8"/>
    <x v="1"/>
    <x v="31"/>
    <x v="1"/>
    <x v="1"/>
    <n v="0"/>
    <n v="0"/>
    <n v="0"/>
    <x v="2"/>
  </r>
  <r>
    <x v="8"/>
    <x v="1"/>
    <x v="8"/>
    <x v="1"/>
    <x v="10"/>
    <x v="1"/>
    <x v="1"/>
    <n v="42.87"/>
    <n v="144307.28"/>
    <n v="353112.7"/>
    <x v="2"/>
  </r>
  <r>
    <x v="8"/>
    <x v="1"/>
    <x v="8"/>
    <x v="1"/>
    <x v="11"/>
    <x v="1"/>
    <x v="1"/>
    <n v="32.97"/>
    <n v="110982.3"/>
    <n v="258804.56"/>
    <x v="2"/>
  </r>
  <r>
    <x v="8"/>
    <x v="1"/>
    <x v="8"/>
    <x v="1"/>
    <x v="12"/>
    <x v="1"/>
    <x v="1"/>
    <n v="4"/>
    <n v="13464.64"/>
    <n v="33012.36"/>
    <x v="2"/>
  </r>
  <r>
    <x v="8"/>
    <x v="1"/>
    <x v="8"/>
    <x v="1"/>
    <x v="13"/>
    <x v="1"/>
    <x v="1"/>
    <n v="18.37"/>
    <n v="61836.36"/>
    <n v="151099.12"/>
    <x v="2"/>
  </r>
  <r>
    <x v="8"/>
    <x v="1"/>
    <x v="8"/>
    <x v="1"/>
    <x v="14"/>
    <x v="1"/>
    <x v="1"/>
    <n v="6.31"/>
    <n v="21240.47"/>
    <n v="50873.81"/>
    <x v="2"/>
  </r>
  <r>
    <x v="8"/>
    <x v="1"/>
    <x v="8"/>
    <x v="1"/>
    <x v="15"/>
    <x v="1"/>
    <x v="1"/>
    <n v="2.25"/>
    <n v="7573.86"/>
    <n v="18757.25"/>
    <x v="2"/>
  </r>
  <r>
    <x v="8"/>
    <x v="1"/>
    <x v="8"/>
    <x v="1"/>
    <x v="16"/>
    <x v="1"/>
    <x v="1"/>
    <n v="10.75"/>
    <n v="36186.22"/>
    <n v="85439.51"/>
    <x v="2"/>
  </r>
  <r>
    <x v="8"/>
    <x v="1"/>
    <x v="8"/>
    <x v="1"/>
    <x v="17"/>
    <x v="1"/>
    <x v="1"/>
    <n v="7.61"/>
    <n v="25616.48"/>
    <n v="61036.3"/>
    <x v="2"/>
  </r>
  <r>
    <x v="8"/>
    <x v="1"/>
    <x v="8"/>
    <x v="1"/>
    <x v="18"/>
    <x v="1"/>
    <x v="1"/>
    <n v="26.2"/>
    <n v="88193.39"/>
    <n v="219926.35"/>
    <x v="2"/>
  </r>
  <r>
    <x v="8"/>
    <x v="1"/>
    <x v="8"/>
    <x v="1"/>
    <x v="19"/>
    <x v="1"/>
    <x v="1"/>
    <n v="16.09"/>
    <n v="54161.51"/>
    <n v="130992.06"/>
    <x v="2"/>
  </r>
  <r>
    <x v="8"/>
    <x v="1"/>
    <x v="8"/>
    <x v="1"/>
    <x v="20"/>
    <x v="1"/>
    <x v="1"/>
    <n v="26.69"/>
    <n v="89842.81"/>
    <n v="213731.83"/>
    <x v="2"/>
  </r>
  <r>
    <x v="8"/>
    <x v="1"/>
    <x v="8"/>
    <x v="2"/>
    <x v="21"/>
    <x v="1"/>
    <x v="1"/>
    <n v="3.36"/>
    <n v="11310.3"/>
    <n v="24728.28"/>
    <x v="2"/>
  </r>
  <r>
    <x v="8"/>
    <x v="1"/>
    <x v="8"/>
    <x v="2"/>
    <x v="22"/>
    <x v="1"/>
    <x v="1"/>
    <n v="25.2"/>
    <n v="84827.23"/>
    <n v="185348.76"/>
    <x v="2"/>
  </r>
  <r>
    <x v="8"/>
    <x v="1"/>
    <x v="8"/>
    <x v="2"/>
    <x v="29"/>
    <x v="1"/>
    <x v="1"/>
    <n v="4.95"/>
    <n v="16662.490000000002"/>
    <n v="38663.15"/>
    <x v="2"/>
  </r>
  <r>
    <x v="8"/>
    <x v="1"/>
    <x v="8"/>
    <x v="2"/>
    <x v="23"/>
    <x v="1"/>
    <x v="1"/>
    <n v="2.04"/>
    <n v="6866.97"/>
    <n v="15639.82"/>
    <x v="2"/>
  </r>
  <r>
    <x v="8"/>
    <x v="1"/>
    <x v="8"/>
    <x v="2"/>
    <x v="24"/>
    <x v="1"/>
    <x v="1"/>
    <n v="3.57"/>
    <n v="12017.19"/>
    <n v="26761.22"/>
    <x v="2"/>
  </r>
  <r>
    <x v="8"/>
    <x v="1"/>
    <x v="8"/>
    <x v="3"/>
    <x v="25"/>
    <x v="1"/>
    <x v="1"/>
    <n v="10.199999999999999"/>
    <n v="34334.83"/>
    <n v="84386.9"/>
    <x v="2"/>
  </r>
  <r>
    <x v="8"/>
    <x v="1"/>
    <x v="8"/>
    <x v="3"/>
    <x v="26"/>
    <x v="1"/>
    <x v="1"/>
    <n v="30.86"/>
    <n v="103879.7"/>
    <n v="257133.27"/>
    <x v="2"/>
  </r>
  <r>
    <x v="8"/>
    <x v="1"/>
    <x v="8"/>
    <x v="3"/>
    <x v="27"/>
    <x v="1"/>
    <x v="1"/>
    <n v="44.87"/>
    <n v="151039.6"/>
    <n v="366817.77"/>
    <x v="2"/>
  </r>
  <r>
    <x v="8"/>
    <x v="1"/>
    <x v="9"/>
    <x v="0"/>
    <x v="0"/>
    <x v="0"/>
    <x v="0"/>
    <n v="1.3"/>
    <n v="3509.75"/>
    <n v="12210.61"/>
    <x v="2"/>
  </r>
  <r>
    <x v="8"/>
    <x v="1"/>
    <x v="9"/>
    <x v="0"/>
    <x v="1"/>
    <x v="0"/>
    <x v="0"/>
    <n v="3.93"/>
    <n v="10610.25"/>
    <n v="36852.74"/>
    <x v="2"/>
  </r>
  <r>
    <x v="8"/>
    <x v="1"/>
    <x v="9"/>
    <x v="0"/>
    <x v="2"/>
    <x v="0"/>
    <x v="0"/>
    <n v="0"/>
    <n v="0"/>
    <n v="0"/>
    <x v="2"/>
  </r>
  <r>
    <x v="8"/>
    <x v="1"/>
    <x v="9"/>
    <x v="0"/>
    <x v="3"/>
    <x v="0"/>
    <x v="0"/>
    <n v="1.48"/>
    <n v="3995.72"/>
    <n v="13885.25"/>
    <x v="2"/>
  </r>
  <r>
    <x v="8"/>
    <x v="1"/>
    <x v="9"/>
    <x v="0"/>
    <x v="4"/>
    <x v="0"/>
    <x v="0"/>
    <n v="0"/>
    <n v="0"/>
    <n v="0"/>
    <x v="2"/>
  </r>
  <r>
    <x v="8"/>
    <x v="1"/>
    <x v="9"/>
    <x v="0"/>
    <x v="5"/>
    <x v="0"/>
    <x v="0"/>
    <n v="0"/>
    <n v="0"/>
    <n v="0"/>
    <x v="2"/>
  </r>
  <r>
    <x v="8"/>
    <x v="1"/>
    <x v="9"/>
    <x v="0"/>
    <x v="6"/>
    <x v="0"/>
    <x v="0"/>
    <n v="0"/>
    <n v="0"/>
    <n v="0"/>
    <x v="2"/>
  </r>
  <r>
    <x v="8"/>
    <x v="1"/>
    <x v="9"/>
    <x v="0"/>
    <x v="8"/>
    <x v="0"/>
    <x v="0"/>
    <n v="0"/>
    <n v="0"/>
    <n v="0"/>
    <x v="2"/>
  </r>
  <r>
    <x v="8"/>
    <x v="1"/>
    <x v="9"/>
    <x v="1"/>
    <x v="10"/>
    <x v="0"/>
    <x v="0"/>
    <n v="1.71"/>
    <n v="4616.68"/>
    <n v="16053"/>
    <x v="2"/>
  </r>
  <r>
    <x v="8"/>
    <x v="1"/>
    <x v="9"/>
    <x v="1"/>
    <x v="11"/>
    <x v="0"/>
    <x v="0"/>
    <n v="0"/>
    <n v="0"/>
    <n v="0"/>
    <x v="2"/>
  </r>
  <r>
    <x v="8"/>
    <x v="1"/>
    <x v="9"/>
    <x v="1"/>
    <x v="13"/>
    <x v="0"/>
    <x v="0"/>
    <n v="0"/>
    <n v="0"/>
    <n v="0"/>
    <x v="2"/>
  </r>
  <r>
    <x v="8"/>
    <x v="1"/>
    <x v="9"/>
    <x v="1"/>
    <x v="14"/>
    <x v="0"/>
    <x v="0"/>
    <n v="0"/>
    <n v="0"/>
    <n v="0"/>
    <x v="2"/>
  </r>
  <r>
    <x v="8"/>
    <x v="1"/>
    <x v="9"/>
    <x v="1"/>
    <x v="16"/>
    <x v="0"/>
    <x v="0"/>
    <n v="0"/>
    <n v="0"/>
    <n v="0"/>
    <x v="2"/>
  </r>
  <r>
    <x v="8"/>
    <x v="1"/>
    <x v="9"/>
    <x v="1"/>
    <x v="17"/>
    <x v="0"/>
    <x v="0"/>
    <n v="0"/>
    <n v="0"/>
    <n v="0"/>
    <x v="2"/>
  </r>
  <r>
    <x v="8"/>
    <x v="1"/>
    <x v="9"/>
    <x v="1"/>
    <x v="18"/>
    <x v="0"/>
    <x v="0"/>
    <n v="0"/>
    <n v="0"/>
    <n v="0"/>
    <x v="2"/>
  </r>
  <r>
    <x v="8"/>
    <x v="1"/>
    <x v="9"/>
    <x v="1"/>
    <x v="19"/>
    <x v="0"/>
    <x v="0"/>
    <n v="0"/>
    <n v="0"/>
    <n v="0"/>
    <x v="2"/>
  </r>
  <r>
    <x v="8"/>
    <x v="1"/>
    <x v="9"/>
    <x v="1"/>
    <x v="20"/>
    <x v="0"/>
    <x v="0"/>
    <n v="1.88"/>
    <n v="5075.6400000000003"/>
    <n v="17653.45"/>
    <x v="2"/>
  </r>
  <r>
    <x v="8"/>
    <x v="1"/>
    <x v="9"/>
    <x v="2"/>
    <x v="21"/>
    <x v="0"/>
    <x v="0"/>
    <n v="2.64"/>
    <n v="7127.5"/>
    <n v="24803.9"/>
    <x v="2"/>
  </r>
  <r>
    <x v="8"/>
    <x v="1"/>
    <x v="9"/>
    <x v="2"/>
    <x v="22"/>
    <x v="0"/>
    <x v="0"/>
    <n v="0"/>
    <n v="0"/>
    <n v="0"/>
    <x v="2"/>
  </r>
  <r>
    <x v="8"/>
    <x v="1"/>
    <x v="9"/>
    <x v="2"/>
    <x v="29"/>
    <x v="0"/>
    <x v="0"/>
    <n v="0"/>
    <n v="0"/>
    <n v="0"/>
    <x v="2"/>
  </r>
  <r>
    <x v="8"/>
    <x v="1"/>
    <x v="9"/>
    <x v="2"/>
    <x v="24"/>
    <x v="0"/>
    <x v="0"/>
    <n v="0"/>
    <n v="0"/>
    <n v="0"/>
    <x v="2"/>
  </r>
  <r>
    <x v="8"/>
    <x v="1"/>
    <x v="9"/>
    <x v="3"/>
    <x v="25"/>
    <x v="0"/>
    <x v="0"/>
    <n v="0"/>
    <n v="0"/>
    <n v="0"/>
    <x v="2"/>
  </r>
  <r>
    <x v="8"/>
    <x v="1"/>
    <x v="9"/>
    <x v="3"/>
    <x v="26"/>
    <x v="0"/>
    <x v="0"/>
    <n v="1.43"/>
    <n v="3860.73"/>
    <n v="13388.84"/>
    <x v="2"/>
  </r>
  <r>
    <x v="8"/>
    <x v="1"/>
    <x v="9"/>
    <x v="3"/>
    <x v="27"/>
    <x v="0"/>
    <x v="0"/>
    <n v="3"/>
    <n v="8099.43"/>
    <n v="28108.68"/>
    <x v="2"/>
  </r>
  <r>
    <x v="8"/>
    <x v="1"/>
    <x v="9"/>
    <x v="0"/>
    <x v="0"/>
    <x v="0"/>
    <x v="1"/>
    <n v="1.77"/>
    <n v="4778.66"/>
    <n v="16571.54"/>
    <x v="2"/>
  </r>
  <r>
    <x v="8"/>
    <x v="1"/>
    <x v="9"/>
    <x v="0"/>
    <x v="1"/>
    <x v="0"/>
    <x v="1"/>
    <n v="8.16"/>
    <n v="22030.45"/>
    <n v="76540.31"/>
    <x v="2"/>
  </r>
  <r>
    <x v="8"/>
    <x v="1"/>
    <x v="9"/>
    <x v="0"/>
    <x v="2"/>
    <x v="0"/>
    <x v="1"/>
    <n v="3.47"/>
    <n v="9368.34"/>
    <n v="32552.07"/>
    <x v="2"/>
  </r>
  <r>
    <x v="8"/>
    <x v="1"/>
    <x v="9"/>
    <x v="0"/>
    <x v="3"/>
    <x v="0"/>
    <x v="1"/>
    <n v="4.78"/>
    <n v="12905.09"/>
    <n v="44811.49"/>
    <x v="2"/>
  </r>
  <r>
    <x v="8"/>
    <x v="1"/>
    <x v="9"/>
    <x v="0"/>
    <x v="4"/>
    <x v="0"/>
    <x v="1"/>
    <n v="1.75"/>
    <n v="4724.67"/>
    <n v="16443.12"/>
    <x v="2"/>
  </r>
  <r>
    <x v="8"/>
    <x v="1"/>
    <x v="9"/>
    <x v="0"/>
    <x v="5"/>
    <x v="0"/>
    <x v="1"/>
    <n v="4.7699999999999996"/>
    <n v="12878.09"/>
    <n v="44706.67"/>
    <x v="2"/>
  </r>
  <r>
    <x v="8"/>
    <x v="1"/>
    <x v="9"/>
    <x v="0"/>
    <x v="6"/>
    <x v="0"/>
    <x v="1"/>
    <n v="2.0499999999999998"/>
    <n v="5534.61"/>
    <n v="19187.27"/>
    <x v="2"/>
  </r>
  <r>
    <x v="8"/>
    <x v="1"/>
    <x v="9"/>
    <x v="0"/>
    <x v="8"/>
    <x v="0"/>
    <x v="1"/>
    <n v="3.55"/>
    <n v="9584.33"/>
    <n v="33310.550000000003"/>
    <x v="2"/>
  </r>
  <r>
    <x v="8"/>
    <x v="1"/>
    <x v="9"/>
    <x v="1"/>
    <x v="10"/>
    <x v="0"/>
    <x v="1"/>
    <n v="5.13"/>
    <n v="13850.03"/>
    <n v="48159"/>
    <x v="2"/>
  </r>
  <r>
    <x v="8"/>
    <x v="1"/>
    <x v="9"/>
    <x v="1"/>
    <x v="11"/>
    <x v="0"/>
    <x v="1"/>
    <n v="10.65"/>
    <n v="28752.98"/>
    <n v="99905.1"/>
    <x v="2"/>
  </r>
  <r>
    <x v="8"/>
    <x v="1"/>
    <x v="9"/>
    <x v="1"/>
    <x v="13"/>
    <x v="0"/>
    <x v="1"/>
    <n v="3.03"/>
    <n v="8180.42"/>
    <n v="28379.83"/>
    <x v="2"/>
  </r>
  <r>
    <x v="8"/>
    <x v="1"/>
    <x v="9"/>
    <x v="1"/>
    <x v="14"/>
    <x v="0"/>
    <x v="1"/>
    <n v="1.99"/>
    <n v="5372.62"/>
    <n v="18626.5"/>
    <x v="2"/>
  </r>
  <r>
    <x v="8"/>
    <x v="1"/>
    <x v="9"/>
    <x v="1"/>
    <x v="16"/>
    <x v="0"/>
    <x v="1"/>
    <n v="1.48"/>
    <n v="3995.72"/>
    <n v="13851.8"/>
    <x v="2"/>
  </r>
  <r>
    <x v="8"/>
    <x v="1"/>
    <x v="9"/>
    <x v="1"/>
    <x v="17"/>
    <x v="0"/>
    <x v="1"/>
    <n v="2.15"/>
    <n v="5804.59"/>
    <n v="20143.509999999998"/>
    <x v="2"/>
  </r>
  <r>
    <x v="8"/>
    <x v="1"/>
    <x v="9"/>
    <x v="1"/>
    <x v="18"/>
    <x v="0"/>
    <x v="1"/>
    <n v="11.15"/>
    <n v="30102.880000000001"/>
    <n v="104604.57"/>
    <x v="2"/>
  </r>
  <r>
    <x v="8"/>
    <x v="1"/>
    <x v="9"/>
    <x v="1"/>
    <x v="19"/>
    <x v="0"/>
    <x v="1"/>
    <n v="4.1500000000000004"/>
    <n v="11204.21"/>
    <n v="38921.81"/>
    <x v="2"/>
  </r>
  <r>
    <x v="8"/>
    <x v="1"/>
    <x v="9"/>
    <x v="1"/>
    <x v="20"/>
    <x v="0"/>
    <x v="1"/>
    <n v="10.63"/>
    <n v="28698.98"/>
    <n v="99742"/>
    <x v="2"/>
  </r>
  <r>
    <x v="8"/>
    <x v="1"/>
    <x v="9"/>
    <x v="2"/>
    <x v="21"/>
    <x v="0"/>
    <x v="1"/>
    <n v="0"/>
    <n v="0"/>
    <n v="0"/>
    <x v="2"/>
  </r>
  <r>
    <x v="8"/>
    <x v="1"/>
    <x v="9"/>
    <x v="2"/>
    <x v="22"/>
    <x v="0"/>
    <x v="1"/>
    <n v="3.44"/>
    <n v="9287.35"/>
    <n v="32234.41"/>
    <x v="2"/>
  </r>
  <r>
    <x v="8"/>
    <x v="1"/>
    <x v="9"/>
    <x v="2"/>
    <x v="29"/>
    <x v="0"/>
    <x v="1"/>
    <n v="2.54"/>
    <n v="6857.52"/>
    <n v="23822.28"/>
    <x v="2"/>
  </r>
  <r>
    <x v="8"/>
    <x v="1"/>
    <x v="9"/>
    <x v="2"/>
    <x v="24"/>
    <x v="0"/>
    <x v="1"/>
    <n v="2.1800000000000002"/>
    <n v="5885.59"/>
    <n v="20490.59"/>
    <x v="2"/>
  </r>
  <r>
    <x v="8"/>
    <x v="1"/>
    <x v="9"/>
    <x v="3"/>
    <x v="25"/>
    <x v="0"/>
    <x v="1"/>
    <n v="1.98"/>
    <n v="5345.62"/>
    <n v="18564.09"/>
    <x v="2"/>
  </r>
  <r>
    <x v="8"/>
    <x v="1"/>
    <x v="9"/>
    <x v="3"/>
    <x v="26"/>
    <x v="0"/>
    <x v="1"/>
    <n v="1.1399999999999999"/>
    <n v="3077.78"/>
    <n v="10711.08"/>
    <x v="2"/>
  </r>
  <r>
    <x v="8"/>
    <x v="1"/>
    <x v="9"/>
    <x v="3"/>
    <x v="27"/>
    <x v="0"/>
    <x v="1"/>
    <n v="8.24"/>
    <n v="22246.43"/>
    <n v="77298.86"/>
    <x v="2"/>
  </r>
  <r>
    <x v="8"/>
    <x v="1"/>
    <x v="9"/>
    <x v="0"/>
    <x v="0"/>
    <x v="1"/>
    <x v="0"/>
    <n v="4.2699999999999996"/>
    <n v="11528.19"/>
    <n v="26214.26"/>
    <x v="2"/>
  </r>
  <r>
    <x v="8"/>
    <x v="1"/>
    <x v="9"/>
    <x v="0"/>
    <x v="1"/>
    <x v="1"/>
    <x v="0"/>
    <n v="10.43"/>
    <n v="28159.02"/>
    <n v="62915.66"/>
    <x v="2"/>
  </r>
  <r>
    <x v="8"/>
    <x v="1"/>
    <x v="9"/>
    <x v="0"/>
    <x v="2"/>
    <x v="1"/>
    <x v="0"/>
    <n v="7.12"/>
    <n v="19222.650000000001"/>
    <n v="41458.71"/>
    <x v="2"/>
  </r>
  <r>
    <x v="8"/>
    <x v="1"/>
    <x v="9"/>
    <x v="0"/>
    <x v="3"/>
    <x v="1"/>
    <x v="0"/>
    <n v="12.67"/>
    <n v="34206.589999999997"/>
    <n v="76787.73"/>
    <x v="2"/>
  </r>
  <r>
    <x v="8"/>
    <x v="1"/>
    <x v="9"/>
    <x v="0"/>
    <x v="28"/>
    <x v="1"/>
    <x v="0"/>
    <n v="0"/>
    <n v="0"/>
    <n v="0"/>
    <x v="2"/>
  </r>
  <r>
    <x v="8"/>
    <x v="1"/>
    <x v="9"/>
    <x v="0"/>
    <x v="4"/>
    <x v="1"/>
    <x v="0"/>
    <n v="8.91"/>
    <n v="24055.31"/>
    <n v="53473.2"/>
    <x v="2"/>
  </r>
  <r>
    <x v="8"/>
    <x v="1"/>
    <x v="9"/>
    <x v="0"/>
    <x v="5"/>
    <x v="1"/>
    <x v="0"/>
    <n v="2.73"/>
    <n v="7370.48"/>
    <n v="16846.64"/>
    <x v="2"/>
  </r>
  <r>
    <x v="8"/>
    <x v="1"/>
    <x v="9"/>
    <x v="0"/>
    <x v="6"/>
    <x v="1"/>
    <x v="0"/>
    <n v="0"/>
    <n v="0"/>
    <n v="0"/>
    <x v="2"/>
  </r>
  <r>
    <x v="8"/>
    <x v="1"/>
    <x v="9"/>
    <x v="0"/>
    <x v="7"/>
    <x v="1"/>
    <x v="0"/>
    <n v="0"/>
    <n v="0"/>
    <n v="0"/>
    <x v="2"/>
  </r>
  <r>
    <x v="8"/>
    <x v="1"/>
    <x v="9"/>
    <x v="0"/>
    <x v="8"/>
    <x v="1"/>
    <x v="0"/>
    <n v="0"/>
    <n v="0"/>
    <n v="0"/>
    <x v="2"/>
  </r>
  <r>
    <x v="8"/>
    <x v="1"/>
    <x v="9"/>
    <x v="1"/>
    <x v="30"/>
    <x v="1"/>
    <x v="0"/>
    <n v="1.17"/>
    <n v="3158.78"/>
    <n v="7554.76"/>
    <x v="2"/>
  </r>
  <r>
    <x v="8"/>
    <x v="1"/>
    <x v="9"/>
    <x v="1"/>
    <x v="9"/>
    <x v="1"/>
    <x v="0"/>
    <n v="0"/>
    <n v="0"/>
    <n v="0"/>
    <x v="2"/>
  </r>
  <r>
    <x v="8"/>
    <x v="1"/>
    <x v="9"/>
    <x v="1"/>
    <x v="31"/>
    <x v="1"/>
    <x v="0"/>
    <n v="0"/>
    <n v="0"/>
    <n v="0"/>
    <x v="2"/>
  </r>
  <r>
    <x v="8"/>
    <x v="1"/>
    <x v="9"/>
    <x v="1"/>
    <x v="10"/>
    <x v="1"/>
    <x v="0"/>
    <n v="6.14"/>
    <n v="16576.830000000002"/>
    <n v="39307.040000000001"/>
    <x v="2"/>
  </r>
  <r>
    <x v="8"/>
    <x v="1"/>
    <x v="9"/>
    <x v="1"/>
    <x v="11"/>
    <x v="1"/>
    <x v="0"/>
    <n v="7.84"/>
    <n v="21166.51"/>
    <n v="47770.83"/>
    <x v="2"/>
  </r>
  <r>
    <x v="8"/>
    <x v="1"/>
    <x v="9"/>
    <x v="1"/>
    <x v="12"/>
    <x v="1"/>
    <x v="0"/>
    <n v="2.09"/>
    <n v="5642.6"/>
    <n v="13379.55"/>
    <x v="2"/>
  </r>
  <r>
    <x v="8"/>
    <x v="1"/>
    <x v="9"/>
    <x v="1"/>
    <x v="13"/>
    <x v="1"/>
    <x v="0"/>
    <n v="2.92"/>
    <n v="7883.45"/>
    <n v="18626.2"/>
    <x v="2"/>
  </r>
  <r>
    <x v="8"/>
    <x v="1"/>
    <x v="9"/>
    <x v="1"/>
    <x v="14"/>
    <x v="1"/>
    <x v="0"/>
    <n v="12.83"/>
    <n v="34638.559999999998"/>
    <n v="80373.929999999993"/>
    <x v="2"/>
  </r>
  <r>
    <x v="8"/>
    <x v="1"/>
    <x v="9"/>
    <x v="1"/>
    <x v="15"/>
    <x v="1"/>
    <x v="0"/>
    <n v="1.93"/>
    <n v="5210.63"/>
    <n v="12507.35"/>
    <x v="2"/>
  </r>
  <r>
    <x v="8"/>
    <x v="1"/>
    <x v="9"/>
    <x v="1"/>
    <x v="16"/>
    <x v="1"/>
    <x v="0"/>
    <n v="6.55"/>
    <n v="17683.759999999998"/>
    <n v="40425.11"/>
    <x v="2"/>
  </r>
  <r>
    <x v="8"/>
    <x v="1"/>
    <x v="9"/>
    <x v="1"/>
    <x v="17"/>
    <x v="1"/>
    <x v="0"/>
    <n v="6.2"/>
    <n v="16738.82"/>
    <n v="38636.86"/>
    <x v="2"/>
  </r>
  <r>
    <x v="8"/>
    <x v="1"/>
    <x v="9"/>
    <x v="1"/>
    <x v="18"/>
    <x v="1"/>
    <x v="0"/>
    <n v="7.97"/>
    <n v="21517.49"/>
    <n v="51987.27"/>
    <x v="2"/>
  </r>
  <r>
    <x v="8"/>
    <x v="1"/>
    <x v="9"/>
    <x v="1"/>
    <x v="19"/>
    <x v="1"/>
    <x v="0"/>
    <n v="5.99"/>
    <n v="16171.86"/>
    <n v="37866.410000000003"/>
    <x v="2"/>
  </r>
  <r>
    <x v="8"/>
    <x v="1"/>
    <x v="9"/>
    <x v="1"/>
    <x v="20"/>
    <x v="1"/>
    <x v="0"/>
    <n v="9.6"/>
    <n v="25918.18"/>
    <n v="59668.97"/>
    <x v="2"/>
  </r>
  <r>
    <x v="8"/>
    <x v="1"/>
    <x v="9"/>
    <x v="2"/>
    <x v="21"/>
    <x v="1"/>
    <x v="0"/>
    <n v="0"/>
    <n v="0"/>
    <n v="0"/>
    <x v="2"/>
  </r>
  <r>
    <x v="8"/>
    <x v="1"/>
    <x v="9"/>
    <x v="2"/>
    <x v="22"/>
    <x v="1"/>
    <x v="0"/>
    <n v="7.96"/>
    <n v="21490.49"/>
    <n v="45450.84"/>
    <x v="2"/>
  </r>
  <r>
    <x v="8"/>
    <x v="1"/>
    <x v="9"/>
    <x v="2"/>
    <x v="29"/>
    <x v="1"/>
    <x v="0"/>
    <n v="0"/>
    <n v="0"/>
    <n v="0"/>
    <x v="2"/>
  </r>
  <r>
    <x v="8"/>
    <x v="1"/>
    <x v="9"/>
    <x v="2"/>
    <x v="23"/>
    <x v="1"/>
    <x v="0"/>
    <n v="0"/>
    <n v="0"/>
    <n v="0"/>
    <x v="2"/>
  </r>
  <r>
    <x v="8"/>
    <x v="1"/>
    <x v="9"/>
    <x v="2"/>
    <x v="24"/>
    <x v="1"/>
    <x v="0"/>
    <n v="1.1499999999999999"/>
    <n v="3104.78"/>
    <n v="6673.87"/>
    <x v="2"/>
  </r>
  <r>
    <x v="8"/>
    <x v="1"/>
    <x v="9"/>
    <x v="3"/>
    <x v="25"/>
    <x v="1"/>
    <x v="0"/>
    <n v="5.12"/>
    <n v="13823.03"/>
    <n v="32864.93"/>
    <x v="2"/>
  </r>
  <r>
    <x v="8"/>
    <x v="1"/>
    <x v="9"/>
    <x v="3"/>
    <x v="26"/>
    <x v="1"/>
    <x v="0"/>
    <n v="5.31"/>
    <n v="14335.99"/>
    <n v="34378.33"/>
    <x v="2"/>
  </r>
  <r>
    <x v="8"/>
    <x v="1"/>
    <x v="9"/>
    <x v="3"/>
    <x v="27"/>
    <x v="1"/>
    <x v="0"/>
    <n v="6.42"/>
    <n v="17332.78"/>
    <n v="40753.699999999997"/>
    <x v="2"/>
  </r>
  <r>
    <x v="8"/>
    <x v="1"/>
    <x v="9"/>
    <x v="0"/>
    <x v="0"/>
    <x v="1"/>
    <x v="1"/>
    <n v="11.16"/>
    <n v="30129.88"/>
    <n v="68478.06"/>
    <x v="2"/>
  </r>
  <r>
    <x v="8"/>
    <x v="1"/>
    <x v="9"/>
    <x v="0"/>
    <x v="1"/>
    <x v="1"/>
    <x v="1"/>
    <n v="18.399999999999999"/>
    <n v="49676.5"/>
    <n v="110952.62"/>
    <x v="2"/>
  </r>
  <r>
    <x v="8"/>
    <x v="1"/>
    <x v="9"/>
    <x v="0"/>
    <x v="2"/>
    <x v="1"/>
    <x v="1"/>
    <n v="13.35"/>
    <n v="36042.46"/>
    <n v="77735.08"/>
    <x v="2"/>
  </r>
  <r>
    <x v="8"/>
    <x v="1"/>
    <x v="9"/>
    <x v="0"/>
    <x v="3"/>
    <x v="1"/>
    <x v="1"/>
    <n v="25.78"/>
    <n v="69601.100000000006"/>
    <n v="156223.31"/>
    <x v="2"/>
  </r>
  <r>
    <x v="8"/>
    <x v="1"/>
    <x v="9"/>
    <x v="0"/>
    <x v="28"/>
    <x v="1"/>
    <x v="1"/>
    <n v="3.85"/>
    <n v="10394.27"/>
    <n v="23622.58"/>
    <x v="2"/>
  </r>
  <r>
    <x v="8"/>
    <x v="1"/>
    <x v="9"/>
    <x v="0"/>
    <x v="4"/>
    <x v="1"/>
    <x v="1"/>
    <n v="8.4600000000000009"/>
    <n v="22840.39"/>
    <n v="50772.53"/>
    <x v="2"/>
  </r>
  <r>
    <x v="8"/>
    <x v="1"/>
    <x v="9"/>
    <x v="0"/>
    <x v="5"/>
    <x v="1"/>
    <x v="1"/>
    <n v="21.19"/>
    <n v="57208.97"/>
    <n v="130969.04"/>
    <x v="2"/>
  </r>
  <r>
    <x v="8"/>
    <x v="1"/>
    <x v="9"/>
    <x v="0"/>
    <x v="6"/>
    <x v="1"/>
    <x v="1"/>
    <n v="2.17"/>
    <n v="5858.59"/>
    <n v="13351.08"/>
    <x v="2"/>
  </r>
  <r>
    <x v="8"/>
    <x v="1"/>
    <x v="9"/>
    <x v="0"/>
    <x v="7"/>
    <x v="1"/>
    <x v="1"/>
    <n v="4.3600000000000003"/>
    <n v="11771.17"/>
    <n v="27328.25"/>
    <x v="2"/>
  </r>
  <r>
    <x v="8"/>
    <x v="1"/>
    <x v="9"/>
    <x v="0"/>
    <x v="8"/>
    <x v="1"/>
    <x v="1"/>
    <n v="2.78"/>
    <n v="7505.47"/>
    <n v="16623.12"/>
    <x v="2"/>
  </r>
  <r>
    <x v="8"/>
    <x v="1"/>
    <x v="9"/>
    <x v="1"/>
    <x v="30"/>
    <x v="1"/>
    <x v="1"/>
    <n v="0"/>
    <n v="0"/>
    <n v="0"/>
    <x v="2"/>
  </r>
  <r>
    <x v="8"/>
    <x v="1"/>
    <x v="9"/>
    <x v="1"/>
    <x v="9"/>
    <x v="1"/>
    <x v="1"/>
    <n v="3.9"/>
    <n v="10529.26"/>
    <n v="25145.79"/>
    <x v="2"/>
  </r>
  <r>
    <x v="8"/>
    <x v="1"/>
    <x v="9"/>
    <x v="1"/>
    <x v="31"/>
    <x v="1"/>
    <x v="1"/>
    <n v="0"/>
    <n v="0"/>
    <n v="0"/>
    <x v="2"/>
  </r>
  <r>
    <x v="8"/>
    <x v="1"/>
    <x v="9"/>
    <x v="1"/>
    <x v="10"/>
    <x v="1"/>
    <x v="1"/>
    <n v="35.619999999999997"/>
    <n v="96167.23"/>
    <n v="227847.57"/>
    <x v="2"/>
  </r>
  <r>
    <x v="8"/>
    <x v="1"/>
    <x v="9"/>
    <x v="1"/>
    <x v="11"/>
    <x v="1"/>
    <x v="1"/>
    <n v="31.25"/>
    <n v="84369.06"/>
    <n v="190546.57"/>
    <x v="2"/>
  </r>
  <r>
    <x v="8"/>
    <x v="1"/>
    <x v="9"/>
    <x v="1"/>
    <x v="12"/>
    <x v="1"/>
    <x v="1"/>
    <n v="3.17"/>
    <n v="8558.4"/>
    <n v="20360.189999999999"/>
    <x v="2"/>
  </r>
  <r>
    <x v="8"/>
    <x v="1"/>
    <x v="9"/>
    <x v="1"/>
    <x v="13"/>
    <x v="1"/>
    <x v="1"/>
    <n v="11.4"/>
    <n v="30777.83"/>
    <n v="72811.509999999995"/>
    <x v="2"/>
  </r>
  <r>
    <x v="8"/>
    <x v="1"/>
    <x v="9"/>
    <x v="1"/>
    <x v="14"/>
    <x v="1"/>
    <x v="1"/>
    <n v="5.54"/>
    <n v="14956.95"/>
    <n v="34681.9"/>
    <x v="2"/>
  </r>
  <r>
    <x v="8"/>
    <x v="1"/>
    <x v="9"/>
    <x v="1"/>
    <x v="15"/>
    <x v="1"/>
    <x v="1"/>
    <n v="2.37"/>
    <n v="6398.55"/>
    <n v="15349.92"/>
    <x v="2"/>
  </r>
  <r>
    <x v="8"/>
    <x v="1"/>
    <x v="9"/>
    <x v="1"/>
    <x v="16"/>
    <x v="1"/>
    <x v="1"/>
    <n v="9.7799999999999994"/>
    <n v="26404.14"/>
    <n v="60360.79"/>
    <x v="2"/>
  </r>
  <r>
    <x v="8"/>
    <x v="1"/>
    <x v="9"/>
    <x v="1"/>
    <x v="17"/>
    <x v="1"/>
    <x v="1"/>
    <n v="4.08"/>
    <n v="11015.22"/>
    <n v="25405.06"/>
    <x v="2"/>
  </r>
  <r>
    <x v="8"/>
    <x v="1"/>
    <x v="9"/>
    <x v="1"/>
    <x v="18"/>
    <x v="1"/>
    <x v="1"/>
    <n v="27.25"/>
    <n v="73569.820000000007"/>
    <n v="177670.78"/>
    <x v="2"/>
  </r>
  <r>
    <x v="8"/>
    <x v="1"/>
    <x v="9"/>
    <x v="1"/>
    <x v="19"/>
    <x v="1"/>
    <x v="1"/>
    <n v="8.39"/>
    <n v="22651.41"/>
    <n v="53012.97"/>
    <x v="2"/>
  </r>
  <r>
    <x v="8"/>
    <x v="1"/>
    <x v="9"/>
    <x v="1"/>
    <x v="20"/>
    <x v="1"/>
    <x v="1"/>
    <n v="15.87"/>
    <n v="42845.98"/>
    <n v="98683.29"/>
    <x v="2"/>
  </r>
  <r>
    <x v="8"/>
    <x v="1"/>
    <x v="9"/>
    <x v="2"/>
    <x v="21"/>
    <x v="1"/>
    <x v="1"/>
    <n v="1.82"/>
    <n v="4913.6499999999996"/>
    <n v="10377.299999999999"/>
    <x v="2"/>
  </r>
  <r>
    <x v="8"/>
    <x v="1"/>
    <x v="9"/>
    <x v="2"/>
    <x v="22"/>
    <x v="1"/>
    <x v="1"/>
    <n v="10.72"/>
    <n v="28941.96"/>
    <n v="61239.03"/>
    <x v="2"/>
  </r>
  <r>
    <x v="8"/>
    <x v="1"/>
    <x v="9"/>
    <x v="2"/>
    <x v="29"/>
    <x v="1"/>
    <x v="1"/>
    <n v="1.61"/>
    <n v="4346.6899999999996"/>
    <n v="9744.94"/>
    <x v="2"/>
  </r>
  <r>
    <x v="8"/>
    <x v="1"/>
    <x v="9"/>
    <x v="2"/>
    <x v="23"/>
    <x v="1"/>
    <x v="1"/>
    <n v="0.56999999999999995"/>
    <n v="1538.89"/>
    <n v="3410.18"/>
    <x v="2"/>
  </r>
  <r>
    <x v="8"/>
    <x v="1"/>
    <x v="9"/>
    <x v="2"/>
    <x v="24"/>
    <x v="1"/>
    <x v="1"/>
    <n v="2.13"/>
    <n v="5750.6"/>
    <n v="12394.34"/>
    <x v="2"/>
  </r>
  <r>
    <x v="8"/>
    <x v="1"/>
    <x v="9"/>
    <x v="3"/>
    <x v="25"/>
    <x v="1"/>
    <x v="1"/>
    <n v="8.64"/>
    <n v="23326.36"/>
    <n v="55530.39"/>
    <x v="2"/>
  </r>
  <r>
    <x v="8"/>
    <x v="1"/>
    <x v="9"/>
    <x v="3"/>
    <x v="26"/>
    <x v="1"/>
    <x v="1"/>
    <n v="17"/>
    <n v="45896.77"/>
    <n v="110010.65"/>
    <x v="2"/>
  </r>
  <r>
    <x v="8"/>
    <x v="1"/>
    <x v="9"/>
    <x v="3"/>
    <x v="27"/>
    <x v="1"/>
    <x v="1"/>
    <n v="22.15"/>
    <n v="59800.79"/>
    <n v="140678.65"/>
    <x v="2"/>
  </r>
  <r>
    <x v="9"/>
    <x v="1"/>
    <x v="0"/>
    <x v="0"/>
    <x v="0"/>
    <x v="0"/>
    <x v="0"/>
    <n v="3.95"/>
    <n v="26212.44"/>
    <n v="114940.36"/>
    <x v="2"/>
  </r>
  <r>
    <x v="9"/>
    <x v="1"/>
    <x v="0"/>
    <x v="0"/>
    <x v="1"/>
    <x v="0"/>
    <x v="0"/>
    <n v="7.65"/>
    <n v="50765.86"/>
    <n v="222632.92"/>
    <x v="2"/>
  </r>
  <r>
    <x v="9"/>
    <x v="1"/>
    <x v="0"/>
    <x v="0"/>
    <x v="2"/>
    <x v="0"/>
    <x v="0"/>
    <n v="0"/>
    <n v="0"/>
    <n v="0"/>
    <x v="2"/>
  </r>
  <r>
    <x v="9"/>
    <x v="1"/>
    <x v="0"/>
    <x v="0"/>
    <x v="3"/>
    <x v="0"/>
    <x v="0"/>
    <n v="2.29"/>
    <n v="15196.58"/>
    <n v="66591.240000000005"/>
    <x v="2"/>
  </r>
  <r>
    <x v="9"/>
    <x v="1"/>
    <x v="0"/>
    <x v="0"/>
    <x v="4"/>
    <x v="0"/>
    <x v="0"/>
    <n v="0"/>
    <n v="0"/>
    <n v="0"/>
    <x v="2"/>
  </r>
  <r>
    <x v="9"/>
    <x v="1"/>
    <x v="0"/>
    <x v="0"/>
    <x v="5"/>
    <x v="0"/>
    <x v="0"/>
    <n v="0"/>
    <n v="0"/>
    <n v="0"/>
    <x v="2"/>
  </r>
  <r>
    <x v="9"/>
    <x v="1"/>
    <x v="0"/>
    <x v="0"/>
    <x v="6"/>
    <x v="0"/>
    <x v="0"/>
    <n v="0"/>
    <n v="0"/>
    <n v="0"/>
    <x v="2"/>
  </r>
  <r>
    <x v="9"/>
    <x v="1"/>
    <x v="0"/>
    <x v="0"/>
    <x v="8"/>
    <x v="0"/>
    <x v="0"/>
    <n v="0"/>
    <n v="0"/>
    <n v="0"/>
    <x v="2"/>
  </r>
  <r>
    <x v="9"/>
    <x v="1"/>
    <x v="0"/>
    <x v="1"/>
    <x v="10"/>
    <x v="0"/>
    <x v="0"/>
    <n v="2.4"/>
    <n v="15926.54"/>
    <n v="69748.75"/>
    <x v="2"/>
  </r>
  <r>
    <x v="9"/>
    <x v="1"/>
    <x v="0"/>
    <x v="1"/>
    <x v="11"/>
    <x v="0"/>
    <x v="0"/>
    <n v="0"/>
    <n v="0"/>
    <n v="0"/>
    <x v="2"/>
  </r>
  <r>
    <x v="9"/>
    <x v="1"/>
    <x v="0"/>
    <x v="1"/>
    <x v="13"/>
    <x v="0"/>
    <x v="0"/>
    <n v="0"/>
    <n v="0"/>
    <n v="0"/>
    <x v="2"/>
  </r>
  <r>
    <x v="9"/>
    <x v="1"/>
    <x v="0"/>
    <x v="1"/>
    <x v="14"/>
    <x v="0"/>
    <x v="0"/>
    <n v="0"/>
    <n v="0"/>
    <n v="0"/>
    <x v="2"/>
  </r>
  <r>
    <x v="9"/>
    <x v="1"/>
    <x v="0"/>
    <x v="1"/>
    <x v="16"/>
    <x v="0"/>
    <x v="0"/>
    <n v="0"/>
    <n v="0"/>
    <n v="0"/>
    <x v="2"/>
  </r>
  <r>
    <x v="9"/>
    <x v="1"/>
    <x v="0"/>
    <x v="1"/>
    <x v="17"/>
    <x v="0"/>
    <x v="0"/>
    <n v="0"/>
    <n v="0"/>
    <n v="0"/>
    <x v="2"/>
  </r>
  <r>
    <x v="9"/>
    <x v="1"/>
    <x v="0"/>
    <x v="1"/>
    <x v="18"/>
    <x v="0"/>
    <x v="0"/>
    <n v="0"/>
    <n v="0"/>
    <n v="0"/>
    <x v="2"/>
  </r>
  <r>
    <x v="9"/>
    <x v="1"/>
    <x v="0"/>
    <x v="1"/>
    <x v="19"/>
    <x v="0"/>
    <x v="0"/>
    <n v="0"/>
    <n v="0"/>
    <n v="0"/>
    <x v="2"/>
  </r>
  <r>
    <x v="9"/>
    <x v="1"/>
    <x v="0"/>
    <x v="1"/>
    <x v="20"/>
    <x v="0"/>
    <x v="0"/>
    <n v="2.99"/>
    <n v="19841.82"/>
    <n v="86941.49"/>
    <x v="2"/>
  </r>
  <r>
    <x v="9"/>
    <x v="1"/>
    <x v="0"/>
    <x v="2"/>
    <x v="21"/>
    <x v="0"/>
    <x v="0"/>
    <n v="2.68"/>
    <n v="17784.64"/>
    <n v="78029.399999999994"/>
    <x v="2"/>
  </r>
  <r>
    <x v="9"/>
    <x v="1"/>
    <x v="0"/>
    <x v="2"/>
    <x v="22"/>
    <x v="0"/>
    <x v="0"/>
    <n v="0"/>
    <n v="0"/>
    <n v="0"/>
    <x v="2"/>
  </r>
  <r>
    <x v="9"/>
    <x v="1"/>
    <x v="0"/>
    <x v="2"/>
    <x v="29"/>
    <x v="0"/>
    <x v="0"/>
    <n v="0"/>
    <n v="0"/>
    <n v="0"/>
    <x v="2"/>
  </r>
  <r>
    <x v="9"/>
    <x v="1"/>
    <x v="0"/>
    <x v="2"/>
    <x v="24"/>
    <x v="0"/>
    <x v="0"/>
    <n v="0"/>
    <n v="0"/>
    <n v="0"/>
    <x v="2"/>
  </r>
  <r>
    <x v="9"/>
    <x v="1"/>
    <x v="0"/>
    <x v="3"/>
    <x v="25"/>
    <x v="0"/>
    <x v="0"/>
    <n v="0"/>
    <n v="0"/>
    <n v="0"/>
    <x v="2"/>
  </r>
  <r>
    <x v="9"/>
    <x v="1"/>
    <x v="0"/>
    <x v="3"/>
    <x v="26"/>
    <x v="0"/>
    <x v="0"/>
    <n v="2.76"/>
    <n v="18315.53"/>
    <n v="80498.25"/>
    <x v="2"/>
  </r>
  <r>
    <x v="9"/>
    <x v="1"/>
    <x v="0"/>
    <x v="3"/>
    <x v="27"/>
    <x v="0"/>
    <x v="0"/>
    <n v="3.49"/>
    <n v="23159.85"/>
    <n v="101521.72"/>
    <x v="2"/>
  </r>
  <r>
    <x v="9"/>
    <x v="1"/>
    <x v="0"/>
    <x v="0"/>
    <x v="0"/>
    <x v="0"/>
    <x v="1"/>
    <n v="3.06"/>
    <n v="20306.34"/>
    <n v="89078.78"/>
    <x v="2"/>
  </r>
  <r>
    <x v="9"/>
    <x v="1"/>
    <x v="0"/>
    <x v="0"/>
    <x v="1"/>
    <x v="0"/>
    <x v="1"/>
    <n v="7.37"/>
    <n v="48907.76"/>
    <n v="214712.49"/>
    <x v="2"/>
  </r>
  <r>
    <x v="9"/>
    <x v="1"/>
    <x v="0"/>
    <x v="0"/>
    <x v="2"/>
    <x v="0"/>
    <x v="1"/>
    <n v="7.81"/>
    <n v="51827.63"/>
    <n v="227481.83"/>
    <x v="2"/>
  </r>
  <r>
    <x v="9"/>
    <x v="1"/>
    <x v="0"/>
    <x v="0"/>
    <x v="3"/>
    <x v="0"/>
    <x v="1"/>
    <n v="7.72"/>
    <n v="51230.38"/>
    <n v="224745.45"/>
    <x v="2"/>
  </r>
  <r>
    <x v="9"/>
    <x v="1"/>
    <x v="0"/>
    <x v="0"/>
    <x v="4"/>
    <x v="0"/>
    <x v="1"/>
    <n v="2.4"/>
    <n v="15926.54"/>
    <n v="69791.839999999997"/>
    <x v="2"/>
  </r>
  <r>
    <x v="9"/>
    <x v="1"/>
    <x v="0"/>
    <x v="0"/>
    <x v="5"/>
    <x v="0"/>
    <x v="1"/>
    <n v="4.9800000000000004"/>
    <n v="33047.58"/>
    <n v="144859.79"/>
    <x v="2"/>
  </r>
  <r>
    <x v="9"/>
    <x v="1"/>
    <x v="0"/>
    <x v="0"/>
    <x v="6"/>
    <x v="0"/>
    <x v="1"/>
    <n v="3.06"/>
    <n v="20306.34"/>
    <n v="89059.199999999997"/>
    <x v="2"/>
  </r>
  <r>
    <x v="9"/>
    <x v="1"/>
    <x v="0"/>
    <x v="0"/>
    <x v="8"/>
    <x v="0"/>
    <x v="1"/>
    <n v="5.12"/>
    <n v="33976.629999999997"/>
    <n v="149099.51999999999"/>
    <x v="2"/>
  </r>
  <r>
    <x v="9"/>
    <x v="1"/>
    <x v="0"/>
    <x v="1"/>
    <x v="10"/>
    <x v="0"/>
    <x v="1"/>
    <n v="4.9800000000000004"/>
    <n v="33047.58"/>
    <n v="145077.4"/>
    <x v="2"/>
  </r>
  <r>
    <x v="9"/>
    <x v="1"/>
    <x v="0"/>
    <x v="1"/>
    <x v="11"/>
    <x v="0"/>
    <x v="1"/>
    <n v="13.44"/>
    <n v="89188.65"/>
    <n v="391363.79"/>
    <x v="2"/>
  </r>
  <r>
    <x v="9"/>
    <x v="1"/>
    <x v="0"/>
    <x v="1"/>
    <x v="13"/>
    <x v="0"/>
    <x v="1"/>
    <n v="6.1"/>
    <n v="40479.97"/>
    <n v="177630.96"/>
    <x v="2"/>
  </r>
  <r>
    <x v="9"/>
    <x v="1"/>
    <x v="0"/>
    <x v="1"/>
    <x v="14"/>
    <x v="0"/>
    <x v="1"/>
    <n v="1.69"/>
    <n v="11214.94"/>
    <n v="49303.53"/>
    <x v="2"/>
  </r>
  <r>
    <x v="9"/>
    <x v="1"/>
    <x v="0"/>
    <x v="1"/>
    <x v="16"/>
    <x v="0"/>
    <x v="1"/>
    <n v="2.72"/>
    <n v="18050.080000000002"/>
    <n v="79153.509999999995"/>
    <x v="2"/>
  </r>
  <r>
    <x v="9"/>
    <x v="1"/>
    <x v="0"/>
    <x v="1"/>
    <x v="17"/>
    <x v="0"/>
    <x v="1"/>
    <n v="2.57"/>
    <n v="17054.669999999998"/>
    <n v="74873.5"/>
    <x v="2"/>
  </r>
  <r>
    <x v="9"/>
    <x v="1"/>
    <x v="0"/>
    <x v="1"/>
    <x v="18"/>
    <x v="0"/>
    <x v="1"/>
    <n v="15.55"/>
    <n v="103190.73"/>
    <n v="452765.1"/>
    <x v="2"/>
  </r>
  <r>
    <x v="9"/>
    <x v="1"/>
    <x v="0"/>
    <x v="1"/>
    <x v="19"/>
    <x v="0"/>
    <x v="1"/>
    <n v="3.95"/>
    <n v="26212.44"/>
    <n v="114894.61"/>
    <x v="2"/>
  </r>
  <r>
    <x v="9"/>
    <x v="1"/>
    <x v="0"/>
    <x v="1"/>
    <x v="20"/>
    <x v="0"/>
    <x v="1"/>
    <n v="12.88"/>
    <n v="85472.45"/>
    <n v="374935.17"/>
    <x v="2"/>
  </r>
  <r>
    <x v="9"/>
    <x v="1"/>
    <x v="0"/>
    <x v="2"/>
    <x v="21"/>
    <x v="0"/>
    <x v="1"/>
    <n v="0"/>
    <n v="0"/>
    <n v="0"/>
    <x v="2"/>
  </r>
  <r>
    <x v="9"/>
    <x v="1"/>
    <x v="0"/>
    <x v="2"/>
    <x v="22"/>
    <x v="0"/>
    <x v="1"/>
    <n v="5.53"/>
    <n v="36697.410000000003"/>
    <n v="161004.29"/>
    <x v="2"/>
  </r>
  <r>
    <x v="9"/>
    <x v="1"/>
    <x v="0"/>
    <x v="2"/>
    <x v="29"/>
    <x v="0"/>
    <x v="1"/>
    <n v="3.77"/>
    <n v="25017.95"/>
    <n v="109890.5"/>
    <x v="2"/>
  </r>
  <r>
    <x v="9"/>
    <x v="1"/>
    <x v="0"/>
    <x v="2"/>
    <x v="24"/>
    <x v="0"/>
    <x v="1"/>
    <n v="2.9"/>
    <n v="19244.57"/>
    <n v="84299.42"/>
    <x v="2"/>
  </r>
  <r>
    <x v="9"/>
    <x v="1"/>
    <x v="0"/>
    <x v="3"/>
    <x v="25"/>
    <x v="0"/>
    <x v="1"/>
    <n v="1.68"/>
    <n v="11148.58"/>
    <n v="49033.33"/>
    <x v="2"/>
  </r>
  <r>
    <x v="9"/>
    <x v="1"/>
    <x v="0"/>
    <x v="3"/>
    <x v="26"/>
    <x v="0"/>
    <x v="1"/>
    <n v="1.81"/>
    <n v="12011.27"/>
    <n v="52740.23"/>
    <x v="2"/>
  </r>
  <r>
    <x v="9"/>
    <x v="1"/>
    <x v="0"/>
    <x v="3"/>
    <x v="27"/>
    <x v="0"/>
    <x v="1"/>
    <n v="12.79"/>
    <n v="84875.21"/>
    <n v="372246.32"/>
    <x v="2"/>
  </r>
  <r>
    <x v="9"/>
    <x v="1"/>
    <x v="0"/>
    <x v="0"/>
    <x v="0"/>
    <x v="1"/>
    <x v="0"/>
    <n v="6.71"/>
    <n v="44527.96"/>
    <n v="127721.68"/>
    <x v="2"/>
  </r>
  <r>
    <x v="9"/>
    <x v="1"/>
    <x v="0"/>
    <x v="0"/>
    <x v="1"/>
    <x v="1"/>
    <x v="0"/>
    <n v="14.59"/>
    <n v="96820.12"/>
    <n v="273072.56"/>
    <x v="2"/>
  </r>
  <r>
    <x v="9"/>
    <x v="1"/>
    <x v="0"/>
    <x v="0"/>
    <x v="2"/>
    <x v="1"/>
    <x v="0"/>
    <n v="4.8600000000000003"/>
    <n v="32251.25"/>
    <n v="87837.71"/>
    <x v="2"/>
  </r>
  <r>
    <x v="9"/>
    <x v="1"/>
    <x v="0"/>
    <x v="0"/>
    <x v="3"/>
    <x v="1"/>
    <x v="0"/>
    <n v="15.1"/>
    <n v="100204.51"/>
    <n v="284010.90999999997"/>
    <x v="2"/>
  </r>
  <r>
    <x v="9"/>
    <x v="1"/>
    <x v="0"/>
    <x v="0"/>
    <x v="28"/>
    <x v="1"/>
    <x v="0"/>
    <n v="0"/>
    <n v="0"/>
    <n v="0"/>
    <x v="2"/>
  </r>
  <r>
    <x v="9"/>
    <x v="1"/>
    <x v="0"/>
    <x v="0"/>
    <x v="4"/>
    <x v="1"/>
    <x v="0"/>
    <n v="7.01"/>
    <n v="46518.78"/>
    <n v="130651.25"/>
    <x v="2"/>
  </r>
  <r>
    <x v="9"/>
    <x v="1"/>
    <x v="0"/>
    <x v="0"/>
    <x v="5"/>
    <x v="1"/>
    <x v="0"/>
    <n v="1.52"/>
    <n v="10086.81"/>
    <n v="29239.07"/>
    <x v="2"/>
  </r>
  <r>
    <x v="9"/>
    <x v="1"/>
    <x v="0"/>
    <x v="0"/>
    <x v="6"/>
    <x v="1"/>
    <x v="0"/>
    <n v="0"/>
    <n v="0"/>
    <n v="0"/>
    <x v="2"/>
  </r>
  <r>
    <x v="9"/>
    <x v="1"/>
    <x v="0"/>
    <x v="0"/>
    <x v="7"/>
    <x v="1"/>
    <x v="0"/>
    <n v="0"/>
    <n v="0"/>
    <n v="0"/>
    <x v="2"/>
  </r>
  <r>
    <x v="9"/>
    <x v="1"/>
    <x v="0"/>
    <x v="0"/>
    <x v="8"/>
    <x v="1"/>
    <x v="0"/>
    <n v="0"/>
    <n v="0"/>
    <n v="0"/>
    <x v="2"/>
  </r>
  <r>
    <x v="9"/>
    <x v="1"/>
    <x v="0"/>
    <x v="1"/>
    <x v="30"/>
    <x v="1"/>
    <x v="0"/>
    <n v="3.07"/>
    <n v="20372.7"/>
    <n v="61639.94"/>
    <x v="2"/>
  </r>
  <r>
    <x v="9"/>
    <x v="1"/>
    <x v="0"/>
    <x v="1"/>
    <x v="9"/>
    <x v="1"/>
    <x v="0"/>
    <n v="0"/>
    <n v="0"/>
    <n v="0"/>
    <x v="2"/>
  </r>
  <r>
    <x v="9"/>
    <x v="1"/>
    <x v="0"/>
    <x v="1"/>
    <x v="31"/>
    <x v="1"/>
    <x v="0"/>
    <n v="3.91"/>
    <n v="25946.99"/>
    <n v="79146.009999999995"/>
    <x v="2"/>
  </r>
  <r>
    <x v="9"/>
    <x v="1"/>
    <x v="0"/>
    <x v="1"/>
    <x v="10"/>
    <x v="1"/>
    <x v="0"/>
    <n v="9.92"/>
    <n v="65829.72"/>
    <n v="196999.67999999999"/>
    <x v="2"/>
  </r>
  <r>
    <x v="9"/>
    <x v="1"/>
    <x v="0"/>
    <x v="1"/>
    <x v="11"/>
    <x v="1"/>
    <x v="0"/>
    <n v="10.11"/>
    <n v="67090.570000000007"/>
    <n v="191346.1"/>
    <x v="2"/>
  </r>
  <r>
    <x v="9"/>
    <x v="1"/>
    <x v="0"/>
    <x v="1"/>
    <x v="12"/>
    <x v="1"/>
    <x v="0"/>
    <n v="2.58"/>
    <n v="17121.03"/>
    <n v="51322.93"/>
    <x v="2"/>
  </r>
  <r>
    <x v="9"/>
    <x v="1"/>
    <x v="0"/>
    <x v="1"/>
    <x v="13"/>
    <x v="1"/>
    <x v="0"/>
    <n v="2.68"/>
    <n v="17784.64"/>
    <n v="53146.3"/>
    <x v="2"/>
  </r>
  <r>
    <x v="9"/>
    <x v="1"/>
    <x v="0"/>
    <x v="1"/>
    <x v="14"/>
    <x v="1"/>
    <x v="0"/>
    <n v="13.88"/>
    <n v="92108.51"/>
    <n v="269926.03000000003"/>
    <x v="2"/>
  </r>
  <r>
    <x v="9"/>
    <x v="1"/>
    <x v="0"/>
    <x v="1"/>
    <x v="15"/>
    <x v="1"/>
    <x v="0"/>
    <n v="3.27"/>
    <n v="21699.919999999998"/>
    <n v="65731.88"/>
    <x v="2"/>
  </r>
  <r>
    <x v="9"/>
    <x v="1"/>
    <x v="0"/>
    <x v="1"/>
    <x v="16"/>
    <x v="1"/>
    <x v="0"/>
    <n v="7.2"/>
    <n v="47779.63"/>
    <n v="137862.98000000001"/>
    <x v="2"/>
  </r>
  <r>
    <x v="9"/>
    <x v="1"/>
    <x v="0"/>
    <x v="1"/>
    <x v="17"/>
    <x v="1"/>
    <x v="0"/>
    <n v="9.11"/>
    <n v="60454.51"/>
    <n v="176129.66"/>
    <x v="2"/>
  </r>
  <r>
    <x v="9"/>
    <x v="1"/>
    <x v="0"/>
    <x v="1"/>
    <x v="18"/>
    <x v="1"/>
    <x v="0"/>
    <n v="13.47"/>
    <n v="89387.73"/>
    <n v="272638.57"/>
    <x v="2"/>
  </r>
  <r>
    <x v="9"/>
    <x v="1"/>
    <x v="0"/>
    <x v="1"/>
    <x v="19"/>
    <x v="1"/>
    <x v="0"/>
    <n v="13.02"/>
    <n v="86401.5"/>
    <n v="255444.63"/>
    <x v="2"/>
  </r>
  <r>
    <x v="9"/>
    <x v="1"/>
    <x v="0"/>
    <x v="1"/>
    <x v="20"/>
    <x v="1"/>
    <x v="0"/>
    <n v="7.27"/>
    <n v="48244.160000000003"/>
    <n v="140279.14000000001"/>
    <x v="2"/>
  </r>
  <r>
    <x v="9"/>
    <x v="1"/>
    <x v="0"/>
    <x v="2"/>
    <x v="21"/>
    <x v="1"/>
    <x v="0"/>
    <n v="0"/>
    <n v="0"/>
    <n v="0"/>
    <x v="2"/>
  </r>
  <r>
    <x v="9"/>
    <x v="1"/>
    <x v="0"/>
    <x v="2"/>
    <x v="22"/>
    <x v="1"/>
    <x v="0"/>
    <n v="7.52"/>
    <n v="49903.17"/>
    <n v="133292.35999999999"/>
    <x v="2"/>
  </r>
  <r>
    <x v="9"/>
    <x v="1"/>
    <x v="0"/>
    <x v="2"/>
    <x v="29"/>
    <x v="1"/>
    <x v="0"/>
    <n v="0"/>
    <n v="0"/>
    <n v="0"/>
    <x v="2"/>
  </r>
  <r>
    <x v="9"/>
    <x v="1"/>
    <x v="0"/>
    <x v="2"/>
    <x v="23"/>
    <x v="1"/>
    <x v="0"/>
    <n v="0"/>
    <n v="0"/>
    <n v="0"/>
    <x v="2"/>
  </r>
  <r>
    <x v="9"/>
    <x v="1"/>
    <x v="0"/>
    <x v="2"/>
    <x v="24"/>
    <x v="1"/>
    <x v="0"/>
    <n v="2.0699999999999998"/>
    <n v="13736.64"/>
    <n v="37332.76"/>
    <x v="2"/>
  </r>
  <r>
    <x v="9"/>
    <x v="1"/>
    <x v="0"/>
    <x v="3"/>
    <x v="25"/>
    <x v="1"/>
    <x v="0"/>
    <n v="8.89"/>
    <n v="58994.57"/>
    <n v="177212.71"/>
    <x v="2"/>
  </r>
  <r>
    <x v="9"/>
    <x v="1"/>
    <x v="0"/>
    <x v="3"/>
    <x v="26"/>
    <x v="1"/>
    <x v="0"/>
    <n v="6.15"/>
    <n v="40811.769999999997"/>
    <n v="123598.51"/>
    <x v="2"/>
  </r>
  <r>
    <x v="9"/>
    <x v="1"/>
    <x v="0"/>
    <x v="3"/>
    <x v="27"/>
    <x v="1"/>
    <x v="0"/>
    <n v="15.28"/>
    <n v="101399"/>
    <n v="301190.8"/>
    <x v="2"/>
  </r>
  <r>
    <x v="9"/>
    <x v="1"/>
    <x v="0"/>
    <x v="0"/>
    <x v="0"/>
    <x v="1"/>
    <x v="1"/>
    <n v="11.33"/>
    <n v="75186.559999999998"/>
    <n v="215634.01"/>
    <x v="2"/>
  </r>
  <r>
    <x v="9"/>
    <x v="1"/>
    <x v="0"/>
    <x v="0"/>
    <x v="1"/>
    <x v="1"/>
    <x v="1"/>
    <n v="27.33"/>
    <n v="181363.52"/>
    <n v="511555.93"/>
    <x v="2"/>
  </r>
  <r>
    <x v="9"/>
    <x v="1"/>
    <x v="0"/>
    <x v="0"/>
    <x v="2"/>
    <x v="1"/>
    <x v="1"/>
    <n v="14.66"/>
    <n v="97284.64"/>
    <n v="265081.65000000002"/>
    <x v="2"/>
  </r>
  <r>
    <x v="9"/>
    <x v="1"/>
    <x v="0"/>
    <x v="0"/>
    <x v="3"/>
    <x v="1"/>
    <x v="1"/>
    <n v="43.42"/>
    <n v="288137.73"/>
    <n v="816531.37"/>
    <x v="2"/>
  </r>
  <r>
    <x v="9"/>
    <x v="1"/>
    <x v="0"/>
    <x v="0"/>
    <x v="28"/>
    <x v="1"/>
    <x v="1"/>
    <n v="2.2999999999999998"/>
    <n v="15262.94"/>
    <n v="43818.98"/>
    <x v="2"/>
  </r>
  <r>
    <x v="9"/>
    <x v="1"/>
    <x v="0"/>
    <x v="0"/>
    <x v="4"/>
    <x v="1"/>
    <x v="1"/>
    <n v="9.8000000000000007"/>
    <n v="65033.39"/>
    <n v="182576.75"/>
    <x v="2"/>
  </r>
  <r>
    <x v="9"/>
    <x v="1"/>
    <x v="0"/>
    <x v="0"/>
    <x v="5"/>
    <x v="1"/>
    <x v="1"/>
    <n v="27.07"/>
    <n v="179638.14"/>
    <n v="519423.49"/>
    <x v="2"/>
  </r>
  <r>
    <x v="9"/>
    <x v="1"/>
    <x v="0"/>
    <x v="0"/>
    <x v="6"/>
    <x v="1"/>
    <x v="1"/>
    <n v="3.11"/>
    <n v="20638.150000000001"/>
    <n v="59551.17"/>
    <x v="2"/>
  </r>
  <r>
    <x v="9"/>
    <x v="1"/>
    <x v="0"/>
    <x v="0"/>
    <x v="7"/>
    <x v="1"/>
    <x v="1"/>
    <n v="7.25"/>
    <n v="48111.44"/>
    <n v="141041.51"/>
    <x v="2"/>
  </r>
  <r>
    <x v="9"/>
    <x v="1"/>
    <x v="0"/>
    <x v="0"/>
    <x v="8"/>
    <x v="1"/>
    <x v="1"/>
    <n v="4.4000000000000004"/>
    <n v="29198.66"/>
    <n v="81657.960000000006"/>
    <x v="2"/>
  </r>
  <r>
    <x v="9"/>
    <x v="1"/>
    <x v="0"/>
    <x v="1"/>
    <x v="30"/>
    <x v="1"/>
    <x v="1"/>
    <n v="0"/>
    <n v="0"/>
    <n v="0"/>
    <x v="2"/>
  </r>
  <r>
    <x v="9"/>
    <x v="1"/>
    <x v="0"/>
    <x v="1"/>
    <x v="9"/>
    <x v="1"/>
    <x v="1"/>
    <n v="5.01"/>
    <n v="33246.660000000003"/>
    <n v="100340.7"/>
    <x v="2"/>
  </r>
  <r>
    <x v="9"/>
    <x v="1"/>
    <x v="0"/>
    <x v="1"/>
    <x v="31"/>
    <x v="1"/>
    <x v="1"/>
    <n v="0"/>
    <n v="0"/>
    <n v="0"/>
    <x v="2"/>
  </r>
  <r>
    <x v="9"/>
    <x v="1"/>
    <x v="0"/>
    <x v="1"/>
    <x v="10"/>
    <x v="1"/>
    <x v="1"/>
    <n v="32.270000000000003"/>
    <n v="214145.66"/>
    <n v="640692.66"/>
    <x v="2"/>
  </r>
  <r>
    <x v="9"/>
    <x v="1"/>
    <x v="0"/>
    <x v="1"/>
    <x v="11"/>
    <x v="1"/>
    <x v="1"/>
    <n v="32.46"/>
    <n v="215406.51"/>
    <n v="614321.67000000004"/>
    <x v="2"/>
  </r>
  <r>
    <x v="9"/>
    <x v="1"/>
    <x v="0"/>
    <x v="1"/>
    <x v="12"/>
    <x v="1"/>
    <x v="1"/>
    <n v="2.67"/>
    <n v="17718.28"/>
    <n v="53155.89"/>
    <x v="2"/>
  </r>
  <r>
    <x v="9"/>
    <x v="1"/>
    <x v="0"/>
    <x v="1"/>
    <x v="13"/>
    <x v="1"/>
    <x v="1"/>
    <n v="12.11"/>
    <n v="80362.69"/>
    <n v="240015.55"/>
    <x v="2"/>
  </r>
  <r>
    <x v="9"/>
    <x v="1"/>
    <x v="0"/>
    <x v="1"/>
    <x v="14"/>
    <x v="1"/>
    <x v="1"/>
    <n v="8.1300000000000008"/>
    <n v="53951.17"/>
    <n v="158173.21"/>
    <x v="2"/>
  </r>
  <r>
    <x v="9"/>
    <x v="1"/>
    <x v="0"/>
    <x v="1"/>
    <x v="15"/>
    <x v="1"/>
    <x v="1"/>
    <n v="1.82"/>
    <n v="12077.63"/>
    <n v="36517.71"/>
    <x v="2"/>
  </r>
  <r>
    <x v="9"/>
    <x v="1"/>
    <x v="0"/>
    <x v="1"/>
    <x v="16"/>
    <x v="1"/>
    <x v="1"/>
    <n v="14.9"/>
    <n v="98877.29"/>
    <n v="285400.56"/>
    <x v="2"/>
  </r>
  <r>
    <x v="9"/>
    <x v="1"/>
    <x v="0"/>
    <x v="1"/>
    <x v="17"/>
    <x v="1"/>
    <x v="1"/>
    <n v="6.02"/>
    <n v="39949.08"/>
    <n v="116279.78"/>
    <x v="2"/>
  </r>
  <r>
    <x v="9"/>
    <x v="1"/>
    <x v="0"/>
    <x v="1"/>
    <x v="18"/>
    <x v="1"/>
    <x v="1"/>
    <n v="37.340000000000003"/>
    <n v="247790.48"/>
    <n v="755598.32"/>
    <x v="2"/>
  </r>
  <r>
    <x v="9"/>
    <x v="1"/>
    <x v="0"/>
    <x v="1"/>
    <x v="19"/>
    <x v="1"/>
    <x v="1"/>
    <n v="13.46"/>
    <n v="89321.37"/>
    <n v="264133.21999999997"/>
    <x v="2"/>
  </r>
  <r>
    <x v="9"/>
    <x v="1"/>
    <x v="0"/>
    <x v="1"/>
    <x v="20"/>
    <x v="1"/>
    <x v="1"/>
    <n v="26.99"/>
    <n v="179107.26"/>
    <n v="521036.79999999999"/>
    <x v="2"/>
  </r>
  <r>
    <x v="9"/>
    <x v="1"/>
    <x v="0"/>
    <x v="2"/>
    <x v="21"/>
    <x v="1"/>
    <x v="1"/>
    <n v="1.1499999999999999"/>
    <n v="7631.47"/>
    <n v="20350.22"/>
    <x v="2"/>
  </r>
  <r>
    <x v="9"/>
    <x v="1"/>
    <x v="0"/>
    <x v="2"/>
    <x v="22"/>
    <x v="1"/>
    <x v="1"/>
    <n v="17.850000000000001"/>
    <n v="118453.67"/>
    <n v="316569.34999999998"/>
    <x v="2"/>
  </r>
  <r>
    <x v="9"/>
    <x v="1"/>
    <x v="0"/>
    <x v="2"/>
    <x v="29"/>
    <x v="1"/>
    <x v="1"/>
    <n v="2.79"/>
    <n v="18514.61"/>
    <n v="52603.15"/>
    <x v="2"/>
  </r>
  <r>
    <x v="9"/>
    <x v="1"/>
    <x v="0"/>
    <x v="2"/>
    <x v="23"/>
    <x v="1"/>
    <x v="1"/>
    <n v="3.01"/>
    <n v="19974.54"/>
    <n v="55495.91"/>
    <x v="2"/>
  </r>
  <r>
    <x v="9"/>
    <x v="1"/>
    <x v="0"/>
    <x v="2"/>
    <x v="24"/>
    <x v="1"/>
    <x v="1"/>
    <n v="1.9"/>
    <n v="12608.51"/>
    <n v="34346.14"/>
    <x v="2"/>
  </r>
  <r>
    <x v="9"/>
    <x v="1"/>
    <x v="0"/>
    <x v="3"/>
    <x v="25"/>
    <x v="1"/>
    <x v="1"/>
    <n v="12.24"/>
    <n v="81225.37"/>
    <n v="244119.55"/>
    <x v="2"/>
  </r>
  <r>
    <x v="9"/>
    <x v="1"/>
    <x v="0"/>
    <x v="3"/>
    <x v="26"/>
    <x v="1"/>
    <x v="1"/>
    <n v="26.33"/>
    <n v="174727.46"/>
    <n v="528928.9"/>
    <x v="2"/>
  </r>
  <r>
    <x v="9"/>
    <x v="1"/>
    <x v="0"/>
    <x v="3"/>
    <x v="27"/>
    <x v="1"/>
    <x v="1"/>
    <n v="36.590000000000003"/>
    <n v="242813.44"/>
    <n v="721136.82"/>
    <x v="2"/>
  </r>
  <r>
    <x v="9"/>
    <x v="1"/>
    <x v="1"/>
    <x v="0"/>
    <x v="0"/>
    <x v="0"/>
    <x v="0"/>
    <n v="1.79"/>
    <n v="4873.78"/>
    <n v="17212.650000000001"/>
    <x v="2"/>
  </r>
  <r>
    <x v="9"/>
    <x v="1"/>
    <x v="1"/>
    <x v="0"/>
    <x v="1"/>
    <x v="0"/>
    <x v="0"/>
    <n v="2.44"/>
    <n v="6643.58"/>
    <n v="23448.14"/>
    <x v="2"/>
  </r>
  <r>
    <x v="9"/>
    <x v="1"/>
    <x v="1"/>
    <x v="0"/>
    <x v="2"/>
    <x v="0"/>
    <x v="0"/>
    <n v="0"/>
    <n v="0"/>
    <n v="0"/>
    <x v="2"/>
  </r>
  <r>
    <x v="9"/>
    <x v="1"/>
    <x v="1"/>
    <x v="0"/>
    <x v="3"/>
    <x v="0"/>
    <x v="0"/>
    <n v="2.42"/>
    <n v="6589.13"/>
    <n v="23336.06"/>
    <x v="2"/>
  </r>
  <r>
    <x v="9"/>
    <x v="1"/>
    <x v="1"/>
    <x v="0"/>
    <x v="4"/>
    <x v="0"/>
    <x v="0"/>
    <n v="0"/>
    <n v="0"/>
    <n v="0"/>
    <x v="2"/>
  </r>
  <r>
    <x v="9"/>
    <x v="1"/>
    <x v="1"/>
    <x v="0"/>
    <x v="5"/>
    <x v="0"/>
    <x v="0"/>
    <n v="0"/>
    <n v="0"/>
    <n v="0"/>
    <x v="2"/>
  </r>
  <r>
    <x v="9"/>
    <x v="1"/>
    <x v="1"/>
    <x v="0"/>
    <x v="6"/>
    <x v="0"/>
    <x v="0"/>
    <n v="0"/>
    <n v="0"/>
    <n v="0"/>
    <x v="2"/>
  </r>
  <r>
    <x v="9"/>
    <x v="1"/>
    <x v="1"/>
    <x v="0"/>
    <x v="8"/>
    <x v="0"/>
    <x v="0"/>
    <n v="0"/>
    <n v="0"/>
    <n v="0"/>
    <x v="2"/>
  </r>
  <r>
    <x v="9"/>
    <x v="1"/>
    <x v="1"/>
    <x v="1"/>
    <x v="10"/>
    <x v="0"/>
    <x v="0"/>
    <n v="0.97"/>
    <n v="2641.1"/>
    <n v="9380.75"/>
    <x v="2"/>
  </r>
  <r>
    <x v="9"/>
    <x v="1"/>
    <x v="1"/>
    <x v="1"/>
    <x v="11"/>
    <x v="0"/>
    <x v="0"/>
    <n v="0"/>
    <n v="0"/>
    <n v="0"/>
    <x v="2"/>
  </r>
  <r>
    <x v="9"/>
    <x v="1"/>
    <x v="1"/>
    <x v="1"/>
    <x v="13"/>
    <x v="0"/>
    <x v="0"/>
    <n v="0"/>
    <n v="0"/>
    <n v="0"/>
    <x v="2"/>
  </r>
  <r>
    <x v="9"/>
    <x v="1"/>
    <x v="1"/>
    <x v="1"/>
    <x v="14"/>
    <x v="0"/>
    <x v="0"/>
    <n v="0"/>
    <n v="0"/>
    <n v="0"/>
    <x v="2"/>
  </r>
  <r>
    <x v="9"/>
    <x v="1"/>
    <x v="1"/>
    <x v="1"/>
    <x v="16"/>
    <x v="0"/>
    <x v="0"/>
    <n v="0"/>
    <n v="0"/>
    <n v="0"/>
    <x v="2"/>
  </r>
  <r>
    <x v="9"/>
    <x v="1"/>
    <x v="1"/>
    <x v="1"/>
    <x v="17"/>
    <x v="0"/>
    <x v="0"/>
    <n v="0"/>
    <n v="0"/>
    <n v="0"/>
    <x v="2"/>
  </r>
  <r>
    <x v="9"/>
    <x v="1"/>
    <x v="1"/>
    <x v="1"/>
    <x v="18"/>
    <x v="0"/>
    <x v="0"/>
    <n v="0"/>
    <n v="0"/>
    <n v="0"/>
    <x v="2"/>
  </r>
  <r>
    <x v="9"/>
    <x v="1"/>
    <x v="1"/>
    <x v="1"/>
    <x v="19"/>
    <x v="0"/>
    <x v="0"/>
    <n v="0"/>
    <n v="0"/>
    <n v="0"/>
    <x v="2"/>
  </r>
  <r>
    <x v="9"/>
    <x v="1"/>
    <x v="1"/>
    <x v="1"/>
    <x v="20"/>
    <x v="0"/>
    <x v="0"/>
    <n v="1.1299999999999999"/>
    <n v="3076.74"/>
    <n v="10867.22"/>
    <x v="2"/>
  </r>
  <r>
    <x v="9"/>
    <x v="1"/>
    <x v="1"/>
    <x v="2"/>
    <x v="21"/>
    <x v="0"/>
    <x v="0"/>
    <n v="1.21"/>
    <n v="3294.56"/>
    <n v="11633.35"/>
    <x v="2"/>
  </r>
  <r>
    <x v="9"/>
    <x v="1"/>
    <x v="1"/>
    <x v="2"/>
    <x v="22"/>
    <x v="0"/>
    <x v="0"/>
    <n v="0"/>
    <n v="0"/>
    <n v="0"/>
    <x v="2"/>
  </r>
  <r>
    <x v="9"/>
    <x v="1"/>
    <x v="1"/>
    <x v="2"/>
    <x v="29"/>
    <x v="0"/>
    <x v="0"/>
    <n v="0"/>
    <n v="0"/>
    <n v="0"/>
    <x v="2"/>
  </r>
  <r>
    <x v="9"/>
    <x v="1"/>
    <x v="1"/>
    <x v="2"/>
    <x v="24"/>
    <x v="0"/>
    <x v="0"/>
    <n v="0"/>
    <n v="0"/>
    <n v="0"/>
    <x v="2"/>
  </r>
  <r>
    <x v="9"/>
    <x v="1"/>
    <x v="1"/>
    <x v="3"/>
    <x v="25"/>
    <x v="0"/>
    <x v="0"/>
    <n v="0"/>
    <n v="0"/>
    <n v="0"/>
    <x v="2"/>
  </r>
  <r>
    <x v="9"/>
    <x v="1"/>
    <x v="1"/>
    <x v="3"/>
    <x v="26"/>
    <x v="0"/>
    <x v="0"/>
    <n v="2.2400000000000002"/>
    <n v="6099.03"/>
    <n v="21568.48"/>
    <x v="2"/>
  </r>
  <r>
    <x v="9"/>
    <x v="1"/>
    <x v="1"/>
    <x v="3"/>
    <x v="27"/>
    <x v="0"/>
    <x v="0"/>
    <n v="1.41"/>
    <n v="3839.12"/>
    <n v="13567.97"/>
    <x v="2"/>
  </r>
  <r>
    <x v="9"/>
    <x v="1"/>
    <x v="1"/>
    <x v="0"/>
    <x v="0"/>
    <x v="0"/>
    <x v="1"/>
    <n v="1.39"/>
    <n v="3784.66"/>
    <n v="13387.61"/>
    <x v="2"/>
  </r>
  <r>
    <x v="9"/>
    <x v="1"/>
    <x v="1"/>
    <x v="0"/>
    <x v="1"/>
    <x v="0"/>
    <x v="1"/>
    <n v="4.18"/>
    <n v="11381.22"/>
    <n v="40238.17"/>
    <x v="2"/>
  </r>
  <r>
    <x v="9"/>
    <x v="1"/>
    <x v="1"/>
    <x v="0"/>
    <x v="2"/>
    <x v="0"/>
    <x v="1"/>
    <n v="2.1800000000000002"/>
    <n v="5935.66"/>
    <n v="20973.09"/>
    <x v="2"/>
  </r>
  <r>
    <x v="9"/>
    <x v="1"/>
    <x v="1"/>
    <x v="0"/>
    <x v="3"/>
    <x v="0"/>
    <x v="1"/>
    <n v="6.93"/>
    <n v="18868.87"/>
    <n v="66674.45"/>
    <x v="2"/>
  </r>
  <r>
    <x v="9"/>
    <x v="1"/>
    <x v="1"/>
    <x v="0"/>
    <x v="4"/>
    <x v="0"/>
    <x v="1"/>
    <n v="1.51"/>
    <n v="4111.3999999999996"/>
    <n v="14500.58"/>
    <x v="2"/>
  </r>
  <r>
    <x v="9"/>
    <x v="1"/>
    <x v="1"/>
    <x v="0"/>
    <x v="5"/>
    <x v="0"/>
    <x v="1"/>
    <n v="3.05"/>
    <n v="8304.48"/>
    <n v="29389.26"/>
    <x v="2"/>
  </r>
  <r>
    <x v="9"/>
    <x v="1"/>
    <x v="1"/>
    <x v="0"/>
    <x v="6"/>
    <x v="0"/>
    <x v="1"/>
    <n v="0.5"/>
    <n v="1361.39"/>
    <n v="4817.78"/>
    <x v="2"/>
  </r>
  <r>
    <x v="9"/>
    <x v="1"/>
    <x v="1"/>
    <x v="0"/>
    <x v="8"/>
    <x v="0"/>
    <x v="1"/>
    <n v="2.0299999999999998"/>
    <n v="5527.24"/>
    <n v="19586.52"/>
    <x v="2"/>
  </r>
  <r>
    <x v="9"/>
    <x v="1"/>
    <x v="1"/>
    <x v="1"/>
    <x v="10"/>
    <x v="0"/>
    <x v="1"/>
    <n v="2.83"/>
    <n v="7705.47"/>
    <n v="27204.18"/>
    <x v="2"/>
  </r>
  <r>
    <x v="9"/>
    <x v="1"/>
    <x v="1"/>
    <x v="1"/>
    <x v="11"/>
    <x v="0"/>
    <x v="1"/>
    <n v="5.26"/>
    <n v="14321.82"/>
    <n v="50599.66"/>
    <x v="2"/>
  </r>
  <r>
    <x v="9"/>
    <x v="1"/>
    <x v="1"/>
    <x v="1"/>
    <x v="13"/>
    <x v="0"/>
    <x v="1"/>
    <n v="1.92"/>
    <n v="5227.74"/>
    <n v="18484.439999999999"/>
    <x v="2"/>
  </r>
  <r>
    <x v="9"/>
    <x v="1"/>
    <x v="1"/>
    <x v="1"/>
    <x v="14"/>
    <x v="0"/>
    <x v="1"/>
    <n v="1.52"/>
    <n v="4138.63"/>
    <n v="14622.37"/>
    <x v="2"/>
  </r>
  <r>
    <x v="9"/>
    <x v="1"/>
    <x v="1"/>
    <x v="1"/>
    <x v="16"/>
    <x v="0"/>
    <x v="1"/>
    <n v="1.3"/>
    <n v="3539.61"/>
    <n v="12496.42"/>
    <x v="2"/>
  </r>
  <r>
    <x v="9"/>
    <x v="1"/>
    <x v="1"/>
    <x v="1"/>
    <x v="17"/>
    <x v="0"/>
    <x v="1"/>
    <n v="0.56000000000000005"/>
    <n v="1524.76"/>
    <n v="5390.93"/>
    <x v="2"/>
  </r>
  <r>
    <x v="9"/>
    <x v="1"/>
    <x v="1"/>
    <x v="1"/>
    <x v="18"/>
    <x v="0"/>
    <x v="1"/>
    <n v="7.75"/>
    <n v="21101.55"/>
    <n v="74604.63"/>
    <x v="2"/>
  </r>
  <r>
    <x v="9"/>
    <x v="1"/>
    <x v="1"/>
    <x v="1"/>
    <x v="19"/>
    <x v="0"/>
    <x v="1"/>
    <n v="1.89"/>
    <n v="5146.05"/>
    <n v="18166"/>
    <x v="2"/>
  </r>
  <r>
    <x v="9"/>
    <x v="1"/>
    <x v="1"/>
    <x v="1"/>
    <x v="20"/>
    <x v="0"/>
    <x v="1"/>
    <n v="8.56"/>
    <n v="23307"/>
    <n v="82409.78"/>
    <x v="2"/>
  </r>
  <r>
    <x v="9"/>
    <x v="1"/>
    <x v="1"/>
    <x v="2"/>
    <x v="21"/>
    <x v="0"/>
    <x v="1"/>
    <n v="0"/>
    <n v="0"/>
    <n v="0"/>
    <x v="2"/>
  </r>
  <r>
    <x v="9"/>
    <x v="1"/>
    <x v="1"/>
    <x v="2"/>
    <x v="22"/>
    <x v="0"/>
    <x v="1"/>
    <n v="2.93"/>
    <n v="7977.75"/>
    <n v="28229.86"/>
    <x v="2"/>
  </r>
  <r>
    <x v="9"/>
    <x v="1"/>
    <x v="1"/>
    <x v="2"/>
    <x v="29"/>
    <x v="0"/>
    <x v="1"/>
    <n v="2.16"/>
    <n v="5881.2"/>
    <n v="20832.18"/>
    <x v="2"/>
  </r>
  <r>
    <x v="9"/>
    <x v="1"/>
    <x v="1"/>
    <x v="2"/>
    <x v="24"/>
    <x v="0"/>
    <x v="1"/>
    <n v="2.2200000000000002"/>
    <n v="6044.57"/>
    <n v="21383.99"/>
    <x v="2"/>
  </r>
  <r>
    <x v="9"/>
    <x v="1"/>
    <x v="1"/>
    <x v="3"/>
    <x v="25"/>
    <x v="0"/>
    <x v="1"/>
    <n v="1.45"/>
    <n v="3948.03"/>
    <n v="13993.74"/>
    <x v="2"/>
  </r>
  <r>
    <x v="9"/>
    <x v="1"/>
    <x v="1"/>
    <x v="3"/>
    <x v="26"/>
    <x v="0"/>
    <x v="1"/>
    <n v="1.07"/>
    <n v="2913.37"/>
    <n v="10270.700000000001"/>
    <x v="2"/>
  </r>
  <r>
    <x v="9"/>
    <x v="1"/>
    <x v="1"/>
    <x v="3"/>
    <x v="27"/>
    <x v="0"/>
    <x v="1"/>
    <n v="5.55"/>
    <n v="15111.43"/>
    <n v="53423.87"/>
    <x v="2"/>
  </r>
  <r>
    <x v="9"/>
    <x v="1"/>
    <x v="1"/>
    <x v="0"/>
    <x v="0"/>
    <x v="1"/>
    <x v="0"/>
    <n v="4.16"/>
    <n v="11326.76"/>
    <n v="26159.87"/>
    <x v="2"/>
  </r>
  <r>
    <x v="9"/>
    <x v="1"/>
    <x v="1"/>
    <x v="0"/>
    <x v="1"/>
    <x v="1"/>
    <x v="0"/>
    <n v="15.31"/>
    <n v="41685.760000000002"/>
    <n v="94760.27"/>
    <x v="2"/>
  </r>
  <r>
    <x v="9"/>
    <x v="1"/>
    <x v="1"/>
    <x v="0"/>
    <x v="2"/>
    <x v="1"/>
    <x v="0"/>
    <n v="1.83"/>
    <n v="4982.6899999999996"/>
    <n v="10945.79"/>
    <x v="2"/>
  </r>
  <r>
    <x v="9"/>
    <x v="1"/>
    <x v="1"/>
    <x v="0"/>
    <x v="3"/>
    <x v="1"/>
    <x v="0"/>
    <n v="5.14"/>
    <n v="13995.09"/>
    <n v="31968.49"/>
    <x v="2"/>
  </r>
  <r>
    <x v="9"/>
    <x v="1"/>
    <x v="1"/>
    <x v="0"/>
    <x v="28"/>
    <x v="1"/>
    <x v="0"/>
    <n v="0"/>
    <n v="0"/>
    <n v="0"/>
    <x v="2"/>
  </r>
  <r>
    <x v="9"/>
    <x v="1"/>
    <x v="1"/>
    <x v="0"/>
    <x v="4"/>
    <x v="1"/>
    <x v="0"/>
    <n v="7.64"/>
    <n v="20802.04"/>
    <n v="47046.05"/>
    <x v="2"/>
  </r>
  <r>
    <x v="9"/>
    <x v="1"/>
    <x v="1"/>
    <x v="0"/>
    <x v="5"/>
    <x v="1"/>
    <x v="0"/>
    <n v="0.55000000000000004"/>
    <n v="1497.53"/>
    <n v="3492.93"/>
    <x v="2"/>
  </r>
  <r>
    <x v="9"/>
    <x v="1"/>
    <x v="1"/>
    <x v="0"/>
    <x v="6"/>
    <x v="1"/>
    <x v="0"/>
    <n v="0"/>
    <n v="0"/>
    <n v="0"/>
    <x v="2"/>
  </r>
  <r>
    <x v="9"/>
    <x v="1"/>
    <x v="1"/>
    <x v="0"/>
    <x v="7"/>
    <x v="1"/>
    <x v="0"/>
    <n v="0"/>
    <n v="0"/>
    <n v="0"/>
    <x v="2"/>
  </r>
  <r>
    <x v="9"/>
    <x v="1"/>
    <x v="1"/>
    <x v="0"/>
    <x v="8"/>
    <x v="1"/>
    <x v="0"/>
    <n v="0"/>
    <n v="0"/>
    <n v="0"/>
    <x v="2"/>
  </r>
  <r>
    <x v="9"/>
    <x v="1"/>
    <x v="1"/>
    <x v="1"/>
    <x v="30"/>
    <x v="1"/>
    <x v="0"/>
    <n v="0.69"/>
    <n v="1878.72"/>
    <n v="4580.0600000000004"/>
    <x v="2"/>
  </r>
  <r>
    <x v="9"/>
    <x v="1"/>
    <x v="1"/>
    <x v="1"/>
    <x v="9"/>
    <x v="1"/>
    <x v="0"/>
    <n v="0"/>
    <n v="0"/>
    <n v="0"/>
    <x v="2"/>
  </r>
  <r>
    <x v="9"/>
    <x v="1"/>
    <x v="1"/>
    <x v="1"/>
    <x v="31"/>
    <x v="1"/>
    <x v="0"/>
    <n v="2.37"/>
    <n v="6452.99"/>
    <n v="15845.46"/>
    <x v="2"/>
  </r>
  <r>
    <x v="9"/>
    <x v="1"/>
    <x v="1"/>
    <x v="1"/>
    <x v="10"/>
    <x v="1"/>
    <x v="0"/>
    <n v="6.28"/>
    <n v="17099.060000000001"/>
    <n v="41232.44"/>
    <x v="2"/>
  </r>
  <r>
    <x v="9"/>
    <x v="1"/>
    <x v="1"/>
    <x v="1"/>
    <x v="11"/>
    <x v="1"/>
    <x v="0"/>
    <n v="4.3499999999999996"/>
    <n v="11844.09"/>
    <n v="27215.02"/>
    <x v="2"/>
  </r>
  <r>
    <x v="9"/>
    <x v="1"/>
    <x v="1"/>
    <x v="1"/>
    <x v="12"/>
    <x v="1"/>
    <x v="0"/>
    <n v="1.69"/>
    <n v="4601.5"/>
    <n v="11132.75"/>
    <x v="2"/>
  </r>
  <r>
    <x v="9"/>
    <x v="1"/>
    <x v="1"/>
    <x v="1"/>
    <x v="13"/>
    <x v="1"/>
    <x v="0"/>
    <n v="1.21"/>
    <n v="3294.56"/>
    <n v="7945.66"/>
    <x v="2"/>
  </r>
  <r>
    <x v="9"/>
    <x v="1"/>
    <x v="1"/>
    <x v="1"/>
    <x v="14"/>
    <x v="1"/>
    <x v="0"/>
    <n v="9.24"/>
    <n v="25158.49"/>
    <n v="59421.16"/>
    <x v="2"/>
  </r>
  <r>
    <x v="9"/>
    <x v="1"/>
    <x v="1"/>
    <x v="1"/>
    <x v="15"/>
    <x v="1"/>
    <x v="0"/>
    <n v="0.91"/>
    <n v="2477.73"/>
    <n v="6079.7"/>
    <x v="2"/>
  </r>
  <r>
    <x v="9"/>
    <x v="1"/>
    <x v="1"/>
    <x v="1"/>
    <x v="16"/>
    <x v="1"/>
    <x v="0"/>
    <n v="3.86"/>
    <n v="10509.93"/>
    <n v="24449.599999999999"/>
    <x v="2"/>
  </r>
  <r>
    <x v="9"/>
    <x v="1"/>
    <x v="1"/>
    <x v="1"/>
    <x v="17"/>
    <x v="1"/>
    <x v="0"/>
    <n v="5.73"/>
    <n v="15601.53"/>
    <n v="36598.68"/>
    <x v="2"/>
  </r>
  <r>
    <x v="9"/>
    <x v="1"/>
    <x v="1"/>
    <x v="1"/>
    <x v="18"/>
    <x v="1"/>
    <x v="0"/>
    <n v="0"/>
    <n v="0"/>
    <n v="0"/>
    <x v="2"/>
  </r>
  <r>
    <x v="9"/>
    <x v="1"/>
    <x v="1"/>
    <x v="1"/>
    <x v="19"/>
    <x v="1"/>
    <x v="0"/>
    <n v="5.71"/>
    <n v="15547.07"/>
    <n v="37063.480000000003"/>
    <x v="2"/>
  </r>
  <r>
    <x v="9"/>
    <x v="1"/>
    <x v="1"/>
    <x v="1"/>
    <x v="20"/>
    <x v="1"/>
    <x v="0"/>
    <n v="5.83"/>
    <n v="15873.81"/>
    <n v="37229.51"/>
    <x v="2"/>
  </r>
  <r>
    <x v="9"/>
    <x v="1"/>
    <x v="1"/>
    <x v="2"/>
    <x v="21"/>
    <x v="1"/>
    <x v="0"/>
    <n v="0"/>
    <n v="0"/>
    <n v="0"/>
    <x v="2"/>
  </r>
  <r>
    <x v="9"/>
    <x v="1"/>
    <x v="1"/>
    <x v="2"/>
    <x v="22"/>
    <x v="1"/>
    <x v="0"/>
    <n v="2.73"/>
    <n v="7433.19"/>
    <n v="16029.97"/>
    <x v="2"/>
  </r>
  <r>
    <x v="9"/>
    <x v="1"/>
    <x v="1"/>
    <x v="2"/>
    <x v="29"/>
    <x v="1"/>
    <x v="0"/>
    <n v="0"/>
    <n v="0"/>
    <n v="0"/>
    <x v="2"/>
  </r>
  <r>
    <x v="9"/>
    <x v="1"/>
    <x v="1"/>
    <x v="2"/>
    <x v="23"/>
    <x v="1"/>
    <x v="0"/>
    <n v="0"/>
    <n v="0"/>
    <n v="0"/>
    <x v="2"/>
  </r>
  <r>
    <x v="9"/>
    <x v="1"/>
    <x v="1"/>
    <x v="2"/>
    <x v="24"/>
    <x v="1"/>
    <x v="0"/>
    <n v="2.19"/>
    <n v="5962.89"/>
    <n v="13059.74"/>
    <x v="2"/>
  </r>
  <r>
    <x v="9"/>
    <x v="1"/>
    <x v="1"/>
    <x v="3"/>
    <x v="25"/>
    <x v="1"/>
    <x v="0"/>
    <n v="3.99"/>
    <n v="10863.89"/>
    <n v="26318.560000000001"/>
    <x v="2"/>
  </r>
  <r>
    <x v="9"/>
    <x v="1"/>
    <x v="1"/>
    <x v="3"/>
    <x v="26"/>
    <x v="1"/>
    <x v="0"/>
    <n v="1.75"/>
    <n v="4764.87"/>
    <n v="11633"/>
    <x v="2"/>
  </r>
  <r>
    <x v="9"/>
    <x v="1"/>
    <x v="1"/>
    <x v="3"/>
    <x v="27"/>
    <x v="1"/>
    <x v="0"/>
    <n v="6.5"/>
    <n v="17698.07"/>
    <n v="42373.52"/>
    <x v="2"/>
  </r>
  <r>
    <x v="9"/>
    <x v="1"/>
    <x v="1"/>
    <x v="0"/>
    <x v="0"/>
    <x v="1"/>
    <x v="1"/>
    <n v="8.0399999999999991"/>
    <n v="21891.15"/>
    <n v="50613.66"/>
    <x v="2"/>
  </r>
  <r>
    <x v="9"/>
    <x v="1"/>
    <x v="1"/>
    <x v="0"/>
    <x v="1"/>
    <x v="1"/>
    <x v="1"/>
    <n v="21.89"/>
    <n v="59601.65"/>
    <n v="135498.32"/>
    <x v="2"/>
  </r>
  <r>
    <x v="9"/>
    <x v="1"/>
    <x v="1"/>
    <x v="0"/>
    <x v="2"/>
    <x v="1"/>
    <x v="1"/>
    <n v="9"/>
    <n v="24505.02"/>
    <n v="53816.800000000003"/>
    <x v="2"/>
  </r>
  <r>
    <x v="9"/>
    <x v="1"/>
    <x v="1"/>
    <x v="0"/>
    <x v="3"/>
    <x v="1"/>
    <x v="1"/>
    <n v="17.690000000000001"/>
    <n v="48165.98"/>
    <n v="109993.27"/>
    <x v="2"/>
  </r>
  <r>
    <x v="9"/>
    <x v="1"/>
    <x v="1"/>
    <x v="0"/>
    <x v="28"/>
    <x v="1"/>
    <x v="1"/>
    <n v="2.52"/>
    <n v="6861.41"/>
    <n v="15859.46"/>
    <x v="2"/>
  </r>
  <r>
    <x v="9"/>
    <x v="1"/>
    <x v="1"/>
    <x v="0"/>
    <x v="4"/>
    <x v="1"/>
    <x v="1"/>
    <n v="8.75"/>
    <n v="23824.33"/>
    <n v="53889.11"/>
    <x v="2"/>
  </r>
  <r>
    <x v="9"/>
    <x v="1"/>
    <x v="1"/>
    <x v="0"/>
    <x v="5"/>
    <x v="1"/>
    <x v="1"/>
    <n v="10.39"/>
    <n v="28289.68"/>
    <n v="65928.97"/>
    <x v="2"/>
  </r>
  <r>
    <x v="9"/>
    <x v="1"/>
    <x v="1"/>
    <x v="0"/>
    <x v="6"/>
    <x v="1"/>
    <x v="1"/>
    <n v="2.92"/>
    <n v="7950.52"/>
    <n v="18471.96"/>
    <x v="2"/>
  </r>
  <r>
    <x v="9"/>
    <x v="1"/>
    <x v="1"/>
    <x v="0"/>
    <x v="7"/>
    <x v="1"/>
    <x v="1"/>
    <n v="2.88"/>
    <n v="7841.61"/>
    <n v="18497.41"/>
    <x v="2"/>
  </r>
  <r>
    <x v="9"/>
    <x v="1"/>
    <x v="1"/>
    <x v="0"/>
    <x v="8"/>
    <x v="1"/>
    <x v="1"/>
    <n v="2.36"/>
    <n v="6425.76"/>
    <n v="14453.68"/>
    <x v="2"/>
  </r>
  <r>
    <x v="9"/>
    <x v="1"/>
    <x v="1"/>
    <x v="1"/>
    <x v="30"/>
    <x v="1"/>
    <x v="1"/>
    <n v="0"/>
    <n v="0"/>
    <n v="0"/>
    <x v="2"/>
  </r>
  <r>
    <x v="9"/>
    <x v="1"/>
    <x v="1"/>
    <x v="1"/>
    <x v="9"/>
    <x v="1"/>
    <x v="1"/>
    <n v="3.28"/>
    <n v="8930.7199999999993"/>
    <n v="21740.16"/>
    <x v="2"/>
  </r>
  <r>
    <x v="9"/>
    <x v="1"/>
    <x v="1"/>
    <x v="1"/>
    <x v="31"/>
    <x v="1"/>
    <x v="1"/>
    <n v="0"/>
    <n v="0"/>
    <n v="0"/>
    <x v="2"/>
  </r>
  <r>
    <x v="9"/>
    <x v="1"/>
    <x v="1"/>
    <x v="1"/>
    <x v="10"/>
    <x v="1"/>
    <x v="1"/>
    <n v="17.07"/>
    <n v="46477.85"/>
    <n v="112082.54"/>
    <x v="2"/>
  </r>
  <r>
    <x v="9"/>
    <x v="1"/>
    <x v="1"/>
    <x v="1"/>
    <x v="11"/>
    <x v="1"/>
    <x v="1"/>
    <n v="14.44"/>
    <n v="39316.94"/>
    <n v="90353.86"/>
    <x v="2"/>
  </r>
  <r>
    <x v="9"/>
    <x v="1"/>
    <x v="1"/>
    <x v="1"/>
    <x v="12"/>
    <x v="1"/>
    <x v="1"/>
    <n v="0.8"/>
    <n v="2178.2199999999998"/>
    <n v="5273.41"/>
    <x v="2"/>
  </r>
  <r>
    <x v="9"/>
    <x v="1"/>
    <x v="1"/>
    <x v="1"/>
    <x v="13"/>
    <x v="1"/>
    <x v="1"/>
    <n v="5.71"/>
    <n v="15547.07"/>
    <n v="37458.129999999997"/>
    <x v="2"/>
  </r>
  <r>
    <x v="9"/>
    <x v="1"/>
    <x v="1"/>
    <x v="1"/>
    <x v="14"/>
    <x v="1"/>
    <x v="1"/>
    <n v="4.32"/>
    <n v="11762.41"/>
    <n v="27766.9"/>
    <x v="2"/>
  </r>
  <r>
    <x v="9"/>
    <x v="1"/>
    <x v="1"/>
    <x v="1"/>
    <x v="15"/>
    <x v="1"/>
    <x v="1"/>
    <n v="2.2400000000000002"/>
    <n v="6099.03"/>
    <n v="14922.9"/>
    <x v="2"/>
  </r>
  <r>
    <x v="9"/>
    <x v="1"/>
    <x v="1"/>
    <x v="1"/>
    <x v="16"/>
    <x v="1"/>
    <x v="1"/>
    <n v="11.33"/>
    <n v="30849.1"/>
    <n v="71771.41"/>
    <x v="2"/>
  </r>
  <r>
    <x v="9"/>
    <x v="1"/>
    <x v="1"/>
    <x v="1"/>
    <x v="17"/>
    <x v="1"/>
    <x v="1"/>
    <n v="2.0299999999999998"/>
    <n v="5527.24"/>
    <n v="12950.3"/>
    <x v="2"/>
  </r>
  <r>
    <x v="9"/>
    <x v="1"/>
    <x v="1"/>
    <x v="1"/>
    <x v="18"/>
    <x v="1"/>
    <x v="1"/>
    <n v="0"/>
    <n v="0"/>
    <n v="0"/>
    <x v="2"/>
  </r>
  <r>
    <x v="9"/>
    <x v="1"/>
    <x v="1"/>
    <x v="1"/>
    <x v="19"/>
    <x v="1"/>
    <x v="1"/>
    <n v="9.84"/>
    <n v="26792.16"/>
    <n v="63863.22"/>
    <x v="2"/>
  </r>
  <r>
    <x v="9"/>
    <x v="1"/>
    <x v="1"/>
    <x v="1"/>
    <x v="20"/>
    <x v="1"/>
    <x v="1"/>
    <n v="13.25"/>
    <n v="36076.839999999997"/>
    <n v="84564.160000000003"/>
    <x v="2"/>
  </r>
  <r>
    <x v="9"/>
    <x v="1"/>
    <x v="1"/>
    <x v="2"/>
    <x v="21"/>
    <x v="1"/>
    <x v="1"/>
    <n v="2.34"/>
    <n v="6371.31"/>
    <n v="13739.51"/>
    <x v="2"/>
  </r>
  <r>
    <x v="9"/>
    <x v="1"/>
    <x v="1"/>
    <x v="2"/>
    <x v="22"/>
    <x v="1"/>
    <x v="1"/>
    <n v="9.4"/>
    <n v="25594.13"/>
    <n v="55103.03"/>
    <x v="2"/>
  </r>
  <r>
    <x v="9"/>
    <x v="1"/>
    <x v="1"/>
    <x v="2"/>
    <x v="29"/>
    <x v="1"/>
    <x v="1"/>
    <n v="2.74"/>
    <n v="7460.42"/>
    <n v="17035.91"/>
    <x v="2"/>
  </r>
  <r>
    <x v="9"/>
    <x v="1"/>
    <x v="1"/>
    <x v="2"/>
    <x v="23"/>
    <x v="1"/>
    <x v="1"/>
    <n v="1.5"/>
    <n v="4084.17"/>
    <n v="9145.06"/>
    <x v="2"/>
  </r>
  <r>
    <x v="9"/>
    <x v="1"/>
    <x v="1"/>
    <x v="2"/>
    <x v="24"/>
    <x v="1"/>
    <x v="1"/>
    <n v="1.93"/>
    <n v="5254.97"/>
    <n v="11492.57"/>
    <x v="2"/>
  </r>
  <r>
    <x v="9"/>
    <x v="1"/>
    <x v="1"/>
    <x v="3"/>
    <x v="25"/>
    <x v="1"/>
    <x v="1"/>
    <n v="5.38"/>
    <n v="14648.56"/>
    <n v="35472.839999999997"/>
    <x v="2"/>
  </r>
  <r>
    <x v="9"/>
    <x v="1"/>
    <x v="1"/>
    <x v="3"/>
    <x v="26"/>
    <x v="1"/>
    <x v="1"/>
    <n v="14.1"/>
    <n v="38391.199999999997"/>
    <n v="93676.3"/>
    <x v="2"/>
  </r>
  <r>
    <x v="9"/>
    <x v="1"/>
    <x v="1"/>
    <x v="3"/>
    <x v="27"/>
    <x v="1"/>
    <x v="1"/>
    <n v="19.68"/>
    <n v="53584.31"/>
    <n v="128281.47"/>
    <x v="2"/>
  </r>
  <r>
    <x v="9"/>
    <x v="1"/>
    <x v="2"/>
    <x v="0"/>
    <x v="0"/>
    <x v="0"/>
    <x v="0"/>
    <n v="2.42"/>
    <n v="13115.72"/>
    <n v="56703.34"/>
    <x v="2"/>
  </r>
  <r>
    <x v="9"/>
    <x v="1"/>
    <x v="2"/>
    <x v="0"/>
    <x v="1"/>
    <x v="0"/>
    <x v="0"/>
    <n v="4.07"/>
    <n v="22058.26"/>
    <n v="95301.74"/>
    <x v="2"/>
  </r>
  <r>
    <x v="9"/>
    <x v="1"/>
    <x v="2"/>
    <x v="0"/>
    <x v="2"/>
    <x v="0"/>
    <x v="0"/>
    <n v="0"/>
    <n v="0"/>
    <n v="0"/>
    <x v="2"/>
  </r>
  <r>
    <x v="9"/>
    <x v="1"/>
    <x v="2"/>
    <x v="0"/>
    <x v="3"/>
    <x v="0"/>
    <x v="0"/>
    <n v="2.38"/>
    <n v="12898.93"/>
    <n v="55670.64"/>
    <x v="2"/>
  </r>
  <r>
    <x v="9"/>
    <x v="1"/>
    <x v="2"/>
    <x v="0"/>
    <x v="4"/>
    <x v="0"/>
    <x v="0"/>
    <n v="0"/>
    <n v="0"/>
    <n v="0"/>
    <x v="2"/>
  </r>
  <r>
    <x v="9"/>
    <x v="1"/>
    <x v="2"/>
    <x v="0"/>
    <x v="5"/>
    <x v="0"/>
    <x v="0"/>
    <n v="0"/>
    <n v="0"/>
    <n v="0"/>
    <x v="2"/>
  </r>
  <r>
    <x v="9"/>
    <x v="1"/>
    <x v="2"/>
    <x v="0"/>
    <x v="6"/>
    <x v="0"/>
    <x v="0"/>
    <n v="0"/>
    <n v="0"/>
    <n v="0"/>
    <x v="2"/>
  </r>
  <r>
    <x v="9"/>
    <x v="1"/>
    <x v="2"/>
    <x v="0"/>
    <x v="8"/>
    <x v="0"/>
    <x v="0"/>
    <n v="0"/>
    <n v="0"/>
    <n v="0"/>
    <x v="2"/>
  </r>
  <r>
    <x v="9"/>
    <x v="1"/>
    <x v="2"/>
    <x v="1"/>
    <x v="10"/>
    <x v="0"/>
    <x v="0"/>
    <n v="1.64"/>
    <n v="8888.34"/>
    <n v="38530.35"/>
    <x v="2"/>
  </r>
  <r>
    <x v="9"/>
    <x v="1"/>
    <x v="2"/>
    <x v="1"/>
    <x v="11"/>
    <x v="0"/>
    <x v="0"/>
    <n v="0"/>
    <n v="0"/>
    <n v="0"/>
    <x v="2"/>
  </r>
  <r>
    <x v="9"/>
    <x v="1"/>
    <x v="2"/>
    <x v="1"/>
    <x v="13"/>
    <x v="0"/>
    <x v="0"/>
    <n v="0"/>
    <n v="0"/>
    <n v="0"/>
    <x v="2"/>
  </r>
  <r>
    <x v="9"/>
    <x v="1"/>
    <x v="2"/>
    <x v="1"/>
    <x v="14"/>
    <x v="0"/>
    <x v="0"/>
    <n v="0"/>
    <n v="0"/>
    <n v="0"/>
    <x v="2"/>
  </r>
  <r>
    <x v="9"/>
    <x v="1"/>
    <x v="2"/>
    <x v="1"/>
    <x v="16"/>
    <x v="0"/>
    <x v="0"/>
    <n v="0"/>
    <n v="0"/>
    <n v="0"/>
    <x v="2"/>
  </r>
  <r>
    <x v="9"/>
    <x v="1"/>
    <x v="2"/>
    <x v="1"/>
    <x v="17"/>
    <x v="0"/>
    <x v="0"/>
    <n v="0"/>
    <n v="0"/>
    <n v="0"/>
    <x v="2"/>
  </r>
  <r>
    <x v="9"/>
    <x v="1"/>
    <x v="2"/>
    <x v="1"/>
    <x v="18"/>
    <x v="0"/>
    <x v="0"/>
    <n v="0"/>
    <n v="0"/>
    <n v="0"/>
    <x v="2"/>
  </r>
  <r>
    <x v="9"/>
    <x v="1"/>
    <x v="2"/>
    <x v="1"/>
    <x v="19"/>
    <x v="0"/>
    <x v="0"/>
    <n v="0"/>
    <n v="0"/>
    <n v="0"/>
    <x v="2"/>
  </r>
  <r>
    <x v="9"/>
    <x v="1"/>
    <x v="2"/>
    <x v="1"/>
    <x v="20"/>
    <x v="0"/>
    <x v="0"/>
    <n v="2.02"/>
    <n v="10947.83"/>
    <n v="47310.95"/>
    <x v="2"/>
  </r>
  <r>
    <x v="9"/>
    <x v="1"/>
    <x v="2"/>
    <x v="2"/>
    <x v="21"/>
    <x v="0"/>
    <x v="0"/>
    <n v="2.74"/>
    <n v="14850.03"/>
    <n v="64171.199999999997"/>
    <x v="2"/>
  </r>
  <r>
    <x v="9"/>
    <x v="1"/>
    <x v="2"/>
    <x v="2"/>
    <x v="22"/>
    <x v="0"/>
    <x v="0"/>
    <n v="0"/>
    <n v="0"/>
    <n v="0"/>
    <x v="2"/>
  </r>
  <r>
    <x v="9"/>
    <x v="1"/>
    <x v="2"/>
    <x v="2"/>
    <x v="29"/>
    <x v="0"/>
    <x v="0"/>
    <n v="0"/>
    <n v="0"/>
    <n v="0"/>
    <x v="2"/>
  </r>
  <r>
    <x v="9"/>
    <x v="1"/>
    <x v="2"/>
    <x v="2"/>
    <x v="24"/>
    <x v="0"/>
    <x v="0"/>
    <n v="0"/>
    <n v="0"/>
    <n v="0"/>
    <x v="2"/>
  </r>
  <r>
    <x v="9"/>
    <x v="1"/>
    <x v="2"/>
    <x v="3"/>
    <x v="25"/>
    <x v="0"/>
    <x v="0"/>
    <n v="0"/>
    <n v="0"/>
    <n v="0"/>
    <x v="2"/>
  </r>
  <r>
    <x v="9"/>
    <x v="1"/>
    <x v="2"/>
    <x v="3"/>
    <x v="26"/>
    <x v="0"/>
    <x v="0"/>
    <n v="2.0699999999999998"/>
    <n v="11218.82"/>
    <n v="48435.5"/>
    <x v="2"/>
  </r>
  <r>
    <x v="9"/>
    <x v="1"/>
    <x v="2"/>
    <x v="3"/>
    <x v="27"/>
    <x v="0"/>
    <x v="0"/>
    <n v="1.71"/>
    <n v="9267.7199999999993"/>
    <n v="40137"/>
    <x v="2"/>
  </r>
  <r>
    <x v="9"/>
    <x v="1"/>
    <x v="2"/>
    <x v="0"/>
    <x v="0"/>
    <x v="0"/>
    <x v="1"/>
    <n v="2.52"/>
    <n v="13657.69"/>
    <n v="58971.47"/>
    <x v="2"/>
  </r>
  <r>
    <x v="9"/>
    <x v="1"/>
    <x v="2"/>
    <x v="0"/>
    <x v="1"/>
    <x v="0"/>
    <x v="1"/>
    <n v="6.91"/>
    <n v="37450.269999999997"/>
    <n v="161954.49"/>
    <x v="2"/>
  </r>
  <r>
    <x v="9"/>
    <x v="1"/>
    <x v="2"/>
    <x v="0"/>
    <x v="2"/>
    <x v="0"/>
    <x v="1"/>
    <n v="5.92"/>
    <n v="32084.74"/>
    <n v="138722.60999999999"/>
    <x v="2"/>
  </r>
  <r>
    <x v="9"/>
    <x v="1"/>
    <x v="2"/>
    <x v="0"/>
    <x v="3"/>
    <x v="0"/>
    <x v="1"/>
    <n v="6.48"/>
    <n v="35119.79"/>
    <n v="151829.01999999999"/>
    <x v="2"/>
  </r>
  <r>
    <x v="9"/>
    <x v="1"/>
    <x v="2"/>
    <x v="0"/>
    <x v="4"/>
    <x v="0"/>
    <x v="1"/>
    <n v="1.79"/>
    <n v="9701.2999999999993"/>
    <n v="42057.14"/>
    <x v="2"/>
  </r>
  <r>
    <x v="9"/>
    <x v="1"/>
    <x v="2"/>
    <x v="0"/>
    <x v="5"/>
    <x v="0"/>
    <x v="1"/>
    <n v="5.22"/>
    <n v="28290.94"/>
    <n v="122435.27"/>
    <x v="2"/>
  </r>
  <r>
    <x v="9"/>
    <x v="1"/>
    <x v="2"/>
    <x v="0"/>
    <x v="6"/>
    <x v="0"/>
    <x v="1"/>
    <n v="2.58"/>
    <n v="13982.88"/>
    <n v="60355.3"/>
    <x v="2"/>
  </r>
  <r>
    <x v="9"/>
    <x v="1"/>
    <x v="2"/>
    <x v="0"/>
    <x v="8"/>
    <x v="0"/>
    <x v="1"/>
    <n v="4.4000000000000004"/>
    <n v="23846.77"/>
    <n v="103089.60000000001"/>
    <x v="2"/>
  </r>
  <r>
    <x v="9"/>
    <x v="1"/>
    <x v="2"/>
    <x v="1"/>
    <x v="10"/>
    <x v="0"/>
    <x v="1"/>
    <n v="5.51"/>
    <n v="29862.66"/>
    <n v="129190.01"/>
    <x v="2"/>
  </r>
  <r>
    <x v="9"/>
    <x v="1"/>
    <x v="2"/>
    <x v="1"/>
    <x v="11"/>
    <x v="0"/>
    <x v="1"/>
    <n v="10.41"/>
    <n v="56419.29"/>
    <n v="243861.45"/>
    <x v="2"/>
  </r>
  <r>
    <x v="9"/>
    <x v="1"/>
    <x v="2"/>
    <x v="1"/>
    <x v="13"/>
    <x v="0"/>
    <x v="1"/>
    <n v="3.36"/>
    <n v="18210.259999999998"/>
    <n v="78631"/>
    <x v="2"/>
  </r>
  <r>
    <x v="9"/>
    <x v="1"/>
    <x v="2"/>
    <x v="1"/>
    <x v="14"/>
    <x v="0"/>
    <x v="1"/>
    <n v="1.68"/>
    <n v="9105.1299999999992"/>
    <n v="39379.51"/>
    <x v="2"/>
  </r>
  <r>
    <x v="9"/>
    <x v="1"/>
    <x v="2"/>
    <x v="1"/>
    <x v="16"/>
    <x v="0"/>
    <x v="1"/>
    <n v="1.62"/>
    <n v="8779.9500000000007"/>
    <n v="37849.79"/>
    <x v="2"/>
  </r>
  <r>
    <x v="9"/>
    <x v="1"/>
    <x v="2"/>
    <x v="1"/>
    <x v="17"/>
    <x v="0"/>
    <x v="1"/>
    <n v="1.1299999999999999"/>
    <n v="6124.28"/>
    <n v="26559.95"/>
    <x v="2"/>
  </r>
  <r>
    <x v="9"/>
    <x v="1"/>
    <x v="2"/>
    <x v="1"/>
    <x v="18"/>
    <x v="0"/>
    <x v="1"/>
    <n v="13.32"/>
    <n v="72190.67"/>
    <n v="312213.99"/>
    <x v="2"/>
  </r>
  <r>
    <x v="9"/>
    <x v="1"/>
    <x v="2"/>
    <x v="1"/>
    <x v="19"/>
    <x v="0"/>
    <x v="1"/>
    <n v="4.5999999999999996"/>
    <n v="24930.71"/>
    <n v="107693.89"/>
    <x v="2"/>
  </r>
  <r>
    <x v="9"/>
    <x v="1"/>
    <x v="2"/>
    <x v="1"/>
    <x v="20"/>
    <x v="0"/>
    <x v="1"/>
    <n v="12.69"/>
    <n v="68776.25"/>
    <n v="297383.08"/>
    <x v="2"/>
  </r>
  <r>
    <x v="9"/>
    <x v="1"/>
    <x v="2"/>
    <x v="2"/>
    <x v="21"/>
    <x v="0"/>
    <x v="1"/>
    <n v="0"/>
    <n v="0"/>
    <n v="0"/>
    <x v="2"/>
  </r>
  <r>
    <x v="9"/>
    <x v="1"/>
    <x v="2"/>
    <x v="2"/>
    <x v="22"/>
    <x v="0"/>
    <x v="1"/>
    <n v="5.82"/>
    <n v="31542.77"/>
    <n v="136477.42000000001"/>
    <x v="2"/>
  </r>
  <r>
    <x v="9"/>
    <x v="1"/>
    <x v="2"/>
    <x v="2"/>
    <x v="29"/>
    <x v="0"/>
    <x v="1"/>
    <n v="2.72"/>
    <n v="14741.64"/>
    <n v="63692.22"/>
    <x v="2"/>
  </r>
  <r>
    <x v="9"/>
    <x v="1"/>
    <x v="2"/>
    <x v="2"/>
    <x v="24"/>
    <x v="0"/>
    <x v="1"/>
    <n v="2.42"/>
    <n v="13115.72"/>
    <n v="56712.28"/>
    <x v="2"/>
  </r>
  <r>
    <x v="9"/>
    <x v="1"/>
    <x v="2"/>
    <x v="3"/>
    <x v="25"/>
    <x v="0"/>
    <x v="1"/>
    <n v="1.23"/>
    <n v="6666.26"/>
    <n v="28913.47"/>
    <x v="2"/>
  </r>
  <r>
    <x v="9"/>
    <x v="1"/>
    <x v="2"/>
    <x v="3"/>
    <x v="26"/>
    <x v="0"/>
    <x v="1"/>
    <n v="1.67"/>
    <n v="9050.93"/>
    <n v="39209.69"/>
    <x v="2"/>
  </r>
  <r>
    <x v="9"/>
    <x v="1"/>
    <x v="2"/>
    <x v="3"/>
    <x v="27"/>
    <x v="0"/>
    <x v="1"/>
    <n v="8.75"/>
    <n v="47422.55"/>
    <n v="205144.65"/>
    <x v="2"/>
  </r>
  <r>
    <x v="9"/>
    <x v="1"/>
    <x v="2"/>
    <x v="0"/>
    <x v="0"/>
    <x v="1"/>
    <x v="0"/>
    <n v="4.1399999999999997"/>
    <n v="22437.64"/>
    <n v="63493.18"/>
    <x v="2"/>
  </r>
  <r>
    <x v="9"/>
    <x v="1"/>
    <x v="2"/>
    <x v="0"/>
    <x v="1"/>
    <x v="1"/>
    <x v="0"/>
    <n v="15.03"/>
    <n v="81458.39"/>
    <n v="226481.32"/>
    <x v="2"/>
  </r>
  <r>
    <x v="9"/>
    <x v="1"/>
    <x v="2"/>
    <x v="0"/>
    <x v="2"/>
    <x v="1"/>
    <x v="0"/>
    <n v="6.5"/>
    <n v="35228.18"/>
    <n v="94645.07"/>
    <x v="2"/>
  </r>
  <r>
    <x v="9"/>
    <x v="1"/>
    <x v="2"/>
    <x v="0"/>
    <x v="3"/>
    <x v="1"/>
    <x v="0"/>
    <n v="11.01"/>
    <n v="59671.12"/>
    <n v="166681.01999999999"/>
    <x v="2"/>
  </r>
  <r>
    <x v="9"/>
    <x v="1"/>
    <x v="2"/>
    <x v="0"/>
    <x v="28"/>
    <x v="1"/>
    <x v="0"/>
    <n v="0"/>
    <n v="0"/>
    <n v="0"/>
    <x v="2"/>
  </r>
  <r>
    <x v="9"/>
    <x v="1"/>
    <x v="2"/>
    <x v="0"/>
    <x v="4"/>
    <x v="1"/>
    <x v="0"/>
    <n v="7.58"/>
    <n v="41081.480000000003"/>
    <n v="113669.6"/>
    <x v="2"/>
  </r>
  <r>
    <x v="9"/>
    <x v="1"/>
    <x v="2"/>
    <x v="0"/>
    <x v="5"/>
    <x v="1"/>
    <x v="0"/>
    <n v="2.42"/>
    <n v="13115.72"/>
    <n v="37398.42"/>
    <x v="2"/>
  </r>
  <r>
    <x v="9"/>
    <x v="1"/>
    <x v="2"/>
    <x v="0"/>
    <x v="6"/>
    <x v="1"/>
    <x v="0"/>
    <n v="0"/>
    <n v="0"/>
    <n v="0"/>
    <x v="2"/>
  </r>
  <r>
    <x v="9"/>
    <x v="1"/>
    <x v="2"/>
    <x v="0"/>
    <x v="7"/>
    <x v="1"/>
    <x v="0"/>
    <n v="0"/>
    <n v="0"/>
    <n v="0"/>
    <x v="2"/>
  </r>
  <r>
    <x v="9"/>
    <x v="1"/>
    <x v="2"/>
    <x v="0"/>
    <x v="8"/>
    <x v="1"/>
    <x v="0"/>
    <n v="0"/>
    <n v="0"/>
    <n v="0"/>
    <x v="2"/>
  </r>
  <r>
    <x v="9"/>
    <x v="1"/>
    <x v="2"/>
    <x v="1"/>
    <x v="30"/>
    <x v="1"/>
    <x v="0"/>
    <n v="3.89"/>
    <n v="21082.71"/>
    <n v="62830.77"/>
    <x v="2"/>
  </r>
  <r>
    <x v="9"/>
    <x v="1"/>
    <x v="2"/>
    <x v="1"/>
    <x v="9"/>
    <x v="1"/>
    <x v="0"/>
    <n v="0"/>
    <n v="0"/>
    <n v="0"/>
    <x v="2"/>
  </r>
  <r>
    <x v="9"/>
    <x v="1"/>
    <x v="2"/>
    <x v="1"/>
    <x v="31"/>
    <x v="1"/>
    <x v="0"/>
    <n v="3.7"/>
    <n v="20052.96"/>
    <n v="60321.35"/>
    <x v="2"/>
  </r>
  <r>
    <x v="9"/>
    <x v="1"/>
    <x v="2"/>
    <x v="1"/>
    <x v="10"/>
    <x v="1"/>
    <x v="0"/>
    <n v="8.15"/>
    <n v="44170.720000000001"/>
    <n v="130304.42"/>
    <x v="2"/>
  </r>
  <r>
    <x v="9"/>
    <x v="1"/>
    <x v="2"/>
    <x v="1"/>
    <x v="11"/>
    <x v="1"/>
    <x v="0"/>
    <n v="11.46"/>
    <n v="62109.99"/>
    <n v="174632.92"/>
    <x v="2"/>
  </r>
  <r>
    <x v="9"/>
    <x v="1"/>
    <x v="2"/>
    <x v="1"/>
    <x v="12"/>
    <x v="1"/>
    <x v="0"/>
    <n v="0.76"/>
    <n v="4118.99"/>
    <n v="12108.45"/>
    <x v="2"/>
  </r>
  <r>
    <x v="9"/>
    <x v="1"/>
    <x v="2"/>
    <x v="1"/>
    <x v="13"/>
    <x v="1"/>
    <x v="0"/>
    <n v="2.3199999999999998"/>
    <n v="12573.75"/>
    <n v="37068.339999999997"/>
    <x v="2"/>
  </r>
  <r>
    <x v="9"/>
    <x v="1"/>
    <x v="2"/>
    <x v="1"/>
    <x v="14"/>
    <x v="1"/>
    <x v="0"/>
    <n v="20.96"/>
    <n v="113597.33"/>
    <n v="328164.96999999997"/>
    <x v="2"/>
  </r>
  <r>
    <x v="9"/>
    <x v="1"/>
    <x v="2"/>
    <x v="1"/>
    <x v="15"/>
    <x v="1"/>
    <x v="0"/>
    <n v="1.45"/>
    <n v="7858.59"/>
    <n v="23458.75"/>
    <x v="2"/>
  </r>
  <r>
    <x v="9"/>
    <x v="1"/>
    <x v="2"/>
    <x v="1"/>
    <x v="16"/>
    <x v="1"/>
    <x v="0"/>
    <n v="7.06"/>
    <n v="38263.22"/>
    <n v="108904.16"/>
    <x v="2"/>
  </r>
  <r>
    <x v="9"/>
    <x v="1"/>
    <x v="2"/>
    <x v="1"/>
    <x v="17"/>
    <x v="1"/>
    <x v="0"/>
    <n v="9.23"/>
    <n v="50024.02"/>
    <n v="143681.13"/>
    <x v="2"/>
  </r>
  <r>
    <x v="9"/>
    <x v="1"/>
    <x v="2"/>
    <x v="1"/>
    <x v="18"/>
    <x v="1"/>
    <x v="0"/>
    <n v="10.58"/>
    <n v="57340.639999999999"/>
    <n v="172395.42"/>
    <x v="2"/>
  </r>
  <r>
    <x v="9"/>
    <x v="1"/>
    <x v="2"/>
    <x v="1"/>
    <x v="19"/>
    <x v="1"/>
    <x v="0"/>
    <n v="11.71"/>
    <n v="63464.92"/>
    <n v="185040.18"/>
    <x v="2"/>
  </r>
  <r>
    <x v="9"/>
    <x v="1"/>
    <x v="2"/>
    <x v="1"/>
    <x v="20"/>
    <x v="1"/>
    <x v="0"/>
    <n v="16.559999999999999"/>
    <n v="89750.56"/>
    <n v="257313.97"/>
    <x v="2"/>
  </r>
  <r>
    <x v="9"/>
    <x v="1"/>
    <x v="2"/>
    <x v="2"/>
    <x v="21"/>
    <x v="1"/>
    <x v="0"/>
    <n v="0"/>
    <n v="0"/>
    <n v="0"/>
    <x v="2"/>
  </r>
  <r>
    <x v="9"/>
    <x v="1"/>
    <x v="2"/>
    <x v="2"/>
    <x v="22"/>
    <x v="1"/>
    <x v="0"/>
    <n v="10.220000000000001"/>
    <n v="55389.54"/>
    <n v="145810.87"/>
    <x v="2"/>
  </r>
  <r>
    <x v="9"/>
    <x v="1"/>
    <x v="2"/>
    <x v="2"/>
    <x v="29"/>
    <x v="1"/>
    <x v="0"/>
    <n v="0"/>
    <n v="0"/>
    <n v="0"/>
    <x v="2"/>
  </r>
  <r>
    <x v="9"/>
    <x v="1"/>
    <x v="2"/>
    <x v="2"/>
    <x v="23"/>
    <x v="1"/>
    <x v="0"/>
    <n v="0"/>
    <n v="0"/>
    <n v="0"/>
    <x v="2"/>
  </r>
  <r>
    <x v="9"/>
    <x v="1"/>
    <x v="2"/>
    <x v="2"/>
    <x v="24"/>
    <x v="1"/>
    <x v="0"/>
    <n v="4.4000000000000004"/>
    <n v="23846.77"/>
    <n v="63924.94"/>
    <x v="2"/>
  </r>
  <r>
    <x v="9"/>
    <x v="1"/>
    <x v="2"/>
    <x v="3"/>
    <x v="25"/>
    <x v="1"/>
    <x v="0"/>
    <n v="8.3000000000000007"/>
    <n v="44983.68"/>
    <n v="133297.13"/>
    <x v="2"/>
  </r>
  <r>
    <x v="9"/>
    <x v="1"/>
    <x v="2"/>
    <x v="3"/>
    <x v="26"/>
    <x v="1"/>
    <x v="0"/>
    <n v="1.83"/>
    <n v="9918.09"/>
    <n v="29659.68"/>
    <x v="2"/>
  </r>
  <r>
    <x v="9"/>
    <x v="1"/>
    <x v="2"/>
    <x v="3"/>
    <x v="27"/>
    <x v="1"/>
    <x v="0"/>
    <n v="16.66"/>
    <n v="90292.54"/>
    <n v="264330.07"/>
    <x v="2"/>
  </r>
  <r>
    <x v="9"/>
    <x v="1"/>
    <x v="2"/>
    <x v="0"/>
    <x v="0"/>
    <x v="1"/>
    <x v="1"/>
    <n v="14.14"/>
    <n v="76634.84"/>
    <n v="216704.99"/>
    <x v="2"/>
  </r>
  <r>
    <x v="9"/>
    <x v="1"/>
    <x v="2"/>
    <x v="0"/>
    <x v="1"/>
    <x v="1"/>
    <x v="1"/>
    <n v="20.56"/>
    <n v="111429.44"/>
    <n v="309856.31"/>
    <x v="2"/>
  </r>
  <r>
    <x v="9"/>
    <x v="1"/>
    <x v="2"/>
    <x v="0"/>
    <x v="2"/>
    <x v="1"/>
    <x v="1"/>
    <n v="18.260000000000002"/>
    <n v="98964.09"/>
    <n v="265784.09000000003"/>
    <x v="2"/>
  </r>
  <r>
    <x v="9"/>
    <x v="1"/>
    <x v="2"/>
    <x v="0"/>
    <x v="3"/>
    <x v="1"/>
    <x v="1"/>
    <n v="22.96"/>
    <n v="124436.77"/>
    <n v="347590.92"/>
    <x v="2"/>
  </r>
  <r>
    <x v="9"/>
    <x v="1"/>
    <x v="2"/>
    <x v="0"/>
    <x v="28"/>
    <x v="1"/>
    <x v="1"/>
    <n v="2.5499999999999998"/>
    <n v="13820.29"/>
    <n v="39119.22"/>
    <x v="2"/>
  </r>
  <r>
    <x v="9"/>
    <x v="1"/>
    <x v="2"/>
    <x v="0"/>
    <x v="4"/>
    <x v="1"/>
    <x v="1"/>
    <n v="6.78"/>
    <n v="36745.699999999997"/>
    <n v="101634"/>
    <x v="2"/>
  </r>
  <r>
    <x v="9"/>
    <x v="1"/>
    <x v="2"/>
    <x v="0"/>
    <x v="5"/>
    <x v="1"/>
    <x v="1"/>
    <n v="18.850000000000001"/>
    <n v="102161.72"/>
    <n v="291173.40000000002"/>
    <x v="2"/>
  </r>
  <r>
    <x v="9"/>
    <x v="1"/>
    <x v="2"/>
    <x v="0"/>
    <x v="6"/>
    <x v="1"/>
    <x v="1"/>
    <n v="3.46"/>
    <n v="18752.23"/>
    <n v="53330.02"/>
    <x v="2"/>
  </r>
  <r>
    <x v="9"/>
    <x v="1"/>
    <x v="2"/>
    <x v="0"/>
    <x v="7"/>
    <x v="1"/>
    <x v="1"/>
    <n v="4.43"/>
    <n v="24009.360000000001"/>
    <n v="69337.509999999995"/>
    <x v="2"/>
  </r>
  <r>
    <x v="9"/>
    <x v="1"/>
    <x v="2"/>
    <x v="0"/>
    <x v="8"/>
    <x v="1"/>
    <x v="1"/>
    <n v="4.75"/>
    <n v="25743.67"/>
    <n v="70927.77"/>
    <x v="2"/>
  </r>
  <r>
    <x v="9"/>
    <x v="1"/>
    <x v="2"/>
    <x v="1"/>
    <x v="30"/>
    <x v="1"/>
    <x v="1"/>
    <n v="0"/>
    <n v="0"/>
    <n v="0"/>
    <x v="2"/>
  </r>
  <r>
    <x v="9"/>
    <x v="1"/>
    <x v="2"/>
    <x v="1"/>
    <x v="9"/>
    <x v="1"/>
    <x v="1"/>
    <n v="9.06"/>
    <n v="49102.66"/>
    <n v="146156.38"/>
    <x v="2"/>
  </r>
  <r>
    <x v="9"/>
    <x v="1"/>
    <x v="2"/>
    <x v="1"/>
    <x v="31"/>
    <x v="1"/>
    <x v="1"/>
    <n v="0"/>
    <n v="0"/>
    <n v="0"/>
    <x v="2"/>
  </r>
  <r>
    <x v="9"/>
    <x v="1"/>
    <x v="2"/>
    <x v="1"/>
    <x v="10"/>
    <x v="1"/>
    <x v="1"/>
    <n v="36.64"/>
    <n v="198578.54"/>
    <n v="585653.94999999995"/>
    <x v="2"/>
  </r>
  <r>
    <x v="9"/>
    <x v="1"/>
    <x v="2"/>
    <x v="1"/>
    <x v="11"/>
    <x v="1"/>
    <x v="1"/>
    <n v="33.67"/>
    <n v="182481.97"/>
    <n v="512898.27"/>
    <x v="2"/>
  </r>
  <r>
    <x v="9"/>
    <x v="1"/>
    <x v="2"/>
    <x v="1"/>
    <x v="12"/>
    <x v="1"/>
    <x v="1"/>
    <n v="3.59"/>
    <n v="19456.79"/>
    <n v="57515.12"/>
    <x v="2"/>
  </r>
  <r>
    <x v="9"/>
    <x v="1"/>
    <x v="2"/>
    <x v="1"/>
    <x v="13"/>
    <x v="1"/>
    <x v="1"/>
    <n v="15.1"/>
    <n v="81837.77"/>
    <n v="240944.24"/>
    <x v="2"/>
  </r>
  <r>
    <x v="9"/>
    <x v="1"/>
    <x v="2"/>
    <x v="1"/>
    <x v="14"/>
    <x v="1"/>
    <x v="1"/>
    <n v="13.45"/>
    <n v="72895.23"/>
    <n v="210587.14"/>
    <x v="2"/>
  </r>
  <r>
    <x v="9"/>
    <x v="1"/>
    <x v="2"/>
    <x v="1"/>
    <x v="15"/>
    <x v="1"/>
    <x v="1"/>
    <n v="1.53"/>
    <n v="8292.17"/>
    <n v="24838.67"/>
    <x v="2"/>
  </r>
  <r>
    <x v="9"/>
    <x v="1"/>
    <x v="2"/>
    <x v="1"/>
    <x v="16"/>
    <x v="1"/>
    <x v="1"/>
    <n v="12.01"/>
    <n v="65090.84"/>
    <n v="185278.5"/>
    <x v="2"/>
  </r>
  <r>
    <x v="9"/>
    <x v="1"/>
    <x v="2"/>
    <x v="1"/>
    <x v="17"/>
    <x v="1"/>
    <x v="1"/>
    <n v="4.95"/>
    <n v="26827.61"/>
    <n v="77024.929999999993"/>
    <x v="2"/>
  </r>
  <r>
    <x v="9"/>
    <x v="1"/>
    <x v="2"/>
    <x v="1"/>
    <x v="18"/>
    <x v="1"/>
    <x v="1"/>
    <n v="45.01"/>
    <n v="243941.6"/>
    <n v="733154.17"/>
    <x v="2"/>
  </r>
  <r>
    <x v="9"/>
    <x v="1"/>
    <x v="2"/>
    <x v="1"/>
    <x v="19"/>
    <x v="1"/>
    <x v="1"/>
    <n v="17.89"/>
    <n v="96958.79"/>
    <n v="282580.74"/>
    <x v="2"/>
  </r>
  <r>
    <x v="9"/>
    <x v="1"/>
    <x v="2"/>
    <x v="1"/>
    <x v="20"/>
    <x v="1"/>
    <x v="1"/>
    <n v="31.96"/>
    <n v="173214.25"/>
    <n v="496546.41"/>
    <x v="2"/>
  </r>
  <r>
    <x v="9"/>
    <x v="1"/>
    <x v="2"/>
    <x v="2"/>
    <x v="21"/>
    <x v="1"/>
    <x v="1"/>
    <n v="3.49"/>
    <n v="18914.82"/>
    <n v="49823.4"/>
    <x v="2"/>
  </r>
  <r>
    <x v="9"/>
    <x v="1"/>
    <x v="2"/>
    <x v="2"/>
    <x v="22"/>
    <x v="1"/>
    <x v="1"/>
    <n v="21.94"/>
    <n v="118908.66"/>
    <n v="313176.40000000002"/>
    <x v="2"/>
  </r>
  <r>
    <x v="9"/>
    <x v="1"/>
    <x v="2"/>
    <x v="2"/>
    <x v="29"/>
    <x v="1"/>
    <x v="1"/>
    <n v="3.92"/>
    <n v="21245.3"/>
    <n v="59420.85"/>
    <x v="2"/>
  </r>
  <r>
    <x v="9"/>
    <x v="1"/>
    <x v="2"/>
    <x v="2"/>
    <x v="23"/>
    <x v="1"/>
    <x v="1"/>
    <n v="2.48"/>
    <n v="13440.91"/>
    <n v="36855.279999999999"/>
    <x v="2"/>
  </r>
  <r>
    <x v="9"/>
    <x v="1"/>
    <x v="2"/>
    <x v="2"/>
    <x v="24"/>
    <x v="1"/>
    <x v="1"/>
    <n v="3.08"/>
    <n v="16692.740000000002"/>
    <n v="44747.46"/>
    <x v="2"/>
  </r>
  <r>
    <x v="9"/>
    <x v="1"/>
    <x v="2"/>
    <x v="3"/>
    <x v="25"/>
    <x v="1"/>
    <x v="1"/>
    <n v="11.22"/>
    <n v="60809.26"/>
    <n v="180170.85"/>
    <x v="2"/>
  </r>
  <r>
    <x v="9"/>
    <x v="1"/>
    <x v="2"/>
    <x v="3"/>
    <x v="26"/>
    <x v="1"/>
    <x v="1"/>
    <n v="17.559999999999999"/>
    <n v="95170.28"/>
    <n v="283885.53000000003"/>
    <x v="2"/>
  </r>
  <r>
    <x v="9"/>
    <x v="1"/>
    <x v="2"/>
    <x v="3"/>
    <x v="27"/>
    <x v="1"/>
    <x v="1"/>
    <n v="46.38"/>
    <n v="251366.61"/>
    <n v="735881.87"/>
    <x v="2"/>
  </r>
  <r>
    <x v="9"/>
    <x v="1"/>
    <x v="3"/>
    <x v="0"/>
    <x v="0"/>
    <x v="0"/>
    <x v="0"/>
    <n v="2.31"/>
    <n v="13914.98"/>
    <n v="63452.21"/>
    <x v="2"/>
  </r>
  <r>
    <x v="9"/>
    <x v="1"/>
    <x v="3"/>
    <x v="0"/>
    <x v="1"/>
    <x v="0"/>
    <x v="0"/>
    <n v="5.0199999999999996"/>
    <n v="30239.48"/>
    <n v="137846.78"/>
    <x v="2"/>
  </r>
  <r>
    <x v="9"/>
    <x v="1"/>
    <x v="3"/>
    <x v="0"/>
    <x v="2"/>
    <x v="0"/>
    <x v="0"/>
    <n v="0"/>
    <n v="0"/>
    <n v="0"/>
    <x v="2"/>
  </r>
  <r>
    <x v="9"/>
    <x v="1"/>
    <x v="3"/>
    <x v="0"/>
    <x v="3"/>
    <x v="0"/>
    <x v="0"/>
    <n v="2.12"/>
    <n v="12770.46"/>
    <n v="58263.62"/>
    <x v="2"/>
  </r>
  <r>
    <x v="9"/>
    <x v="1"/>
    <x v="3"/>
    <x v="0"/>
    <x v="4"/>
    <x v="0"/>
    <x v="0"/>
    <n v="0"/>
    <n v="0"/>
    <n v="0"/>
    <x v="2"/>
  </r>
  <r>
    <x v="9"/>
    <x v="1"/>
    <x v="3"/>
    <x v="0"/>
    <x v="5"/>
    <x v="0"/>
    <x v="0"/>
    <n v="0"/>
    <n v="0"/>
    <n v="0"/>
    <x v="2"/>
  </r>
  <r>
    <x v="9"/>
    <x v="1"/>
    <x v="3"/>
    <x v="0"/>
    <x v="6"/>
    <x v="0"/>
    <x v="0"/>
    <n v="0"/>
    <n v="0"/>
    <n v="0"/>
    <x v="2"/>
  </r>
  <r>
    <x v="9"/>
    <x v="1"/>
    <x v="3"/>
    <x v="0"/>
    <x v="8"/>
    <x v="0"/>
    <x v="0"/>
    <n v="0"/>
    <n v="0"/>
    <n v="0"/>
    <x v="2"/>
  </r>
  <r>
    <x v="9"/>
    <x v="1"/>
    <x v="3"/>
    <x v="1"/>
    <x v="10"/>
    <x v="0"/>
    <x v="0"/>
    <n v="2.15"/>
    <n v="12951.17"/>
    <n v="59082.21"/>
    <x v="2"/>
  </r>
  <r>
    <x v="9"/>
    <x v="1"/>
    <x v="3"/>
    <x v="1"/>
    <x v="11"/>
    <x v="0"/>
    <x v="0"/>
    <n v="0"/>
    <n v="0"/>
    <n v="0"/>
    <x v="2"/>
  </r>
  <r>
    <x v="9"/>
    <x v="1"/>
    <x v="3"/>
    <x v="1"/>
    <x v="13"/>
    <x v="0"/>
    <x v="0"/>
    <n v="0"/>
    <n v="0"/>
    <n v="0"/>
    <x v="2"/>
  </r>
  <r>
    <x v="9"/>
    <x v="1"/>
    <x v="3"/>
    <x v="1"/>
    <x v="14"/>
    <x v="0"/>
    <x v="0"/>
    <n v="0"/>
    <n v="0"/>
    <n v="0"/>
    <x v="2"/>
  </r>
  <r>
    <x v="9"/>
    <x v="1"/>
    <x v="3"/>
    <x v="1"/>
    <x v="16"/>
    <x v="0"/>
    <x v="0"/>
    <n v="0"/>
    <n v="0"/>
    <n v="0"/>
    <x v="2"/>
  </r>
  <r>
    <x v="9"/>
    <x v="1"/>
    <x v="3"/>
    <x v="1"/>
    <x v="17"/>
    <x v="0"/>
    <x v="0"/>
    <n v="0"/>
    <n v="0"/>
    <n v="0"/>
    <x v="2"/>
  </r>
  <r>
    <x v="9"/>
    <x v="1"/>
    <x v="3"/>
    <x v="1"/>
    <x v="18"/>
    <x v="0"/>
    <x v="0"/>
    <n v="0"/>
    <n v="0"/>
    <n v="0"/>
    <x v="2"/>
  </r>
  <r>
    <x v="9"/>
    <x v="1"/>
    <x v="3"/>
    <x v="1"/>
    <x v="19"/>
    <x v="0"/>
    <x v="0"/>
    <n v="0"/>
    <n v="0"/>
    <n v="0"/>
    <x v="2"/>
  </r>
  <r>
    <x v="9"/>
    <x v="1"/>
    <x v="3"/>
    <x v="1"/>
    <x v="20"/>
    <x v="0"/>
    <x v="0"/>
    <n v="2.4700000000000002"/>
    <n v="14878.79"/>
    <n v="67844.22"/>
    <x v="2"/>
  </r>
  <r>
    <x v="9"/>
    <x v="1"/>
    <x v="3"/>
    <x v="2"/>
    <x v="21"/>
    <x v="0"/>
    <x v="0"/>
    <n v="3.63"/>
    <n v="21866.39"/>
    <n v="99709.63"/>
    <x v="2"/>
  </r>
  <r>
    <x v="9"/>
    <x v="1"/>
    <x v="3"/>
    <x v="2"/>
    <x v="22"/>
    <x v="0"/>
    <x v="0"/>
    <n v="0"/>
    <n v="0"/>
    <n v="0"/>
    <x v="2"/>
  </r>
  <r>
    <x v="9"/>
    <x v="1"/>
    <x v="3"/>
    <x v="2"/>
    <x v="29"/>
    <x v="0"/>
    <x v="0"/>
    <n v="0"/>
    <n v="0"/>
    <n v="0"/>
    <x v="2"/>
  </r>
  <r>
    <x v="9"/>
    <x v="1"/>
    <x v="3"/>
    <x v="2"/>
    <x v="24"/>
    <x v="0"/>
    <x v="0"/>
    <n v="0"/>
    <n v="0"/>
    <n v="0"/>
    <x v="2"/>
  </r>
  <r>
    <x v="9"/>
    <x v="1"/>
    <x v="3"/>
    <x v="3"/>
    <x v="25"/>
    <x v="0"/>
    <x v="0"/>
    <n v="0"/>
    <n v="0"/>
    <n v="0"/>
    <x v="2"/>
  </r>
  <r>
    <x v="9"/>
    <x v="1"/>
    <x v="3"/>
    <x v="3"/>
    <x v="26"/>
    <x v="0"/>
    <x v="0"/>
    <n v="3.25"/>
    <n v="19577.349999999999"/>
    <n v="89437.34"/>
    <x v="2"/>
  </r>
  <r>
    <x v="9"/>
    <x v="1"/>
    <x v="3"/>
    <x v="3"/>
    <x v="27"/>
    <x v="0"/>
    <x v="0"/>
    <n v="2.2999999999999998"/>
    <n v="13854.74"/>
    <n v="63127.89"/>
    <x v="2"/>
  </r>
  <r>
    <x v="9"/>
    <x v="1"/>
    <x v="3"/>
    <x v="0"/>
    <x v="0"/>
    <x v="0"/>
    <x v="1"/>
    <n v="2.5099999999999998"/>
    <n v="15119.74"/>
    <n v="68969.789999999994"/>
    <x v="2"/>
  </r>
  <r>
    <x v="9"/>
    <x v="1"/>
    <x v="3"/>
    <x v="0"/>
    <x v="1"/>
    <x v="0"/>
    <x v="1"/>
    <n v="7.44"/>
    <n v="44817.07"/>
    <n v="204348.98"/>
    <x v="2"/>
  </r>
  <r>
    <x v="9"/>
    <x v="1"/>
    <x v="3"/>
    <x v="0"/>
    <x v="2"/>
    <x v="0"/>
    <x v="1"/>
    <n v="6.22"/>
    <n v="37468.04"/>
    <n v="170978.58"/>
    <x v="2"/>
  </r>
  <r>
    <x v="9"/>
    <x v="1"/>
    <x v="3"/>
    <x v="0"/>
    <x v="3"/>
    <x v="0"/>
    <x v="1"/>
    <n v="9.44"/>
    <n v="56864.67"/>
    <n v="259537.96"/>
    <x v="2"/>
  </r>
  <r>
    <x v="9"/>
    <x v="1"/>
    <x v="3"/>
    <x v="0"/>
    <x v="4"/>
    <x v="0"/>
    <x v="1"/>
    <n v="2.19"/>
    <n v="13192.12"/>
    <n v="60317.3"/>
    <x v="2"/>
  </r>
  <r>
    <x v="9"/>
    <x v="1"/>
    <x v="3"/>
    <x v="0"/>
    <x v="5"/>
    <x v="0"/>
    <x v="1"/>
    <n v="5.05"/>
    <n v="30420.19"/>
    <n v="138782.73000000001"/>
    <x v="2"/>
  </r>
  <r>
    <x v="9"/>
    <x v="1"/>
    <x v="3"/>
    <x v="0"/>
    <x v="6"/>
    <x v="0"/>
    <x v="1"/>
    <n v="2.61"/>
    <n v="15722.12"/>
    <n v="71861.899999999994"/>
    <x v="2"/>
  </r>
  <r>
    <x v="9"/>
    <x v="1"/>
    <x v="3"/>
    <x v="0"/>
    <x v="8"/>
    <x v="0"/>
    <x v="1"/>
    <n v="3.04"/>
    <n v="18312.349999999999"/>
    <n v="83412.47"/>
    <x v="2"/>
  </r>
  <r>
    <x v="9"/>
    <x v="1"/>
    <x v="3"/>
    <x v="1"/>
    <x v="10"/>
    <x v="0"/>
    <x v="1"/>
    <n v="5.32"/>
    <n v="32046.62"/>
    <n v="146298.81"/>
    <x v="2"/>
  </r>
  <r>
    <x v="9"/>
    <x v="1"/>
    <x v="3"/>
    <x v="1"/>
    <x v="11"/>
    <x v="0"/>
    <x v="1"/>
    <n v="14.44"/>
    <n v="86983.67"/>
    <n v="396936.85"/>
    <x v="2"/>
  </r>
  <r>
    <x v="9"/>
    <x v="1"/>
    <x v="3"/>
    <x v="1"/>
    <x v="13"/>
    <x v="0"/>
    <x v="1"/>
    <n v="5.82"/>
    <n v="35058.519999999997"/>
    <n v="159906.29"/>
    <x v="2"/>
  </r>
  <r>
    <x v="9"/>
    <x v="1"/>
    <x v="3"/>
    <x v="1"/>
    <x v="14"/>
    <x v="0"/>
    <x v="1"/>
    <n v="1.96"/>
    <n v="11806.65"/>
    <n v="53865.08"/>
    <x v="2"/>
  </r>
  <r>
    <x v="9"/>
    <x v="1"/>
    <x v="3"/>
    <x v="1"/>
    <x v="16"/>
    <x v="0"/>
    <x v="1"/>
    <n v="2.3199999999999998"/>
    <n v="13975.22"/>
    <n v="63668.01"/>
    <x v="2"/>
  </r>
  <r>
    <x v="9"/>
    <x v="1"/>
    <x v="3"/>
    <x v="1"/>
    <x v="17"/>
    <x v="0"/>
    <x v="1"/>
    <n v="1.72"/>
    <n v="10360.94"/>
    <n v="47335.21"/>
    <x v="2"/>
  </r>
  <r>
    <x v="9"/>
    <x v="1"/>
    <x v="3"/>
    <x v="1"/>
    <x v="18"/>
    <x v="0"/>
    <x v="1"/>
    <n v="17.100000000000001"/>
    <n v="103006.98"/>
    <n v="469854.91"/>
    <x v="2"/>
  </r>
  <r>
    <x v="9"/>
    <x v="1"/>
    <x v="3"/>
    <x v="1"/>
    <x v="19"/>
    <x v="0"/>
    <x v="1"/>
    <n v="4.88"/>
    <n v="29396.14"/>
    <n v="134160.91"/>
    <x v="2"/>
  </r>
  <r>
    <x v="9"/>
    <x v="1"/>
    <x v="3"/>
    <x v="1"/>
    <x v="20"/>
    <x v="0"/>
    <x v="1"/>
    <n v="12.91"/>
    <n v="77767.259999999995"/>
    <n v="354877.47"/>
    <x v="2"/>
  </r>
  <r>
    <x v="9"/>
    <x v="1"/>
    <x v="3"/>
    <x v="2"/>
    <x v="21"/>
    <x v="0"/>
    <x v="1"/>
    <n v="0"/>
    <n v="0"/>
    <n v="0"/>
    <x v="2"/>
  </r>
  <r>
    <x v="9"/>
    <x v="1"/>
    <x v="3"/>
    <x v="2"/>
    <x v="22"/>
    <x v="0"/>
    <x v="1"/>
    <n v="5.9"/>
    <n v="35540.42"/>
    <n v="162036.57999999999"/>
    <x v="2"/>
  </r>
  <r>
    <x v="9"/>
    <x v="1"/>
    <x v="3"/>
    <x v="2"/>
    <x v="29"/>
    <x v="0"/>
    <x v="1"/>
    <n v="3.77"/>
    <n v="22709.73"/>
    <n v="103680.09"/>
    <x v="2"/>
  </r>
  <r>
    <x v="9"/>
    <x v="1"/>
    <x v="3"/>
    <x v="2"/>
    <x v="24"/>
    <x v="0"/>
    <x v="1"/>
    <n v="2.67"/>
    <n v="16083.55"/>
    <n v="73350.53"/>
    <x v="2"/>
  </r>
  <r>
    <x v="9"/>
    <x v="1"/>
    <x v="3"/>
    <x v="3"/>
    <x v="25"/>
    <x v="0"/>
    <x v="1"/>
    <n v="2.92"/>
    <n v="17589.5"/>
    <n v="80142.78"/>
    <x v="2"/>
  </r>
  <r>
    <x v="9"/>
    <x v="1"/>
    <x v="3"/>
    <x v="3"/>
    <x v="26"/>
    <x v="0"/>
    <x v="1"/>
    <n v="3.16"/>
    <n v="19035.21"/>
    <n v="86727.12"/>
    <x v="2"/>
  </r>
  <r>
    <x v="9"/>
    <x v="1"/>
    <x v="3"/>
    <x v="3"/>
    <x v="27"/>
    <x v="0"/>
    <x v="1"/>
    <n v="9.86"/>
    <n v="59394.67"/>
    <n v="270923.87"/>
    <x v="2"/>
  </r>
  <r>
    <x v="9"/>
    <x v="1"/>
    <x v="3"/>
    <x v="0"/>
    <x v="0"/>
    <x v="1"/>
    <x v="0"/>
    <n v="4.79"/>
    <n v="28854"/>
    <n v="86071.16"/>
    <x v="2"/>
  </r>
  <r>
    <x v="9"/>
    <x v="1"/>
    <x v="3"/>
    <x v="0"/>
    <x v="1"/>
    <x v="1"/>
    <x v="0"/>
    <n v="12.8"/>
    <n v="77104.639999999999"/>
    <n v="226282.64"/>
    <x v="2"/>
  </r>
  <r>
    <x v="9"/>
    <x v="1"/>
    <x v="3"/>
    <x v="0"/>
    <x v="2"/>
    <x v="1"/>
    <x v="0"/>
    <n v="4.95"/>
    <n v="29817.81"/>
    <n v="84474.74"/>
    <x v="2"/>
  </r>
  <r>
    <x v="9"/>
    <x v="1"/>
    <x v="3"/>
    <x v="0"/>
    <x v="3"/>
    <x v="1"/>
    <x v="0"/>
    <n v="14.51"/>
    <n v="87405.34"/>
    <n v="257653.41"/>
    <x v="2"/>
  </r>
  <r>
    <x v="9"/>
    <x v="1"/>
    <x v="3"/>
    <x v="0"/>
    <x v="28"/>
    <x v="1"/>
    <x v="0"/>
    <n v="0"/>
    <n v="0"/>
    <n v="0"/>
    <x v="2"/>
  </r>
  <r>
    <x v="9"/>
    <x v="1"/>
    <x v="3"/>
    <x v="0"/>
    <x v="4"/>
    <x v="1"/>
    <x v="0"/>
    <n v="7.27"/>
    <n v="43793.03"/>
    <n v="127899.65"/>
    <x v="2"/>
  </r>
  <r>
    <x v="9"/>
    <x v="1"/>
    <x v="3"/>
    <x v="0"/>
    <x v="5"/>
    <x v="1"/>
    <x v="0"/>
    <n v="3.08"/>
    <n v="18553.3"/>
    <n v="55811.82"/>
    <x v="2"/>
  </r>
  <r>
    <x v="9"/>
    <x v="1"/>
    <x v="3"/>
    <x v="0"/>
    <x v="6"/>
    <x v="1"/>
    <x v="0"/>
    <n v="0"/>
    <n v="0"/>
    <n v="0"/>
    <x v="2"/>
  </r>
  <r>
    <x v="9"/>
    <x v="1"/>
    <x v="3"/>
    <x v="0"/>
    <x v="7"/>
    <x v="1"/>
    <x v="0"/>
    <n v="0"/>
    <n v="0"/>
    <n v="0"/>
    <x v="2"/>
  </r>
  <r>
    <x v="9"/>
    <x v="1"/>
    <x v="3"/>
    <x v="0"/>
    <x v="8"/>
    <x v="1"/>
    <x v="0"/>
    <n v="0"/>
    <n v="0"/>
    <n v="0"/>
    <x v="2"/>
  </r>
  <r>
    <x v="9"/>
    <x v="1"/>
    <x v="3"/>
    <x v="1"/>
    <x v="30"/>
    <x v="1"/>
    <x v="0"/>
    <n v="1.4"/>
    <n v="8433.32"/>
    <n v="26463.5"/>
    <x v="2"/>
  </r>
  <r>
    <x v="9"/>
    <x v="1"/>
    <x v="3"/>
    <x v="1"/>
    <x v="9"/>
    <x v="1"/>
    <x v="0"/>
    <n v="0"/>
    <n v="0"/>
    <n v="0"/>
    <x v="2"/>
  </r>
  <r>
    <x v="9"/>
    <x v="1"/>
    <x v="3"/>
    <x v="1"/>
    <x v="31"/>
    <x v="1"/>
    <x v="0"/>
    <n v="2.0699999999999998"/>
    <n v="12469.27"/>
    <n v="39546.730000000003"/>
    <x v="2"/>
  </r>
  <r>
    <x v="9"/>
    <x v="1"/>
    <x v="3"/>
    <x v="1"/>
    <x v="10"/>
    <x v="1"/>
    <x v="0"/>
    <n v="11.93"/>
    <n v="71863.929999999993"/>
    <n v="223610.23999999999"/>
    <x v="2"/>
  </r>
  <r>
    <x v="9"/>
    <x v="1"/>
    <x v="3"/>
    <x v="1"/>
    <x v="11"/>
    <x v="1"/>
    <x v="0"/>
    <n v="8.75"/>
    <n v="52708.25"/>
    <n v="156305.03"/>
    <x v="2"/>
  </r>
  <r>
    <x v="9"/>
    <x v="1"/>
    <x v="3"/>
    <x v="1"/>
    <x v="12"/>
    <x v="1"/>
    <x v="0"/>
    <n v="1.64"/>
    <n v="9879.0300000000007"/>
    <n v="30865.61"/>
    <x v="2"/>
  </r>
  <r>
    <x v="9"/>
    <x v="1"/>
    <x v="3"/>
    <x v="1"/>
    <x v="13"/>
    <x v="1"/>
    <x v="0"/>
    <n v="2.2999999999999998"/>
    <n v="13854.74"/>
    <n v="42972.73"/>
    <x v="2"/>
  </r>
  <r>
    <x v="9"/>
    <x v="1"/>
    <x v="3"/>
    <x v="1"/>
    <x v="14"/>
    <x v="1"/>
    <x v="0"/>
    <n v="18.61"/>
    <n v="112102.92"/>
    <n v="341576"/>
    <x v="2"/>
  </r>
  <r>
    <x v="9"/>
    <x v="1"/>
    <x v="3"/>
    <x v="1"/>
    <x v="15"/>
    <x v="1"/>
    <x v="0"/>
    <n v="1.78"/>
    <n v="10722.36"/>
    <n v="33776.51"/>
    <x v="2"/>
  </r>
  <r>
    <x v="9"/>
    <x v="1"/>
    <x v="3"/>
    <x v="1"/>
    <x v="16"/>
    <x v="1"/>
    <x v="0"/>
    <n v="5.82"/>
    <n v="35058.519999999997"/>
    <n v="105324.24"/>
    <x v="2"/>
  </r>
  <r>
    <x v="9"/>
    <x v="1"/>
    <x v="3"/>
    <x v="1"/>
    <x v="17"/>
    <x v="1"/>
    <x v="0"/>
    <n v="6.21"/>
    <n v="37407.800000000003"/>
    <n v="113265.74"/>
    <x v="2"/>
  </r>
  <r>
    <x v="9"/>
    <x v="1"/>
    <x v="3"/>
    <x v="1"/>
    <x v="18"/>
    <x v="1"/>
    <x v="0"/>
    <n v="5.76"/>
    <n v="34697.089999999997"/>
    <n v="110088.39"/>
    <x v="2"/>
  </r>
  <r>
    <x v="9"/>
    <x v="1"/>
    <x v="3"/>
    <x v="1"/>
    <x v="19"/>
    <x v="1"/>
    <x v="0"/>
    <n v="11.39"/>
    <n v="68611.08"/>
    <n v="210900.8"/>
    <x v="2"/>
  </r>
  <r>
    <x v="9"/>
    <x v="1"/>
    <x v="3"/>
    <x v="1"/>
    <x v="20"/>
    <x v="1"/>
    <x v="0"/>
    <n v="14.19"/>
    <n v="85477.72"/>
    <n v="258650.7"/>
    <x v="2"/>
  </r>
  <r>
    <x v="9"/>
    <x v="1"/>
    <x v="3"/>
    <x v="2"/>
    <x v="21"/>
    <x v="1"/>
    <x v="0"/>
    <n v="0"/>
    <n v="0"/>
    <n v="0"/>
    <x v="2"/>
  </r>
  <r>
    <x v="9"/>
    <x v="1"/>
    <x v="3"/>
    <x v="2"/>
    <x v="22"/>
    <x v="1"/>
    <x v="0"/>
    <n v="6.54"/>
    <n v="39395.65"/>
    <n v="109525.07"/>
    <x v="2"/>
  </r>
  <r>
    <x v="9"/>
    <x v="1"/>
    <x v="3"/>
    <x v="2"/>
    <x v="29"/>
    <x v="1"/>
    <x v="0"/>
    <n v="0"/>
    <n v="0"/>
    <n v="0"/>
    <x v="2"/>
  </r>
  <r>
    <x v="9"/>
    <x v="1"/>
    <x v="3"/>
    <x v="2"/>
    <x v="23"/>
    <x v="1"/>
    <x v="0"/>
    <n v="0"/>
    <n v="0"/>
    <n v="0"/>
    <x v="2"/>
  </r>
  <r>
    <x v="9"/>
    <x v="1"/>
    <x v="3"/>
    <x v="2"/>
    <x v="24"/>
    <x v="1"/>
    <x v="0"/>
    <n v="2.77"/>
    <n v="16685.93"/>
    <n v="47178.92"/>
    <x v="2"/>
  </r>
  <r>
    <x v="9"/>
    <x v="1"/>
    <x v="3"/>
    <x v="3"/>
    <x v="25"/>
    <x v="1"/>
    <x v="0"/>
    <n v="8.49"/>
    <n v="51142.06"/>
    <n v="159891.25"/>
    <x v="2"/>
  </r>
  <r>
    <x v="9"/>
    <x v="1"/>
    <x v="3"/>
    <x v="3"/>
    <x v="26"/>
    <x v="1"/>
    <x v="0"/>
    <n v="6.14"/>
    <n v="36986.129999999997"/>
    <n v="116458.64"/>
    <x v="2"/>
  </r>
  <r>
    <x v="9"/>
    <x v="1"/>
    <x v="3"/>
    <x v="3"/>
    <x v="27"/>
    <x v="1"/>
    <x v="0"/>
    <n v="16.21"/>
    <n v="97645.8"/>
    <n v="301518.53999999998"/>
    <x v="2"/>
  </r>
  <r>
    <x v="9"/>
    <x v="1"/>
    <x v="3"/>
    <x v="0"/>
    <x v="0"/>
    <x v="1"/>
    <x v="1"/>
    <n v="12.02"/>
    <n v="72406.080000000002"/>
    <n v="215989.9"/>
    <x v="2"/>
  </r>
  <r>
    <x v="9"/>
    <x v="1"/>
    <x v="3"/>
    <x v="0"/>
    <x v="1"/>
    <x v="1"/>
    <x v="1"/>
    <n v="16.72"/>
    <n v="100717.94"/>
    <n v="295464.59000000003"/>
    <x v="2"/>
  </r>
  <r>
    <x v="9"/>
    <x v="1"/>
    <x v="3"/>
    <x v="0"/>
    <x v="2"/>
    <x v="1"/>
    <x v="1"/>
    <n v="18.45"/>
    <n v="111139.11"/>
    <n v="314860.40999999997"/>
    <x v="2"/>
  </r>
  <r>
    <x v="9"/>
    <x v="1"/>
    <x v="3"/>
    <x v="0"/>
    <x v="3"/>
    <x v="1"/>
    <x v="1"/>
    <n v="34.96"/>
    <n v="210592.05"/>
    <n v="620625.01"/>
    <x v="2"/>
  </r>
  <r>
    <x v="9"/>
    <x v="1"/>
    <x v="3"/>
    <x v="0"/>
    <x v="28"/>
    <x v="1"/>
    <x v="1"/>
    <n v="2.54"/>
    <n v="15300.45"/>
    <n v="45732.44"/>
    <x v="2"/>
  </r>
  <r>
    <x v="9"/>
    <x v="1"/>
    <x v="3"/>
    <x v="0"/>
    <x v="4"/>
    <x v="1"/>
    <x v="1"/>
    <n v="10.95"/>
    <n v="65960.61"/>
    <n v="192658.97"/>
    <x v="2"/>
  </r>
  <r>
    <x v="9"/>
    <x v="1"/>
    <x v="3"/>
    <x v="0"/>
    <x v="5"/>
    <x v="1"/>
    <x v="1"/>
    <n v="25.36"/>
    <n v="152763.57"/>
    <n v="459251.58"/>
    <x v="2"/>
  </r>
  <r>
    <x v="9"/>
    <x v="1"/>
    <x v="3"/>
    <x v="0"/>
    <x v="6"/>
    <x v="1"/>
    <x v="1"/>
    <n v="1.25"/>
    <n v="7529.75"/>
    <n v="22555.62"/>
    <x v="2"/>
  </r>
  <r>
    <x v="9"/>
    <x v="1"/>
    <x v="3"/>
    <x v="0"/>
    <x v="7"/>
    <x v="1"/>
    <x v="1"/>
    <n v="4.68"/>
    <n v="28191.38"/>
    <n v="85931.45"/>
    <x v="2"/>
  </r>
  <r>
    <x v="9"/>
    <x v="1"/>
    <x v="3"/>
    <x v="0"/>
    <x v="8"/>
    <x v="1"/>
    <x v="1"/>
    <n v="3.57"/>
    <n v="21504.97"/>
    <n v="62433.38"/>
    <x v="2"/>
  </r>
  <r>
    <x v="9"/>
    <x v="1"/>
    <x v="3"/>
    <x v="1"/>
    <x v="30"/>
    <x v="1"/>
    <x v="1"/>
    <n v="0"/>
    <n v="0"/>
    <n v="0"/>
    <x v="2"/>
  </r>
  <r>
    <x v="9"/>
    <x v="1"/>
    <x v="3"/>
    <x v="1"/>
    <x v="9"/>
    <x v="1"/>
    <x v="1"/>
    <n v="4.88"/>
    <n v="29396.14"/>
    <n v="92316.79"/>
    <x v="2"/>
  </r>
  <r>
    <x v="9"/>
    <x v="1"/>
    <x v="3"/>
    <x v="1"/>
    <x v="31"/>
    <x v="1"/>
    <x v="1"/>
    <n v="0"/>
    <n v="0"/>
    <n v="0"/>
    <x v="2"/>
  </r>
  <r>
    <x v="9"/>
    <x v="1"/>
    <x v="3"/>
    <x v="1"/>
    <x v="10"/>
    <x v="1"/>
    <x v="1"/>
    <n v="32.42"/>
    <n v="195291.6"/>
    <n v="607673.63"/>
    <x v="2"/>
  </r>
  <r>
    <x v="9"/>
    <x v="1"/>
    <x v="3"/>
    <x v="1"/>
    <x v="11"/>
    <x v="1"/>
    <x v="1"/>
    <n v="31.43"/>
    <n v="189328.03"/>
    <n v="561422.15"/>
    <x v="2"/>
  </r>
  <r>
    <x v="9"/>
    <x v="1"/>
    <x v="3"/>
    <x v="1"/>
    <x v="12"/>
    <x v="1"/>
    <x v="1"/>
    <n v="4.01"/>
    <n v="24155.439999999999"/>
    <n v="75449.259999999995"/>
    <x v="2"/>
  </r>
  <r>
    <x v="9"/>
    <x v="1"/>
    <x v="3"/>
    <x v="1"/>
    <x v="13"/>
    <x v="1"/>
    <x v="1"/>
    <n v="11.83"/>
    <n v="71261.55"/>
    <n v="221474.85"/>
    <x v="2"/>
  </r>
  <r>
    <x v="9"/>
    <x v="1"/>
    <x v="3"/>
    <x v="1"/>
    <x v="14"/>
    <x v="1"/>
    <x v="1"/>
    <n v="9.7100000000000009"/>
    <n v="58491.1"/>
    <n v="178306.97"/>
    <x v="2"/>
  </r>
  <r>
    <x v="9"/>
    <x v="1"/>
    <x v="3"/>
    <x v="1"/>
    <x v="15"/>
    <x v="1"/>
    <x v="1"/>
    <n v="2.2000000000000002"/>
    <n v="13252.36"/>
    <n v="41818.53"/>
    <x v="2"/>
  </r>
  <r>
    <x v="9"/>
    <x v="1"/>
    <x v="3"/>
    <x v="1"/>
    <x v="16"/>
    <x v="1"/>
    <x v="1"/>
    <n v="11.65"/>
    <n v="70177.27"/>
    <n v="210648.49"/>
    <x v="2"/>
  </r>
  <r>
    <x v="9"/>
    <x v="1"/>
    <x v="3"/>
    <x v="1"/>
    <x v="17"/>
    <x v="1"/>
    <x v="1"/>
    <n v="3.69"/>
    <n v="22227.82"/>
    <n v="67347.199999999997"/>
    <x v="2"/>
  </r>
  <r>
    <x v="9"/>
    <x v="1"/>
    <x v="3"/>
    <x v="1"/>
    <x v="18"/>
    <x v="1"/>
    <x v="1"/>
    <n v="25.41"/>
    <n v="153064.76"/>
    <n v="485389.73"/>
    <x v="2"/>
  </r>
  <r>
    <x v="9"/>
    <x v="1"/>
    <x v="3"/>
    <x v="1"/>
    <x v="19"/>
    <x v="1"/>
    <x v="1"/>
    <n v="14.88"/>
    <n v="89634.14"/>
    <n v="275665.61"/>
    <x v="2"/>
  </r>
  <r>
    <x v="9"/>
    <x v="1"/>
    <x v="3"/>
    <x v="1"/>
    <x v="20"/>
    <x v="1"/>
    <x v="1"/>
    <n v="26.36"/>
    <n v="158787.37"/>
    <n v="480351.31"/>
    <x v="2"/>
  </r>
  <r>
    <x v="9"/>
    <x v="1"/>
    <x v="3"/>
    <x v="2"/>
    <x v="21"/>
    <x v="1"/>
    <x v="1"/>
    <n v="2.78"/>
    <n v="16746.16"/>
    <n v="46451.86"/>
    <x v="2"/>
  </r>
  <r>
    <x v="9"/>
    <x v="1"/>
    <x v="3"/>
    <x v="2"/>
    <x v="22"/>
    <x v="1"/>
    <x v="1"/>
    <n v="13.17"/>
    <n v="79333.45"/>
    <n v="220454.31"/>
    <x v="2"/>
  </r>
  <r>
    <x v="9"/>
    <x v="1"/>
    <x v="3"/>
    <x v="2"/>
    <x v="29"/>
    <x v="1"/>
    <x v="1"/>
    <n v="3.71"/>
    <n v="22348.3"/>
    <n v="66024.73"/>
    <x v="2"/>
  </r>
  <r>
    <x v="9"/>
    <x v="1"/>
    <x v="3"/>
    <x v="2"/>
    <x v="23"/>
    <x v="1"/>
    <x v="1"/>
    <n v="4.58"/>
    <n v="27589"/>
    <n v="79807.75"/>
    <x v="2"/>
  </r>
  <r>
    <x v="9"/>
    <x v="1"/>
    <x v="3"/>
    <x v="2"/>
    <x v="24"/>
    <x v="1"/>
    <x v="1"/>
    <n v="2.86"/>
    <n v="17228.07"/>
    <n v="48700.82"/>
    <x v="2"/>
  </r>
  <r>
    <x v="9"/>
    <x v="1"/>
    <x v="3"/>
    <x v="3"/>
    <x v="25"/>
    <x v="1"/>
    <x v="1"/>
    <n v="10.23"/>
    <n v="61623.47"/>
    <n v="192557.21"/>
    <x v="2"/>
  </r>
  <r>
    <x v="9"/>
    <x v="1"/>
    <x v="3"/>
    <x v="3"/>
    <x v="26"/>
    <x v="1"/>
    <x v="1"/>
    <n v="25.57"/>
    <n v="154028.57"/>
    <n v="484954.63"/>
    <x v="2"/>
  </r>
  <r>
    <x v="9"/>
    <x v="1"/>
    <x v="3"/>
    <x v="3"/>
    <x v="27"/>
    <x v="1"/>
    <x v="1"/>
    <n v="32.229999999999997"/>
    <n v="194147.07"/>
    <n v="599723.68999999994"/>
    <x v="2"/>
  </r>
  <r>
    <x v="9"/>
    <x v="1"/>
    <x v="4"/>
    <x v="0"/>
    <x v="0"/>
    <x v="0"/>
    <x v="0"/>
    <n v="1.62"/>
    <n v="8540.85"/>
    <n v="39641.67"/>
    <x v="2"/>
  </r>
  <r>
    <x v="9"/>
    <x v="1"/>
    <x v="4"/>
    <x v="0"/>
    <x v="1"/>
    <x v="0"/>
    <x v="0"/>
    <n v="2.84"/>
    <n v="14972.85"/>
    <n v="69472.09"/>
    <x v="2"/>
  </r>
  <r>
    <x v="9"/>
    <x v="1"/>
    <x v="4"/>
    <x v="0"/>
    <x v="2"/>
    <x v="0"/>
    <x v="0"/>
    <n v="0"/>
    <n v="0"/>
    <n v="0"/>
    <x v="2"/>
  </r>
  <r>
    <x v="9"/>
    <x v="1"/>
    <x v="4"/>
    <x v="0"/>
    <x v="3"/>
    <x v="0"/>
    <x v="0"/>
    <n v="1.82"/>
    <n v="9595.2800000000007"/>
    <n v="44616.12"/>
    <x v="2"/>
  </r>
  <r>
    <x v="9"/>
    <x v="1"/>
    <x v="4"/>
    <x v="0"/>
    <x v="4"/>
    <x v="0"/>
    <x v="0"/>
    <n v="0"/>
    <n v="0"/>
    <n v="0"/>
    <x v="2"/>
  </r>
  <r>
    <x v="9"/>
    <x v="1"/>
    <x v="4"/>
    <x v="0"/>
    <x v="5"/>
    <x v="0"/>
    <x v="0"/>
    <n v="0"/>
    <n v="0"/>
    <n v="0"/>
    <x v="2"/>
  </r>
  <r>
    <x v="9"/>
    <x v="1"/>
    <x v="4"/>
    <x v="0"/>
    <x v="6"/>
    <x v="0"/>
    <x v="0"/>
    <n v="0"/>
    <n v="0"/>
    <n v="0"/>
    <x v="2"/>
  </r>
  <r>
    <x v="9"/>
    <x v="1"/>
    <x v="4"/>
    <x v="0"/>
    <x v="8"/>
    <x v="0"/>
    <x v="0"/>
    <n v="0"/>
    <n v="0"/>
    <n v="0"/>
    <x v="2"/>
  </r>
  <r>
    <x v="9"/>
    <x v="1"/>
    <x v="4"/>
    <x v="1"/>
    <x v="10"/>
    <x v="0"/>
    <x v="0"/>
    <n v="0.9"/>
    <n v="4744.92"/>
    <n v="21976.15"/>
    <x v="2"/>
  </r>
  <r>
    <x v="9"/>
    <x v="1"/>
    <x v="4"/>
    <x v="1"/>
    <x v="11"/>
    <x v="0"/>
    <x v="0"/>
    <n v="0"/>
    <n v="0"/>
    <n v="0"/>
    <x v="2"/>
  </r>
  <r>
    <x v="9"/>
    <x v="1"/>
    <x v="4"/>
    <x v="1"/>
    <x v="13"/>
    <x v="0"/>
    <x v="0"/>
    <n v="0"/>
    <n v="0"/>
    <n v="0"/>
    <x v="2"/>
  </r>
  <r>
    <x v="9"/>
    <x v="1"/>
    <x v="4"/>
    <x v="1"/>
    <x v="14"/>
    <x v="0"/>
    <x v="0"/>
    <n v="0"/>
    <n v="0"/>
    <n v="0"/>
    <x v="2"/>
  </r>
  <r>
    <x v="9"/>
    <x v="1"/>
    <x v="4"/>
    <x v="1"/>
    <x v="16"/>
    <x v="0"/>
    <x v="0"/>
    <n v="0"/>
    <n v="0"/>
    <n v="0"/>
    <x v="2"/>
  </r>
  <r>
    <x v="9"/>
    <x v="1"/>
    <x v="4"/>
    <x v="1"/>
    <x v="17"/>
    <x v="0"/>
    <x v="0"/>
    <n v="0"/>
    <n v="0"/>
    <n v="0"/>
    <x v="2"/>
  </r>
  <r>
    <x v="9"/>
    <x v="1"/>
    <x v="4"/>
    <x v="1"/>
    <x v="18"/>
    <x v="0"/>
    <x v="0"/>
    <n v="0"/>
    <n v="0"/>
    <n v="0"/>
    <x v="2"/>
  </r>
  <r>
    <x v="9"/>
    <x v="1"/>
    <x v="4"/>
    <x v="1"/>
    <x v="19"/>
    <x v="0"/>
    <x v="0"/>
    <n v="0"/>
    <n v="0"/>
    <n v="0"/>
    <x v="2"/>
  </r>
  <r>
    <x v="9"/>
    <x v="1"/>
    <x v="4"/>
    <x v="1"/>
    <x v="20"/>
    <x v="0"/>
    <x v="0"/>
    <n v="1.53"/>
    <n v="8066.36"/>
    <n v="37392.379999999997"/>
    <x v="2"/>
  </r>
  <r>
    <x v="9"/>
    <x v="1"/>
    <x v="4"/>
    <x v="2"/>
    <x v="21"/>
    <x v="0"/>
    <x v="0"/>
    <n v="1.58"/>
    <n v="8329.9699999999993"/>
    <n v="38594.660000000003"/>
    <x v="2"/>
  </r>
  <r>
    <x v="9"/>
    <x v="1"/>
    <x v="4"/>
    <x v="2"/>
    <x v="22"/>
    <x v="0"/>
    <x v="0"/>
    <n v="0"/>
    <n v="0"/>
    <n v="0"/>
    <x v="2"/>
  </r>
  <r>
    <x v="9"/>
    <x v="1"/>
    <x v="4"/>
    <x v="2"/>
    <x v="29"/>
    <x v="0"/>
    <x v="0"/>
    <n v="0"/>
    <n v="0"/>
    <n v="0"/>
    <x v="2"/>
  </r>
  <r>
    <x v="9"/>
    <x v="1"/>
    <x v="4"/>
    <x v="2"/>
    <x v="24"/>
    <x v="0"/>
    <x v="0"/>
    <n v="0"/>
    <n v="0"/>
    <n v="0"/>
    <x v="2"/>
  </r>
  <r>
    <x v="9"/>
    <x v="1"/>
    <x v="4"/>
    <x v="3"/>
    <x v="25"/>
    <x v="0"/>
    <x v="0"/>
    <n v="0"/>
    <n v="0"/>
    <n v="0"/>
    <x v="2"/>
  </r>
  <r>
    <x v="9"/>
    <x v="1"/>
    <x v="4"/>
    <x v="3"/>
    <x v="26"/>
    <x v="0"/>
    <x v="0"/>
    <n v="0.97"/>
    <n v="5113.97"/>
    <n v="23741.08"/>
    <x v="2"/>
  </r>
  <r>
    <x v="9"/>
    <x v="1"/>
    <x v="4"/>
    <x v="3"/>
    <x v="27"/>
    <x v="0"/>
    <x v="0"/>
    <n v="1.55"/>
    <n v="8171.8"/>
    <n v="37898.17"/>
    <x v="2"/>
  </r>
  <r>
    <x v="9"/>
    <x v="1"/>
    <x v="4"/>
    <x v="0"/>
    <x v="0"/>
    <x v="0"/>
    <x v="1"/>
    <n v="0.95"/>
    <n v="5008.5200000000004"/>
    <n v="23318.63"/>
    <x v="2"/>
  </r>
  <r>
    <x v="9"/>
    <x v="1"/>
    <x v="4"/>
    <x v="0"/>
    <x v="1"/>
    <x v="0"/>
    <x v="1"/>
    <n v="4.3499999999999996"/>
    <n v="22933.77"/>
    <n v="106654.34"/>
    <x v="2"/>
  </r>
  <r>
    <x v="9"/>
    <x v="1"/>
    <x v="4"/>
    <x v="0"/>
    <x v="2"/>
    <x v="0"/>
    <x v="1"/>
    <n v="1.42"/>
    <n v="7486.42"/>
    <n v="34712.94"/>
    <x v="2"/>
  </r>
  <r>
    <x v="9"/>
    <x v="1"/>
    <x v="4"/>
    <x v="0"/>
    <x v="3"/>
    <x v="0"/>
    <x v="1"/>
    <n v="3.1"/>
    <n v="16343.6"/>
    <n v="75847.399999999994"/>
    <x v="2"/>
  </r>
  <r>
    <x v="9"/>
    <x v="1"/>
    <x v="4"/>
    <x v="0"/>
    <x v="4"/>
    <x v="0"/>
    <x v="1"/>
    <n v="2.0099999999999998"/>
    <n v="10596.98"/>
    <n v="49162.82"/>
    <x v="2"/>
  </r>
  <r>
    <x v="9"/>
    <x v="1"/>
    <x v="4"/>
    <x v="0"/>
    <x v="5"/>
    <x v="0"/>
    <x v="1"/>
    <n v="0.8"/>
    <n v="4217.7"/>
    <n v="19698.41"/>
    <x v="2"/>
  </r>
  <r>
    <x v="9"/>
    <x v="1"/>
    <x v="4"/>
    <x v="0"/>
    <x v="6"/>
    <x v="0"/>
    <x v="1"/>
    <n v="2.1"/>
    <n v="11071.47"/>
    <n v="51453.84"/>
    <x v="2"/>
  </r>
  <r>
    <x v="9"/>
    <x v="1"/>
    <x v="4"/>
    <x v="0"/>
    <x v="8"/>
    <x v="0"/>
    <x v="1"/>
    <n v="2.4900000000000002"/>
    <n v="13127.6"/>
    <n v="60960.05"/>
    <x v="2"/>
  </r>
  <r>
    <x v="9"/>
    <x v="1"/>
    <x v="4"/>
    <x v="1"/>
    <x v="10"/>
    <x v="0"/>
    <x v="1"/>
    <n v="1.26"/>
    <n v="6642.88"/>
    <n v="30766.6"/>
    <x v="2"/>
  </r>
  <r>
    <x v="9"/>
    <x v="1"/>
    <x v="4"/>
    <x v="1"/>
    <x v="11"/>
    <x v="0"/>
    <x v="1"/>
    <n v="8.19"/>
    <n v="43178.74"/>
    <n v="200749.99"/>
    <x v="2"/>
  </r>
  <r>
    <x v="9"/>
    <x v="1"/>
    <x v="4"/>
    <x v="1"/>
    <x v="13"/>
    <x v="0"/>
    <x v="1"/>
    <n v="3.07"/>
    <n v="16185.44"/>
    <n v="75122.259999999995"/>
    <x v="2"/>
  </r>
  <r>
    <x v="9"/>
    <x v="1"/>
    <x v="4"/>
    <x v="1"/>
    <x v="14"/>
    <x v="0"/>
    <x v="1"/>
    <n v="1.64"/>
    <n v="8646.2900000000009"/>
    <n v="40123.29"/>
    <x v="2"/>
  </r>
  <r>
    <x v="9"/>
    <x v="1"/>
    <x v="4"/>
    <x v="1"/>
    <x v="16"/>
    <x v="0"/>
    <x v="1"/>
    <n v="0.81"/>
    <n v="4270.43"/>
    <n v="19957.810000000001"/>
    <x v="2"/>
  </r>
  <r>
    <x v="9"/>
    <x v="1"/>
    <x v="4"/>
    <x v="1"/>
    <x v="17"/>
    <x v="0"/>
    <x v="1"/>
    <n v="0"/>
    <n v="0"/>
    <n v="0"/>
    <x v="2"/>
  </r>
  <r>
    <x v="9"/>
    <x v="1"/>
    <x v="4"/>
    <x v="1"/>
    <x v="18"/>
    <x v="0"/>
    <x v="1"/>
    <n v="8.0299999999999994"/>
    <n v="42335.199999999997"/>
    <n v="196793.94"/>
    <x v="2"/>
  </r>
  <r>
    <x v="9"/>
    <x v="1"/>
    <x v="4"/>
    <x v="1"/>
    <x v="19"/>
    <x v="0"/>
    <x v="1"/>
    <n v="3.4"/>
    <n v="17925.240000000002"/>
    <n v="83277.55"/>
    <x v="2"/>
  </r>
  <r>
    <x v="9"/>
    <x v="1"/>
    <x v="4"/>
    <x v="1"/>
    <x v="20"/>
    <x v="0"/>
    <x v="1"/>
    <n v="5.48"/>
    <n v="28891.27"/>
    <n v="134172.65"/>
    <x v="2"/>
  </r>
  <r>
    <x v="9"/>
    <x v="1"/>
    <x v="4"/>
    <x v="2"/>
    <x v="21"/>
    <x v="0"/>
    <x v="1"/>
    <n v="0"/>
    <n v="0"/>
    <n v="0"/>
    <x v="2"/>
  </r>
  <r>
    <x v="9"/>
    <x v="1"/>
    <x v="4"/>
    <x v="2"/>
    <x v="22"/>
    <x v="0"/>
    <x v="1"/>
    <n v="3.59"/>
    <n v="18926.95"/>
    <n v="87922.4"/>
    <x v="2"/>
  </r>
  <r>
    <x v="9"/>
    <x v="1"/>
    <x v="4"/>
    <x v="2"/>
    <x v="29"/>
    <x v="0"/>
    <x v="1"/>
    <n v="1.57"/>
    <n v="8277.24"/>
    <n v="38359.47"/>
    <x v="2"/>
  </r>
  <r>
    <x v="9"/>
    <x v="1"/>
    <x v="4"/>
    <x v="2"/>
    <x v="24"/>
    <x v="0"/>
    <x v="1"/>
    <n v="0.89"/>
    <n v="4692.2"/>
    <n v="21823.63"/>
    <x v="2"/>
  </r>
  <r>
    <x v="9"/>
    <x v="1"/>
    <x v="4"/>
    <x v="3"/>
    <x v="25"/>
    <x v="0"/>
    <x v="1"/>
    <n v="1.55"/>
    <n v="8171.8"/>
    <n v="38071.019999999997"/>
    <x v="2"/>
  </r>
  <r>
    <x v="9"/>
    <x v="1"/>
    <x v="4"/>
    <x v="3"/>
    <x v="26"/>
    <x v="0"/>
    <x v="1"/>
    <n v="1.1499999999999999"/>
    <n v="6062.95"/>
    <n v="28057.64"/>
    <x v="2"/>
  </r>
  <r>
    <x v="9"/>
    <x v="1"/>
    <x v="4"/>
    <x v="3"/>
    <x v="27"/>
    <x v="0"/>
    <x v="1"/>
    <n v="6.3"/>
    <n v="33214.42"/>
    <n v="154299.67000000001"/>
    <x v="2"/>
  </r>
  <r>
    <x v="9"/>
    <x v="1"/>
    <x v="4"/>
    <x v="0"/>
    <x v="0"/>
    <x v="1"/>
    <x v="0"/>
    <n v="7.32"/>
    <n v="38591.99"/>
    <n v="117237.5"/>
    <x v="2"/>
  </r>
  <r>
    <x v="9"/>
    <x v="1"/>
    <x v="4"/>
    <x v="0"/>
    <x v="1"/>
    <x v="1"/>
    <x v="0"/>
    <n v="13.81"/>
    <n v="72808.12"/>
    <n v="217634.15"/>
    <x v="2"/>
  </r>
  <r>
    <x v="9"/>
    <x v="1"/>
    <x v="4"/>
    <x v="0"/>
    <x v="2"/>
    <x v="1"/>
    <x v="0"/>
    <n v="5.13"/>
    <n v="27046.03"/>
    <n v="78135.88"/>
    <x v="2"/>
  </r>
  <r>
    <x v="9"/>
    <x v="1"/>
    <x v="4"/>
    <x v="0"/>
    <x v="3"/>
    <x v="1"/>
    <x v="0"/>
    <n v="9.3000000000000007"/>
    <n v="49030.81"/>
    <n v="147230.42000000001"/>
    <x v="2"/>
  </r>
  <r>
    <x v="9"/>
    <x v="1"/>
    <x v="4"/>
    <x v="0"/>
    <x v="28"/>
    <x v="1"/>
    <x v="0"/>
    <n v="0"/>
    <n v="0"/>
    <n v="0"/>
    <x v="2"/>
  </r>
  <r>
    <x v="9"/>
    <x v="1"/>
    <x v="4"/>
    <x v="0"/>
    <x v="4"/>
    <x v="1"/>
    <x v="0"/>
    <n v="7.61"/>
    <n v="40120.910000000003"/>
    <n v="119386.41"/>
    <x v="2"/>
  </r>
  <r>
    <x v="9"/>
    <x v="1"/>
    <x v="4"/>
    <x v="0"/>
    <x v="5"/>
    <x v="1"/>
    <x v="0"/>
    <n v="3.12"/>
    <n v="16449.05"/>
    <n v="50426.37"/>
    <x v="2"/>
  </r>
  <r>
    <x v="9"/>
    <x v="1"/>
    <x v="4"/>
    <x v="0"/>
    <x v="6"/>
    <x v="1"/>
    <x v="0"/>
    <n v="0"/>
    <n v="0"/>
    <n v="0"/>
    <x v="2"/>
  </r>
  <r>
    <x v="9"/>
    <x v="1"/>
    <x v="4"/>
    <x v="0"/>
    <x v="7"/>
    <x v="1"/>
    <x v="0"/>
    <n v="0"/>
    <n v="0"/>
    <n v="0"/>
    <x v="2"/>
  </r>
  <r>
    <x v="9"/>
    <x v="1"/>
    <x v="4"/>
    <x v="0"/>
    <x v="8"/>
    <x v="1"/>
    <x v="0"/>
    <n v="0"/>
    <n v="0"/>
    <n v="0"/>
    <x v="2"/>
  </r>
  <r>
    <x v="9"/>
    <x v="1"/>
    <x v="4"/>
    <x v="1"/>
    <x v="30"/>
    <x v="1"/>
    <x v="0"/>
    <n v="7.24"/>
    <n v="38170.22"/>
    <n v="122156.19"/>
    <x v="2"/>
  </r>
  <r>
    <x v="9"/>
    <x v="1"/>
    <x v="4"/>
    <x v="1"/>
    <x v="9"/>
    <x v="1"/>
    <x v="0"/>
    <n v="0"/>
    <n v="0"/>
    <n v="0"/>
    <x v="2"/>
  </r>
  <r>
    <x v="9"/>
    <x v="1"/>
    <x v="4"/>
    <x v="1"/>
    <x v="31"/>
    <x v="1"/>
    <x v="0"/>
    <n v="0"/>
    <n v="0"/>
    <n v="0"/>
    <x v="2"/>
  </r>
  <r>
    <x v="9"/>
    <x v="1"/>
    <x v="4"/>
    <x v="1"/>
    <x v="10"/>
    <x v="1"/>
    <x v="0"/>
    <n v="10.87"/>
    <n v="57308.05"/>
    <n v="181738.28"/>
    <x v="2"/>
  </r>
  <r>
    <x v="9"/>
    <x v="1"/>
    <x v="4"/>
    <x v="1"/>
    <x v="11"/>
    <x v="1"/>
    <x v="0"/>
    <n v="7.33"/>
    <n v="38644.71"/>
    <n v="116772.78"/>
    <x v="2"/>
  </r>
  <r>
    <x v="9"/>
    <x v="1"/>
    <x v="4"/>
    <x v="1"/>
    <x v="12"/>
    <x v="1"/>
    <x v="0"/>
    <n v="2.92"/>
    <n v="15394.62"/>
    <n v="48969.71"/>
    <x v="2"/>
  </r>
  <r>
    <x v="9"/>
    <x v="1"/>
    <x v="4"/>
    <x v="1"/>
    <x v="13"/>
    <x v="1"/>
    <x v="0"/>
    <n v="4.3499999999999996"/>
    <n v="22933.77"/>
    <n v="72546.77"/>
    <x v="2"/>
  </r>
  <r>
    <x v="9"/>
    <x v="1"/>
    <x v="4"/>
    <x v="1"/>
    <x v="14"/>
    <x v="1"/>
    <x v="0"/>
    <n v="15.42"/>
    <n v="81296.240000000005"/>
    <n v="252477.4"/>
    <x v="2"/>
  </r>
  <r>
    <x v="9"/>
    <x v="1"/>
    <x v="4"/>
    <x v="1"/>
    <x v="15"/>
    <x v="1"/>
    <x v="0"/>
    <n v="6"/>
    <n v="31632.78"/>
    <n v="101527.94"/>
    <x v="2"/>
  </r>
  <r>
    <x v="9"/>
    <x v="1"/>
    <x v="4"/>
    <x v="1"/>
    <x v="16"/>
    <x v="1"/>
    <x v="0"/>
    <n v="6.56"/>
    <n v="34585.17"/>
    <n v="105696.04"/>
    <x v="2"/>
  </r>
  <r>
    <x v="9"/>
    <x v="1"/>
    <x v="4"/>
    <x v="1"/>
    <x v="17"/>
    <x v="1"/>
    <x v="0"/>
    <n v="5.66"/>
    <n v="29840.26"/>
    <n v="92024.639999999999"/>
    <x v="2"/>
  </r>
  <r>
    <x v="9"/>
    <x v="1"/>
    <x v="4"/>
    <x v="1"/>
    <x v="18"/>
    <x v="1"/>
    <x v="0"/>
    <n v="6.91"/>
    <n v="36430.42"/>
    <n v="117626.34"/>
    <x v="2"/>
  </r>
  <r>
    <x v="9"/>
    <x v="1"/>
    <x v="4"/>
    <x v="1"/>
    <x v="19"/>
    <x v="1"/>
    <x v="0"/>
    <n v="13.23"/>
    <n v="69750.28"/>
    <n v="218512.69"/>
    <x v="2"/>
  </r>
  <r>
    <x v="9"/>
    <x v="1"/>
    <x v="4"/>
    <x v="1"/>
    <x v="20"/>
    <x v="1"/>
    <x v="0"/>
    <n v="14.5"/>
    <n v="76445.89"/>
    <n v="235530.67"/>
    <x v="2"/>
  </r>
  <r>
    <x v="9"/>
    <x v="1"/>
    <x v="4"/>
    <x v="2"/>
    <x v="21"/>
    <x v="1"/>
    <x v="0"/>
    <n v="0"/>
    <n v="0"/>
    <n v="0"/>
    <x v="2"/>
  </r>
  <r>
    <x v="9"/>
    <x v="1"/>
    <x v="4"/>
    <x v="2"/>
    <x v="22"/>
    <x v="1"/>
    <x v="0"/>
    <n v="9.34"/>
    <n v="49241.69"/>
    <n v="139333.64000000001"/>
    <x v="2"/>
  </r>
  <r>
    <x v="9"/>
    <x v="1"/>
    <x v="4"/>
    <x v="2"/>
    <x v="29"/>
    <x v="1"/>
    <x v="0"/>
    <n v="0"/>
    <n v="0"/>
    <n v="0"/>
    <x v="2"/>
  </r>
  <r>
    <x v="9"/>
    <x v="1"/>
    <x v="4"/>
    <x v="2"/>
    <x v="23"/>
    <x v="1"/>
    <x v="0"/>
    <n v="0"/>
    <n v="0"/>
    <n v="0"/>
    <x v="2"/>
  </r>
  <r>
    <x v="9"/>
    <x v="1"/>
    <x v="4"/>
    <x v="2"/>
    <x v="24"/>
    <x v="1"/>
    <x v="0"/>
    <n v="2.52"/>
    <n v="13285.77"/>
    <n v="38282.53"/>
    <x v="2"/>
  </r>
  <r>
    <x v="9"/>
    <x v="1"/>
    <x v="4"/>
    <x v="3"/>
    <x v="25"/>
    <x v="1"/>
    <x v="0"/>
    <n v="9.43"/>
    <n v="49716.19"/>
    <n v="158306.01999999999"/>
    <x v="2"/>
  </r>
  <r>
    <x v="9"/>
    <x v="1"/>
    <x v="4"/>
    <x v="3"/>
    <x v="26"/>
    <x v="1"/>
    <x v="0"/>
    <n v="12.2"/>
    <n v="64319.99"/>
    <n v="206329.57"/>
    <x v="2"/>
  </r>
  <r>
    <x v="9"/>
    <x v="1"/>
    <x v="4"/>
    <x v="3"/>
    <x v="27"/>
    <x v="1"/>
    <x v="0"/>
    <n v="17.46"/>
    <n v="92051.39"/>
    <n v="289675.63"/>
    <x v="2"/>
  </r>
  <r>
    <x v="9"/>
    <x v="1"/>
    <x v="4"/>
    <x v="0"/>
    <x v="0"/>
    <x v="1"/>
    <x v="1"/>
    <n v="18.010000000000002"/>
    <n v="94951.06"/>
    <n v="288584.63"/>
    <x v="2"/>
  </r>
  <r>
    <x v="9"/>
    <x v="1"/>
    <x v="4"/>
    <x v="0"/>
    <x v="1"/>
    <x v="1"/>
    <x v="1"/>
    <n v="21.78"/>
    <n v="114826.99"/>
    <n v="343140.96"/>
    <x v="2"/>
  </r>
  <r>
    <x v="9"/>
    <x v="1"/>
    <x v="4"/>
    <x v="0"/>
    <x v="2"/>
    <x v="1"/>
    <x v="1"/>
    <n v="16.420000000000002"/>
    <n v="86568.37"/>
    <n v="249798.04"/>
    <x v="2"/>
  </r>
  <r>
    <x v="9"/>
    <x v="1"/>
    <x v="4"/>
    <x v="0"/>
    <x v="3"/>
    <x v="1"/>
    <x v="1"/>
    <n v="31.55"/>
    <n v="166335.70000000001"/>
    <n v="499428.67"/>
    <x v="2"/>
  </r>
  <r>
    <x v="9"/>
    <x v="1"/>
    <x v="4"/>
    <x v="0"/>
    <x v="28"/>
    <x v="1"/>
    <x v="1"/>
    <n v="2.76"/>
    <n v="14551.08"/>
    <n v="44188.1"/>
    <x v="2"/>
  </r>
  <r>
    <x v="9"/>
    <x v="1"/>
    <x v="4"/>
    <x v="0"/>
    <x v="4"/>
    <x v="1"/>
    <x v="1"/>
    <n v="7.53"/>
    <n v="39699.14"/>
    <n v="118014.15"/>
    <x v="2"/>
  </r>
  <r>
    <x v="9"/>
    <x v="1"/>
    <x v="4"/>
    <x v="0"/>
    <x v="5"/>
    <x v="1"/>
    <x v="1"/>
    <n v="24.63"/>
    <n v="129852.56"/>
    <n v="397647.98"/>
    <x v="2"/>
  </r>
  <r>
    <x v="9"/>
    <x v="1"/>
    <x v="4"/>
    <x v="0"/>
    <x v="6"/>
    <x v="1"/>
    <x v="1"/>
    <n v="5.0199999999999996"/>
    <n v="26466.09"/>
    <n v="80821.72"/>
    <x v="2"/>
  </r>
  <r>
    <x v="9"/>
    <x v="1"/>
    <x v="4"/>
    <x v="0"/>
    <x v="7"/>
    <x v="1"/>
    <x v="1"/>
    <n v="2.71"/>
    <n v="14287.47"/>
    <n v="44321.08"/>
    <x v="2"/>
  </r>
  <r>
    <x v="9"/>
    <x v="1"/>
    <x v="4"/>
    <x v="0"/>
    <x v="8"/>
    <x v="1"/>
    <x v="1"/>
    <n v="3.51"/>
    <n v="18505.18"/>
    <n v="54763.98"/>
    <x v="2"/>
  </r>
  <r>
    <x v="9"/>
    <x v="1"/>
    <x v="4"/>
    <x v="1"/>
    <x v="30"/>
    <x v="1"/>
    <x v="1"/>
    <n v="0"/>
    <n v="0"/>
    <n v="0"/>
    <x v="2"/>
  </r>
  <r>
    <x v="9"/>
    <x v="1"/>
    <x v="4"/>
    <x v="1"/>
    <x v="9"/>
    <x v="1"/>
    <x v="1"/>
    <n v="5.27"/>
    <n v="27784.13"/>
    <n v="88894.92"/>
    <x v="2"/>
  </r>
  <r>
    <x v="9"/>
    <x v="1"/>
    <x v="4"/>
    <x v="1"/>
    <x v="31"/>
    <x v="1"/>
    <x v="1"/>
    <n v="0"/>
    <n v="0"/>
    <n v="0"/>
    <x v="2"/>
  </r>
  <r>
    <x v="9"/>
    <x v="1"/>
    <x v="4"/>
    <x v="1"/>
    <x v="10"/>
    <x v="1"/>
    <x v="1"/>
    <n v="29.97"/>
    <n v="158005.74"/>
    <n v="500888.42"/>
    <x v="2"/>
  </r>
  <r>
    <x v="9"/>
    <x v="1"/>
    <x v="4"/>
    <x v="1"/>
    <x v="11"/>
    <x v="1"/>
    <x v="1"/>
    <n v="27.63"/>
    <n v="145668.95000000001"/>
    <n v="440049.01"/>
    <x v="2"/>
  </r>
  <r>
    <x v="9"/>
    <x v="1"/>
    <x v="4"/>
    <x v="1"/>
    <x v="12"/>
    <x v="1"/>
    <x v="1"/>
    <n v="3.39"/>
    <n v="17872.52"/>
    <n v="56868.05"/>
    <x v="2"/>
  </r>
  <r>
    <x v="9"/>
    <x v="1"/>
    <x v="4"/>
    <x v="1"/>
    <x v="13"/>
    <x v="1"/>
    <x v="1"/>
    <n v="12.36"/>
    <n v="65163.53"/>
    <n v="206260.43"/>
    <x v="2"/>
  </r>
  <r>
    <x v="9"/>
    <x v="1"/>
    <x v="4"/>
    <x v="1"/>
    <x v="14"/>
    <x v="1"/>
    <x v="1"/>
    <n v="7.19"/>
    <n v="37906.61"/>
    <n v="117631.51"/>
    <x v="2"/>
  </r>
  <r>
    <x v="9"/>
    <x v="1"/>
    <x v="4"/>
    <x v="1"/>
    <x v="15"/>
    <x v="1"/>
    <x v="1"/>
    <n v="1.74"/>
    <n v="9173.51"/>
    <n v="29389.67"/>
    <x v="2"/>
  </r>
  <r>
    <x v="9"/>
    <x v="1"/>
    <x v="4"/>
    <x v="1"/>
    <x v="16"/>
    <x v="1"/>
    <x v="1"/>
    <n v="8.86"/>
    <n v="46711.07"/>
    <n v="142832.49"/>
    <x v="2"/>
  </r>
  <r>
    <x v="9"/>
    <x v="1"/>
    <x v="4"/>
    <x v="1"/>
    <x v="17"/>
    <x v="1"/>
    <x v="1"/>
    <n v="4.67"/>
    <n v="24620.85"/>
    <n v="76020.350000000006"/>
    <x v="2"/>
  </r>
  <r>
    <x v="9"/>
    <x v="1"/>
    <x v="4"/>
    <x v="1"/>
    <x v="18"/>
    <x v="1"/>
    <x v="1"/>
    <n v="31.55"/>
    <n v="166335.70000000001"/>
    <n v="537305.51"/>
    <x v="2"/>
  </r>
  <r>
    <x v="9"/>
    <x v="1"/>
    <x v="4"/>
    <x v="1"/>
    <x v="19"/>
    <x v="1"/>
    <x v="1"/>
    <n v="14.83"/>
    <n v="78185.69"/>
    <n v="244910.19"/>
    <x v="2"/>
  </r>
  <r>
    <x v="9"/>
    <x v="1"/>
    <x v="4"/>
    <x v="1"/>
    <x v="20"/>
    <x v="1"/>
    <x v="1"/>
    <n v="23.84"/>
    <n v="125687.58"/>
    <n v="387252.88"/>
    <x v="2"/>
  </r>
  <r>
    <x v="9"/>
    <x v="1"/>
    <x v="4"/>
    <x v="2"/>
    <x v="21"/>
    <x v="1"/>
    <x v="1"/>
    <n v="1.4"/>
    <n v="7380.98"/>
    <n v="20818.400000000001"/>
    <x v="2"/>
  </r>
  <r>
    <x v="9"/>
    <x v="1"/>
    <x v="4"/>
    <x v="2"/>
    <x v="22"/>
    <x v="1"/>
    <x v="1"/>
    <n v="14.27"/>
    <n v="75233.3"/>
    <n v="212943.86"/>
    <x v="2"/>
  </r>
  <r>
    <x v="9"/>
    <x v="1"/>
    <x v="4"/>
    <x v="2"/>
    <x v="29"/>
    <x v="1"/>
    <x v="1"/>
    <n v="2.2000000000000002"/>
    <n v="11598.69"/>
    <n v="34896.370000000003"/>
    <x v="2"/>
  </r>
  <r>
    <x v="9"/>
    <x v="1"/>
    <x v="4"/>
    <x v="2"/>
    <x v="23"/>
    <x v="1"/>
    <x v="1"/>
    <n v="2.0699999999999998"/>
    <n v="10913.31"/>
    <n v="32174.959999999999"/>
    <x v="2"/>
  </r>
  <r>
    <x v="9"/>
    <x v="1"/>
    <x v="4"/>
    <x v="2"/>
    <x v="24"/>
    <x v="1"/>
    <x v="1"/>
    <n v="3.78"/>
    <n v="19928.650000000001"/>
    <n v="57423.79"/>
    <x v="2"/>
  </r>
  <r>
    <x v="9"/>
    <x v="1"/>
    <x v="4"/>
    <x v="3"/>
    <x v="25"/>
    <x v="1"/>
    <x v="1"/>
    <n v="8.8800000000000008"/>
    <n v="46816.51"/>
    <n v="149084.31"/>
    <x v="2"/>
  </r>
  <r>
    <x v="9"/>
    <x v="1"/>
    <x v="4"/>
    <x v="3"/>
    <x v="26"/>
    <x v="1"/>
    <x v="1"/>
    <n v="32.86"/>
    <n v="173242.19"/>
    <n v="555502.68000000005"/>
    <x v="2"/>
  </r>
  <r>
    <x v="9"/>
    <x v="1"/>
    <x v="4"/>
    <x v="3"/>
    <x v="27"/>
    <x v="1"/>
    <x v="1"/>
    <n v="39.85"/>
    <n v="210094.38"/>
    <n v="661142.03"/>
    <x v="2"/>
  </r>
  <r>
    <x v="9"/>
    <x v="1"/>
    <x v="5"/>
    <x v="0"/>
    <x v="0"/>
    <x v="0"/>
    <x v="0"/>
    <n v="2.21"/>
    <n v="12369.17"/>
    <n v="50792.639999999999"/>
    <x v="2"/>
  </r>
  <r>
    <x v="9"/>
    <x v="1"/>
    <x v="5"/>
    <x v="0"/>
    <x v="1"/>
    <x v="0"/>
    <x v="0"/>
    <n v="3.82"/>
    <n v="21380.2"/>
    <n v="87765.89"/>
    <x v="2"/>
  </r>
  <r>
    <x v="9"/>
    <x v="1"/>
    <x v="5"/>
    <x v="0"/>
    <x v="2"/>
    <x v="0"/>
    <x v="0"/>
    <n v="0"/>
    <n v="0"/>
    <n v="0"/>
    <x v="2"/>
  </r>
  <r>
    <x v="9"/>
    <x v="1"/>
    <x v="5"/>
    <x v="0"/>
    <x v="3"/>
    <x v="0"/>
    <x v="0"/>
    <n v="1.58"/>
    <n v="8843.1200000000008"/>
    <n v="36308.550000000003"/>
    <x v="2"/>
  </r>
  <r>
    <x v="9"/>
    <x v="1"/>
    <x v="5"/>
    <x v="0"/>
    <x v="4"/>
    <x v="0"/>
    <x v="0"/>
    <n v="0"/>
    <n v="0"/>
    <n v="0"/>
    <x v="2"/>
  </r>
  <r>
    <x v="9"/>
    <x v="1"/>
    <x v="5"/>
    <x v="0"/>
    <x v="5"/>
    <x v="0"/>
    <x v="0"/>
    <n v="0"/>
    <n v="0"/>
    <n v="0"/>
    <x v="2"/>
  </r>
  <r>
    <x v="9"/>
    <x v="1"/>
    <x v="5"/>
    <x v="0"/>
    <x v="6"/>
    <x v="0"/>
    <x v="0"/>
    <n v="0"/>
    <n v="0"/>
    <n v="0"/>
    <x v="2"/>
  </r>
  <r>
    <x v="9"/>
    <x v="1"/>
    <x v="5"/>
    <x v="0"/>
    <x v="8"/>
    <x v="0"/>
    <x v="0"/>
    <n v="0"/>
    <n v="0"/>
    <n v="0"/>
    <x v="2"/>
  </r>
  <r>
    <x v="9"/>
    <x v="1"/>
    <x v="5"/>
    <x v="1"/>
    <x v="10"/>
    <x v="0"/>
    <x v="0"/>
    <n v="1.52"/>
    <n v="8507.2999999999993"/>
    <n v="34915.81"/>
    <x v="2"/>
  </r>
  <r>
    <x v="9"/>
    <x v="1"/>
    <x v="5"/>
    <x v="1"/>
    <x v="11"/>
    <x v="0"/>
    <x v="0"/>
    <n v="0"/>
    <n v="0"/>
    <n v="0"/>
    <x v="2"/>
  </r>
  <r>
    <x v="9"/>
    <x v="1"/>
    <x v="5"/>
    <x v="1"/>
    <x v="13"/>
    <x v="0"/>
    <x v="0"/>
    <n v="0"/>
    <n v="0"/>
    <n v="0"/>
    <x v="2"/>
  </r>
  <r>
    <x v="9"/>
    <x v="1"/>
    <x v="5"/>
    <x v="1"/>
    <x v="14"/>
    <x v="0"/>
    <x v="0"/>
    <n v="0"/>
    <n v="0"/>
    <n v="0"/>
    <x v="2"/>
  </r>
  <r>
    <x v="9"/>
    <x v="1"/>
    <x v="5"/>
    <x v="1"/>
    <x v="16"/>
    <x v="0"/>
    <x v="0"/>
    <n v="0"/>
    <n v="0"/>
    <n v="0"/>
    <x v="2"/>
  </r>
  <r>
    <x v="9"/>
    <x v="1"/>
    <x v="5"/>
    <x v="1"/>
    <x v="17"/>
    <x v="0"/>
    <x v="0"/>
    <n v="0"/>
    <n v="0"/>
    <n v="0"/>
    <x v="2"/>
  </r>
  <r>
    <x v="9"/>
    <x v="1"/>
    <x v="5"/>
    <x v="1"/>
    <x v="18"/>
    <x v="0"/>
    <x v="0"/>
    <n v="0"/>
    <n v="0"/>
    <n v="0"/>
    <x v="2"/>
  </r>
  <r>
    <x v="9"/>
    <x v="1"/>
    <x v="5"/>
    <x v="1"/>
    <x v="19"/>
    <x v="0"/>
    <x v="0"/>
    <n v="0"/>
    <n v="0"/>
    <n v="0"/>
    <x v="2"/>
  </r>
  <r>
    <x v="9"/>
    <x v="1"/>
    <x v="5"/>
    <x v="1"/>
    <x v="20"/>
    <x v="0"/>
    <x v="0"/>
    <n v="1.58"/>
    <n v="8843.1200000000008"/>
    <n v="36361.25"/>
    <x v="2"/>
  </r>
  <r>
    <x v="9"/>
    <x v="1"/>
    <x v="5"/>
    <x v="2"/>
    <x v="21"/>
    <x v="0"/>
    <x v="0"/>
    <n v="1.95"/>
    <n v="10913.97"/>
    <n v="44709.79"/>
    <x v="2"/>
  </r>
  <r>
    <x v="9"/>
    <x v="1"/>
    <x v="5"/>
    <x v="2"/>
    <x v="22"/>
    <x v="0"/>
    <x v="0"/>
    <n v="0"/>
    <n v="0"/>
    <n v="0"/>
    <x v="2"/>
  </r>
  <r>
    <x v="9"/>
    <x v="1"/>
    <x v="5"/>
    <x v="2"/>
    <x v="29"/>
    <x v="0"/>
    <x v="0"/>
    <n v="0"/>
    <n v="0"/>
    <n v="0"/>
    <x v="2"/>
  </r>
  <r>
    <x v="9"/>
    <x v="1"/>
    <x v="5"/>
    <x v="2"/>
    <x v="24"/>
    <x v="0"/>
    <x v="0"/>
    <n v="0"/>
    <n v="0"/>
    <n v="0"/>
    <x v="2"/>
  </r>
  <r>
    <x v="9"/>
    <x v="1"/>
    <x v="5"/>
    <x v="3"/>
    <x v="25"/>
    <x v="0"/>
    <x v="0"/>
    <n v="0"/>
    <n v="0"/>
    <n v="0"/>
    <x v="2"/>
  </r>
  <r>
    <x v="9"/>
    <x v="1"/>
    <x v="5"/>
    <x v="3"/>
    <x v="26"/>
    <x v="0"/>
    <x v="0"/>
    <n v="1.83"/>
    <n v="10242.35"/>
    <n v="42073.9"/>
    <x v="2"/>
  </r>
  <r>
    <x v="9"/>
    <x v="1"/>
    <x v="5"/>
    <x v="3"/>
    <x v="27"/>
    <x v="0"/>
    <x v="0"/>
    <n v="1.95"/>
    <n v="10913.97"/>
    <n v="44667.44"/>
    <x v="2"/>
  </r>
  <r>
    <x v="9"/>
    <x v="1"/>
    <x v="5"/>
    <x v="0"/>
    <x v="0"/>
    <x v="0"/>
    <x v="1"/>
    <n v="1.83"/>
    <n v="10242.35"/>
    <n v="41959.14"/>
    <x v="2"/>
  </r>
  <r>
    <x v="9"/>
    <x v="1"/>
    <x v="5"/>
    <x v="0"/>
    <x v="1"/>
    <x v="0"/>
    <x v="1"/>
    <n v="4.41"/>
    <n v="24682.37"/>
    <n v="101268.33"/>
    <x v="2"/>
  </r>
  <r>
    <x v="9"/>
    <x v="1"/>
    <x v="5"/>
    <x v="0"/>
    <x v="2"/>
    <x v="0"/>
    <x v="1"/>
    <n v="4.74"/>
    <n v="26529.35"/>
    <n v="108962.29"/>
    <x v="2"/>
  </r>
  <r>
    <x v="9"/>
    <x v="1"/>
    <x v="5"/>
    <x v="0"/>
    <x v="3"/>
    <x v="0"/>
    <x v="1"/>
    <n v="5.77"/>
    <n v="32294.17"/>
    <n v="132419.43"/>
    <x v="2"/>
  </r>
  <r>
    <x v="9"/>
    <x v="1"/>
    <x v="5"/>
    <x v="0"/>
    <x v="4"/>
    <x v="0"/>
    <x v="1"/>
    <n v="0.5"/>
    <n v="2798.46"/>
    <n v="11533.23"/>
    <x v="2"/>
  </r>
  <r>
    <x v="9"/>
    <x v="1"/>
    <x v="5"/>
    <x v="0"/>
    <x v="5"/>
    <x v="0"/>
    <x v="1"/>
    <n v="3.53"/>
    <n v="19757.09"/>
    <n v="81110.73"/>
    <x v="2"/>
  </r>
  <r>
    <x v="9"/>
    <x v="1"/>
    <x v="5"/>
    <x v="0"/>
    <x v="6"/>
    <x v="0"/>
    <x v="1"/>
    <n v="1.33"/>
    <n v="7443.89"/>
    <n v="30503.97"/>
    <x v="2"/>
  </r>
  <r>
    <x v="9"/>
    <x v="1"/>
    <x v="5"/>
    <x v="0"/>
    <x v="8"/>
    <x v="0"/>
    <x v="1"/>
    <n v="1.83"/>
    <n v="10242.35"/>
    <n v="41974.64"/>
    <x v="2"/>
  </r>
  <r>
    <x v="9"/>
    <x v="1"/>
    <x v="5"/>
    <x v="1"/>
    <x v="10"/>
    <x v="0"/>
    <x v="1"/>
    <n v="3.33"/>
    <n v="18637.71"/>
    <n v="76378.34"/>
    <x v="2"/>
  </r>
  <r>
    <x v="9"/>
    <x v="1"/>
    <x v="5"/>
    <x v="1"/>
    <x v="11"/>
    <x v="0"/>
    <x v="1"/>
    <n v="9.3000000000000007"/>
    <n v="52051.26"/>
    <n v="213502.69"/>
    <x v="2"/>
  </r>
  <r>
    <x v="9"/>
    <x v="1"/>
    <x v="5"/>
    <x v="1"/>
    <x v="13"/>
    <x v="0"/>
    <x v="1"/>
    <n v="4.24"/>
    <n v="23730.9"/>
    <n v="97263.98"/>
    <x v="2"/>
  </r>
  <r>
    <x v="9"/>
    <x v="1"/>
    <x v="5"/>
    <x v="1"/>
    <x v="14"/>
    <x v="0"/>
    <x v="1"/>
    <n v="1.1299999999999999"/>
    <n v="6324.51"/>
    <n v="25964.959999999999"/>
    <x v="2"/>
  </r>
  <r>
    <x v="9"/>
    <x v="1"/>
    <x v="5"/>
    <x v="1"/>
    <x v="16"/>
    <x v="0"/>
    <x v="1"/>
    <n v="0"/>
    <n v="0"/>
    <n v="0"/>
    <x v="2"/>
  </r>
  <r>
    <x v="9"/>
    <x v="1"/>
    <x v="5"/>
    <x v="1"/>
    <x v="17"/>
    <x v="0"/>
    <x v="1"/>
    <n v="1.69"/>
    <n v="9458.7800000000007"/>
    <n v="38914.26"/>
    <x v="2"/>
  </r>
  <r>
    <x v="9"/>
    <x v="1"/>
    <x v="5"/>
    <x v="1"/>
    <x v="18"/>
    <x v="0"/>
    <x v="1"/>
    <n v="11.02"/>
    <n v="61677.95"/>
    <n v="253058.48"/>
    <x v="2"/>
  </r>
  <r>
    <x v="9"/>
    <x v="1"/>
    <x v="5"/>
    <x v="1"/>
    <x v="19"/>
    <x v="0"/>
    <x v="1"/>
    <n v="4.84"/>
    <n v="27089.040000000001"/>
    <n v="111194.06"/>
    <x v="2"/>
  </r>
  <r>
    <x v="9"/>
    <x v="1"/>
    <x v="5"/>
    <x v="1"/>
    <x v="20"/>
    <x v="0"/>
    <x v="1"/>
    <n v="9.41"/>
    <n v="52666.92"/>
    <n v="216147.41"/>
    <x v="2"/>
  </r>
  <r>
    <x v="9"/>
    <x v="1"/>
    <x v="5"/>
    <x v="2"/>
    <x v="21"/>
    <x v="0"/>
    <x v="1"/>
    <n v="0"/>
    <n v="0"/>
    <n v="0"/>
    <x v="2"/>
  </r>
  <r>
    <x v="9"/>
    <x v="1"/>
    <x v="5"/>
    <x v="2"/>
    <x v="22"/>
    <x v="0"/>
    <x v="1"/>
    <n v="2.93"/>
    <n v="16398.95"/>
    <n v="67187.360000000001"/>
    <x v="2"/>
  </r>
  <r>
    <x v="9"/>
    <x v="1"/>
    <x v="5"/>
    <x v="2"/>
    <x v="29"/>
    <x v="0"/>
    <x v="1"/>
    <n v="2.02"/>
    <n v="11305.76"/>
    <n v="46299.69"/>
    <x v="2"/>
  </r>
  <r>
    <x v="9"/>
    <x v="1"/>
    <x v="5"/>
    <x v="2"/>
    <x v="24"/>
    <x v="0"/>
    <x v="1"/>
    <n v="2.08"/>
    <n v="11641.57"/>
    <n v="47659.56"/>
    <x v="2"/>
  </r>
  <r>
    <x v="9"/>
    <x v="1"/>
    <x v="5"/>
    <x v="3"/>
    <x v="25"/>
    <x v="0"/>
    <x v="1"/>
    <n v="1.37"/>
    <n v="7667.77"/>
    <n v="31535.27"/>
    <x v="2"/>
  </r>
  <r>
    <x v="9"/>
    <x v="1"/>
    <x v="5"/>
    <x v="3"/>
    <x v="26"/>
    <x v="0"/>
    <x v="1"/>
    <n v="1.54"/>
    <n v="8619.24"/>
    <n v="35430.65"/>
    <x v="2"/>
  </r>
  <r>
    <x v="9"/>
    <x v="1"/>
    <x v="5"/>
    <x v="3"/>
    <x v="27"/>
    <x v="0"/>
    <x v="1"/>
    <n v="7.41"/>
    <n v="41473.1"/>
    <n v="170161.69"/>
    <x v="2"/>
  </r>
  <r>
    <x v="9"/>
    <x v="1"/>
    <x v="5"/>
    <x v="0"/>
    <x v="0"/>
    <x v="1"/>
    <x v="0"/>
    <n v="3.77"/>
    <n v="21100.35"/>
    <n v="56675.12"/>
    <x v="2"/>
  </r>
  <r>
    <x v="9"/>
    <x v="1"/>
    <x v="5"/>
    <x v="0"/>
    <x v="1"/>
    <x v="1"/>
    <x v="0"/>
    <n v="10.85"/>
    <n v="60726.47"/>
    <n v="160176.48000000001"/>
    <x v="2"/>
  </r>
  <r>
    <x v="9"/>
    <x v="1"/>
    <x v="5"/>
    <x v="0"/>
    <x v="2"/>
    <x v="1"/>
    <x v="0"/>
    <n v="4.41"/>
    <n v="24682.37"/>
    <n v="62826.03"/>
    <x v="2"/>
  </r>
  <r>
    <x v="9"/>
    <x v="1"/>
    <x v="5"/>
    <x v="0"/>
    <x v="3"/>
    <x v="1"/>
    <x v="0"/>
    <n v="8.6300000000000008"/>
    <n v="48301.33"/>
    <n v="128071.5"/>
    <x v="2"/>
  </r>
  <r>
    <x v="9"/>
    <x v="1"/>
    <x v="5"/>
    <x v="0"/>
    <x v="28"/>
    <x v="1"/>
    <x v="0"/>
    <n v="0"/>
    <n v="0"/>
    <n v="0"/>
    <x v="2"/>
  </r>
  <r>
    <x v="9"/>
    <x v="1"/>
    <x v="5"/>
    <x v="0"/>
    <x v="4"/>
    <x v="1"/>
    <x v="0"/>
    <n v="3.99"/>
    <n v="22331.67"/>
    <n v="58696.480000000003"/>
    <x v="2"/>
  </r>
  <r>
    <x v="9"/>
    <x v="1"/>
    <x v="5"/>
    <x v="0"/>
    <x v="5"/>
    <x v="1"/>
    <x v="0"/>
    <n v="1.89"/>
    <n v="10578.16"/>
    <n v="28655.71"/>
    <x v="2"/>
  </r>
  <r>
    <x v="9"/>
    <x v="1"/>
    <x v="5"/>
    <x v="0"/>
    <x v="6"/>
    <x v="1"/>
    <x v="0"/>
    <n v="0"/>
    <n v="0"/>
    <n v="0"/>
    <x v="2"/>
  </r>
  <r>
    <x v="9"/>
    <x v="1"/>
    <x v="5"/>
    <x v="0"/>
    <x v="7"/>
    <x v="1"/>
    <x v="0"/>
    <n v="0"/>
    <n v="0"/>
    <n v="0"/>
    <x v="2"/>
  </r>
  <r>
    <x v="9"/>
    <x v="1"/>
    <x v="5"/>
    <x v="0"/>
    <x v="8"/>
    <x v="1"/>
    <x v="0"/>
    <n v="0"/>
    <n v="0"/>
    <n v="0"/>
    <x v="2"/>
  </r>
  <r>
    <x v="9"/>
    <x v="1"/>
    <x v="5"/>
    <x v="1"/>
    <x v="30"/>
    <x v="1"/>
    <x v="0"/>
    <n v="1.78"/>
    <n v="9962.5"/>
    <n v="28185.05"/>
    <x v="2"/>
  </r>
  <r>
    <x v="9"/>
    <x v="1"/>
    <x v="5"/>
    <x v="1"/>
    <x v="9"/>
    <x v="1"/>
    <x v="0"/>
    <n v="0"/>
    <n v="0"/>
    <n v="0"/>
    <x v="2"/>
  </r>
  <r>
    <x v="9"/>
    <x v="1"/>
    <x v="5"/>
    <x v="1"/>
    <x v="31"/>
    <x v="1"/>
    <x v="0"/>
    <n v="3.37"/>
    <n v="18861.59"/>
    <n v="53745.84"/>
    <x v="2"/>
  </r>
  <r>
    <x v="9"/>
    <x v="1"/>
    <x v="5"/>
    <x v="1"/>
    <x v="10"/>
    <x v="1"/>
    <x v="0"/>
    <n v="6.39"/>
    <n v="35764.25"/>
    <n v="100016.42"/>
    <x v="2"/>
  </r>
  <r>
    <x v="9"/>
    <x v="1"/>
    <x v="5"/>
    <x v="1"/>
    <x v="11"/>
    <x v="1"/>
    <x v="0"/>
    <n v="6.22"/>
    <n v="34812.78"/>
    <n v="92817.31"/>
    <x v="2"/>
  </r>
  <r>
    <x v="9"/>
    <x v="1"/>
    <x v="5"/>
    <x v="1"/>
    <x v="12"/>
    <x v="1"/>
    <x v="0"/>
    <n v="0.83"/>
    <n v="4645.4399999999996"/>
    <n v="13036.04"/>
    <x v="2"/>
  </r>
  <r>
    <x v="9"/>
    <x v="1"/>
    <x v="5"/>
    <x v="1"/>
    <x v="13"/>
    <x v="1"/>
    <x v="0"/>
    <n v="5.66"/>
    <n v="31678.51"/>
    <n v="88469.119999999995"/>
    <x v="2"/>
  </r>
  <r>
    <x v="9"/>
    <x v="1"/>
    <x v="5"/>
    <x v="1"/>
    <x v="14"/>
    <x v="1"/>
    <x v="0"/>
    <n v="10.74"/>
    <n v="60110.81"/>
    <n v="164761.75"/>
    <x v="2"/>
  </r>
  <r>
    <x v="9"/>
    <x v="1"/>
    <x v="5"/>
    <x v="1"/>
    <x v="15"/>
    <x v="1"/>
    <x v="0"/>
    <n v="1.53"/>
    <n v="8563.27"/>
    <n v="24242.6"/>
    <x v="2"/>
  </r>
  <r>
    <x v="9"/>
    <x v="1"/>
    <x v="5"/>
    <x v="1"/>
    <x v="16"/>
    <x v="1"/>
    <x v="0"/>
    <n v="7.04"/>
    <n v="39402.25"/>
    <n v="106360.12"/>
    <x v="2"/>
  </r>
  <r>
    <x v="9"/>
    <x v="1"/>
    <x v="5"/>
    <x v="1"/>
    <x v="17"/>
    <x v="1"/>
    <x v="0"/>
    <n v="3.69"/>
    <n v="20652.599999999999"/>
    <n v="56261"/>
    <x v="2"/>
  </r>
  <r>
    <x v="9"/>
    <x v="1"/>
    <x v="5"/>
    <x v="1"/>
    <x v="18"/>
    <x v="1"/>
    <x v="0"/>
    <n v="6.47"/>
    <n v="36212.01"/>
    <n v="103241.91"/>
    <x v="2"/>
  </r>
  <r>
    <x v="9"/>
    <x v="1"/>
    <x v="5"/>
    <x v="1"/>
    <x v="19"/>
    <x v="1"/>
    <x v="0"/>
    <n v="8.8000000000000007"/>
    <n v="49252.81"/>
    <n v="136192.75"/>
    <x v="2"/>
  </r>
  <r>
    <x v="9"/>
    <x v="1"/>
    <x v="5"/>
    <x v="1"/>
    <x v="20"/>
    <x v="1"/>
    <x v="0"/>
    <n v="9.56"/>
    <n v="53506.46"/>
    <n v="145522.44"/>
    <x v="2"/>
  </r>
  <r>
    <x v="9"/>
    <x v="1"/>
    <x v="5"/>
    <x v="2"/>
    <x v="21"/>
    <x v="1"/>
    <x v="0"/>
    <n v="0"/>
    <n v="0"/>
    <n v="0"/>
    <x v="2"/>
  </r>
  <r>
    <x v="9"/>
    <x v="1"/>
    <x v="5"/>
    <x v="2"/>
    <x v="22"/>
    <x v="1"/>
    <x v="0"/>
    <n v="5.12"/>
    <n v="28656.18"/>
    <n v="71638.06"/>
    <x v="2"/>
  </r>
  <r>
    <x v="9"/>
    <x v="1"/>
    <x v="5"/>
    <x v="2"/>
    <x v="29"/>
    <x v="1"/>
    <x v="0"/>
    <n v="0"/>
    <n v="0"/>
    <n v="0"/>
    <x v="2"/>
  </r>
  <r>
    <x v="9"/>
    <x v="1"/>
    <x v="5"/>
    <x v="2"/>
    <x v="23"/>
    <x v="1"/>
    <x v="0"/>
    <n v="0"/>
    <n v="0"/>
    <n v="0"/>
    <x v="2"/>
  </r>
  <r>
    <x v="9"/>
    <x v="1"/>
    <x v="5"/>
    <x v="2"/>
    <x v="24"/>
    <x v="1"/>
    <x v="0"/>
    <n v="0.81"/>
    <n v="4533.5"/>
    <n v="11550.69"/>
    <x v="2"/>
  </r>
  <r>
    <x v="9"/>
    <x v="1"/>
    <x v="5"/>
    <x v="3"/>
    <x v="25"/>
    <x v="1"/>
    <x v="0"/>
    <n v="4.21"/>
    <n v="23562.99"/>
    <n v="66159.95"/>
    <x v="2"/>
  </r>
  <r>
    <x v="9"/>
    <x v="1"/>
    <x v="5"/>
    <x v="3"/>
    <x v="26"/>
    <x v="1"/>
    <x v="0"/>
    <n v="4.55"/>
    <n v="25465.94"/>
    <n v="72166.5"/>
    <x v="2"/>
  </r>
  <r>
    <x v="9"/>
    <x v="1"/>
    <x v="5"/>
    <x v="3"/>
    <x v="27"/>
    <x v="1"/>
    <x v="0"/>
    <n v="10.8"/>
    <n v="60446.63"/>
    <n v="167940.89"/>
    <x v="2"/>
  </r>
  <r>
    <x v="9"/>
    <x v="1"/>
    <x v="5"/>
    <x v="0"/>
    <x v="0"/>
    <x v="1"/>
    <x v="1"/>
    <n v="6"/>
    <n v="33581.46"/>
    <n v="90164.96"/>
    <x v="2"/>
  </r>
  <r>
    <x v="9"/>
    <x v="1"/>
    <x v="5"/>
    <x v="0"/>
    <x v="1"/>
    <x v="1"/>
    <x v="1"/>
    <n v="12"/>
    <n v="67162.92"/>
    <n v="177164.89"/>
    <x v="2"/>
  </r>
  <r>
    <x v="9"/>
    <x v="1"/>
    <x v="5"/>
    <x v="0"/>
    <x v="2"/>
    <x v="1"/>
    <x v="1"/>
    <n v="9.5"/>
    <n v="53170.65"/>
    <n v="135507.12"/>
    <x v="2"/>
  </r>
  <r>
    <x v="9"/>
    <x v="1"/>
    <x v="5"/>
    <x v="0"/>
    <x v="3"/>
    <x v="1"/>
    <x v="1"/>
    <n v="19.61"/>
    <n v="109755.41"/>
    <n v="290853.96999999997"/>
    <x v="2"/>
  </r>
  <r>
    <x v="9"/>
    <x v="1"/>
    <x v="5"/>
    <x v="0"/>
    <x v="28"/>
    <x v="1"/>
    <x v="1"/>
    <n v="2.78"/>
    <n v="15559.41"/>
    <n v="41820.67"/>
    <x v="2"/>
  </r>
  <r>
    <x v="9"/>
    <x v="1"/>
    <x v="5"/>
    <x v="0"/>
    <x v="4"/>
    <x v="1"/>
    <x v="1"/>
    <n v="5.59"/>
    <n v="31286.73"/>
    <n v="82175.08"/>
    <x v="2"/>
  </r>
  <r>
    <x v="9"/>
    <x v="1"/>
    <x v="5"/>
    <x v="0"/>
    <x v="5"/>
    <x v="1"/>
    <x v="1"/>
    <n v="15.57"/>
    <n v="87143.89"/>
    <n v="235613.61"/>
    <x v="2"/>
  </r>
  <r>
    <x v="9"/>
    <x v="1"/>
    <x v="5"/>
    <x v="0"/>
    <x v="6"/>
    <x v="1"/>
    <x v="1"/>
    <n v="0.8"/>
    <n v="4477.53"/>
    <n v="12101.19"/>
    <x v="2"/>
  </r>
  <r>
    <x v="9"/>
    <x v="1"/>
    <x v="5"/>
    <x v="0"/>
    <x v="7"/>
    <x v="1"/>
    <x v="1"/>
    <n v="3.16"/>
    <n v="17686.240000000002"/>
    <n v="48424.75"/>
    <x v="2"/>
  </r>
  <r>
    <x v="9"/>
    <x v="1"/>
    <x v="5"/>
    <x v="0"/>
    <x v="8"/>
    <x v="1"/>
    <x v="1"/>
    <n v="1.5"/>
    <n v="8395.3700000000008"/>
    <n v="21968.22"/>
    <x v="2"/>
  </r>
  <r>
    <x v="9"/>
    <x v="1"/>
    <x v="5"/>
    <x v="1"/>
    <x v="30"/>
    <x v="1"/>
    <x v="1"/>
    <n v="0"/>
    <n v="0"/>
    <n v="0"/>
    <x v="2"/>
  </r>
  <r>
    <x v="9"/>
    <x v="1"/>
    <x v="5"/>
    <x v="1"/>
    <x v="9"/>
    <x v="1"/>
    <x v="1"/>
    <n v="3.93"/>
    <n v="21995.86"/>
    <n v="62073.23"/>
    <x v="2"/>
  </r>
  <r>
    <x v="9"/>
    <x v="1"/>
    <x v="5"/>
    <x v="1"/>
    <x v="31"/>
    <x v="1"/>
    <x v="1"/>
    <n v="0"/>
    <n v="0"/>
    <n v="0"/>
    <x v="2"/>
  </r>
  <r>
    <x v="9"/>
    <x v="1"/>
    <x v="5"/>
    <x v="1"/>
    <x v="10"/>
    <x v="1"/>
    <x v="1"/>
    <n v="25.28"/>
    <n v="141489.88"/>
    <n v="395898.32"/>
    <x v="2"/>
  </r>
  <r>
    <x v="9"/>
    <x v="1"/>
    <x v="5"/>
    <x v="1"/>
    <x v="11"/>
    <x v="1"/>
    <x v="1"/>
    <n v="19.739999999999998"/>
    <n v="110483"/>
    <n v="294594.08"/>
    <x v="2"/>
  </r>
  <r>
    <x v="9"/>
    <x v="1"/>
    <x v="5"/>
    <x v="1"/>
    <x v="12"/>
    <x v="1"/>
    <x v="1"/>
    <n v="2.41"/>
    <n v="13488.55"/>
    <n v="37804.5"/>
    <x v="2"/>
  </r>
  <r>
    <x v="9"/>
    <x v="1"/>
    <x v="5"/>
    <x v="1"/>
    <x v="13"/>
    <x v="1"/>
    <x v="1"/>
    <n v="9.75"/>
    <n v="54569.87"/>
    <n v="152439.10999999999"/>
    <x v="2"/>
  </r>
  <r>
    <x v="9"/>
    <x v="1"/>
    <x v="5"/>
    <x v="1"/>
    <x v="14"/>
    <x v="1"/>
    <x v="1"/>
    <n v="5.2"/>
    <n v="29103.93"/>
    <n v="79723.429999999993"/>
    <x v="2"/>
  </r>
  <r>
    <x v="9"/>
    <x v="1"/>
    <x v="5"/>
    <x v="1"/>
    <x v="15"/>
    <x v="1"/>
    <x v="1"/>
    <n v="1.53"/>
    <n v="8563.27"/>
    <n v="24242.6"/>
    <x v="2"/>
  </r>
  <r>
    <x v="9"/>
    <x v="1"/>
    <x v="5"/>
    <x v="1"/>
    <x v="16"/>
    <x v="1"/>
    <x v="1"/>
    <n v="13.58"/>
    <n v="76006.039999999994"/>
    <n v="205256.37"/>
    <x v="2"/>
  </r>
  <r>
    <x v="9"/>
    <x v="1"/>
    <x v="5"/>
    <x v="1"/>
    <x v="17"/>
    <x v="1"/>
    <x v="1"/>
    <n v="3.21"/>
    <n v="17966.080000000002"/>
    <n v="48922.61"/>
    <x v="2"/>
  </r>
  <r>
    <x v="9"/>
    <x v="1"/>
    <x v="5"/>
    <x v="1"/>
    <x v="18"/>
    <x v="1"/>
    <x v="1"/>
    <n v="25.79"/>
    <n v="144344.31"/>
    <n v="411553.36"/>
    <x v="2"/>
  </r>
  <r>
    <x v="9"/>
    <x v="1"/>
    <x v="5"/>
    <x v="1"/>
    <x v="19"/>
    <x v="1"/>
    <x v="1"/>
    <n v="13.1"/>
    <n v="73319.520000000004"/>
    <n v="202741.47"/>
    <x v="2"/>
  </r>
  <r>
    <x v="9"/>
    <x v="1"/>
    <x v="5"/>
    <x v="1"/>
    <x v="20"/>
    <x v="1"/>
    <x v="1"/>
    <n v="18.59"/>
    <n v="104046.56"/>
    <n v="282960.28999999998"/>
    <x v="2"/>
  </r>
  <r>
    <x v="9"/>
    <x v="1"/>
    <x v="5"/>
    <x v="2"/>
    <x v="21"/>
    <x v="1"/>
    <x v="1"/>
    <n v="2.1"/>
    <n v="11753.51"/>
    <n v="29335.47"/>
    <x v="2"/>
  </r>
  <r>
    <x v="9"/>
    <x v="1"/>
    <x v="5"/>
    <x v="2"/>
    <x v="22"/>
    <x v="1"/>
    <x v="1"/>
    <n v="10.76"/>
    <n v="60222.75"/>
    <n v="150439.92000000001"/>
    <x v="2"/>
  </r>
  <r>
    <x v="9"/>
    <x v="1"/>
    <x v="5"/>
    <x v="2"/>
    <x v="29"/>
    <x v="1"/>
    <x v="1"/>
    <n v="0.49"/>
    <n v="2742.49"/>
    <n v="7246.62"/>
    <x v="2"/>
  </r>
  <r>
    <x v="9"/>
    <x v="1"/>
    <x v="5"/>
    <x v="2"/>
    <x v="23"/>
    <x v="1"/>
    <x v="1"/>
    <n v="1.84"/>
    <n v="10298.31"/>
    <n v="26779.19"/>
    <x v="2"/>
  </r>
  <r>
    <x v="9"/>
    <x v="1"/>
    <x v="5"/>
    <x v="2"/>
    <x v="24"/>
    <x v="1"/>
    <x v="1"/>
    <n v="1.25"/>
    <n v="6996.14"/>
    <n v="17851.060000000001"/>
    <x v="2"/>
  </r>
  <r>
    <x v="9"/>
    <x v="1"/>
    <x v="5"/>
    <x v="3"/>
    <x v="25"/>
    <x v="1"/>
    <x v="1"/>
    <n v="7.47"/>
    <n v="41808.92"/>
    <n v="117467.66"/>
    <x v="2"/>
  </r>
  <r>
    <x v="9"/>
    <x v="1"/>
    <x v="5"/>
    <x v="3"/>
    <x v="26"/>
    <x v="1"/>
    <x v="1"/>
    <n v="11"/>
    <n v="61566.01"/>
    <n v="174288.9"/>
    <x v="2"/>
  </r>
  <r>
    <x v="9"/>
    <x v="1"/>
    <x v="5"/>
    <x v="3"/>
    <x v="27"/>
    <x v="1"/>
    <x v="1"/>
    <n v="28.51"/>
    <n v="159567.9"/>
    <n v="443253.82"/>
    <x v="2"/>
  </r>
  <r>
    <x v="9"/>
    <x v="1"/>
    <x v="6"/>
    <x v="0"/>
    <x v="0"/>
    <x v="0"/>
    <x v="0"/>
    <n v="2.25"/>
    <n v="5974.36"/>
    <n v="21113.29"/>
    <x v="2"/>
  </r>
  <r>
    <x v="9"/>
    <x v="1"/>
    <x v="6"/>
    <x v="0"/>
    <x v="1"/>
    <x v="0"/>
    <x v="0"/>
    <n v="3.05"/>
    <n v="8098.57"/>
    <n v="28614.83"/>
    <x v="2"/>
  </r>
  <r>
    <x v="9"/>
    <x v="1"/>
    <x v="6"/>
    <x v="0"/>
    <x v="2"/>
    <x v="0"/>
    <x v="0"/>
    <n v="0"/>
    <n v="0"/>
    <n v="0"/>
    <x v="2"/>
  </r>
  <r>
    <x v="9"/>
    <x v="1"/>
    <x v="6"/>
    <x v="0"/>
    <x v="3"/>
    <x v="0"/>
    <x v="0"/>
    <n v="1.42"/>
    <n v="3770.48"/>
    <n v="13300.77"/>
    <x v="2"/>
  </r>
  <r>
    <x v="9"/>
    <x v="1"/>
    <x v="6"/>
    <x v="0"/>
    <x v="4"/>
    <x v="0"/>
    <x v="0"/>
    <n v="0"/>
    <n v="0"/>
    <n v="0"/>
    <x v="2"/>
  </r>
  <r>
    <x v="9"/>
    <x v="1"/>
    <x v="6"/>
    <x v="0"/>
    <x v="5"/>
    <x v="0"/>
    <x v="0"/>
    <n v="0"/>
    <n v="0"/>
    <n v="0"/>
    <x v="2"/>
  </r>
  <r>
    <x v="9"/>
    <x v="1"/>
    <x v="6"/>
    <x v="0"/>
    <x v="6"/>
    <x v="0"/>
    <x v="0"/>
    <n v="0"/>
    <n v="0"/>
    <n v="0"/>
    <x v="2"/>
  </r>
  <r>
    <x v="9"/>
    <x v="1"/>
    <x v="6"/>
    <x v="0"/>
    <x v="8"/>
    <x v="0"/>
    <x v="0"/>
    <n v="0"/>
    <n v="0"/>
    <n v="0"/>
    <x v="2"/>
  </r>
  <r>
    <x v="9"/>
    <x v="1"/>
    <x v="6"/>
    <x v="1"/>
    <x v="10"/>
    <x v="0"/>
    <x v="0"/>
    <n v="2.56"/>
    <n v="6797.49"/>
    <n v="23980.48"/>
    <x v="2"/>
  </r>
  <r>
    <x v="9"/>
    <x v="1"/>
    <x v="6"/>
    <x v="1"/>
    <x v="11"/>
    <x v="0"/>
    <x v="0"/>
    <n v="0"/>
    <n v="0"/>
    <n v="0"/>
    <x v="2"/>
  </r>
  <r>
    <x v="9"/>
    <x v="1"/>
    <x v="6"/>
    <x v="1"/>
    <x v="13"/>
    <x v="0"/>
    <x v="0"/>
    <n v="0"/>
    <n v="0"/>
    <n v="0"/>
    <x v="2"/>
  </r>
  <r>
    <x v="9"/>
    <x v="1"/>
    <x v="6"/>
    <x v="1"/>
    <x v="14"/>
    <x v="0"/>
    <x v="0"/>
    <n v="0"/>
    <n v="0"/>
    <n v="0"/>
    <x v="2"/>
  </r>
  <r>
    <x v="9"/>
    <x v="1"/>
    <x v="6"/>
    <x v="1"/>
    <x v="16"/>
    <x v="0"/>
    <x v="0"/>
    <n v="0"/>
    <n v="0"/>
    <n v="0"/>
    <x v="2"/>
  </r>
  <r>
    <x v="9"/>
    <x v="1"/>
    <x v="6"/>
    <x v="1"/>
    <x v="17"/>
    <x v="0"/>
    <x v="0"/>
    <n v="0"/>
    <n v="0"/>
    <n v="0"/>
    <x v="2"/>
  </r>
  <r>
    <x v="9"/>
    <x v="1"/>
    <x v="6"/>
    <x v="1"/>
    <x v="18"/>
    <x v="0"/>
    <x v="0"/>
    <n v="0"/>
    <n v="0"/>
    <n v="0"/>
    <x v="2"/>
  </r>
  <r>
    <x v="9"/>
    <x v="1"/>
    <x v="6"/>
    <x v="1"/>
    <x v="19"/>
    <x v="0"/>
    <x v="0"/>
    <n v="0"/>
    <n v="0"/>
    <n v="0"/>
    <x v="2"/>
  </r>
  <r>
    <x v="9"/>
    <x v="1"/>
    <x v="6"/>
    <x v="1"/>
    <x v="20"/>
    <x v="0"/>
    <x v="0"/>
    <n v="1.3"/>
    <n v="3451.85"/>
    <n v="12164.91"/>
    <x v="2"/>
  </r>
  <r>
    <x v="9"/>
    <x v="1"/>
    <x v="6"/>
    <x v="2"/>
    <x v="21"/>
    <x v="0"/>
    <x v="0"/>
    <n v="1.41"/>
    <n v="3743.93"/>
    <n v="13192.82"/>
    <x v="2"/>
  </r>
  <r>
    <x v="9"/>
    <x v="1"/>
    <x v="6"/>
    <x v="2"/>
    <x v="22"/>
    <x v="0"/>
    <x v="0"/>
    <n v="0"/>
    <n v="0"/>
    <n v="0"/>
    <x v="2"/>
  </r>
  <r>
    <x v="9"/>
    <x v="1"/>
    <x v="6"/>
    <x v="2"/>
    <x v="29"/>
    <x v="0"/>
    <x v="0"/>
    <n v="0"/>
    <n v="0"/>
    <n v="0"/>
    <x v="2"/>
  </r>
  <r>
    <x v="9"/>
    <x v="1"/>
    <x v="6"/>
    <x v="2"/>
    <x v="24"/>
    <x v="0"/>
    <x v="0"/>
    <n v="0"/>
    <n v="0"/>
    <n v="0"/>
    <x v="2"/>
  </r>
  <r>
    <x v="9"/>
    <x v="1"/>
    <x v="6"/>
    <x v="3"/>
    <x v="25"/>
    <x v="0"/>
    <x v="0"/>
    <n v="0"/>
    <n v="0"/>
    <n v="0"/>
    <x v="2"/>
  </r>
  <r>
    <x v="9"/>
    <x v="1"/>
    <x v="6"/>
    <x v="3"/>
    <x v="26"/>
    <x v="0"/>
    <x v="0"/>
    <n v="1.57"/>
    <n v="4168.7700000000004"/>
    <n v="14742.04"/>
    <x v="2"/>
  </r>
  <r>
    <x v="9"/>
    <x v="1"/>
    <x v="6"/>
    <x v="3"/>
    <x v="27"/>
    <x v="0"/>
    <x v="0"/>
    <n v="1.53"/>
    <n v="4062.56"/>
    <n v="14302"/>
    <x v="2"/>
  </r>
  <r>
    <x v="9"/>
    <x v="1"/>
    <x v="6"/>
    <x v="0"/>
    <x v="0"/>
    <x v="0"/>
    <x v="1"/>
    <n v="1.76"/>
    <n v="4673.28"/>
    <n v="16523.45"/>
    <x v="2"/>
  </r>
  <r>
    <x v="9"/>
    <x v="1"/>
    <x v="6"/>
    <x v="0"/>
    <x v="1"/>
    <x v="0"/>
    <x v="1"/>
    <n v="6.39"/>
    <n v="16967.18"/>
    <n v="59884.639999999999"/>
    <x v="2"/>
  </r>
  <r>
    <x v="9"/>
    <x v="1"/>
    <x v="6"/>
    <x v="0"/>
    <x v="2"/>
    <x v="0"/>
    <x v="1"/>
    <n v="2.77"/>
    <n v="7355.1"/>
    <n v="25980.880000000001"/>
    <x v="2"/>
  </r>
  <r>
    <x v="9"/>
    <x v="1"/>
    <x v="6"/>
    <x v="0"/>
    <x v="3"/>
    <x v="0"/>
    <x v="1"/>
    <n v="5.68"/>
    <n v="15081.93"/>
    <n v="53203.09"/>
    <x v="2"/>
  </r>
  <r>
    <x v="9"/>
    <x v="1"/>
    <x v="6"/>
    <x v="0"/>
    <x v="4"/>
    <x v="0"/>
    <x v="1"/>
    <n v="2.11"/>
    <n v="5602.62"/>
    <n v="19746.23"/>
    <x v="2"/>
  </r>
  <r>
    <x v="9"/>
    <x v="1"/>
    <x v="6"/>
    <x v="0"/>
    <x v="5"/>
    <x v="0"/>
    <x v="1"/>
    <n v="3.5"/>
    <n v="9293.4500000000007"/>
    <n v="32746.3"/>
    <x v="2"/>
  </r>
  <r>
    <x v="9"/>
    <x v="1"/>
    <x v="6"/>
    <x v="0"/>
    <x v="6"/>
    <x v="0"/>
    <x v="1"/>
    <n v="1.78"/>
    <n v="4726.38"/>
    <n v="16685.28"/>
    <x v="2"/>
  </r>
  <r>
    <x v="9"/>
    <x v="1"/>
    <x v="6"/>
    <x v="0"/>
    <x v="8"/>
    <x v="0"/>
    <x v="1"/>
    <n v="3.64"/>
    <n v="9665.18"/>
    <n v="34117.21"/>
    <x v="2"/>
  </r>
  <r>
    <x v="9"/>
    <x v="1"/>
    <x v="6"/>
    <x v="1"/>
    <x v="10"/>
    <x v="0"/>
    <x v="1"/>
    <n v="3.6"/>
    <n v="9558.9699999999993"/>
    <n v="33750.31"/>
    <x v="2"/>
  </r>
  <r>
    <x v="9"/>
    <x v="1"/>
    <x v="6"/>
    <x v="1"/>
    <x v="11"/>
    <x v="0"/>
    <x v="1"/>
    <n v="11.81"/>
    <n v="31358.74"/>
    <n v="110647.59"/>
    <x v="2"/>
  </r>
  <r>
    <x v="9"/>
    <x v="1"/>
    <x v="6"/>
    <x v="1"/>
    <x v="13"/>
    <x v="0"/>
    <x v="1"/>
    <n v="3.65"/>
    <n v="9691.74"/>
    <n v="34216.050000000003"/>
    <x v="2"/>
  </r>
  <r>
    <x v="9"/>
    <x v="1"/>
    <x v="6"/>
    <x v="1"/>
    <x v="14"/>
    <x v="0"/>
    <x v="1"/>
    <n v="1.4"/>
    <n v="3717.38"/>
    <n v="13135.31"/>
    <x v="2"/>
  </r>
  <r>
    <x v="9"/>
    <x v="1"/>
    <x v="6"/>
    <x v="1"/>
    <x v="16"/>
    <x v="0"/>
    <x v="1"/>
    <n v="1.67"/>
    <n v="4434.3"/>
    <n v="15650.76"/>
    <x v="2"/>
  </r>
  <r>
    <x v="9"/>
    <x v="1"/>
    <x v="6"/>
    <x v="1"/>
    <x v="17"/>
    <x v="0"/>
    <x v="1"/>
    <n v="1.08"/>
    <n v="2867.69"/>
    <n v="10119.6"/>
    <x v="2"/>
  </r>
  <r>
    <x v="9"/>
    <x v="1"/>
    <x v="6"/>
    <x v="1"/>
    <x v="18"/>
    <x v="0"/>
    <x v="1"/>
    <n v="9.68"/>
    <n v="25703.01"/>
    <n v="90671.94"/>
    <x v="2"/>
  </r>
  <r>
    <x v="9"/>
    <x v="1"/>
    <x v="6"/>
    <x v="1"/>
    <x v="19"/>
    <x v="0"/>
    <x v="1"/>
    <n v="3.53"/>
    <n v="9373.1"/>
    <n v="33079.47"/>
    <x v="2"/>
  </r>
  <r>
    <x v="9"/>
    <x v="1"/>
    <x v="6"/>
    <x v="1"/>
    <x v="20"/>
    <x v="0"/>
    <x v="1"/>
    <n v="8.16"/>
    <n v="21667"/>
    <n v="76465.13"/>
    <x v="2"/>
  </r>
  <r>
    <x v="9"/>
    <x v="1"/>
    <x v="6"/>
    <x v="2"/>
    <x v="21"/>
    <x v="0"/>
    <x v="1"/>
    <n v="0"/>
    <n v="0"/>
    <n v="0"/>
    <x v="2"/>
  </r>
  <r>
    <x v="9"/>
    <x v="1"/>
    <x v="6"/>
    <x v="2"/>
    <x v="22"/>
    <x v="0"/>
    <x v="1"/>
    <n v="2.4700000000000002"/>
    <n v="6558.52"/>
    <n v="23161.09"/>
    <x v="2"/>
  </r>
  <r>
    <x v="9"/>
    <x v="1"/>
    <x v="6"/>
    <x v="2"/>
    <x v="29"/>
    <x v="0"/>
    <x v="1"/>
    <n v="1.3"/>
    <n v="3451.85"/>
    <n v="12201.71"/>
    <x v="2"/>
  </r>
  <r>
    <x v="9"/>
    <x v="1"/>
    <x v="6"/>
    <x v="2"/>
    <x v="24"/>
    <x v="0"/>
    <x v="1"/>
    <n v="1.26"/>
    <n v="3345.64"/>
    <n v="11756.73"/>
    <x v="2"/>
  </r>
  <r>
    <x v="9"/>
    <x v="1"/>
    <x v="6"/>
    <x v="3"/>
    <x v="25"/>
    <x v="0"/>
    <x v="1"/>
    <n v="3.61"/>
    <n v="9585.52"/>
    <n v="33848.61"/>
    <x v="2"/>
  </r>
  <r>
    <x v="9"/>
    <x v="1"/>
    <x v="6"/>
    <x v="3"/>
    <x v="26"/>
    <x v="0"/>
    <x v="1"/>
    <n v="1.08"/>
    <n v="2867.69"/>
    <n v="10135.15"/>
    <x v="2"/>
  </r>
  <r>
    <x v="9"/>
    <x v="1"/>
    <x v="6"/>
    <x v="3"/>
    <x v="27"/>
    <x v="0"/>
    <x v="1"/>
    <n v="7.54"/>
    <n v="20020.740000000002"/>
    <n v="70616.12"/>
    <x v="2"/>
  </r>
  <r>
    <x v="9"/>
    <x v="1"/>
    <x v="6"/>
    <x v="0"/>
    <x v="0"/>
    <x v="1"/>
    <x v="0"/>
    <n v="2.78"/>
    <n v="7381.65"/>
    <n v="17037.02"/>
    <x v="2"/>
  </r>
  <r>
    <x v="9"/>
    <x v="1"/>
    <x v="6"/>
    <x v="0"/>
    <x v="1"/>
    <x v="1"/>
    <x v="0"/>
    <n v="11.65"/>
    <n v="30933.9"/>
    <n v="70165.73"/>
    <x v="2"/>
  </r>
  <r>
    <x v="9"/>
    <x v="1"/>
    <x v="6"/>
    <x v="0"/>
    <x v="2"/>
    <x v="1"/>
    <x v="0"/>
    <n v="2.88"/>
    <n v="7647.18"/>
    <n v="16743.04"/>
    <x v="2"/>
  </r>
  <r>
    <x v="9"/>
    <x v="1"/>
    <x v="6"/>
    <x v="0"/>
    <x v="3"/>
    <x v="1"/>
    <x v="0"/>
    <n v="10.31"/>
    <n v="27375.83"/>
    <n v="62411.19"/>
    <x v="2"/>
  </r>
  <r>
    <x v="9"/>
    <x v="1"/>
    <x v="6"/>
    <x v="0"/>
    <x v="28"/>
    <x v="1"/>
    <x v="0"/>
    <n v="0"/>
    <n v="0"/>
    <n v="0"/>
    <x v="2"/>
  </r>
  <r>
    <x v="9"/>
    <x v="1"/>
    <x v="6"/>
    <x v="0"/>
    <x v="4"/>
    <x v="1"/>
    <x v="0"/>
    <n v="4.41"/>
    <n v="11709.74"/>
    <n v="26441.9"/>
    <x v="2"/>
  </r>
  <r>
    <x v="9"/>
    <x v="1"/>
    <x v="6"/>
    <x v="0"/>
    <x v="5"/>
    <x v="1"/>
    <x v="0"/>
    <n v="2.68"/>
    <n v="7116.12"/>
    <n v="16541.48"/>
    <x v="2"/>
  </r>
  <r>
    <x v="9"/>
    <x v="1"/>
    <x v="6"/>
    <x v="0"/>
    <x v="6"/>
    <x v="1"/>
    <x v="0"/>
    <n v="0"/>
    <n v="0"/>
    <n v="0"/>
    <x v="2"/>
  </r>
  <r>
    <x v="9"/>
    <x v="1"/>
    <x v="6"/>
    <x v="0"/>
    <x v="7"/>
    <x v="1"/>
    <x v="0"/>
    <n v="0"/>
    <n v="0"/>
    <n v="0"/>
    <x v="2"/>
  </r>
  <r>
    <x v="9"/>
    <x v="1"/>
    <x v="6"/>
    <x v="0"/>
    <x v="8"/>
    <x v="1"/>
    <x v="0"/>
    <n v="0"/>
    <n v="0"/>
    <n v="0"/>
    <x v="2"/>
  </r>
  <r>
    <x v="9"/>
    <x v="1"/>
    <x v="6"/>
    <x v="1"/>
    <x v="30"/>
    <x v="1"/>
    <x v="0"/>
    <n v="1.2"/>
    <n v="3186.32"/>
    <n v="7776.08"/>
    <x v="2"/>
  </r>
  <r>
    <x v="9"/>
    <x v="1"/>
    <x v="6"/>
    <x v="1"/>
    <x v="9"/>
    <x v="1"/>
    <x v="0"/>
    <n v="0"/>
    <n v="0"/>
    <n v="0"/>
    <x v="2"/>
  </r>
  <r>
    <x v="9"/>
    <x v="1"/>
    <x v="6"/>
    <x v="1"/>
    <x v="31"/>
    <x v="1"/>
    <x v="0"/>
    <n v="0.68"/>
    <n v="1805.58"/>
    <n v="4439.13"/>
    <x v="2"/>
  </r>
  <r>
    <x v="9"/>
    <x v="1"/>
    <x v="6"/>
    <x v="1"/>
    <x v="10"/>
    <x v="1"/>
    <x v="0"/>
    <n v="9.7799999999999994"/>
    <n v="25968.54"/>
    <n v="62475.63"/>
    <x v="2"/>
  </r>
  <r>
    <x v="9"/>
    <x v="1"/>
    <x v="6"/>
    <x v="1"/>
    <x v="11"/>
    <x v="1"/>
    <x v="0"/>
    <n v="7.08"/>
    <n v="18799.310000000001"/>
    <n v="43082.58"/>
    <x v="2"/>
  </r>
  <r>
    <x v="9"/>
    <x v="1"/>
    <x v="6"/>
    <x v="1"/>
    <x v="12"/>
    <x v="1"/>
    <x v="0"/>
    <n v="1.45"/>
    <n v="3850.14"/>
    <n v="9305.99"/>
    <x v="2"/>
  </r>
  <r>
    <x v="9"/>
    <x v="1"/>
    <x v="6"/>
    <x v="1"/>
    <x v="13"/>
    <x v="1"/>
    <x v="0"/>
    <n v="1.51"/>
    <n v="4009.46"/>
    <n v="9663.85"/>
    <x v="2"/>
  </r>
  <r>
    <x v="9"/>
    <x v="1"/>
    <x v="6"/>
    <x v="1"/>
    <x v="14"/>
    <x v="1"/>
    <x v="0"/>
    <n v="10.34"/>
    <n v="27455.49"/>
    <n v="64685.53"/>
    <x v="2"/>
  </r>
  <r>
    <x v="9"/>
    <x v="1"/>
    <x v="6"/>
    <x v="1"/>
    <x v="15"/>
    <x v="1"/>
    <x v="0"/>
    <n v="2.16"/>
    <n v="5735.38"/>
    <n v="14003.04"/>
    <x v="2"/>
  </r>
  <r>
    <x v="9"/>
    <x v="1"/>
    <x v="6"/>
    <x v="1"/>
    <x v="16"/>
    <x v="1"/>
    <x v="0"/>
    <n v="4.1500000000000004"/>
    <n v="11019.37"/>
    <n v="25576.75"/>
    <x v="2"/>
  </r>
  <r>
    <x v="9"/>
    <x v="1"/>
    <x v="6"/>
    <x v="1"/>
    <x v="17"/>
    <x v="1"/>
    <x v="0"/>
    <n v="4.09"/>
    <n v="10860.05"/>
    <n v="25455.93"/>
    <x v="2"/>
  </r>
  <r>
    <x v="9"/>
    <x v="1"/>
    <x v="6"/>
    <x v="1"/>
    <x v="18"/>
    <x v="1"/>
    <x v="0"/>
    <n v="3.99"/>
    <n v="10594.53"/>
    <n v="26007.96"/>
    <x v="2"/>
  </r>
  <r>
    <x v="9"/>
    <x v="1"/>
    <x v="6"/>
    <x v="1"/>
    <x v="19"/>
    <x v="1"/>
    <x v="0"/>
    <n v="9.0299999999999994"/>
    <n v="23977.09"/>
    <n v="57041.61"/>
    <x v="2"/>
  </r>
  <r>
    <x v="9"/>
    <x v="1"/>
    <x v="6"/>
    <x v="1"/>
    <x v="20"/>
    <x v="1"/>
    <x v="0"/>
    <n v="10.31"/>
    <n v="27375.83"/>
    <n v="64060.23"/>
    <x v="2"/>
  </r>
  <r>
    <x v="9"/>
    <x v="1"/>
    <x v="6"/>
    <x v="2"/>
    <x v="21"/>
    <x v="1"/>
    <x v="0"/>
    <n v="0"/>
    <n v="0"/>
    <n v="0"/>
    <x v="2"/>
  </r>
  <r>
    <x v="9"/>
    <x v="1"/>
    <x v="6"/>
    <x v="2"/>
    <x v="22"/>
    <x v="1"/>
    <x v="0"/>
    <n v="3.85"/>
    <n v="10222.790000000001"/>
    <n v="21985.77"/>
    <x v="2"/>
  </r>
  <r>
    <x v="9"/>
    <x v="1"/>
    <x v="6"/>
    <x v="2"/>
    <x v="29"/>
    <x v="1"/>
    <x v="0"/>
    <n v="0"/>
    <n v="0"/>
    <n v="0"/>
    <x v="2"/>
  </r>
  <r>
    <x v="9"/>
    <x v="1"/>
    <x v="6"/>
    <x v="2"/>
    <x v="23"/>
    <x v="1"/>
    <x v="0"/>
    <n v="0"/>
    <n v="0"/>
    <n v="0"/>
    <x v="2"/>
  </r>
  <r>
    <x v="9"/>
    <x v="1"/>
    <x v="6"/>
    <x v="2"/>
    <x v="24"/>
    <x v="1"/>
    <x v="0"/>
    <n v="2.09"/>
    <n v="5549.51"/>
    <n v="12155.77"/>
    <x v="2"/>
  </r>
  <r>
    <x v="9"/>
    <x v="1"/>
    <x v="6"/>
    <x v="3"/>
    <x v="25"/>
    <x v="1"/>
    <x v="0"/>
    <n v="3.9"/>
    <n v="10355.549999999999"/>
    <n v="25022.959999999999"/>
    <x v="2"/>
  </r>
  <r>
    <x v="9"/>
    <x v="1"/>
    <x v="6"/>
    <x v="3"/>
    <x v="26"/>
    <x v="1"/>
    <x v="0"/>
    <n v="2.65"/>
    <n v="7036.47"/>
    <n v="17157.98"/>
    <x v="2"/>
  </r>
  <r>
    <x v="9"/>
    <x v="1"/>
    <x v="6"/>
    <x v="3"/>
    <x v="27"/>
    <x v="1"/>
    <x v="0"/>
    <n v="9.1199999999999992"/>
    <n v="24216.06"/>
    <n v="57820.08"/>
    <x v="2"/>
  </r>
  <r>
    <x v="9"/>
    <x v="1"/>
    <x v="6"/>
    <x v="0"/>
    <x v="0"/>
    <x v="1"/>
    <x v="1"/>
    <n v="4"/>
    <n v="10621.08"/>
    <n v="24490.720000000001"/>
    <x v="2"/>
  </r>
  <r>
    <x v="9"/>
    <x v="1"/>
    <x v="6"/>
    <x v="0"/>
    <x v="1"/>
    <x v="1"/>
    <x v="1"/>
    <n v="20.81"/>
    <n v="55256.17"/>
    <n v="125369.66"/>
    <x v="2"/>
  </r>
  <r>
    <x v="9"/>
    <x v="1"/>
    <x v="6"/>
    <x v="0"/>
    <x v="2"/>
    <x v="1"/>
    <x v="1"/>
    <n v="11.77"/>
    <n v="31252.53"/>
    <n v="68494.25"/>
    <x v="2"/>
  </r>
  <r>
    <x v="9"/>
    <x v="1"/>
    <x v="6"/>
    <x v="0"/>
    <x v="3"/>
    <x v="1"/>
    <x v="1"/>
    <n v="22.76"/>
    <n v="60433.95"/>
    <n v="137735.04000000001"/>
    <x v="2"/>
  </r>
  <r>
    <x v="9"/>
    <x v="1"/>
    <x v="6"/>
    <x v="0"/>
    <x v="28"/>
    <x v="1"/>
    <x v="1"/>
    <n v="4.01"/>
    <n v="10647.63"/>
    <n v="24590.21"/>
    <x v="2"/>
  </r>
  <r>
    <x v="9"/>
    <x v="1"/>
    <x v="6"/>
    <x v="0"/>
    <x v="4"/>
    <x v="1"/>
    <x v="1"/>
    <n v="8.66"/>
    <n v="22994.639999999999"/>
    <n v="51904.47"/>
    <x v="2"/>
  </r>
  <r>
    <x v="9"/>
    <x v="1"/>
    <x v="6"/>
    <x v="0"/>
    <x v="5"/>
    <x v="1"/>
    <x v="1"/>
    <n v="14.61"/>
    <n v="38793.49"/>
    <n v="90177.75"/>
    <x v="2"/>
  </r>
  <r>
    <x v="9"/>
    <x v="1"/>
    <x v="6"/>
    <x v="0"/>
    <x v="6"/>
    <x v="1"/>
    <x v="1"/>
    <n v="2.11"/>
    <n v="5602.62"/>
    <n v="12985.54"/>
    <x v="2"/>
  </r>
  <r>
    <x v="9"/>
    <x v="1"/>
    <x v="6"/>
    <x v="0"/>
    <x v="7"/>
    <x v="1"/>
    <x v="1"/>
    <n v="1.95"/>
    <n v="5177.78"/>
    <n v="12217.43"/>
    <x v="2"/>
  </r>
  <r>
    <x v="9"/>
    <x v="1"/>
    <x v="6"/>
    <x v="0"/>
    <x v="8"/>
    <x v="1"/>
    <x v="1"/>
    <n v="3.98"/>
    <n v="10567.97"/>
    <n v="23745.52"/>
    <x v="2"/>
  </r>
  <r>
    <x v="9"/>
    <x v="1"/>
    <x v="6"/>
    <x v="1"/>
    <x v="30"/>
    <x v="1"/>
    <x v="1"/>
    <n v="0"/>
    <n v="0"/>
    <n v="0"/>
    <x v="2"/>
  </r>
  <r>
    <x v="9"/>
    <x v="1"/>
    <x v="6"/>
    <x v="1"/>
    <x v="9"/>
    <x v="1"/>
    <x v="1"/>
    <n v="4.6399999999999997"/>
    <n v="12320.45"/>
    <n v="29920.48"/>
    <x v="2"/>
  </r>
  <r>
    <x v="9"/>
    <x v="1"/>
    <x v="6"/>
    <x v="1"/>
    <x v="31"/>
    <x v="1"/>
    <x v="1"/>
    <n v="0"/>
    <n v="0"/>
    <n v="0"/>
    <x v="2"/>
  </r>
  <r>
    <x v="9"/>
    <x v="1"/>
    <x v="6"/>
    <x v="1"/>
    <x v="10"/>
    <x v="1"/>
    <x v="1"/>
    <n v="24.4"/>
    <n v="64788.59"/>
    <n v="155902.5"/>
    <x v="2"/>
  </r>
  <r>
    <x v="9"/>
    <x v="1"/>
    <x v="6"/>
    <x v="1"/>
    <x v="11"/>
    <x v="1"/>
    <x v="1"/>
    <n v="24.11"/>
    <n v="64018.559999999998"/>
    <n v="146799.91"/>
    <x v="2"/>
  </r>
  <r>
    <x v="9"/>
    <x v="1"/>
    <x v="6"/>
    <x v="1"/>
    <x v="12"/>
    <x v="1"/>
    <x v="1"/>
    <n v="1.38"/>
    <n v="3664.27"/>
    <n v="8816.2000000000007"/>
    <x v="2"/>
  </r>
  <r>
    <x v="9"/>
    <x v="1"/>
    <x v="6"/>
    <x v="1"/>
    <x v="13"/>
    <x v="1"/>
    <x v="1"/>
    <n v="12.65"/>
    <n v="33589.17"/>
    <n v="80721.570000000007"/>
    <x v="2"/>
  </r>
  <r>
    <x v="9"/>
    <x v="1"/>
    <x v="6"/>
    <x v="1"/>
    <x v="14"/>
    <x v="1"/>
    <x v="1"/>
    <n v="8.02"/>
    <n v="21295.27"/>
    <n v="50187.05"/>
    <x v="2"/>
  </r>
  <r>
    <x v="9"/>
    <x v="1"/>
    <x v="6"/>
    <x v="1"/>
    <x v="15"/>
    <x v="1"/>
    <x v="1"/>
    <n v="1.71"/>
    <n v="4540.51"/>
    <n v="11085.74"/>
    <x v="2"/>
  </r>
  <r>
    <x v="9"/>
    <x v="1"/>
    <x v="6"/>
    <x v="1"/>
    <x v="16"/>
    <x v="1"/>
    <x v="1"/>
    <n v="8.93"/>
    <n v="23711.56"/>
    <n v="55045.62"/>
    <x v="2"/>
  </r>
  <r>
    <x v="9"/>
    <x v="1"/>
    <x v="6"/>
    <x v="1"/>
    <x v="17"/>
    <x v="1"/>
    <x v="1"/>
    <n v="3.48"/>
    <n v="9240.34"/>
    <n v="21664.62"/>
    <x v="2"/>
  </r>
  <r>
    <x v="9"/>
    <x v="1"/>
    <x v="6"/>
    <x v="1"/>
    <x v="18"/>
    <x v="1"/>
    <x v="1"/>
    <n v="14.75"/>
    <n v="39165.230000000003"/>
    <n v="95999.99"/>
    <x v="2"/>
  </r>
  <r>
    <x v="9"/>
    <x v="1"/>
    <x v="6"/>
    <x v="1"/>
    <x v="19"/>
    <x v="1"/>
    <x v="1"/>
    <n v="14.76"/>
    <n v="39191.79"/>
    <n v="93186.79"/>
    <x v="2"/>
  </r>
  <r>
    <x v="9"/>
    <x v="1"/>
    <x v="6"/>
    <x v="1"/>
    <x v="20"/>
    <x v="1"/>
    <x v="1"/>
    <n v="22.39"/>
    <n v="59451.5"/>
    <n v="139070.92000000001"/>
    <x v="2"/>
  </r>
  <r>
    <x v="9"/>
    <x v="1"/>
    <x v="6"/>
    <x v="2"/>
    <x v="21"/>
    <x v="1"/>
    <x v="1"/>
    <n v="2.13"/>
    <n v="5655.73"/>
    <n v="12152.22"/>
    <x v="2"/>
  </r>
  <r>
    <x v="9"/>
    <x v="1"/>
    <x v="6"/>
    <x v="2"/>
    <x v="22"/>
    <x v="1"/>
    <x v="1"/>
    <n v="8.39"/>
    <n v="22277.72"/>
    <n v="47851.39"/>
    <x v="2"/>
  </r>
  <r>
    <x v="9"/>
    <x v="1"/>
    <x v="6"/>
    <x v="2"/>
    <x v="29"/>
    <x v="1"/>
    <x v="1"/>
    <n v="2.5099999999999998"/>
    <n v="6664.73"/>
    <n v="15234.48"/>
    <x v="2"/>
  </r>
  <r>
    <x v="9"/>
    <x v="1"/>
    <x v="6"/>
    <x v="2"/>
    <x v="23"/>
    <x v="1"/>
    <x v="1"/>
    <n v="0.18"/>
    <n v="477.95"/>
    <n v="1083.3900000000001"/>
    <x v="2"/>
  </r>
  <r>
    <x v="9"/>
    <x v="1"/>
    <x v="6"/>
    <x v="2"/>
    <x v="24"/>
    <x v="1"/>
    <x v="1"/>
    <n v="1.31"/>
    <n v="3478.4"/>
    <n v="7597.36"/>
    <x v="2"/>
  </r>
  <r>
    <x v="9"/>
    <x v="1"/>
    <x v="6"/>
    <x v="3"/>
    <x v="25"/>
    <x v="1"/>
    <x v="1"/>
    <n v="7.38"/>
    <n v="19595.89"/>
    <n v="47383.9"/>
    <x v="2"/>
  </r>
  <r>
    <x v="9"/>
    <x v="1"/>
    <x v="6"/>
    <x v="3"/>
    <x v="26"/>
    <x v="1"/>
    <x v="1"/>
    <n v="13.19"/>
    <n v="35023.01"/>
    <n v="85236.43"/>
    <x v="2"/>
  </r>
  <r>
    <x v="9"/>
    <x v="1"/>
    <x v="6"/>
    <x v="3"/>
    <x v="27"/>
    <x v="1"/>
    <x v="1"/>
    <n v="26.92"/>
    <n v="71479.87"/>
    <n v="170732.87"/>
    <x v="2"/>
  </r>
  <r>
    <x v="9"/>
    <x v="1"/>
    <x v="7"/>
    <x v="0"/>
    <x v="0"/>
    <x v="0"/>
    <x v="0"/>
    <n v="1.21"/>
    <n v="5745.98"/>
    <n v="22417.39"/>
    <x v="2"/>
  </r>
  <r>
    <x v="9"/>
    <x v="1"/>
    <x v="7"/>
    <x v="0"/>
    <x v="1"/>
    <x v="0"/>
    <x v="0"/>
    <n v="3.33"/>
    <n v="15813.3"/>
    <n v="61762.62"/>
    <x v="2"/>
  </r>
  <r>
    <x v="9"/>
    <x v="1"/>
    <x v="7"/>
    <x v="0"/>
    <x v="2"/>
    <x v="0"/>
    <x v="0"/>
    <n v="0"/>
    <n v="0"/>
    <n v="0"/>
    <x v="2"/>
  </r>
  <r>
    <x v="9"/>
    <x v="1"/>
    <x v="7"/>
    <x v="0"/>
    <x v="3"/>
    <x v="0"/>
    <x v="0"/>
    <n v="1.9"/>
    <n v="9022.61"/>
    <n v="35198.69"/>
    <x v="2"/>
  </r>
  <r>
    <x v="9"/>
    <x v="1"/>
    <x v="7"/>
    <x v="0"/>
    <x v="4"/>
    <x v="0"/>
    <x v="0"/>
    <n v="0"/>
    <n v="0"/>
    <n v="0"/>
    <x v="2"/>
  </r>
  <r>
    <x v="9"/>
    <x v="1"/>
    <x v="7"/>
    <x v="0"/>
    <x v="5"/>
    <x v="0"/>
    <x v="0"/>
    <n v="0"/>
    <n v="0"/>
    <n v="0"/>
    <x v="2"/>
  </r>
  <r>
    <x v="9"/>
    <x v="1"/>
    <x v="7"/>
    <x v="0"/>
    <x v="6"/>
    <x v="0"/>
    <x v="0"/>
    <n v="0"/>
    <n v="0"/>
    <n v="0"/>
    <x v="2"/>
  </r>
  <r>
    <x v="9"/>
    <x v="1"/>
    <x v="7"/>
    <x v="0"/>
    <x v="8"/>
    <x v="0"/>
    <x v="0"/>
    <n v="0"/>
    <n v="0"/>
    <n v="0"/>
    <x v="2"/>
  </r>
  <r>
    <x v="9"/>
    <x v="1"/>
    <x v="7"/>
    <x v="1"/>
    <x v="10"/>
    <x v="0"/>
    <x v="0"/>
    <n v="0.94"/>
    <n v="4463.82"/>
    <n v="17412.740000000002"/>
    <x v="2"/>
  </r>
  <r>
    <x v="9"/>
    <x v="1"/>
    <x v="7"/>
    <x v="1"/>
    <x v="11"/>
    <x v="0"/>
    <x v="0"/>
    <n v="0"/>
    <n v="0"/>
    <n v="0"/>
    <x v="2"/>
  </r>
  <r>
    <x v="9"/>
    <x v="1"/>
    <x v="7"/>
    <x v="1"/>
    <x v="13"/>
    <x v="0"/>
    <x v="0"/>
    <n v="0"/>
    <n v="0"/>
    <n v="0"/>
    <x v="2"/>
  </r>
  <r>
    <x v="9"/>
    <x v="1"/>
    <x v="7"/>
    <x v="1"/>
    <x v="14"/>
    <x v="0"/>
    <x v="0"/>
    <n v="0"/>
    <n v="0"/>
    <n v="0"/>
    <x v="2"/>
  </r>
  <r>
    <x v="9"/>
    <x v="1"/>
    <x v="7"/>
    <x v="1"/>
    <x v="16"/>
    <x v="0"/>
    <x v="0"/>
    <n v="0"/>
    <n v="0"/>
    <n v="0"/>
    <x v="2"/>
  </r>
  <r>
    <x v="9"/>
    <x v="1"/>
    <x v="7"/>
    <x v="1"/>
    <x v="17"/>
    <x v="0"/>
    <x v="0"/>
    <n v="0"/>
    <n v="0"/>
    <n v="0"/>
    <x v="2"/>
  </r>
  <r>
    <x v="9"/>
    <x v="1"/>
    <x v="7"/>
    <x v="1"/>
    <x v="18"/>
    <x v="0"/>
    <x v="0"/>
    <n v="0"/>
    <n v="0"/>
    <n v="0"/>
    <x v="2"/>
  </r>
  <r>
    <x v="9"/>
    <x v="1"/>
    <x v="7"/>
    <x v="1"/>
    <x v="19"/>
    <x v="0"/>
    <x v="0"/>
    <n v="0"/>
    <n v="0"/>
    <n v="0"/>
    <x v="2"/>
  </r>
  <r>
    <x v="9"/>
    <x v="1"/>
    <x v="7"/>
    <x v="1"/>
    <x v="20"/>
    <x v="0"/>
    <x v="0"/>
    <n v="1.46"/>
    <n v="6933.16"/>
    <n v="27053.97"/>
    <x v="2"/>
  </r>
  <r>
    <x v="9"/>
    <x v="1"/>
    <x v="7"/>
    <x v="2"/>
    <x v="21"/>
    <x v="0"/>
    <x v="0"/>
    <n v="1.28"/>
    <n v="6078.39"/>
    <n v="23744.53"/>
    <x v="2"/>
  </r>
  <r>
    <x v="9"/>
    <x v="1"/>
    <x v="7"/>
    <x v="2"/>
    <x v="22"/>
    <x v="0"/>
    <x v="0"/>
    <n v="0"/>
    <n v="0"/>
    <n v="0"/>
    <x v="2"/>
  </r>
  <r>
    <x v="9"/>
    <x v="1"/>
    <x v="7"/>
    <x v="2"/>
    <x v="29"/>
    <x v="0"/>
    <x v="0"/>
    <n v="0"/>
    <n v="0"/>
    <n v="0"/>
    <x v="2"/>
  </r>
  <r>
    <x v="9"/>
    <x v="1"/>
    <x v="7"/>
    <x v="2"/>
    <x v="24"/>
    <x v="0"/>
    <x v="0"/>
    <n v="0"/>
    <n v="0"/>
    <n v="0"/>
    <x v="2"/>
  </r>
  <r>
    <x v="9"/>
    <x v="1"/>
    <x v="7"/>
    <x v="3"/>
    <x v="25"/>
    <x v="0"/>
    <x v="0"/>
    <n v="0"/>
    <n v="0"/>
    <n v="0"/>
    <x v="2"/>
  </r>
  <r>
    <x v="9"/>
    <x v="1"/>
    <x v="7"/>
    <x v="3"/>
    <x v="26"/>
    <x v="0"/>
    <x v="0"/>
    <n v="1.87"/>
    <n v="8880.14"/>
    <n v="34586.29"/>
    <x v="2"/>
  </r>
  <r>
    <x v="9"/>
    <x v="1"/>
    <x v="7"/>
    <x v="3"/>
    <x v="27"/>
    <x v="0"/>
    <x v="0"/>
    <n v="2.5"/>
    <n v="11871.85"/>
    <n v="46329.13"/>
    <x v="2"/>
  </r>
  <r>
    <x v="9"/>
    <x v="1"/>
    <x v="7"/>
    <x v="0"/>
    <x v="0"/>
    <x v="0"/>
    <x v="1"/>
    <n v="1.21"/>
    <n v="5745.98"/>
    <n v="22417.39"/>
    <x v="2"/>
  </r>
  <r>
    <x v="9"/>
    <x v="1"/>
    <x v="7"/>
    <x v="0"/>
    <x v="1"/>
    <x v="0"/>
    <x v="1"/>
    <n v="5.19"/>
    <n v="24645.96"/>
    <n v="96126.79"/>
    <x v="2"/>
  </r>
  <r>
    <x v="9"/>
    <x v="1"/>
    <x v="7"/>
    <x v="0"/>
    <x v="2"/>
    <x v="0"/>
    <x v="1"/>
    <n v="4.43"/>
    <n v="21036.92"/>
    <n v="82059.63"/>
    <x v="2"/>
  </r>
  <r>
    <x v="9"/>
    <x v="1"/>
    <x v="7"/>
    <x v="0"/>
    <x v="3"/>
    <x v="0"/>
    <x v="1"/>
    <n v="5.13"/>
    <n v="24361.040000000001"/>
    <n v="95036.479999999996"/>
    <x v="2"/>
  </r>
  <r>
    <x v="9"/>
    <x v="1"/>
    <x v="7"/>
    <x v="0"/>
    <x v="4"/>
    <x v="0"/>
    <x v="1"/>
    <n v="2.2599999999999998"/>
    <n v="10732.15"/>
    <n v="41891.46"/>
    <x v="2"/>
  </r>
  <r>
    <x v="9"/>
    <x v="1"/>
    <x v="7"/>
    <x v="0"/>
    <x v="5"/>
    <x v="0"/>
    <x v="1"/>
    <n v="2.12"/>
    <n v="10067.33"/>
    <n v="39365.699999999997"/>
    <x v="2"/>
  </r>
  <r>
    <x v="9"/>
    <x v="1"/>
    <x v="7"/>
    <x v="0"/>
    <x v="6"/>
    <x v="0"/>
    <x v="1"/>
    <n v="1.77"/>
    <n v="8405.27"/>
    <n v="32896.379999999997"/>
    <x v="2"/>
  </r>
  <r>
    <x v="9"/>
    <x v="1"/>
    <x v="7"/>
    <x v="0"/>
    <x v="8"/>
    <x v="0"/>
    <x v="1"/>
    <n v="2.5099999999999998"/>
    <n v="11919.34"/>
    <n v="46485.32"/>
    <x v="2"/>
  </r>
  <r>
    <x v="9"/>
    <x v="1"/>
    <x v="7"/>
    <x v="1"/>
    <x v="10"/>
    <x v="0"/>
    <x v="1"/>
    <n v="4.04"/>
    <n v="19184.91"/>
    <n v="74874.77"/>
    <x v="2"/>
  </r>
  <r>
    <x v="9"/>
    <x v="1"/>
    <x v="7"/>
    <x v="1"/>
    <x v="11"/>
    <x v="0"/>
    <x v="1"/>
    <n v="8.7200000000000006"/>
    <n v="41409.01"/>
    <n v="161674.01999999999"/>
    <x v="2"/>
  </r>
  <r>
    <x v="9"/>
    <x v="1"/>
    <x v="7"/>
    <x v="1"/>
    <x v="13"/>
    <x v="0"/>
    <x v="1"/>
    <n v="3.82"/>
    <n v="18140.189999999999"/>
    <n v="70893.289999999994"/>
    <x v="2"/>
  </r>
  <r>
    <x v="9"/>
    <x v="1"/>
    <x v="7"/>
    <x v="1"/>
    <x v="14"/>
    <x v="0"/>
    <x v="1"/>
    <n v="1.1100000000000001"/>
    <n v="5271.1"/>
    <n v="20485.150000000001"/>
    <x v="2"/>
  </r>
  <r>
    <x v="9"/>
    <x v="1"/>
    <x v="7"/>
    <x v="1"/>
    <x v="16"/>
    <x v="0"/>
    <x v="1"/>
    <n v="1.29"/>
    <n v="6125.87"/>
    <n v="23831.79"/>
    <x v="2"/>
  </r>
  <r>
    <x v="9"/>
    <x v="1"/>
    <x v="7"/>
    <x v="1"/>
    <x v="17"/>
    <x v="0"/>
    <x v="1"/>
    <n v="2.13"/>
    <n v="10114.82"/>
    <n v="39472.870000000003"/>
    <x v="2"/>
  </r>
  <r>
    <x v="9"/>
    <x v="1"/>
    <x v="7"/>
    <x v="1"/>
    <x v="18"/>
    <x v="0"/>
    <x v="1"/>
    <n v="9.74"/>
    <n v="46252.73"/>
    <n v="180573.82"/>
    <x v="2"/>
  </r>
  <r>
    <x v="9"/>
    <x v="1"/>
    <x v="7"/>
    <x v="1"/>
    <x v="19"/>
    <x v="0"/>
    <x v="1"/>
    <n v="3.34"/>
    <n v="15860.79"/>
    <n v="61923.83"/>
    <x v="2"/>
  </r>
  <r>
    <x v="9"/>
    <x v="1"/>
    <x v="7"/>
    <x v="1"/>
    <x v="20"/>
    <x v="0"/>
    <x v="1"/>
    <n v="9.0299999999999994"/>
    <n v="42881.120000000003"/>
    <n v="167396.47"/>
    <x v="2"/>
  </r>
  <r>
    <x v="9"/>
    <x v="1"/>
    <x v="7"/>
    <x v="2"/>
    <x v="21"/>
    <x v="0"/>
    <x v="1"/>
    <n v="0"/>
    <n v="0"/>
    <n v="0"/>
    <x v="2"/>
  </r>
  <r>
    <x v="9"/>
    <x v="1"/>
    <x v="7"/>
    <x v="2"/>
    <x v="22"/>
    <x v="0"/>
    <x v="1"/>
    <n v="4.2699999999999996"/>
    <n v="20277.12"/>
    <n v="79133.86"/>
    <x v="2"/>
  </r>
  <r>
    <x v="9"/>
    <x v="1"/>
    <x v="7"/>
    <x v="2"/>
    <x v="29"/>
    <x v="0"/>
    <x v="1"/>
    <n v="1.49"/>
    <n v="7075.62"/>
    <n v="27606.65"/>
    <x v="2"/>
  </r>
  <r>
    <x v="9"/>
    <x v="1"/>
    <x v="7"/>
    <x v="2"/>
    <x v="24"/>
    <x v="0"/>
    <x v="1"/>
    <n v="1.91"/>
    <n v="9070.09"/>
    <n v="35383.07"/>
    <x v="2"/>
  </r>
  <r>
    <x v="9"/>
    <x v="1"/>
    <x v="7"/>
    <x v="3"/>
    <x v="25"/>
    <x v="0"/>
    <x v="1"/>
    <n v="2.4500000000000002"/>
    <n v="11634.41"/>
    <n v="45501.2"/>
    <x v="2"/>
  </r>
  <r>
    <x v="9"/>
    <x v="1"/>
    <x v="7"/>
    <x v="3"/>
    <x v="26"/>
    <x v="0"/>
    <x v="1"/>
    <n v="1.96"/>
    <n v="9307.5300000000007"/>
    <n v="36406.629999999997"/>
    <x v="2"/>
  </r>
  <r>
    <x v="9"/>
    <x v="1"/>
    <x v="7"/>
    <x v="3"/>
    <x v="27"/>
    <x v="0"/>
    <x v="1"/>
    <n v="6.15"/>
    <n v="29204.75"/>
    <n v="114040.95"/>
    <x v="2"/>
  </r>
  <r>
    <x v="9"/>
    <x v="1"/>
    <x v="7"/>
    <x v="0"/>
    <x v="0"/>
    <x v="1"/>
    <x v="0"/>
    <n v="5.0599999999999996"/>
    <n v="24028.62"/>
    <n v="61386.080000000002"/>
    <x v="2"/>
  </r>
  <r>
    <x v="9"/>
    <x v="1"/>
    <x v="7"/>
    <x v="0"/>
    <x v="1"/>
    <x v="1"/>
    <x v="0"/>
    <n v="11.42"/>
    <n v="54230.61"/>
    <n v="136166.49"/>
    <x v="2"/>
  </r>
  <r>
    <x v="9"/>
    <x v="1"/>
    <x v="7"/>
    <x v="0"/>
    <x v="2"/>
    <x v="1"/>
    <x v="0"/>
    <n v="3.32"/>
    <n v="15765.82"/>
    <n v="38255.910000000003"/>
    <x v="2"/>
  </r>
  <r>
    <x v="9"/>
    <x v="1"/>
    <x v="7"/>
    <x v="0"/>
    <x v="3"/>
    <x v="1"/>
    <x v="0"/>
    <n v="12.44"/>
    <n v="59074.33"/>
    <n v="148930.78"/>
    <x v="2"/>
  </r>
  <r>
    <x v="9"/>
    <x v="1"/>
    <x v="7"/>
    <x v="0"/>
    <x v="28"/>
    <x v="1"/>
    <x v="0"/>
    <n v="0"/>
    <n v="0"/>
    <n v="0"/>
    <x v="2"/>
  </r>
  <r>
    <x v="9"/>
    <x v="1"/>
    <x v="7"/>
    <x v="0"/>
    <x v="4"/>
    <x v="1"/>
    <x v="0"/>
    <n v="6.96"/>
    <n v="33051.230000000003"/>
    <n v="82594"/>
    <x v="2"/>
  </r>
  <r>
    <x v="9"/>
    <x v="1"/>
    <x v="7"/>
    <x v="0"/>
    <x v="5"/>
    <x v="1"/>
    <x v="0"/>
    <n v="1.81"/>
    <n v="8595.2199999999993"/>
    <n v="22137.84"/>
    <x v="2"/>
  </r>
  <r>
    <x v="9"/>
    <x v="1"/>
    <x v="7"/>
    <x v="0"/>
    <x v="6"/>
    <x v="1"/>
    <x v="0"/>
    <n v="0"/>
    <n v="0"/>
    <n v="0"/>
    <x v="2"/>
  </r>
  <r>
    <x v="9"/>
    <x v="1"/>
    <x v="7"/>
    <x v="0"/>
    <x v="7"/>
    <x v="1"/>
    <x v="0"/>
    <n v="0"/>
    <n v="0"/>
    <n v="0"/>
    <x v="2"/>
  </r>
  <r>
    <x v="9"/>
    <x v="1"/>
    <x v="7"/>
    <x v="0"/>
    <x v="8"/>
    <x v="1"/>
    <x v="0"/>
    <n v="0"/>
    <n v="0"/>
    <n v="0"/>
    <x v="2"/>
  </r>
  <r>
    <x v="9"/>
    <x v="1"/>
    <x v="7"/>
    <x v="1"/>
    <x v="30"/>
    <x v="1"/>
    <x v="0"/>
    <n v="1.23"/>
    <n v="5840.95"/>
    <n v="15681.08"/>
    <x v="2"/>
  </r>
  <r>
    <x v="9"/>
    <x v="1"/>
    <x v="7"/>
    <x v="1"/>
    <x v="9"/>
    <x v="1"/>
    <x v="0"/>
    <n v="0"/>
    <n v="0"/>
    <n v="0"/>
    <x v="2"/>
  </r>
  <r>
    <x v="9"/>
    <x v="1"/>
    <x v="7"/>
    <x v="1"/>
    <x v="31"/>
    <x v="1"/>
    <x v="0"/>
    <n v="1.64"/>
    <n v="7787.93"/>
    <n v="21190.22"/>
    <x v="2"/>
  </r>
  <r>
    <x v="9"/>
    <x v="1"/>
    <x v="7"/>
    <x v="1"/>
    <x v="10"/>
    <x v="1"/>
    <x v="0"/>
    <n v="5.1100000000000003"/>
    <n v="24266.06"/>
    <n v="64615.360000000001"/>
    <x v="2"/>
  </r>
  <r>
    <x v="9"/>
    <x v="1"/>
    <x v="7"/>
    <x v="1"/>
    <x v="11"/>
    <x v="1"/>
    <x v="0"/>
    <n v="7.75"/>
    <n v="36802.74"/>
    <n v="93402.58"/>
    <x v="2"/>
  </r>
  <r>
    <x v="9"/>
    <x v="1"/>
    <x v="7"/>
    <x v="1"/>
    <x v="12"/>
    <x v="1"/>
    <x v="0"/>
    <n v="2.46"/>
    <n v="11681.9"/>
    <n v="31139.35"/>
    <x v="2"/>
  </r>
  <r>
    <x v="9"/>
    <x v="1"/>
    <x v="7"/>
    <x v="1"/>
    <x v="13"/>
    <x v="1"/>
    <x v="0"/>
    <n v="1.22"/>
    <n v="5793.46"/>
    <n v="15386.43"/>
    <x v="2"/>
  </r>
  <r>
    <x v="9"/>
    <x v="1"/>
    <x v="7"/>
    <x v="1"/>
    <x v="14"/>
    <x v="1"/>
    <x v="0"/>
    <n v="11.44"/>
    <n v="54325.59"/>
    <n v="141632.75"/>
    <x v="2"/>
  </r>
  <r>
    <x v="9"/>
    <x v="1"/>
    <x v="7"/>
    <x v="1"/>
    <x v="15"/>
    <x v="1"/>
    <x v="0"/>
    <n v="4.67"/>
    <n v="22176.62"/>
    <n v="59800.17"/>
    <x v="2"/>
  </r>
  <r>
    <x v="9"/>
    <x v="1"/>
    <x v="7"/>
    <x v="1"/>
    <x v="16"/>
    <x v="1"/>
    <x v="0"/>
    <n v="2.4300000000000002"/>
    <n v="11539.44"/>
    <n v="29657.56"/>
    <x v="2"/>
  </r>
  <r>
    <x v="9"/>
    <x v="1"/>
    <x v="7"/>
    <x v="1"/>
    <x v="17"/>
    <x v="1"/>
    <x v="0"/>
    <n v="7.77"/>
    <n v="36897.71"/>
    <n v="95687.35"/>
    <x v="2"/>
  </r>
  <r>
    <x v="9"/>
    <x v="1"/>
    <x v="7"/>
    <x v="1"/>
    <x v="18"/>
    <x v="1"/>
    <x v="0"/>
    <n v="5.01"/>
    <n v="23791.19"/>
    <n v="64490.99"/>
    <x v="2"/>
  </r>
  <r>
    <x v="9"/>
    <x v="1"/>
    <x v="7"/>
    <x v="1"/>
    <x v="19"/>
    <x v="1"/>
    <x v="0"/>
    <n v="7.48"/>
    <n v="35520.58"/>
    <n v="93438.84"/>
    <x v="2"/>
  </r>
  <r>
    <x v="9"/>
    <x v="1"/>
    <x v="7"/>
    <x v="1"/>
    <x v="20"/>
    <x v="1"/>
    <x v="0"/>
    <n v="9.89"/>
    <n v="46965.04"/>
    <n v="121545.82"/>
    <x v="2"/>
  </r>
  <r>
    <x v="9"/>
    <x v="1"/>
    <x v="7"/>
    <x v="2"/>
    <x v="21"/>
    <x v="1"/>
    <x v="0"/>
    <n v="0"/>
    <n v="0"/>
    <n v="0"/>
    <x v="2"/>
  </r>
  <r>
    <x v="9"/>
    <x v="1"/>
    <x v="7"/>
    <x v="2"/>
    <x v="22"/>
    <x v="1"/>
    <x v="0"/>
    <n v="9.58"/>
    <n v="45492.93"/>
    <n v="108152.14"/>
    <x v="2"/>
  </r>
  <r>
    <x v="9"/>
    <x v="1"/>
    <x v="7"/>
    <x v="2"/>
    <x v="29"/>
    <x v="1"/>
    <x v="0"/>
    <n v="0"/>
    <n v="0"/>
    <n v="0"/>
    <x v="2"/>
  </r>
  <r>
    <x v="9"/>
    <x v="1"/>
    <x v="7"/>
    <x v="2"/>
    <x v="23"/>
    <x v="1"/>
    <x v="0"/>
    <n v="0"/>
    <n v="0"/>
    <n v="0"/>
    <x v="2"/>
  </r>
  <r>
    <x v="9"/>
    <x v="1"/>
    <x v="7"/>
    <x v="2"/>
    <x v="24"/>
    <x v="1"/>
    <x v="0"/>
    <n v="2.12"/>
    <n v="10067.33"/>
    <n v="24343.16"/>
    <x v="2"/>
  </r>
  <r>
    <x v="9"/>
    <x v="1"/>
    <x v="7"/>
    <x v="3"/>
    <x v="25"/>
    <x v="1"/>
    <x v="0"/>
    <n v="7.98"/>
    <n v="37894.949999999997"/>
    <n v="101296.12"/>
    <x v="2"/>
  </r>
  <r>
    <x v="9"/>
    <x v="1"/>
    <x v="7"/>
    <x v="3"/>
    <x v="26"/>
    <x v="1"/>
    <x v="0"/>
    <n v="5.45"/>
    <n v="25880.63"/>
    <n v="69750.100000000006"/>
    <x v="2"/>
  </r>
  <r>
    <x v="9"/>
    <x v="1"/>
    <x v="7"/>
    <x v="3"/>
    <x v="27"/>
    <x v="1"/>
    <x v="0"/>
    <n v="9.84"/>
    <n v="46727.6"/>
    <n v="123502.34"/>
    <x v="2"/>
  </r>
  <r>
    <x v="9"/>
    <x v="1"/>
    <x v="7"/>
    <x v="0"/>
    <x v="0"/>
    <x v="1"/>
    <x v="1"/>
    <n v="8.61"/>
    <n v="40886.65"/>
    <n v="104356.33"/>
    <x v="2"/>
  </r>
  <r>
    <x v="9"/>
    <x v="1"/>
    <x v="7"/>
    <x v="0"/>
    <x v="1"/>
    <x v="1"/>
    <x v="1"/>
    <n v="20.51"/>
    <n v="97396.66"/>
    <n v="244480.74"/>
    <x v="2"/>
  </r>
  <r>
    <x v="9"/>
    <x v="1"/>
    <x v="7"/>
    <x v="0"/>
    <x v="2"/>
    <x v="1"/>
    <x v="1"/>
    <n v="8.44"/>
    <n v="40079.370000000003"/>
    <n v="97111.16"/>
    <x v="2"/>
  </r>
  <r>
    <x v="9"/>
    <x v="1"/>
    <x v="7"/>
    <x v="0"/>
    <x v="3"/>
    <x v="1"/>
    <x v="1"/>
    <n v="21.98"/>
    <n v="104377.31"/>
    <n v="263250.88"/>
    <x v="2"/>
  </r>
  <r>
    <x v="9"/>
    <x v="1"/>
    <x v="7"/>
    <x v="0"/>
    <x v="28"/>
    <x v="1"/>
    <x v="1"/>
    <n v="2.79"/>
    <n v="13248.98"/>
    <n v="33859.06"/>
    <x v="2"/>
  </r>
  <r>
    <x v="9"/>
    <x v="1"/>
    <x v="7"/>
    <x v="0"/>
    <x v="4"/>
    <x v="1"/>
    <x v="1"/>
    <n v="7.52"/>
    <n v="35710.519999999997"/>
    <n v="89254.81"/>
    <x v="2"/>
  </r>
  <r>
    <x v="9"/>
    <x v="1"/>
    <x v="7"/>
    <x v="0"/>
    <x v="5"/>
    <x v="1"/>
    <x v="1"/>
    <n v="13.72"/>
    <n v="65152.71"/>
    <n v="167615.06"/>
    <x v="2"/>
  </r>
  <r>
    <x v="9"/>
    <x v="1"/>
    <x v="7"/>
    <x v="0"/>
    <x v="6"/>
    <x v="1"/>
    <x v="1"/>
    <n v="1.79"/>
    <n v="8500.24"/>
    <n v="21777.05"/>
    <x v="2"/>
  </r>
  <r>
    <x v="9"/>
    <x v="1"/>
    <x v="7"/>
    <x v="0"/>
    <x v="7"/>
    <x v="1"/>
    <x v="1"/>
    <n v="5.15"/>
    <n v="24456.01"/>
    <n v="63800.02"/>
    <x v="2"/>
  </r>
  <r>
    <x v="9"/>
    <x v="1"/>
    <x v="7"/>
    <x v="0"/>
    <x v="8"/>
    <x v="1"/>
    <x v="1"/>
    <n v="3.07"/>
    <n v="14578.63"/>
    <n v="36258.74"/>
    <x v="2"/>
  </r>
  <r>
    <x v="9"/>
    <x v="1"/>
    <x v="7"/>
    <x v="1"/>
    <x v="30"/>
    <x v="1"/>
    <x v="1"/>
    <n v="0"/>
    <n v="0"/>
    <n v="0"/>
    <x v="2"/>
  </r>
  <r>
    <x v="9"/>
    <x v="1"/>
    <x v="7"/>
    <x v="1"/>
    <x v="9"/>
    <x v="1"/>
    <x v="1"/>
    <n v="4.28"/>
    <n v="20324.61"/>
    <n v="54563.78"/>
    <x v="2"/>
  </r>
  <r>
    <x v="9"/>
    <x v="1"/>
    <x v="7"/>
    <x v="1"/>
    <x v="31"/>
    <x v="1"/>
    <x v="1"/>
    <n v="0"/>
    <n v="0"/>
    <n v="0"/>
    <x v="2"/>
  </r>
  <r>
    <x v="9"/>
    <x v="1"/>
    <x v="7"/>
    <x v="1"/>
    <x v="10"/>
    <x v="1"/>
    <x v="1"/>
    <n v="29.5"/>
    <n v="140087.82999999999"/>
    <n v="372955.34"/>
    <x v="2"/>
  </r>
  <r>
    <x v="9"/>
    <x v="1"/>
    <x v="7"/>
    <x v="1"/>
    <x v="11"/>
    <x v="1"/>
    <x v="1"/>
    <n v="25.05"/>
    <n v="118955.94"/>
    <n v="301762.17"/>
    <x v="2"/>
  </r>
  <r>
    <x v="9"/>
    <x v="1"/>
    <x v="7"/>
    <x v="1"/>
    <x v="12"/>
    <x v="1"/>
    <x v="1"/>
    <n v="2.73"/>
    <n v="12964.06"/>
    <n v="34599.279999999999"/>
    <x v="2"/>
  </r>
  <r>
    <x v="9"/>
    <x v="1"/>
    <x v="7"/>
    <x v="1"/>
    <x v="13"/>
    <x v="1"/>
    <x v="1"/>
    <n v="10.19"/>
    <n v="48389.66"/>
    <n v="128586.63"/>
    <x v="2"/>
  </r>
  <r>
    <x v="9"/>
    <x v="1"/>
    <x v="7"/>
    <x v="1"/>
    <x v="14"/>
    <x v="1"/>
    <x v="1"/>
    <n v="7.74"/>
    <n v="36755.25"/>
    <n v="95841.71"/>
    <x v="2"/>
  </r>
  <r>
    <x v="9"/>
    <x v="1"/>
    <x v="7"/>
    <x v="1"/>
    <x v="15"/>
    <x v="1"/>
    <x v="1"/>
    <n v="2.33"/>
    <n v="11064.56"/>
    <n v="29900.09"/>
    <x v="2"/>
  </r>
  <r>
    <x v="9"/>
    <x v="1"/>
    <x v="7"/>
    <x v="1"/>
    <x v="16"/>
    <x v="1"/>
    <x v="1"/>
    <n v="8.25"/>
    <n v="39177.11"/>
    <n v="100623.87"/>
    <x v="2"/>
  </r>
  <r>
    <x v="9"/>
    <x v="1"/>
    <x v="7"/>
    <x v="1"/>
    <x v="17"/>
    <x v="1"/>
    <x v="1"/>
    <n v="6.42"/>
    <n v="30486.91"/>
    <n v="78997.69"/>
    <x v="2"/>
  </r>
  <r>
    <x v="9"/>
    <x v="1"/>
    <x v="7"/>
    <x v="1"/>
    <x v="18"/>
    <x v="1"/>
    <x v="1"/>
    <n v="16.73"/>
    <n v="79446.42"/>
    <n v="215514.19"/>
    <x v="2"/>
  </r>
  <r>
    <x v="9"/>
    <x v="1"/>
    <x v="7"/>
    <x v="1"/>
    <x v="19"/>
    <x v="1"/>
    <x v="1"/>
    <n v="13.8"/>
    <n v="65532.61"/>
    <n v="172416.91"/>
    <x v="2"/>
  </r>
  <r>
    <x v="9"/>
    <x v="1"/>
    <x v="7"/>
    <x v="1"/>
    <x v="20"/>
    <x v="1"/>
    <x v="1"/>
    <n v="14.72"/>
    <n v="69901.45"/>
    <n v="180883.15"/>
    <x v="2"/>
  </r>
  <r>
    <x v="9"/>
    <x v="1"/>
    <x v="7"/>
    <x v="2"/>
    <x v="21"/>
    <x v="1"/>
    <x v="1"/>
    <n v="0.66"/>
    <n v="3134.17"/>
    <n v="7494.07"/>
    <x v="2"/>
  </r>
  <r>
    <x v="9"/>
    <x v="1"/>
    <x v="7"/>
    <x v="2"/>
    <x v="22"/>
    <x v="1"/>
    <x v="1"/>
    <n v="22.72"/>
    <n v="107891.37"/>
    <n v="256514.69"/>
    <x v="2"/>
  </r>
  <r>
    <x v="9"/>
    <x v="1"/>
    <x v="7"/>
    <x v="2"/>
    <x v="29"/>
    <x v="1"/>
    <x v="1"/>
    <n v="1.63"/>
    <n v="7740.45"/>
    <n v="19559.84"/>
    <x v="2"/>
  </r>
  <r>
    <x v="9"/>
    <x v="1"/>
    <x v="7"/>
    <x v="2"/>
    <x v="23"/>
    <x v="1"/>
    <x v="1"/>
    <n v="3.1"/>
    <n v="14721.09"/>
    <n v="36459.040000000001"/>
    <x v="2"/>
  </r>
  <r>
    <x v="9"/>
    <x v="1"/>
    <x v="7"/>
    <x v="2"/>
    <x v="24"/>
    <x v="1"/>
    <x v="1"/>
    <n v="3.97"/>
    <n v="18852.5"/>
    <n v="45643.43"/>
    <x v="2"/>
  </r>
  <r>
    <x v="9"/>
    <x v="1"/>
    <x v="7"/>
    <x v="3"/>
    <x v="25"/>
    <x v="1"/>
    <x v="1"/>
    <n v="7.19"/>
    <n v="34143.440000000002"/>
    <n v="91291.57"/>
    <x v="2"/>
  </r>
  <r>
    <x v="9"/>
    <x v="1"/>
    <x v="7"/>
    <x v="3"/>
    <x v="26"/>
    <x v="1"/>
    <x v="1"/>
    <n v="16.98"/>
    <n v="80633.61"/>
    <n v="217125.3"/>
    <x v="2"/>
  </r>
  <r>
    <x v="9"/>
    <x v="1"/>
    <x v="7"/>
    <x v="3"/>
    <x v="27"/>
    <x v="1"/>
    <x v="1"/>
    <n v="28.22"/>
    <n v="134009.44"/>
    <n v="354112.9"/>
    <x v="2"/>
  </r>
  <r>
    <x v="9"/>
    <x v="1"/>
    <x v="8"/>
    <x v="0"/>
    <x v="0"/>
    <x v="0"/>
    <x v="0"/>
    <n v="2.52"/>
    <n v="8482.7199999999993"/>
    <n v="30416.9"/>
    <x v="2"/>
  </r>
  <r>
    <x v="9"/>
    <x v="1"/>
    <x v="8"/>
    <x v="0"/>
    <x v="1"/>
    <x v="0"/>
    <x v="0"/>
    <n v="8.42"/>
    <n v="28343.07"/>
    <n v="101670.76"/>
    <x v="2"/>
  </r>
  <r>
    <x v="9"/>
    <x v="1"/>
    <x v="8"/>
    <x v="0"/>
    <x v="2"/>
    <x v="0"/>
    <x v="0"/>
    <n v="0"/>
    <n v="0"/>
    <n v="0"/>
    <x v="2"/>
  </r>
  <r>
    <x v="9"/>
    <x v="1"/>
    <x v="8"/>
    <x v="0"/>
    <x v="3"/>
    <x v="0"/>
    <x v="0"/>
    <n v="2.96"/>
    <n v="9963.83"/>
    <n v="35733.519999999997"/>
    <x v="2"/>
  </r>
  <r>
    <x v="9"/>
    <x v="1"/>
    <x v="8"/>
    <x v="0"/>
    <x v="4"/>
    <x v="0"/>
    <x v="0"/>
    <n v="0"/>
    <n v="0"/>
    <n v="0"/>
    <x v="2"/>
  </r>
  <r>
    <x v="9"/>
    <x v="1"/>
    <x v="8"/>
    <x v="0"/>
    <x v="5"/>
    <x v="0"/>
    <x v="0"/>
    <n v="0"/>
    <n v="0"/>
    <n v="0"/>
    <x v="2"/>
  </r>
  <r>
    <x v="9"/>
    <x v="1"/>
    <x v="8"/>
    <x v="0"/>
    <x v="6"/>
    <x v="0"/>
    <x v="0"/>
    <n v="0"/>
    <n v="0"/>
    <n v="0"/>
    <x v="2"/>
  </r>
  <r>
    <x v="9"/>
    <x v="1"/>
    <x v="8"/>
    <x v="0"/>
    <x v="8"/>
    <x v="0"/>
    <x v="0"/>
    <n v="0"/>
    <n v="0"/>
    <n v="0"/>
    <x v="2"/>
  </r>
  <r>
    <x v="9"/>
    <x v="1"/>
    <x v="8"/>
    <x v="1"/>
    <x v="10"/>
    <x v="0"/>
    <x v="0"/>
    <n v="1.69"/>
    <n v="5688.81"/>
    <n v="20379.72"/>
    <x v="2"/>
  </r>
  <r>
    <x v="9"/>
    <x v="1"/>
    <x v="8"/>
    <x v="1"/>
    <x v="11"/>
    <x v="0"/>
    <x v="0"/>
    <n v="0"/>
    <n v="0"/>
    <n v="0"/>
    <x v="2"/>
  </r>
  <r>
    <x v="9"/>
    <x v="1"/>
    <x v="8"/>
    <x v="1"/>
    <x v="13"/>
    <x v="0"/>
    <x v="0"/>
    <n v="0"/>
    <n v="0"/>
    <n v="0"/>
    <x v="2"/>
  </r>
  <r>
    <x v="9"/>
    <x v="1"/>
    <x v="8"/>
    <x v="1"/>
    <x v="14"/>
    <x v="0"/>
    <x v="0"/>
    <n v="0"/>
    <n v="0"/>
    <n v="0"/>
    <x v="2"/>
  </r>
  <r>
    <x v="9"/>
    <x v="1"/>
    <x v="8"/>
    <x v="1"/>
    <x v="16"/>
    <x v="0"/>
    <x v="0"/>
    <n v="0"/>
    <n v="0"/>
    <n v="0"/>
    <x v="2"/>
  </r>
  <r>
    <x v="9"/>
    <x v="1"/>
    <x v="8"/>
    <x v="1"/>
    <x v="17"/>
    <x v="0"/>
    <x v="0"/>
    <n v="0"/>
    <n v="0"/>
    <n v="0"/>
    <x v="2"/>
  </r>
  <r>
    <x v="9"/>
    <x v="1"/>
    <x v="8"/>
    <x v="1"/>
    <x v="18"/>
    <x v="0"/>
    <x v="0"/>
    <n v="0"/>
    <n v="0"/>
    <n v="0"/>
    <x v="2"/>
  </r>
  <r>
    <x v="9"/>
    <x v="1"/>
    <x v="8"/>
    <x v="1"/>
    <x v="19"/>
    <x v="0"/>
    <x v="0"/>
    <n v="0"/>
    <n v="0"/>
    <n v="0"/>
    <x v="2"/>
  </r>
  <r>
    <x v="9"/>
    <x v="1"/>
    <x v="8"/>
    <x v="1"/>
    <x v="20"/>
    <x v="0"/>
    <x v="0"/>
    <n v="3.49"/>
    <n v="11747.9"/>
    <n v="42157.05"/>
    <x v="2"/>
  </r>
  <r>
    <x v="9"/>
    <x v="1"/>
    <x v="8"/>
    <x v="2"/>
    <x v="21"/>
    <x v="0"/>
    <x v="0"/>
    <n v="3.31"/>
    <n v="11141.99"/>
    <n v="39941.629999999997"/>
    <x v="2"/>
  </r>
  <r>
    <x v="9"/>
    <x v="1"/>
    <x v="8"/>
    <x v="2"/>
    <x v="22"/>
    <x v="0"/>
    <x v="0"/>
    <n v="0"/>
    <n v="0"/>
    <n v="0"/>
    <x v="2"/>
  </r>
  <r>
    <x v="9"/>
    <x v="1"/>
    <x v="8"/>
    <x v="2"/>
    <x v="29"/>
    <x v="0"/>
    <x v="0"/>
    <n v="0"/>
    <n v="0"/>
    <n v="0"/>
    <x v="2"/>
  </r>
  <r>
    <x v="9"/>
    <x v="1"/>
    <x v="8"/>
    <x v="2"/>
    <x v="24"/>
    <x v="0"/>
    <x v="0"/>
    <n v="0"/>
    <n v="0"/>
    <n v="0"/>
    <x v="2"/>
  </r>
  <r>
    <x v="9"/>
    <x v="1"/>
    <x v="8"/>
    <x v="3"/>
    <x v="25"/>
    <x v="0"/>
    <x v="0"/>
    <n v="0"/>
    <n v="0"/>
    <n v="0"/>
    <x v="2"/>
  </r>
  <r>
    <x v="9"/>
    <x v="1"/>
    <x v="8"/>
    <x v="3"/>
    <x v="26"/>
    <x v="0"/>
    <x v="0"/>
    <n v="3.25"/>
    <n v="10940.02"/>
    <n v="39251.410000000003"/>
    <x v="2"/>
  </r>
  <r>
    <x v="9"/>
    <x v="1"/>
    <x v="8"/>
    <x v="3"/>
    <x v="27"/>
    <x v="0"/>
    <x v="0"/>
    <n v="2.93"/>
    <n v="9862.85"/>
    <n v="35332.22"/>
    <x v="2"/>
  </r>
  <r>
    <x v="9"/>
    <x v="1"/>
    <x v="8"/>
    <x v="0"/>
    <x v="0"/>
    <x v="0"/>
    <x v="1"/>
    <n v="2.23"/>
    <n v="7506.54"/>
    <n v="26907.25"/>
    <x v="2"/>
  </r>
  <r>
    <x v="9"/>
    <x v="1"/>
    <x v="8"/>
    <x v="0"/>
    <x v="1"/>
    <x v="0"/>
    <x v="1"/>
    <n v="9.73"/>
    <n v="32752.74"/>
    <n v="117499.74"/>
    <x v="2"/>
  </r>
  <r>
    <x v="9"/>
    <x v="1"/>
    <x v="8"/>
    <x v="0"/>
    <x v="2"/>
    <x v="0"/>
    <x v="1"/>
    <n v="5.14"/>
    <n v="17302.060000000001"/>
    <n v="62113.83"/>
    <x v="2"/>
  </r>
  <r>
    <x v="9"/>
    <x v="1"/>
    <x v="8"/>
    <x v="0"/>
    <x v="3"/>
    <x v="0"/>
    <x v="1"/>
    <n v="9.5399999999999991"/>
    <n v="32113.17"/>
    <n v="115269.44"/>
    <x v="2"/>
  </r>
  <r>
    <x v="9"/>
    <x v="1"/>
    <x v="8"/>
    <x v="0"/>
    <x v="4"/>
    <x v="0"/>
    <x v="1"/>
    <n v="2.89"/>
    <n v="9728.2000000000007"/>
    <n v="34868.18"/>
    <x v="2"/>
  </r>
  <r>
    <x v="9"/>
    <x v="1"/>
    <x v="8"/>
    <x v="0"/>
    <x v="5"/>
    <x v="0"/>
    <x v="1"/>
    <n v="4.8499999999999996"/>
    <n v="16325.88"/>
    <n v="58513.79"/>
    <x v="2"/>
  </r>
  <r>
    <x v="9"/>
    <x v="1"/>
    <x v="8"/>
    <x v="0"/>
    <x v="6"/>
    <x v="0"/>
    <x v="1"/>
    <n v="0"/>
    <n v="0"/>
    <n v="0"/>
    <x v="2"/>
  </r>
  <r>
    <x v="9"/>
    <x v="1"/>
    <x v="8"/>
    <x v="0"/>
    <x v="8"/>
    <x v="0"/>
    <x v="1"/>
    <n v="3.8"/>
    <n v="12791.41"/>
    <n v="45878.64"/>
    <x v="2"/>
  </r>
  <r>
    <x v="9"/>
    <x v="1"/>
    <x v="8"/>
    <x v="1"/>
    <x v="10"/>
    <x v="0"/>
    <x v="1"/>
    <n v="5.72"/>
    <n v="19254.439999999999"/>
    <n v="69064.600000000006"/>
    <x v="2"/>
  </r>
  <r>
    <x v="9"/>
    <x v="1"/>
    <x v="8"/>
    <x v="1"/>
    <x v="11"/>
    <x v="0"/>
    <x v="1"/>
    <n v="14.41"/>
    <n v="48506.37"/>
    <n v="174043.55"/>
    <x v="2"/>
  </r>
  <r>
    <x v="9"/>
    <x v="1"/>
    <x v="8"/>
    <x v="1"/>
    <x v="13"/>
    <x v="0"/>
    <x v="1"/>
    <n v="6.24"/>
    <n v="21004.84"/>
    <n v="75322.25"/>
    <x v="2"/>
  </r>
  <r>
    <x v="9"/>
    <x v="1"/>
    <x v="8"/>
    <x v="1"/>
    <x v="14"/>
    <x v="0"/>
    <x v="1"/>
    <n v="2.81"/>
    <n v="9458.91"/>
    <n v="33985.18"/>
    <x v="2"/>
  </r>
  <r>
    <x v="9"/>
    <x v="1"/>
    <x v="8"/>
    <x v="1"/>
    <x v="16"/>
    <x v="0"/>
    <x v="1"/>
    <n v="2.83"/>
    <n v="9526.23"/>
    <n v="34136.71"/>
    <x v="2"/>
  </r>
  <r>
    <x v="9"/>
    <x v="1"/>
    <x v="8"/>
    <x v="1"/>
    <x v="17"/>
    <x v="0"/>
    <x v="1"/>
    <n v="2.56"/>
    <n v="8617.3700000000008"/>
    <n v="30861.4"/>
    <x v="2"/>
  </r>
  <r>
    <x v="9"/>
    <x v="1"/>
    <x v="8"/>
    <x v="1"/>
    <x v="18"/>
    <x v="0"/>
    <x v="1"/>
    <n v="17.23"/>
    <n v="57998.94"/>
    <n v="208102.51"/>
    <x v="2"/>
  </r>
  <r>
    <x v="9"/>
    <x v="1"/>
    <x v="8"/>
    <x v="1"/>
    <x v="19"/>
    <x v="0"/>
    <x v="1"/>
    <n v="4.7300000000000004"/>
    <n v="15921.94"/>
    <n v="57179.59"/>
    <x v="2"/>
  </r>
  <r>
    <x v="9"/>
    <x v="1"/>
    <x v="8"/>
    <x v="1"/>
    <x v="20"/>
    <x v="0"/>
    <x v="1"/>
    <n v="15.28"/>
    <n v="51434.92"/>
    <n v="184579.5"/>
    <x v="2"/>
  </r>
  <r>
    <x v="9"/>
    <x v="1"/>
    <x v="8"/>
    <x v="2"/>
    <x v="21"/>
    <x v="0"/>
    <x v="1"/>
    <n v="0"/>
    <n v="0"/>
    <n v="0"/>
    <x v="2"/>
  </r>
  <r>
    <x v="9"/>
    <x v="1"/>
    <x v="8"/>
    <x v="2"/>
    <x v="22"/>
    <x v="0"/>
    <x v="1"/>
    <n v="5.91"/>
    <n v="19894.009999999998"/>
    <n v="71355.13"/>
    <x v="2"/>
  </r>
  <r>
    <x v="9"/>
    <x v="1"/>
    <x v="8"/>
    <x v="2"/>
    <x v="29"/>
    <x v="0"/>
    <x v="1"/>
    <n v="2.67"/>
    <n v="8987.65"/>
    <n v="32224.26"/>
    <x v="2"/>
  </r>
  <r>
    <x v="9"/>
    <x v="1"/>
    <x v="8"/>
    <x v="2"/>
    <x v="24"/>
    <x v="0"/>
    <x v="1"/>
    <n v="4.13"/>
    <n v="13902.24"/>
    <n v="49850.89"/>
    <x v="2"/>
  </r>
  <r>
    <x v="9"/>
    <x v="1"/>
    <x v="8"/>
    <x v="3"/>
    <x v="25"/>
    <x v="0"/>
    <x v="1"/>
    <n v="3.82"/>
    <n v="12858.73"/>
    <n v="46133.18"/>
    <x v="2"/>
  </r>
  <r>
    <x v="9"/>
    <x v="1"/>
    <x v="8"/>
    <x v="3"/>
    <x v="26"/>
    <x v="0"/>
    <x v="1"/>
    <n v="3.15"/>
    <n v="10603.4"/>
    <n v="38096.949999999997"/>
    <x v="2"/>
  </r>
  <r>
    <x v="9"/>
    <x v="1"/>
    <x v="8"/>
    <x v="3"/>
    <x v="27"/>
    <x v="0"/>
    <x v="1"/>
    <n v="10.48"/>
    <n v="35277.360000000001"/>
    <n v="126512.13"/>
    <x v="2"/>
  </r>
  <r>
    <x v="9"/>
    <x v="1"/>
    <x v="8"/>
    <x v="0"/>
    <x v="0"/>
    <x v="1"/>
    <x v="0"/>
    <n v="5.61"/>
    <n v="18884.16"/>
    <n v="44284.57"/>
    <x v="2"/>
  </r>
  <r>
    <x v="9"/>
    <x v="1"/>
    <x v="8"/>
    <x v="0"/>
    <x v="1"/>
    <x v="1"/>
    <x v="0"/>
    <n v="16.940000000000001"/>
    <n v="57022.75"/>
    <n v="131531.85"/>
    <x v="2"/>
  </r>
  <r>
    <x v="9"/>
    <x v="1"/>
    <x v="8"/>
    <x v="0"/>
    <x v="2"/>
    <x v="1"/>
    <x v="0"/>
    <n v="7.75"/>
    <n v="26087.74"/>
    <n v="58105.45"/>
    <x v="2"/>
  </r>
  <r>
    <x v="9"/>
    <x v="1"/>
    <x v="8"/>
    <x v="0"/>
    <x v="3"/>
    <x v="1"/>
    <x v="0"/>
    <n v="15.74"/>
    <n v="52983.360000000001"/>
    <n v="122801.56"/>
    <x v="2"/>
  </r>
  <r>
    <x v="9"/>
    <x v="1"/>
    <x v="8"/>
    <x v="0"/>
    <x v="28"/>
    <x v="1"/>
    <x v="0"/>
    <n v="0"/>
    <n v="0"/>
    <n v="0"/>
    <x v="2"/>
  </r>
  <r>
    <x v="9"/>
    <x v="1"/>
    <x v="8"/>
    <x v="0"/>
    <x v="4"/>
    <x v="1"/>
    <x v="0"/>
    <n v="11.31"/>
    <n v="38071.269999999997"/>
    <n v="87426.51"/>
    <x v="2"/>
  </r>
  <r>
    <x v="9"/>
    <x v="1"/>
    <x v="8"/>
    <x v="0"/>
    <x v="5"/>
    <x v="1"/>
    <x v="0"/>
    <n v="2.77"/>
    <n v="9324.26"/>
    <n v="22061.21"/>
    <x v="2"/>
  </r>
  <r>
    <x v="9"/>
    <x v="1"/>
    <x v="8"/>
    <x v="0"/>
    <x v="6"/>
    <x v="1"/>
    <x v="0"/>
    <n v="0"/>
    <n v="0"/>
    <n v="0"/>
    <x v="2"/>
  </r>
  <r>
    <x v="9"/>
    <x v="1"/>
    <x v="8"/>
    <x v="0"/>
    <x v="7"/>
    <x v="1"/>
    <x v="0"/>
    <n v="0"/>
    <n v="0"/>
    <n v="0"/>
    <x v="2"/>
  </r>
  <r>
    <x v="9"/>
    <x v="1"/>
    <x v="8"/>
    <x v="0"/>
    <x v="8"/>
    <x v="1"/>
    <x v="0"/>
    <n v="0"/>
    <n v="0"/>
    <n v="0"/>
    <x v="2"/>
  </r>
  <r>
    <x v="9"/>
    <x v="1"/>
    <x v="8"/>
    <x v="1"/>
    <x v="30"/>
    <x v="1"/>
    <x v="0"/>
    <n v="3.8"/>
    <n v="12791.41"/>
    <n v="31653.77"/>
    <x v="2"/>
  </r>
  <r>
    <x v="9"/>
    <x v="1"/>
    <x v="8"/>
    <x v="1"/>
    <x v="9"/>
    <x v="1"/>
    <x v="0"/>
    <n v="0"/>
    <n v="0"/>
    <n v="0"/>
    <x v="2"/>
  </r>
  <r>
    <x v="9"/>
    <x v="1"/>
    <x v="8"/>
    <x v="1"/>
    <x v="31"/>
    <x v="1"/>
    <x v="0"/>
    <n v="3.56"/>
    <n v="11983.53"/>
    <n v="29853.360000000001"/>
    <x v="2"/>
  </r>
  <r>
    <x v="9"/>
    <x v="1"/>
    <x v="8"/>
    <x v="1"/>
    <x v="10"/>
    <x v="1"/>
    <x v="0"/>
    <n v="13.81"/>
    <n v="46486.67"/>
    <n v="113704.56"/>
    <x v="2"/>
  </r>
  <r>
    <x v="9"/>
    <x v="1"/>
    <x v="8"/>
    <x v="1"/>
    <x v="11"/>
    <x v="1"/>
    <x v="0"/>
    <n v="7.8"/>
    <n v="26256.05"/>
    <n v="61256.94"/>
    <x v="2"/>
  </r>
  <r>
    <x v="9"/>
    <x v="1"/>
    <x v="8"/>
    <x v="1"/>
    <x v="12"/>
    <x v="1"/>
    <x v="0"/>
    <n v="2.23"/>
    <n v="7506.54"/>
    <n v="18409.53"/>
    <x v="2"/>
  </r>
  <r>
    <x v="9"/>
    <x v="1"/>
    <x v="8"/>
    <x v="1"/>
    <x v="13"/>
    <x v="1"/>
    <x v="0"/>
    <n v="4.13"/>
    <n v="13902.24"/>
    <n v="33935.550000000003"/>
    <x v="2"/>
  </r>
  <r>
    <x v="9"/>
    <x v="1"/>
    <x v="8"/>
    <x v="1"/>
    <x v="14"/>
    <x v="1"/>
    <x v="0"/>
    <n v="16.52"/>
    <n v="55608.959999999999"/>
    <n v="133258.72"/>
    <x v="2"/>
  </r>
  <r>
    <x v="9"/>
    <x v="1"/>
    <x v="8"/>
    <x v="1"/>
    <x v="15"/>
    <x v="1"/>
    <x v="0"/>
    <n v="2.27"/>
    <n v="7641.18"/>
    <n v="18974.64"/>
    <x v="2"/>
  </r>
  <r>
    <x v="9"/>
    <x v="1"/>
    <x v="8"/>
    <x v="1"/>
    <x v="16"/>
    <x v="1"/>
    <x v="0"/>
    <n v="9.0399999999999991"/>
    <n v="30430.09"/>
    <n v="71808.88"/>
    <x v="2"/>
  </r>
  <r>
    <x v="9"/>
    <x v="1"/>
    <x v="8"/>
    <x v="1"/>
    <x v="17"/>
    <x v="1"/>
    <x v="0"/>
    <n v="8.66"/>
    <n v="29150.95"/>
    <n v="69427.179999999993"/>
    <x v="2"/>
  </r>
  <r>
    <x v="9"/>
    <x v="1"/>
    <x v="8"/>
    <x v="1"/>
    <x v="18"/>
    <x v="1"/>
    <x v="0"/>
    <n v="9.3800000000000008"/>
    <n v="31574.58"/>
    <n v="78746.62"/>
    <x v="2"/>
  </r>
  <r>
    <x v="9"/>
    <x v="1"/>
    <x v="8"/>
    <x v="1"/>
    <x v="19"/>
    <x v="1"/>
    <x v="0"/>
    <n v="10.16"/>
    <n v="34200.19"/>
    <n v="82734.009999999995"/>
    <x v="2"/>
  </r>
  <r>
    <x v="9"/>
    <x v="1"/>
    <x v="8"/>
    <x v="1"/>
    <x v="20"/>
    <x v="1"/>
    <x v="0"/>
    <n v="14.39"/>
    <n v="48439.040000000001"/>
    <n v="115238.38"/>
    <x v="2"/>
  </r>
  <r>
    <x v="9"/>
    <x v="1"/>
    <x v="8"/>
    <x v="2"/>
    <x v="21"/>
    <x v="1"/>
    <x v="0"/>
    <n v="0"/>
    <n v="0"/>
    <n v="0"/>
    <x v="2"/>
  </r>
  <r>
    <x v="9"/>
    <x v="1"/>
    <x v="8"/>
    <x v="2"/>
    <x v="22"/>
    <x v="1"/>
    <x v="0"/>
    <n v="8.77"/>
    <n v="29521.22"/>
    <n v="64498.76"/>
    <x v="2"/>
  </r>
  <r>
    <x v="9"/>
    <x v="1"/>
    <x v="8"/>
    <x v="2"/>
    <x v="29"/>
    <x v="1"/>
    <x v="0"/>
    <n v="0"/>
    <n v="0"/>
    <n v="0"/>
    <x v="2"/>
  </r>
  <r>
    <x v="9"/>
    <x v="1"/>
    <x v="8"/>
    <x v="2"/>
    <x v="23"/>
    <x v="1"/>
    <x v="0"/>
    <n v="0"/>
    <n v="0"/>
    <n v="0"/>
    <x v="2"/>
  </r>
  <r>
    <x v="9"/>
    <x v="1"/>
    <x v="8"/>
    <x v="2"/>
    <x v="24"/>
    <x v="1"/>
    <x v="0"/>
    <n v="2.2200000000000002"/>
    <n v="7472.88"/>
    <n v="16599.939999999999"/>
    <x v="2"/>
  </r>
  <r>
    <x v="9"/>
    <x v="1"/>
    <x v="8"/>
    <x v="3"/>
    <x v="25"/>
    <x v="1"/>
    <x v="0"/>
    <n v="10.11"/>
    <n v="34031.879999999997"/>
    <n v="83616.3"/>
    <x v="2"/>
  </r>
  <r>
    <x v="9"/>
    <x v="1"/>
    <x v="8"/>
    <x v="3"/>
    <x v="26"/>
    <x v="1"/>
    <x v="0"/>
    <n v="7.22"/>
    <n v="24303.68"/>
    <n v="60185.75"/>
    <x v="2"/>
  </r>
  <r>
    <x v="9"/>
    <x v="1"/>
    <x v="8"/>
    <x v="3"/>
    <x v="27"/>
    <x v="1"/>
    <x v="0"/>
    <n v="14.18"/>
    <n v="47732.15"/>
    <n v="115894.92"/>
    <x v="2"/>
  </r>
  <r>
    <x v="9"/>
    <x v="1"/>
    <x v="8"/>
    <x v="0"/>
    <x v="0"/>
    <x v="1"/>
    <x v="1"/>
    <n v="9.32"/>
    <n v="31372.61"/>
    <n v="73580.52"/>
    <x v="2"/>
  </r>
  <r>
    <x v="9"/>
    <x v="1"/>
    <x v="8"/>
    <x v="0"/>
    <x v="1"/>
    <x v="1"/>
    <x v="1"/>
    <n v="22.53"/>
    <n v="75839.58"/>
    <n v="174950.13"/>
    <x v="2"/>
  </r>
  <r>
    <x v="9"/>
    <x v="1"/>
    <x v="8"/>
    <x v="0"/>
    <x v="2"/>
    <x v="1"/>
    <x v="1"/>
    <n v="15.32"/>
    <n v="51569.57"/>
    <n v="114919.66"/>
    <x v="2"/>
  </r>
  <r>
    <x v="9"/>
    <x v="1"/>
    <x v="8"/>
    <x v="0"/>
    <x v="3"/>
    <x v="1"/>
    <x v="1"/>
    <n v="37.56"/>
    <n v="126432.97"/>
    <n v="293049.17"/>
    <x v="2"/>
  </r>
  <r>
    <x v="9"/>
    <x v="1"/>
    <x v="8"/>
    <x v="0"/>
    <x v="28"/>
    <x v="1"/>
    <x v="1"/>
    <n v="1.91"/>
    <n v="6429.37"/>
    <n v="15053.14"/>
    <x v="2"/>
  </r>
  <r>
    <x v="9"/>
    <x v="1"/>
    <x v="8"/>
    <x v="0"/>
    <x v="4"/>
    <x v="1"/>
    <x v="1"/>
    <n v="11.31"/>
    <n v="38071.269999999997"/>
    <n v="87426.51"/>
    <x v="2"/>
  </r>
  <r>
    <x v="9"/>
    <x v="1"/>
    <x v="8"/>
    <x v="0"/>
    <x v="5"/>
    <x v="1"/>
    <x v="1"/>
    <n v="30.11"/>
    <n v="101355.08"/>
    <n v="239630.37"/>
    <x v="2"/>
  </r>
  <r>
    <x v="9"/>
    <x v="1"/>
    <x v="8"/>
    <x v="0"/>
    <x v="6"/>
    <x v="1"/>
    <x v="1"/>
    <n v="3.17"/>
    <n v="10670.73"/>
    <n v="25181.25"/>
    <x v="2"/>
  </r>
  <r>
    <x v="9"/>
    <x v="1"/>
    <x v="8"/>
    <x v="0"/>
    <x v="7"/>
    <x v="1"/>
    <x v="1"/>
    <n v="3.75"/>
    <n v="12623.1"/>
    <n v="30242.1"/>
    <x v="2"/>
  </r>
  <r>
    <x v="9"/>
    <x v="1"/>
    <x v="8"/>
    <x v="0"/>
    <x v="8"/>
    <x v="1"/>
    <x v="1"/>
    <n v="5.79"/>
    <n v="19490.07"/>
    <n v="44520.44"/>
    <x v="2"/>
  </r>
  <r>
    <x v="9"/>
    <x v="1"/>
    <x v="8"/>
    <x v="1"/>
    <x v="30"/>
    <x v="1"/>
    <x v="1"/>
    <n v="0"/>
    <n v="0"/>
    <n v="0"/>
    <x v="2"/>
  </r>
  <r>
    <x v="9"/>
    <x v="1"/>
    <x v="8"/>
    <x v="1"/>
    <x v="9"/>
    <x v="1"/>
    <x v="1"/>
    <n v="5.09"/>
    <n v="17133.75"/>
    <n v="42296.42"/>
    <x v="2"/>
  </r>
  <r>
    <x v="9"/>
    <x v="1"/>
    <x v="8"/>
    <x v="1"/>
    <x v="31"/>
    <x v="1"/>
    <x v="1"/>
    <n v="0"/>
    <n v="0"/>
    <n v="0"/>
    <x v="2"/>
  </r>
  <r>
    <x v="9"/>
    <x v="1"/>
    <x v="8"/>
    <x v="1"/>
    <x v="10"/>
    <x v="1"/>
    <x v="1"/>
    <n v="30.72"/>
    <n v="103408.44"/>
    <n v="253023.88"/>
    <x v="2"/>
  </r>
  <r>
    <x v="9"/>
    <x v="1"/>
    <x v="8"/>
    <x v="1"/>
    <x v="11"/>
    <x v="1"/>
    <x v="1"/>
    <n v="33.04"/>
    <n v="111217.93"/>
    <n v="259321.03"/>
    <x v="2"/>
  </r>
  <r>
    <x v="9"/>
    <x v="1"/>
    <x v="8"/>
    <x v="1"/>
    <x v="12"/>
    <x v="1"/>
    <x v="1"/>
    <n v="4.01"/>
    <n v="13498.3"/>
    <n v="33137.15"/>
    <x v="2"/>
  </r>
  <r>
    <x v="9"/>
    <x v="1"/>
    <x v="8"/>
    <x v="1"/>
    <x v="13"/>
    <x v="1"/>
    <x v="1"/>
    <n v="18.57"/>
    <n v="62509.59"/>
    <n v="152709.98000000001"/>
    <x v="2"/>
  </r>
  <r>
    <x v="9"/>
    <x v="1"/>
    <x v="8"/>
    <x v="1"/>
    <x v="14"/>
    <x v="1"/>
    <x v="1"/>
    <n v="9.25"/>
    <n v="31136.98"/>
    <n v="74595.91"/>
    <x v="2"/>
  </r>
  <r>
    <x v="9"/>
    <x v="1"/>
    <x v="8"/>
    <x v="1"/>
    <x v="15"/>
    <x v="1"/>
    <x v="1"/>
    <n v="2.19"/>
    <n v="7371.89"/>
    <n v="18296.98"/>
    <x v="2"/>
  </r>
  <r>
    <x v="9"/>
    <x v="1"/>
    <x v="8"/>
    <x v="1"/>
    <x v="16"/>
    <x v="1"/>
    <x v="1"/>
    <n v="10.81"/>
    <n v="36388.19"/>
    <n v="85889.05"/>
    <x v="2"/>
  </r>
  <r>
    <x v="9"/>
    <x v="1"/>
    <x v="8"/>
    <x v="1"/>
    <x v="17"/>
    <x v="1"/>
    <x v="1"/>
    <n v="7.68"/>
    <n v="25852.11"/>
    <n v="61553.99"/>
    <x v="2"/>
  </r>
  <r>
    <x v="9"/>
    <x v="1"/>
    <x v="8"/>
    <x v="1"/>
    <x v="18"/>
    <x v="1"/>
    <x v="1"/>
    <n v="36.25"/>
    <n v="122023.3"/>
    <n v="304210.63"/>
    <x v="2"/>
  </r>
  <r>
    <x v="9"/>
    <x v="1"/>
    <x v="8"/>
    <x v="1"/>
    <x v="19"/>
    <x v="1"/>
    <x v="1"/>
    <n v="16.170000000000002"/>
    <n v="54430.81"/>
    <n v="131654.99"/>
    <x v="2"/>
  </r>
  <r>
    <x v="9"/>
    <x v="1"/>
    <x v="8"/>
    <x v="1"/>
    <x v="20"/>
    <x v="1"/>
    <x v="1"/>
    <n v="26.79"/>
    <n v="90179.43"/>
    <n v="214509.99"/>
    <x v="2"/>
  </r>
  <r>
    <x v="9"/>
    <x v="1"/>
    <x v="8"/>
    <x v="2"/>
    <x v="21"/>
    <x v="1"/>
    <x v="1"/>
    <n v="3.37"/>
    <n v="11343.96"/>
    <n v="24776.03"/>
    <x v="2"/>
  </r>
  <r>
    <x v="9"/>
    <x v="1"/>
    <x v="8"/>
    <x v="2"/>
    <x v="22"/>
    <x v="1"/>
    <x v="1"/>
    <n v="17.62"/>
    <n v="59311.74"/>
    <n v="129578.59"/>
    <x v="2"/>
  </r>
  <r>
    <x v="9"/>
    <x v="1"/>
    <x v="8"/>
    <x v="2"/>
    <x v="29"/>
    <x v="1"/>
    <x v="1"/>
    <n v="3.96"/>
    <n v="13329.99"/>
    <n v="30910.02"/>
    <x v="2"/>
  </r>
  <r>
    <x v="9"/>
    <x v="1"/>
    <x v="8"/>
    <x v="2"/>
    <x v="23"/>
    <x v="1"/>
    <x v="1"/>
    <n v="2.0499999999999998"/>
    <n v="6900.63"/>
    <n v="15674.85"/>
    <x v="2"/>
  </r>
  <r>
    <x v="9"/>
    <x v="1"/>
    <x v="8"/>
    <x v="2"/>
    <x v="24"/>
    <x v="1"/>
    <x v="1"/>
    <n v="3.58"/>
    <n v="12050.85"/>
    <n v="26815.29"/>
    <x v="2"/>
  </r>
  <r>
    <x v="9"/>
    <x v="1"/>
    <x v="8"/>
    <x v="3"/>
    <x v="25"/>
    <x v="1"/>
    <x v="1"/>
    <n v="10.29"/>
    <n v="34637.79"/>
    <n v="85096.23"/>
    <x v="2"/>
  </r>
  <r>
    <x v="9"/>
    <x v="1"/>
    <x v="8"/>
    <x v="3"/>
    <x v="26"/>
    <x v="1"/>
    <x v="1"/>
    <n v="18.64"/>
    <n v="62745.22"/>
    <n v="155336.56"/>
    <x v="2"/>
  </r>
  <r>
    <x v="9"/>
    <x v="1"/>
    <x v="8"/>
    <x v="3"/>
    <x v="27"/>
    <x v="1"/>
    <x v="1"/>
    <n v="45.08"/>
    <n v="151746.49"/>
    <n v="368560.24"/>
    <x v="2"/>
  </r>
  <r>
    <x v="9"/>
    <x v="1"/>
    <x v="9"/>
    <x v="0"/>
    <x v="0"/>
    <x v="0"/>
    <x v="0"/>
    <n v="1.31"/>
    <n v="3536.75"/>
    <n v="12263.97"/>
    <x v="2"/>
  </r>
  <r>
    <x v="9"/>
    <x v="1"/>
    <x v="9"/>
    <x v="0"/>
    <x v="1"/>
    <x v="0"/>
    <x v="0"/>
    <n v="3.95"/>
    <n v="10664.25"/>
    <n v="37047.599999999999"/>
    <x v="2"/>
  </r>
  <r>
    <x v="9"/>
    <x v="1"/>
    <x v="9"/>
    <x v="0"/>
    <x v="2"/>
    <x v="0"/>
    <x v="0"/>
    <n v="0"/>
    <n v="0"/>
    <n v="0"/>
    <x v="2"/>
  </r>
  <r>
    <x v="9"/>
    <x v="1"/>
    <x v="9"/>
    <x v="0"/>
    <x v="3"/>
    <x v="0"/>
    <x v="0"/>
    <n v="2.0099999999999998"/>
    <n v="5426.62"/>
    <n v="18858.87"/>
    <x v="2"/>
  </r>
  <r>
    <x v="9"/>
    <x v="1"/>
    <x v="9"/>
    <x v="0"/>
    <x v="4"/>
    <x v="0"/>
    <x v="0"/>
    <n v="0"/>
    <n v="0"/>
    <n v="0"/>
    <x v="2"/>
  </r>
  <r>
    <x v="9"/>
    <x v="1"/>
    <x v="9"/>
    <x v="0"/>
    <x v="5"/>
    <x v="0"/>
    <x v="0"/>
    <n v="0"/>
    <n v="0"/>
    <n v="0"/>
    <x v="2"/>
  </r>
  <r>
    <x v="9"/>
    <x v="1"/>
    <x v="9"/>
    <x v="0"/>
    <x v="6"/>
    <x v="0"/>
    <x v="0"/>
    <n v="0"/>
    <n v="0"/>
    <n v="0"/>
    <x v="2"/>
  </r>
  <r>
    <x v="9"/>
    <x v="1"/>
    <x v="9"/>
    <x v="0"/>
    <x v="8"/>
    <x v="0"/>
    <x v="0"/>
    <n v="0"/>
    <n v="0"/>
    <n v="0"/>
    <x v="2"/>
  </r>
  <r>
    <x v="9"/>
    <x v="1"/>
    <x v="9"/>
    <x v="1"/>
    <x v="10"/>
    <x v="0"/>
    <x v="0"/>
    <n v="1.73"/>
    <n v="4670.67"/>
    <n v="16268.57"/>
    <x v="2"/>
  </r>
  <r>
    <x v="9"/>
    <x v="1"/>
    <x v="9"/>
    <x v="1"/>
    <x v="11"/>
    <x v="0"/>
    <x v="0"/>
    <n v="0"/>
    <n v="0"/>
    <n v="0"/>
    <x v="2"/>
  </r>
  <r>
    <x v="9"/>
    <x v="1"/>
    <x v="9"/>
    <x v="1"/>
    <x v="13"/>
    <x v="0"/>
    <x v="0"/>
    <n v="0"/>
    <n v="0"/>
    <n v="0"/>
    <x v="2"/>
  </r>
  <r>
    <x v="9"/>
    <x v="1"/>
    <x v="9"/>
    <x v="1"/>
    <x v="14"/>
    <x v="0"/>
    <x v="0"/>
    <n v="0"/>
    <n v="0"/>
    <n v="0"/>
    <x v="2"/>
  </r>
  <r>
    <x v="9"/>
    <x v="1"/>
    <x v="9"/>
    <x v="1"/>
    <x v="16"/>
    <x v="0"/>
    <x v="0"/>
    <n v="0"/>
    <n v="0"/>
    <n v="0"/>
    <x v="2"/>
  </r>
  <r>
    <x v="9"/>
    <x v="1"/>
    <x v="9"/>
    <x v="1"/>
    <x v="17"/>
    <x v="0"/>
    <x v="0"/>
    <n v="0"/>
    <n v="0"/>
    <n v="0"/>
    <x v="2"/>
  </r>
  <r>
    <x v="9"/>
    <x v="1"/>
    <x v="9"/>
    <x v="1"/>
    <x v="18"/>
    <x v="0"/>
    <x v="0"/>
    <n v="0"/>
    <n v="0"/>
    <n v="0"/>
    <x v="2"/>
  </r>
  <r>
    <x v="9"/>
    <x v="1"/>
    <x v="9"/>
    <x v="1"/>
    <x v="19"/>
    <x v="0"/>
    <x v="0"/>
    <n v="0"/>
    <n v="0"/>
    <n v="0"/>
    <x v="2"/>
  </r>
  <r>
    <x v="9"/>
    <x v="1"/>
    <x v="9"/>
    <x v="1"/>
    <x v="20"/>
    <x v="0"/>
    <x v="0"/>
    <n v="1.9"/>
    <n v="5129.6400000000003"/>
    <n v="17825.98"/>
    <x v="2"/>
  </r>
  <r>
    <x v="9"/>
    <x v="1"/>
    <x v="9"/>
    <x v="2"/>
    <x v="21"/>
    <x v="0"/>
    <x v="0"/>
    <n v="2.71"/>
    <n v="7316.49"/>
    <n v="25444.97"/>
    <x v="2"/>
  </r>
  <r>
    <x v="9"/>
    <x v="1"/>
    <x v="9"/>
    <x v="2"/>
    <x v="22"/>
    <x v="0"/>
    <x v="0"/>
    <n v="0"/>
    <n v="0"/>
    <n v="0"/>
    <x v="2"/>
  </r>
  <r>
    <x v="9"/>
    <x v="1"/>
    <x v="9"/>
    <x v="2"/>
    <x v="29"/>
    <x v="0"/>
    <x v="0"/>
    <n v="0"/>
    <n v="0"/>
    <n v="0"/>
    <x v="2"/>
  </r>
  <r>
    <x v="9"/>
    <x v="1"/>
    <x v="9"/>
    <x v="2"/>
    <x v="24"/>
    <x v="0"/>
    <x v="0"/>
    <n v="0"/>
    <n v="0"/>
    <n v="0"/>
    <x v="2"/>
  </r>
  <r>
    <x v="9"/>
    <x v="1"/>
    <x v="9"/>
    <x v="3"/>
    <x v="25"/>
    <x v="0"/>
    <x v="0"/>
    <n v="0"/>
    <n v="0"/>
    <n v="0"/>
    <x v="2"/>
  </r>
  <r>
    <x v="9"/>
    <x v="1"/>
    <x v="9"/>
    <x v="3"/>
    <x v="26"/>
    <x v="0"/>
    <x v="0"/>
    <n v="1.45"/>
    <n v="3914.72"/>
    <n v="13568.37"/>
    <x v="2"/>
  </r>
  <r>
    <x v="9"/>
    <x v="1"/>
    <x v="9"/>
    <x v="3"/>
    <x v="27"/>
    <x v="0"/>
    <x v="0"/>
    <n v="3.02"/>
    <n v="8153.43"/>
    <n v="28320.09"/>
    <x v="2"/>
  </r>
  <r>
    <x v="9"/>
    <x v="1"/>
    <x v="9"/>
    <x v="0"/>
    <x v="0"/>
    <x v="0"/>
    <x v="1"/>
    <n v="1.77"/>
    <n v="4778.66"/>
    <n v="16643.96"/>
    <x v="2"/>
  </r>
  <r>
    <x v="9"/>
    <x v="1"/>
    <x v="9"/>
    <x v="0"/>
    <x v="1"/>
    <x v="0"/>
    <x v="1"/>
    <n v="8.1999999999999993"/>
    <n v="22138.44"/>
    <n v="76945.02"/>
    <x v="2"/>
  </r>
  <r>
    <x v="9"/>
    <x v="1"/>
    <x v="9"/>
    <x v="0"/>
    <x v="2"/>
    <x v="0"/>
    <x v="1"/>
    <n v="3.46"/>
    <n v="9341.34"/>
    <n v="32491.58"/>
    <x v="2"/>
  </r>
  <r>
    <x v="9"/>
    <x v="1"/>
    <x v="9"/>
    <x v="0"/>
    <x v="3"/>
    <x v="0"/>
    <x v="1"/>
    <n v="6.49"/>
    <n v="17521.77"/>
    <n v="60862.7"/>
    <x v="2"/>
  </r>
  <r>
    <x v="9"/>
    <x v="1"/>
    <x v="9"/>
    <x v="0"/>
    <x v="4"/>
    <x v="0"/>
    <x v="1"/>
    <n v="1.79"/>
    <n v="4832.66"/>
    <n v="16815.07"/>
    <x v="2"/>
  </r>
  <r>
    <x v="9"/>
    <x v="1"/>
    <x v="9"/>
    <x v="0"/>
    <x v="5"/>
    <x v="0"/>
    <x v="1"/>
    <n v="2.57"/>
    <n v="6938.51"/>
    <n v="24087.25"/>
    <x v="2"/>
  </r>
  <r>
    <x v="9"/>
    <x v="1"/>
    <x v="9"/>
    <x v="0"/>
    <x v="6"/>
    <x v="0"/>
    <x v="1"/>
    <n v="2.06"/>
    <n v="5561.61"/>
    <n v="19312.169999999998"/>
    <x v="2"/>
  </r>
  <r>
    <x v="9"/>
    <x v="1"/>
    <x v="9"/>
    <x v="0"/>
    <x v="8"/>
    <x v="0"/>
    <x v="1"/>
    <n v="3.58"/>
    <n v="9665.32"/>
    <n v="33582.400000000001"/>
    <x v="2"/>
  </r>
  <r>
    <x v="9"/>
    <x v="1"/>
    <x v="9"/>
    <x v="1"/>
    <x v="10"/>
    <x v="0"/>
    <x v="1"/>
    <n v="5.2"/>
    <n v="14039.01"/>
    <n v="48805.71"/>
    <x v="2"/>
  </r>
  <r>
    <x v="9"/>
    <x v="1"/>
    <x v="9"/>
    <x v="1"/>
    <x v="11"/>
    <x v="0"/>
    <x v="1"/>
    <n v="10.72"/>
    <n v="28941.96"/>
    <n v="100572.39"/>
    <x v="2"/>
  </r>
  <r>
    <x v="9"/>
    <x v="1"/>
    <x v="9"/>
    <x v="1"/>
    <x v="13"/>
    <x v="0"/>
    <x v="1"/>
    <n v="6.78"/>
    <n v="18304.71"/>
    <n v="63636.22"/>
    <x v="2"/>
  </r>
  <r>
    <x v="9"/>
    <x v="1"/>
    <x v="9"/>
    <x v="1"/>
    <x v="14"/>
    <x v="0"/>
    <x v="1"/>
    <n v="2.0099999999999998"/>
    <n v="5426.62"/>
    <n v="18846.13"/>
    <x v="2"/>
  </r>
  <r>
    <x v="9"/>
    <x v="1"/>
    <x v="9"/>
    <x v="1"/>
    <x v="16"/>
    <x v="0"/>
    <x v="1"/>
    <n v="1.44"/>
    <n v="3887.73"/>
    <n v="13528.62"/>
    <x v="2"/>
  </r>
  <r>
    <x v="9"/>
    <x v="1"/>
    <x v="9"/>
    <x v="1"/>
    <x v="17"/>
    <x v="0"/>
    <x v="1"/>
    <n v="2.13"/>
    <n v="5750.6"/>
    <n v="19949.32"/>
    <x v="2"/>
  </r>
  <r>
    <x v="9"/>
    <x v="1"/>
    <x v="9"/>
    <x v="1"/>
    <x v="18"/>
    <x v="0"/>
    <x v="1"/>
    <n v="11.17"/>
    <n v="30156.880000000001"/>
    <n v="104736.08"/>
    <x v="2"/>
  </r>
  <r>
    <x v="9"/>
    <x v="1"/>
    <x v="9"/>
    <x v="1"/>
    <x v="19"/>
    <x v="0"/>
    <x v="1"/>
    <n v="4.21"/>
    <n v="11366.2"/>
    <n v="39462.25"/>
    <x v="2"/>
  </r>
  <r>
    <x v="9"/>
    <x v="1"/>
    <x v="9"/>
    <x v="1"/>
    <x v="20"/>
    <x v="0"/>
    <x v="1"/>
    <n v="10.74"/>
    <n v="28995.96"/>
    <n v="100716.77"/>
    <x v="2"/>
  </r>
  <r>
    <x v="9"/>
    <x v="1"/>
    <x v="9"/>
    <x v="2"/>
    <x v="21"/>
    <x v="0"/>
    <x v="1"/>
    <n v="0"/>
    <n v="0"/>
    <n v="0"/>
    <x v="2"/>
  </r>
  <r>
    <x v="9"/>
    <x v="1"/>
    <x v="9"/>
    <x v="2"/>
    <x v="22"/>
    <x v="0"/>
    <x v="1"/>
    <n v="3.45"/>
    <n v="9314.34"/>
    <n v="32325.89"/>
    <x v="2"/>
  </r>
  <r>
    <x v="9"/>
    <x v="1"/>
    <x v="9"/>
    <x v="2"/>
    <x v="29"/>
    <x v="0"/>
    <x v="1"/>
    <n v="2.6"/>
    <n v="7019.51"/>
    <n v="24341.47"/>
    <x v="2"/>
  </r>
  <r>
    <x v="9"/>
    <x v="1"/>
    <x v="9"/>
    <x v="2"/>
    <x v="24"/>
    <x v="0"/>
    <x v="1"/>
    <n v="2.21"/>
    <n v="5966.58"/>
    <n v="20758.64"/>
    <x v="2"/>
  </r>
  <r>
    <x v="9"/>
    <x v="1"/>
    <x v="9"/>
    <x v="3"/>
    <x v="25"/>
    <x v="0"/>
    <x v="1"/>
    <n v="0.32"/>
    <n v="863.94"/>
    <n v="3022.66"/>
    <x v="2"/>
  </r>
  <r>
    <x v="9"/>
    <x v="1"/>
    <x v="9"/>
    <x v="3"/>
    <x v="26"/>
    <x v="0"/>
    <x v="1"/>
    <n v="1.1599999999999999"/>
    <n v="3131.78"/>
    <n v="10854.69"/>
    <x v="2"/>
  </r>
  <r>
    <x v="9"/>
    <x v="1"/>
    <x v="9"/>
    <x v="3"/>
    <x v="27"/>
    <x v="0"/>
    <x v="1"/>
    <n v="8.3000000000000007"/>
    <n v="22408.42"/>
    <n v="77880.259999999995"/>
    <x v="2"/>
  </r>
  <r>
    <x v="9"/>
    <x v="1"/>
    <x v="9"/>
    <x v="0"/>
    <x v="0"/>
    <x v="1"/>
    <x v="0"/>
    <n v="4.28"/>
    <n v="11555.19"/>
    <n v="26266.81"/>
    <x v="2"/>
  </r>
  <r>
    <x v="9"/>
    <x v="1"/>
    <x v="9"/>
    <x v="0"/>
    <x v="1"/>
    <x v="1"/>
    <x v="0"/>
    <n v="13.91"/>
    <n v="37554.36"/>
    <n v="83899.3"/>
    <x v="2"/>
  </r>
  <r>
    <x v="9"/>
    <x v="1"/>
    <x v="9"/>
    <x v="0"/>
    <x v="2"/>
    <x v="1"/>
    <x v="0"/>
    <n v="7.19"/>
    <n v="19411.63"/>
    <n v="41889.03"/>
    <x v="2"/>
  </r>
  <r>
    <x v="9"/>
    <x v="1"/>
    <x v="9"/>
    <x v="0"/>
    <x v="3"/>
    <x v="1"/>
    <x v="0"/>
    <n v="12.72"/>
    <n v="34341.58"/>
    <n v="77073.63"/>
    <x v="2"/>
  </r>
  <r>
    <x v="9"/>
    <x v="1"/>
    <x v="9"/>
    <x v="0"/>
    <x v="28"/>
    <x v="1"/>
    <x v="0"/>
    <n v="0"/>
    <n v="0"/>
    <n v="0"/>
    <x v="2"/>
  </r>
  <r>
    <x v="9"/>
    <x v="1"/>
    <x v="9"/>
    <x v="0"/>
    <x v="4"/>
    <x v="1"/>
    <x v="0"/>
    <n v="9.02"/>
    <n v="24352.29"/>
    <n v="54156.97"/>
    <x v="2"/>
  </r>
  <r>
    <x v="9"/>
    <x v="1"/>
    <x v="9"/>
    <x v="0"/>
    <x v="5"/>
    <x v="1"/>
    <x v="0"/>
    <n v="2.74"/>
    <n v="7397.48"/>
    <n v="16933.72"/>
    <x v="2"/>
  </r>
  <r>
    <x v="9"/>
    <x v="1"/>
    <x v="9"/>
    <x v="0"/>
    <x v="6"/>
    <x v="1"/>
    <x v="0"/>
    <n v="0"/>
    <n v="0"/>
    <n v="0"/>
    <x v="2"/>
  </r>
  <r>
    <x v="9"/>
    <x v="1"/>
    <x v="9"/>
    <x v="0"/>
    <x v="7"/>
    <x v="1"/>
    <x v="0"/>
    <n v="0"/>
    <n v="0"/>
    <n v="0"/>
    <x v="2"/>
  </r>
  <r>
    <x v="9"/>
    <x v="1"/>
    <x v="9"/>
    <x v="0"/>
    <x v="8"/>
    <x v="1"/>
    <x v="0"/>
    <n v="0"/>
    <n v="0"/>
    <n v="0"/>
    <x v="2"/>
  </r>
  <r>
    <x v="9"/>
    <x v="1"/>
    <x v="9"/>
    <x v="1"/>
    <x v="30"/>
    <x v="1"/>
    <x v="0"/>
    <n v="1.07"/>
    <n v="2888.8"/>
    <n v="6921.05"/>
    <x v="2"/>
  </r>
  <r>
    <x v="9"/>
    <x v="1"/>
    <x v="9"/>
    <x v="1"/>
    <x v="9"/>
    <x v="1"/>
    <x v="0"/>
    <n v="0"/>
    <n v="0"/>
    <n v="0"/>
    <x v="2"/>
  </r>
  <r>
    <x v="9"/>
    <x v="1"/>
    <x v="9"/>
    <x v="1"/>
    <x v="31"/>
    <x v="1"/>
    <x v="0"/>
    <n v="1.68"/>
    <n v="4535.68"/>
    <n v="10983"/>
    <x v="2"/>
  </r>
  <r>
    <x v="9"/>
    <x v="1"/>
    <x v="9"/>
    <x v="1"/>
    <x v="10"/>
    <x v="1"/>
    <x v="0"/>
    <n v="3.78"/>
    <n v="10205.280000000001"/>
    <n v="24210.12"/>
    <x v="2"/>
  </r>
  <r>
    <x v="9"/>
    <x v="1"/>
    <x v="9"/>
    <x v="1"/>
    <x v="11"/>
    <x v="1"/>
    <x v="0"/>
    <n v="7.89"/>
    <n v="21301.5"/>
    <n v="48132.14"/>
    <x v="2"/>
  </r>
  <r>
    <x v="9"/>
    <x v="1"/>
    <x v="9"/>
    <x v="1"/>
    <x v="12"/>
    <x v="1"/>
    <x v="0"/>
    <n v="2.11"/>
    <n v="5696.6"/>
    <n v="13538.88"/>
    <x v="2"/>
  </r>
  <r>
    <x v="9"/>
    <x v="1"/>
    <x v="9"/>
    <x v="1"/>
    <x v="13"/>
    <x v="1"/>
    <x v="0"/>
    <n v="2.94"/>
    <n v="7937.44"/>
    <n v="18778.23"/>
    <x v="2"/>
  </r>
  <r>
    <x v="9"/>
    <x v="1"/>
    <x v="9"/>
    <x v="1"/>
    <x v="14"/>
    <x v="1"/>
    <x v="0"/>
    <n v="12.88"/>
    <n v="34773.550000000003"/>
    <n v="80701.33"/>
    <x v="2"/>
  </r>
  <r>
    <x v="9"/>
    <x v="1"/>
    <x v="9"/>
    <x v="1"/>
    <x v="15"/>
    <x v="1"/>
    <x v="0"/>
    <n v="1.92"/>
    <n v="5183.6400000000003"/>
    <n v="12470.72"/>
    <x v="2"/>
  </r>
  <r>
    <x v="9"/>
    <x v="1"/>
    <x v="9"/>
    <x v="1"/>
    <x v="16"/>
    <x v="1"/>
    <x v="0"/>
    <n v="6.63"/>
    <n v="17899.740000000002"/>
    <n v="40889.21"/>
    <x v="2"/>
  </r>
  <r>
    <x v="9"/>
    <x v="1"/>
    <x v="9"/>
    <x v="1"/>
    <x v="17"/>
    <x v="1"/>
    <x v="0"/>
    <n v="6.16"/>
    <n v="16630.830000000002"/>
    <n v="38377.14"/>
    <x v="2"/>
  </r>
  <r>
    <x v="9"/>
    <x v="1"/>
    <x v="9"/>
    <x v="1"/>
    <x v="18"/>
    <x v="1"/>
    <x v="0"/>
    <n v="8.0299999999999994"/>
    <n v="21679.47"/>
    <n v="52331.42"/>
    <x v="2"/>
  </r>
  <r>
    <x v="9"/>
    <x v="1"/>
    <x v="9"/>
    <x v="1"/>
    <x v="19"/>
    <x v="1"/>
    <x v="0"/>
    <n v="9"/>
    <n v="24298.29"/>
    <n v="56902.78"/>
    <x v="2"/>
  </r>
  <r>
    <x v="9"/>
    <x v="1"/>
    <x v="9"/>
    <x v="1"/>
    <x v="20"/>
    <x v="1"/>
    <x v="0"/>
    <n v="10.71"/>
    <n v="28914.97"/>
    <n v="66600.08"/>
    <x v="2"/>
  </r>
  <r>
    <x v="9"/>
    <x v="1"/>
    <x v="9"/>
    <x v="2"/>
    <x v="21"/>
    <x v="1"/>
    <x v="0"/>
    <n v="0"/>
    <n v="0"/>
    <n v="0"/>
    <x v="2"/>
  </r>
  <r>
    <x v="9"/>
    <x v="1"/>
    <x v="9"/>
    <x v="2"/>
    <x v="22"/>
    <x v="1"/>
    <x v="0"/>
    <n v="7.93"/>
    <n v="21409.49"/>
    <n v="45303.86"/>
    <x v="2"/>
  </r>
  <r>
    <x v="9"/>
    <x v="1"/>
    <x v="9"/>
    <x v="2"/>
    <x v="29"/>
    <x v="1"/>
    <x v="0"/>
    <n v="0"/>
    <n v="0"/>
    <n v="0"/>
    <x v="2"/>
  </r>
  <r>
    <x v="9"/>
    <x v="1"/>
    <x v="9"/>
    <x v="2"/>
    <x v="23"/>
    <x v="1"/>
    <x v="0"/>
    <n v="0"/>
    <n v="0"/>
    <n v="0"/>
    <x v="2"/>
  </r>
  <r>
    <x v="9"/>
    <x v="1"/>
    <x v="9"/>
    <x v="2"/>
    <x v="24"/>
    <x v="1"/>
    <x v="0"/>
    <n v="1.1299999999999999"/>
    <n v="3050.79"/>
    <n v="6575.8"/>
    <x v="2"/>
  </r>
  <r>
    <x v="9"/>
    <x v="1"/>
    <x v="9"/>
    <x v="3"/>
    <x v="25"/>
    <x v="1"/>
    <x v="0"/>
    <n v="5.14"/>
    <n v="13877.02"/>
    <n v="33018.69"/>
    <x v="2"/>
  </r>
  <r>
    <x v="9"/>
    <x v="1"/>
    <x v="9"/>
    <x v="3"/>
    <x v="26"/>
    <x v="1"/>
    <x v="0"/>
    <n v="5.35"/>
    <n v="14443.98"/>
    <n v="34597.019999999997"/>
    <x v="2"/>
  </r>
  <r>
    <x v="9"/>
    <x v="1"/>
    <x v="9"/>
    <x v="3"/>
    <x v="27"/>
    <x v="1"/>
    <x v="0"/>
    <n v="10.01"/>
    <n v="27025.1"/>
    <n v="63592.42"/>
    <x v="2"/>
  </r>
  <r>
    <x v="9"/>
    <x v="1"/>
    <x v="9"/>
    <x v="0"/>
    <x v="0"/>
    <x v="1"/>
    <x v="1"/>
    <n v="11.19"/>
    <n v="30210.87"/>
    <n v="68615.34"/>
    <x v="2"/>
  </r>
  <r>
    <x v="9"/>
    <x v="1"/>
    <x v="9"/>
    <x v="0"/>
    <x v="1"/>
    <x v="1"/>
    <x v="1"/>
    <n v="24.53"/>
    <n v="66226.34"/>
    <n v="147957.56"/>
    <x v="2"/>
  </r>
  <r>
    <x v="9"/>
    <x v="1"/>
    <x v="9"/>
    <x v="0"/>
    <x v="2"/>
    <x v="1"/>
    <x v="1"/>
    <n v="13.48"/>
    <n v="36393.440000000002"/>
    <n v="78541.929999999993"/>
    <x v="2"/>
  </r>
  <r>
    <x v="9"/>
    <x v="1"/>
    <x v="9"/>
    <x v="0"/>
    <x v="3"/>
    <x v="1"/>
    <x v="1"/>
    <n v="25.88"/>
    <n v="69871.08"/>
    <n v="156804.97"/>
    <x v="2"/>
  </r>
  <r>
    <x v="9"/>
    <x v="1"/>
    <x v="9"/>
    <x v="0"/>
    <x v="28"/>
    <x v="1"/>
    <x v="1"/>
    <n v="1.17"/>
    <n v="3158.78"/>
    <n v="7150.12"/>
    <x v="2"/>
  </r>
  <r>
    <x v="9"/>
    <x v="1"/>
    <x v="9"/>
    <x v="0"/>
    <x v="4"/>
    <x v="1"/>
    <x v="1"/>
    <n v="8.57"/>
    <n v="23137.37"/>
    <n v="51421.77"/>
    <x v="2"/>
  </r>
  <r>
    <x v="9"/>
    <x v="1"/>
    <x v="9"/>
    <x v="0"/>
    <x v="5"/>
    <x v="1"/>
    <x v="1"/>
    <n v="21.3"/>
    <n v="57505.95"/>
    <n v="131646"/>
    <x v="2"/>
  </r>
  <r>
    <x v="9"/>
    <x v="1"/>
    <x v="9"/>
    <x v="0"/>
    <x v="6"/>
    <x v="1"/>
    <x v="1"/>
    <n v="2.13"/>
    <n v="5750.6"/>
    <n v="13129.9"/>
    <x v="2"/>
  </r>
  <r>
    <x v="9"/>
    <x v="1"/>
    <x v="9"/>
    <x v="0"/>
    <x v="7"/>
    <x v="1"/>
    <x v="1"/>
    <n v="4.3899999999999997"/>
    <n v="11852.17"/>
    <n v="27502.28"/>
    <x v="2"/>
  </r>
  <r>
    <x v="9"/>
    <x v="1"/>
    <x v="9"/>
    <x v="0"/>
    <x v="8"/>
    <x v="1"/>
    <x v="1"/>
    <n v="2.8"/>
    <n v="7559.47"/>
    <n v="16743.79"/>
    <x v="2"/>
  </r>
  <r>
    <x v="9"/>
    <x v="1"/>
    <x v="9"/>
    <x v="1"/>
    <x v="30"/>
    <x v="1"/>
    <x v="1"/>
    <n v="0"/>
    <n v="0"/>
    <n v="0"/>
    <x v="2"/>
  </r>
  <r>
    <x v="9"/>
    <x v="1"/>
    <x v="9"/>
    <x v="1"/>
    <x v="9"/>
    <x v="1"/>
    <x v="1"/>
    <n v="3.89"/>
    <n v="10502.26"/>
    <n v="25105.05"/>
    <x v="2"/>
  </r>
  <r>
    <x v="9"/>
    <x v="1"/>
    <x v="9"/>
    <x v="1"/>
    <x v="31"/>
    <x v="1"/>
    <x v="1"/>
    <n v="0"/>
    <n v="0"/>
    <n v="0"/>
    <x v="2"/>
  </r>
  <r>
    <x v="9"/>
    <x v="1"/>
    <x v="9"/>
    <x v="1"/>
    <x v="10"/>
    <x v="1"/>
    <x v="1"/>
    <n v="21.94"/>
    <n v="59233.83"/>
    <n v="140336.65"/>
    <x v="2"/>
  </r>
  <r>
    <x v="9"/>
    <x v="1"/>
    <x v="9"/>
    <x v="1"/>
    <x v="11"/>
    <x v="1"/>
    <x v="1"/>
    <n v="31.49"/>
    <n v="85017.02"/>
    <n v="191987.76"/>
    <x v="2"/>
  </r>
  <r>
    <x v="9"/>
    <x v="1"/>
    <x v="9"/>
    <x v="1"/>
    <x v="12"/>
    <x v="1"/>
    <x v="1"/>
    <n v="3.21"/>
    <n v="8666.39"/>
    <n v="20602.64"/>
    <x v="2"/>
  </r>
  <r>
    <x v="9"/>
    <x v="1"/>
    <x v="9"/>
    <x v="1"/>
    <x v="13"/>
    <x v="1"/>
    <x v="1"/>
    <n v="11.49"/>
    <n v="31020.82"/>
    <n v="73405.81"/>
    <x v="2"/>
  </r>
  <r>
    <x v="9"/>
    <x v="1"/>
    <x v="9"/>
    <x v="1"/>
    <x v="14"/>
    <x v="1"/>
    <x v="1"/>
    <n v="5.56"/>
    <n v="15010.94"/>
    <n v="34823.17"/>
    <x v="2"/>
  </r>
  <r>
    <x v="9"/>
    <x v="1"/>
    <x v="9"/>
    <x v="1"/>
    <x v="15"/>
    <x v="1"/>
    <x v="1"/>
    <n v="2.36"/>
    <n v="6371.55"/>
    <n v="15304.97"/>
    <x v="2"/>
  </r>
  <r>
    <x v="9"/>
    <x v="1"/>
    <x v="9"/>
    <x v="1"/>
    <x v="16"/>
    <x v="1"/>
    <x v="1"/>
    <n v="9.89"/>
    <n v="26701.119999999999"/>
    <n v="61053.760000000002"/>
    <x v="2"/>
  </r>
  <r>
    <x v="9"/>
    <x v="1"/>
    <x v="9"/>
    <x v="1"/>
    <x v="17"/>
    <x v="1"/>
    <x v="1"/>
    <n v="4.05"/>
    <n v="10934.23"/>
    <n v="25234.28"/>
    <x v="2"/>
  </r>
  <r>
    <x v="9"/>
    <x v="1"/>
    <x v="9"/>
    <x v="1"/>
    <x v="18"/>
    <x v="1"/>
    <x v="1"/>
    <n v="27.44"/>
    <n v="74082.789999999994"/>
    <n v="178846.96"/>
    <x v="2"/>
  </r>
  <r>
    <x v="9"/>
    <x v="1"/>
    <x v="9"/>
    <x v="1"/>
    <x v="19"/>
    <x v="1"/>
    <x v="1"/>
    <n v="12.6"/>
    <n v="34017.61"/>
    <n v="79663.89"/>
    <x v="2"/>
  </r>
  <r>
    <x v="9"/>
    <x v="1"/>
    <x v="9"/>
    <x v="1"/>
    <x v="20"/>
    <x v="1"/>
    <x v="1"/>
    <n v="17.71"/>
    <n v="47813.64"/>
    <n v="110146.29"/>
    <x v="2"/>
  </r>
  <r>
    <x v="9"/>
    <x v="1"/>
    <x v="9"/>
    <x v="2"/>
    <x v="21"/>
    <x v="1"/>
    <x v="1"/>
    <n v="1.82"/>
    <n v="4913.6499999999996"/>
    <n v="10411.469999999999"/>
    <x v="2"/>
  </r>
  <r>
    <x v="9"/>
    <x v="1"/>
    <x v="9"/>
    <x v="2"/>
    <x v="22"/>
    <x v="1"/>
    <x v="1"/>
    <n v="10.69"/>
    <n v="28860.97"/>
    <n v="61040.99"/>
    <x v="2"/>
  </r>
  <r>
    <x v="9"/>
    <x v="1"/>
    <x v="9"/>
    <x v="2"/>
    <x v="29"/>
    <x v="1"/>
    <x v="1"/>
    <n v="2.91"/>
    <n v="7856.45"/>
    <n v="17670.759999999998"/>
    <x v="2"/>
  </r>
  <r>
    <x v="9"/>
    <x v="1"/>
    <x v="9"/>
    <x v="2"/>
    <x v="23"/>
    <x v="1"/>
    <x v="1"/>
    <n v="0"/>
    <n v="0"/>
    <n v="0"/>
    <x v="2"/>
  </r>
  <r>
    <x v="9"/>
    <x v="1"/>
    <x v="9"/>
    <x v="2"/>
    <x v="24"/>
    <x v="1"/>
    <x v="1"/>
    <n v="2.1"/>
    <n v="5669.6"/>
    <n v="12212.19"/>
    <x v="2"/>
  </r>
  <r>
    <x v="9"/>
    <x v="1"/>
    <x v="9"/>
    <x v="3"/>
    <x v="25"/>
    <x v="1"/>
    <x v="1"/>
    <n v="8.68"/>
    <n v="23434.35"/>
    <n v="55790.2"/>
    <x v="2"/>
  </r>
  <r>
    <x v="9"/>
    <x v="1"/>
    <x v="9"/>
    <x v="3"/>
    <x v="26"/>
    <x v="1"/>
    <x v="1"/>
    <n v="17.11"/>
    <n v="46193.75"/>
    <n v="110710.46"/>
    <x v="2"/>
  </r>
  <r>
    <x v="9"/>
    <x v="1"/>
    <x v="9"/>
    <x v="3"/>
    <x v="27"/>
    <x v="1"/>
    <x v="1"/>
    <n v="34.57"/>
    <n v="93332.43"/>
    <n v="219516.15"/>
    <x v="2"/>
  </r>
  <r>
    <x v="10"/>
    <x v="1"/>
    <x v="0"/>
    <x v="0"/>
    <x v="0"/>
    <x v="0"/>
    <x v="0"/>
    <n v="4.0199999999999996"/>
    <n v="26676.959999999999"/>
    <n v="117179.28"/>
    <x v="2"/>
  </r>
  <r>
    <x v="10"/>
    <x v="1"/>
    <x v="0"/>
    <x v="0"/>
    <x v="1"/>
    <x v="0"/>
    <x v="0"/>
    <n v="7.76"/>
    <n v="51495.83"/>
    <n v="225839.02"/>
    <x v="2"/>
  </r>
  <r>
    <x v="10"/>
    <x v="1"/>
    <x v="0"/>
    <x v="0"/>
    <x v="2"/>
    <x v="0"/>
    <x v="0"/>
    <n v="0"/>
    <n v="0"/>
    <n v="0"/>
    <x v="2"/>
  </r>
  <r>
    <x v="10"/>
    <x v="1"/>
    <x v="0"/>
    <x v="0"/>
    <x v="3"/>
    <x v="0"/>
    <x v="0"/>
    <n v="2.31"/>
    <n v="15329.3"/>
    <n v="67273.72"/>
    <x v="2"/>
  </r>
  <r>
    <x v="10"/>
    <x v="1"/>
    <x v="0"/>
    <x v="0"/>
    <x v="4"/>
    <x v="0"/>
    <x v="0"/>
    <n v="0"/>
    <n v="0"/>
    <n v="0"/>
    <x v="2"/>
  </r>
  <r>
    <x v="10"/>
    <x v="1"/>
    <x v="0"/>
    <x v="0"/>
    <x v="5"/>
    <x v="0"/>
    <x v="0"/>
    <n v="0"/>
    <n v="0"/>
    <n v="0"/>
    <x v="2"/>
  </r>
  <r>
    <x v="10"/>
    <x v="1"/>
    <x v="0"/>
    <x v="0"/>
    <x v="6"/>
    <x v="0"/>
    <x v="0"/>
    <n v="0"/>
    <n v="0"/>
    <n v="0"/>
    <x v="2"/>
  </r>
  <r>
    <x v="10"/>
    <x v="1"/>
    <x v="0"/>
    <x v="0"/>
    <x v="8"/>
    <x v="0"/>
    <x v="0"/>
    <n v="0"/>
    <n v="0"/>
    <n v="0"/>
    <x v="2"/>
  </r>
  <r>
    <x v="10"/>
    <x v="1"/>
    <x v="0"/>
    <x v="1"/>
    <x v="10"/>
    <x v="0"/>
    <x v="0"/>
    <n v="2.42"/>
    <n v="16059.27"/>
    <n v="70568.17"/>
    <x v="2"/>
  </r>
  <r>
    <x v="10"/>
    <x v="1"/>
    <x v="0"/>
    <x v="1"/>
    <x v="11"/>
    <x v="0"/>
    <x v="0"/>
    <n v="0"/>
    <n v="0"/>
    <n v="0"/>
    <x v="2"/>
  </r>
  <r>
    <x v="10"/>
    <x v="1"/>
    <x v="0"/>
    <x v="1"/>
    <x v="13"/>
    <x v="0"/>
    <x v="0"/>
    <n v="0"/>
    <n v="0"/>
    <n v="0"/>
    <x v="2"/>
  </r>
  <r>
    <x v="10"/>
    <x v="1"/>
    <x v="0"/>
    <x v="1"/>
    <x v="14"/>
    <x v="0"/>
    <x v="0"/>
    <n v="0"/>
    <n v="0"/>
    <n v="0"/>
    <x v="2"/>
  </r>
  <r>
    <x v="10"/>
    <x v="1"/>
    <x v="0"/>
    <x v="1"/>
    <x v="16"/>
    <x v="0"/>
    <x v="0"/>
    <n v="0"/>
    <n v="0"/>
    <n v="0"/>
    <x v="2"/>
  </r>
  <r>
    <x v="10"/>
    <x v="1"/>
    <x v="0"/>
    <x v="1"/>
    <x v="17"/>
    <x v="0"/>
    <x v="0"/>
    <n v="0"/>
    <n v="0"/>
    <n v="0"/>
    <x v="2"/>
  </r>
  <r>
    <x v="10"/>
    <x v="1"/>
    <x v="0"/>
    <x v="1"/>
    <x v="18"/>
    <x v="0"/>
    <x v="0"/>
    <n v="0"/>
    <n v="0"/>
    <n v="0"/>
    <x v="2"/>
  </r>
  <r>
    <x v="10"/>
    <x v="1"/>
    <x v="0"/>
    <x v="1"/>
    <x v="19"/>
    <x v="0"/>
    <x v="0"/>
    <n v="0"/>
    <n v="0"/>
    <n v="0"/>
    <x v="2"/>
  </r>
  <r>
    <x v="10"/>
    <x v="1"/>
    <x v="0"/>
    <x v="1"/>
    <x v="20"/>
    <x v="0"/>
    <x v="0"/>
    <n v="3"/>
    <n v="19908.18"/>
    <n v="87344.97"/>
    <x v="2"/>
  </r>
  <r>
    <x v="10"/>
    <x v="1"/>
    <x v="0"/>
    <x v="2"/>
    <x v="21"/>
    <x v="0"/>
    <x v="0"/>
    <n v="2.77"/>
    <n v="18381.89"/>
    <n v="80510.070000000007"/>
    <x v="2"/>
  </r>
  <r>
    <x v="10"/>
    <x v="1"/>
    <x v="0"/>
    <x v="2"/>
    <x v="22"/>
    <x v="0"/>
    <x v="0"/>
    <n v="0"/>
    <n v="0"/>
    <n v="0"/>
    <x v="2"/>
  </r>
  <r>
    <x v="10"/>
    <x v="1"/>
    <x v="0"/>
    <x v="2"/>
    <x v="29"/>
    <x v="0"/>
    <x v="0"/>
    <n v="0"/>
    <n v="0"/>
    <n v="0"/>
    <x v="2"/>
  </r>
  <r>
    <x v="10"/>
    <x v="1"/>
    <x v="0"/>
    <x v="2"/>
    <x v="24"/>
    <x v="0"/>
    <x v="0"/>
    <n v="0"/>
    <n v="0"/>
    <n v="0"/>
    <x v="2"/>
  </r>
  <r>
    <x v="10"/>
    <x v="1"/>
    <x v="0"/>
    <x v="3"/>
    <x v="25"/>
    <x v="0"/>
    <x v="0"/>
    <n v="0"/>
    <n v="0"/>
    <n v="0"/>
    <x v="2"/>
  </r>
  <r>
    <x v="10"/>
    <x v="1"/>
    <x v="0"/>
    <x v="3"/>
    <x v="26"/>
    <x v="0"/>
    <x v="0"/>
    <n v="2.79"/>
    <n v="18514.61"/>
    <n v="81311.600000000006"/>
    <x v="2"/>
  </r>
  <r>
    <x v="10"/>
    <x v="1"/>
    <x v="0"/>
    <x v="3"/>
    <x v="27"/>
    <x v="0"/>
    <x v="0"/>
    <n v="3.54"/>
    <n v="23491.65"/>
    <n v="103011.71"/>
    <x v="2"/>
  </r>
  <r>
    <x v="10"/>
    <x v="1"/>
    <x v="0"/>
    <x v="0"/>
    <x v="0"/>
    <x v="0"/>
    <x v="1"/>
    <n v="3.12"/>
    <n v="20704.509999999998"/>
    <n v="90813.94"/>
    <x v="2"/>
  </r>
  <r>
    <x v="10"/>
    <x v="1"/>
    <x v="0"/>
    <x v="0"/>
    <x v="1"/>
    <x v="0"/>
    <x v="1"/>
    <n v="7.48"/>
    <n v="49637.73"/>
    <n v="217804.53"/>
    <x v="2"/>
  </r>
  <r>
    <x v="10"/>
    <x v="1"/>
    <x v="0"/>
    <x v="0"/>
    <x v="2"/>
    <x v="0"/>
    <x v="1"/>
    <n v="6.56"/>
    <n v="43532.55"/>
    <n v="191083.86"/>
    <x v="2"/>
  </r>
  <r>
    <x v="10"/>
    <x v="1"/>
    <x v="0"/>
    <x v="0"/>
    <x v="3"/>
    <x v="0"/>
    <x v="1"/>
    <n v="7.8"/>
    <n v="51761.27"/>
    <n v="227048.81"/>
    <x v="2"/>
  </r>
  <r>
    <x v="10"/>
    <x v="1"/>
    <x v="0"/>
    <x v="0"/>
    <x v="4"/>
    <x v="0"/>
    <x v="1"/>
    <n v="2.4500000000000002"/>
    <n v="16258.35"/>
    <n v="71388.91"/>
    <x v="2"/>
  </r>
  <r>
    <x v="10"/>
    <x v="1"/>
    <x v="0"/>
    <x v="0"/>
    <x v="5"/>
    <x v="0"/>
    <x v="1"/>
    <n v="5.01"/>
    <n v="33246.660000000003"/>
    <n v="145763.82"/>
    <x v="2"/>
  </r>
  <r>
    <x v="10"/>
    <x v="1"/>
    <x v="0"/>
    <x v="0"/>
    <x v="6"/>
    <x v="0"/>
    <x v="1"/>
    <n v="3.07"/>
    <n v="20372.7"/>
    <n v="89396.34"/>
    <x v="2"/>
  </r>
  <r>
    <x v="10"/>
    <x v="1"/>
    <x v="0"/>
    <x v="0"/>
    <x v="8"/>
    <x v="0"/>
    <x v="1"/>
    <n v="5.2"/>
    <n v="34507.51"/>
    <n v="151500.91"/>
    <x v="2"/>
  </r>
  <r>
    <x v="10"/>
    <x v="1"/>
    <x v="0"/>
    <x v="1"/>
    <x v="10"/>
    <x v="0"/>
    <x v="1"/>
    <n v="5.04"/>
    <n v="33445.74"/>
    <n v="146781.79999999999"/>
    <x v="2"/>
  </r>
  <r>
    <x v="10"/>
    <x v="1"/>
    <x v="0"/>
    <x v="1"/>
    <x v="11"/>
    <x v="0"/>
    <x v="1"/>
    <n v="13.61"/>
    <n v="90316.78"/>
    <n v="396193.41"/>
    <x v="2"/>
  </r>
  <r>
    <x v="10"/>
    <x v="1"/>
    <x v="0"/>
    <x v="1"/>
    <x v="13"/>
    <x v="0"/>
    <x v="1"/>
    <n v="6.16"/>
    <n v="40878.129999999997"/>
    <n v="179453.11"/>
    <x v="2"/>
  </r>
  <r>
    <x v="10"/>
    <x v="1"/>
    <x v="0"/>
    <x v="1"/>
    <x v="14"/>
    <x v="0"/>
    <x v="1"/>
    <n v="2.52"/>
    <n v="16722.87"/>
    <n v="73437.27"/>
    <x v="2"/>
  </r>
  <r>
    <x v="10"/>
    <x v="1"/>
    <x v="0"/>
    <x v="1"/>
    <x v="16"/>
    <x v="0"/>
    <x v="1"/>
    <n v="2.73"/>
    <n v="18116.439999999999"/>
    <n v="79591.149999999994"/>
    <x v="2"/>
  </r>
  <r>
    <x v="10"/>
    <x v="1"/>
    <x v="0"/>
    <x v="1"/>
    <x v="17"/>
    <x v="0"/>
    <x v="1"/>
    <n v="2.57"/>
    <n v="17054.669999999998"/>
    <n v="74922.490000000005"/>
    <x v="2"/>
  </r>
  <r>
    <x v="10"/>
    <x v="1"/>
    <x v="0"/>
    <x v="1"/>
    <x v="18"/>
    <x v="0"/>
    <x v="1"/>
    <n v="18.29"/>
    <n v="121373.54"/>
    <n v="532513.51"/>
    <x v="2"/>
  </r>
  <r>
    <x v="10"/>
    <x v="1"/>
    <x v="0"/>
    <x v="1"/>
    <x v="19"/>
    <x v="0"/>
    <x v="1"/>
    <n v="6.83"/>
    <n v="45324.29"/>
    <n v="198803.25"/>
    <x v="2"/>
  </r>
  <r>
    <x v="10"/>
    <x v="1"/>
    <x v="0"/>
    <x v="1"/>
    <x v="20"/>
    <x v="0"/>
    <x v="1"/>
    <n v="12.94"/>
    <n v="85870.62"/>
    <n v="376675.18"/>
    <x v="2"/>
  </r>
  <r>
    <x v="10"/>
    <x v="1"/>
    <x v="0"/>
    <x v="2"/>
    <x v="21"/>
    <x v="0"/>
    <x v="1"/>
    <n v="0"/>
    <n v="0"/>
    <n v="0"/>
    <x v="2"/>
  </r>
  <r>
    <x v="10"/>
    <x v="1"/>
    <x v="0"/>
    <x v="2"/>
    <x v="22"/>
    <x v="0"/>
    <x v="1"/>
    <n v="5.6"/>
    <n v="37161.94"/>
    <n v="163134.72"/>
    <x v="2"/>
  </r>
  <r>
    <x v="10"/>
    <x v="1"/>
    <x v="0"/>
    <x v="2"/>
    <x v="29"/>
    <x v="0"/>
    <x v="1"/>
    <n v="3.85"/>
    <n v="25548.83"/>
    <n v="112093.29"/>
    <x v="2"/>
  </r>
  <r>
    <x v="10"/>
    <x v="1"/>
    <x v="0"/>
    <x v="2"/>
    <x v="24"/>
    <x v="0"/>
    <x v="1"/>
    <n v="2.69"/>
    <n v="17851"/>
    <n v="78425.440000000002"/>
    <x v="2"/>
  </r>
  <r>
    <x v="10"/>
    <x v="1"/>
    <x v="0"/>
    <x v="3"/>
    <x v="25"/>
    <x v="0"/>
    <x v="1"/>
    <n v="1.95"/>
    <n v="12940.32"/>
    <n v="56717.64"/>
    <x v="2"/>
  </r>
  <r>
    <x v="10"/>
    <x v="1"/>
    <x v="0"/>
    <x v="3"/>
    <x v="26"/>
    <x v="0"/>
    <x v="1"/>
    <n v="1.83"/>
    <n v="12143.99"/>
    <n v="53273.11"/>
    <x v="2"/>
  </r>
  <r>
    <x v="10"/>
    <x v="1"/>
    <x v="0"/>
    <x v="3"/>
    <x v="27"/>
    <x v="0"/>
    <x v="1"/>
    <n v="12.97"/>
    <n v="86069.7"/>
    <n v="377709.61"/>
    <x v="2"/>
  </r>
  <r>
    <x v="10"/>
    <x v="1"/>
    <x v="0"/>
    <x v="0"/>
    <x v="0"/>
    <x v="1"/>
    <x v="0"/>
    <n v="6.73"/>
    <n v="44660.68"/>
    <n v="128152"/>
    <x v="2"/>
  </r>
  <r>
    <x v="10"/>
    <x v="1"/>
    <x v="0"/>
    <x v="0"/>
    <x v="1"/>
    <x v="1"/>
    <x v="0"/>
    <n v="13.16"/>
    <n v="87330.55"/>
    <n v="246301.16"/>
    <x v="2"/>
  </r>
  <r>
    <x v="10"/>
    <x v="1"/>
    <x v="0"/>
    <x v="0"/>
    <x v="2"/>
    <x v="1"/>
    <x v="0"/>
    <n v="4.87"/>
    <n v="32317.61"/>
    <n v="88015.98"/>
    <x v="2"/>
  </r>
  <r>
    <x v="10"/>
    <x v="1"/>
    <x v="0"/>
    <x v="0"/>
    <x v="3"/>
    <x v="1"/>
    <x v="0"/>
    <n v="13.29"/>
    <n v="88193.24"/>
    <n v="249905.9"/>
    <x v="2"/>
  </r>
  <r>
    <x v="10"/>
    <x v="1"/>
    <x v="0"/>
    <x v="0"/>
    <x v="28"/>
    <x v="1"/>
    <x v="0"/>
    <n v="0"/>
    <n v="0"/>
    <n v="0"/>
    <x v="2"/>
  </r>
  <r>
    <x v="10"/>
    <x v="1"/>
    <x v="0"/>
    <x v="0"/>
    <x v="4"/>
    <x v="1"/>
    <x v="0"/>
    <n v="7.08"/>
    <n v="46983.3"/>
    <n v="131875.85999999999"/>
    <x v="2"/>
  </r>
  <r>
    <x v="10"/>
    <x v="1"/>
    <x v="0"/>
    <x v="0"/>
    <x v="5"/>
    <x v="1"/>
    <x v="0"/>
    <n v="1.54"/>
    <n v="10219.530000000001"/>
    <n v="29510.79"/>
    <x v="2"/>
  </r>
  <r>
    <x v="10"/>
    <x v="1"/>
    <x v="0"/>
    <x v="0"/>
    <x v="6"/>
    <x v="1"/>
    <x v="0"/>
    <n v="0"/>
    <n v="0"/>
    <n v="0"/>
    <x v="2"/>
  </r>
  <r>
    <x v="10"/>
    <x v="1"/>
    <x v="0"/>
    <x v="0"/>
    <x v="7"/>
    <x v="1"/>
    <x v="0"/>
    <n v="0"/>
    <n v="0"/>
    <n v="0"/>
    <x v="2"/>
  </r>
  <r>
    <x v="10"/>
    <x v="1"/>
    <x v="0"/>
    <x v="0"/>
    <x v="8"/>
    <x v="1"/>
    <x v="0"/>
    <n v="0"/>
    <n v="0"/>
    <n v="0"/>
    <x v="2"/>
  </r>
  <r>
    <x v="10"/>
    <x v="1"/>
    <x v="0"/>
    <x v="1"/>
    <x v="30"/>
    <x v="1"/>
    <x v="0"/>
    <n v="3.09"/>
    <n v="20505.43"/>
    <n v="62028.72"/>
    <x v="2"/>
  </r>
  <r>
    <x v="10"/>
    <x v="1"/>
    <x v="0"/>
    <x v="1"/>
    <x v="9"/>
    <x v="1"/>
    <x v="0"/>
    <n v="0"/>
    <n v="0"/>
    <n v="0"/>
    <x v="2"/>
  </r>
  <r>
    <x v="10"/>
    <x v="1"/>
    <x v="0"/>
    <x v="1"/>
    <x v="31"/>
    <x v="1"/>
    <x v="0"/>
    <n v="3.98"/>
    <n v="26411.52"/>
    <n v="80546.12"/>
    <x v="2"/>
  </r>
  <r>
    <x v="10"/>
    <x v="1"/>
    <x v="0"/>
    <x v="1"/>
    <x v="10"/>
    <x v="1"/>
    <x v="0"/>
    <n v="10"/>
    <n v="66360.600000000006"/>
    <n v="198627.25"/>
    <x v="2"/>
  </r>
  <r>
    <x v="10"/>
    <x v="1"/>
    <x v="0"/>
    <x v="1"/>
    <x v="11"/>
    <x v="1"/>
    <x v="0"/>
    <n v="10.19"/>
    <n v="67621.45"/>
    <n v="192871.91"/>
    <x v="2"/>
  </r>
  <r>
    <x v="10"/>
    <x v="1"/>
    <x v="0"/>
    <x v="1"/>
    <x v="12"/>
    <x v="1"/>
    <x v="0"/>
    <n v="2.61"/>
    <n v="17320.12"/>
    <n v="51971.85"/>
    <x v="2"/>
  </r>
  <r>
    <x v="10"/>
    <x v="1"/>
    <x v="0"/>
    <x v="1"/>
    <x v="13"/>
    <x v="1"/>
    <x v="0"/>
    <n v="2.69"/>
    <n v="17851"/>
    <n v="53247.3"/>
    <x v="2"/>
  </r>
  <r>
    <x v="10"/>
    <x v="1"/>
    <x v="0"/>
    <x v="1"/>
    <x v="14"/>
    <x v="1"/>
    <x v="0"/>
    <n v="13.95"/>
    <n v="92573.04"/>
    <n v="271225.76"/>
    <x v="2"/>
  </r>
  <r>
    <x v="10"/>
    <x v="1"/>
    <x v="0"/>
    <x v="1"/>
    <x v="15"/>
    <x v="1"/>
    <x v="0"/>
    <n v="3.29"/>
    <n v="21832.639999999999"/>
    <n v="66229.19"/>
    <x v="2"/>
  </r>
  <r>
    <x v="10"/>
    <x v="1"/>
    <x v="0"/>
    <x v="1"/>
    <x v="16"/>
    <x v="1"/>
    <x v="0"/>
    <n v="6.59"/>
    <n v="43731.64"/>
    <n v="126275.54"/>
    <x v="2"/>
  </r>
  <r>
    <x v="10"/>
    <x v="1"/>
    <x v="0"/>
    <x v="1"/>
    <x v="17"/>
    <x v="1"/>
    <x v="0"/>
    <n v="9.17"/>
    <n v="60852.67"/>
    <n v="177208.56"/>
    <x v="2"/>
  </r>
  <r>
    <x v="10"/>
    <x v="1"/>
    <x v="0"/>
    <x v="1"/>
    <x v="18"/>
    <x v="1"/>
    <x v="0"/>
    <n v="12.52"/>
    <n v="83083.47"/>
    <n v="253238.9"/>
    <x v="2"/>
  </r>
  <r>
    <x v="10"/>
    <x v="1"/>
    <x v="0"/>
    <x v="1"/>
    <x v="19"/>
    <x v="1"/>
    <x v="0"/>
    <n v="15.17"/>
    <n v="100669.03"/>
    <n v="297747.52"/>
    <x v="2"/>
  </r>
  <r>
    <x v="10"/>
    <x v="1"/>
    <x v="0"/>
    <x v="1"/>
    <x v="20"/>
    <x v="1"/>
    <x v="0"/>
    <n v="7.29"/>
    <n v="48376.88"/>
    <n v="140724.07"/>
    <x v="2"/>
  </r>
  <r>
    <x v="10"/>
    <x v="1"/>
    <x v="0"/>
    <x v="2"/>
    <x v="21"/>
    <x v="1"/>
    <x v="0"/>
    <n v="0"/>
    <n v="0"/>
    <n v="0"/>
    <x v="2"/>
  </r>
  <r>
    <x v="10"/>
    <x v="1"/>
    <x v="0"/>
    <x v="2"/>
    <x v="22"/>
    <x v="1"/>
    <x v="0"/>
    <n v="7.55"/>
    <n v="50102.25"/>
    <n v="133858.57999999999"/>
    <x v="2"/>
  </r>
  <r>
    <x v="10"/>
    <x v="1"/>
    <x v="0"/>
    <x v="2"/>
    <x v="29"/>
    <x v="1"/>
    <x v="0"/>
    <n v="0"/>
    <n v="0"/>
    <n v="0"/>
    <x v="2"/>
  </r>
  <r>
    <x v="10"/>
    <x v="1"/>
    <x v="0"/>
    <x v="2"/>
    <x v="23"/>
    <x v="1"/>
    <x v="0"/>
    <n v="0"/>
    <n v="0"/>
    <n v="0"/>
    <x v="2"/>
  </r>
  <r>
    <x v="10"/>
    <x v="1"/>
    <x v="0"/>
    <x v="2"/>
    <x v="24"/>
    <x v="1"/>
    <x v="0"/>
    <n v="2.06"/>
    <n v="13670.28"/>
    <n v="37093.78"/>
    <x v="2"/>
  </r>
  <r>
    <x v="10"/>
    <x v="1"/>
    <x v="0"/>
    <x v="3"/>
    <x v="25"/>
    <x v="1"/>
    <x v="0"/>
    <n v="8.98"/>
    <n v="59591.82"/>
    <n v="179165.56"/>
    <x v="2"/>
  </r>
  <r>
    <x v="10"/>
    <x v="1"/>
    <x v="0"/>
    <x v="3"/>
    <x v="26"/>
    <x v="1"/>
    <x v="0"/>
    <n v="6.22"/>
    <n v="41276.29"/>
    <n v="124954.55"/>
    <x v="2"/>
  </r>
  <r>
    <x v="10"/>
    <x v="1"/>
    <x v="0"/>
    <x v="3"/>
    <x v="27"/>
    <x v="1"/>
    <x v="0"/>
    <n v="15.33"/>
    <n v="101730.8"/>
    <n v="302221.94"/>
    <x v="2"/>
  </r>
  <r>
    <x v="10"/>
    <x v="1"/>
    <x v="0"/>
    <x v="0"/>
    <x v="0"/>
    <x v="1"/>
    <x v="1"/>
    <n v="11.36"/>
    <n v="75385.64"/>
    <n v="216360.53"/>
    <x v="2"/>
  </r>
  <r>
    <x v="10"/>
    <x v="1"/>
    <x v="0"/>
    <x v="0"/>
    <x v="1"/>
    <x v="1"/>
    <x v="1"/>
    <n v="24.65"/>
    <n v="163578.88"/>
    <n v="461404.18"/>
    <x v="2"/>
  </r>
  <r>
    <x v="10"/>
    <x v="1"/>
    <x v="0"/>
    <x v="0"/>
    <x v="2"/>
    <x v="1"/>
    <x v="1"/>
    <n v="14.69"/>
    <n v="97483.72"/>
    <n v="265619.67"/>
    <x v="2"/>
  </r>
  <r>
    <x v="10"/>
    <x v="1"/>
    <x v="0"/>
    <x v="0"/>
    <x v="3"/>
    <x v="1"/>
    <x v="1"/>
    <n v="38.200000000000003"/>
    <n v="253497.49"/>
    <n v="718479.48"/>
    <x v="2"/>
  </r>
  <r>
    <x v="10"/>
    <x v="1"/>
    <x v="0"/>
    <x v="0"/>
    <x v="28"/>
    <x v="1"/>
    <x v="1"/>
    <n v="2.2799999999999998"/>
    <n v="15130.22"/>
    <n v="43388.3"/>
    <x v="2"/>
  </r>
  <r>
    <x v="10"/>
    <x v="1"/>
    <x v="0"/>
    <x v="0"/>
    <x v="4"/>
    <x v="1"/>
    <x v="1"/>
    <n v="9.89"/>
    <n v="65630.63"/>
    <n v="184288.07"/>
    <x v="2"/>
  </r>
  <r>
    <x v="10"/>
    <x v="1"/>
    <x v="0"/>
    <x v="0"/>
    <x v="5"/>
    <x v="1"/>
    <x v="1"/>
    <n v="27.32"/>
    <n v="181297.16"/>
    <n v="524250.55"/>
    <x v="2"/>
  </r>
  <r>
    <x v="10"/>
    <x v="1"/>
    <x v="0"/>
    <x v="0"/>
    <x v="6"/>
    <x v="1"/>
    <x v="1"/>
    <n v="3.17"/>
    <n v="21036.31"/>
    <n v="60688.51"/>
    <x v="2"/>
  </r>
  <r>
    <x v="10"/>
    <x v="1"/>
    <x v="0"/>
    <x v="0"/>
    <x v="7"/>
    <x v="1"/>
    <x v="1"/>
    <n v="18.57"/>
    <n v="123231.63"/>
    <n v="361130.64"/>
    <x v="2"/>
  </r>
  <r>
    <x v="10"/>
    <x v="1"/>
    <x v="0"/>
    <x v="0"/>
    <x v="8"/>
    <x v="1"/>
    <x v="1"/>
    <n v="4.4400000000000004"/>
    <n v="29464.11"/>
    <n v="82261.81"/>
    <x v="2"/>
  </r>
  <r>
    <x v="10"/>
    <x v="1"/>
    <x v="0"/>
    <x v="1"/>
    <x v="30"/>
    <x v="1"/>
    <x v="1"/>
    <n v="0"/>
    <n v="0"/>
    <n v="0"/>
    <x v="2"/>
  </r>
  <r>
    <x v="10"/>
    <x v="1"/>
    <x v="0"/>
    <x v="1"/>
    <x v="9"/>
    <x v="1"/>
    <x v="1"/>
    <n v="5.05"/>
    <n v="33512.1"/>
    <n v="101145.98"/>
    <x v="2"/>
  </r>
  <r>
    <x v="10"/>
    <x v="1"/>
    <x v="0"/>
    <x v="1"/>
    <x v="31"/>
    <x v="1"/>
    <x v="1"/>
    <n v="0"/>
    <n v="0"/>
    <n v="0"/>
    <x v="2"/>
  </r>
  <r>
    <x v="10"/>
    <x v="1"/>
    <x v="0"/>
    <x v="1"/>
    <x v="10"/>
    <x v="1"/>
    <x v="1"/>
    <n v="32.53"/>
    <n v="215871.03"/>
    <n v="645985.91"/>
    <x v="2"/>
  </r>
  <r>
    <x v="10"/>
    <x v="1"/>
    <x v="0"/>
    <x v="1"/>
    <x v="11"/>
    <x v="1"/>
    <x v="1"/>
    <n v="32.72"/>
    <n v="217131.88"/>
    <n v="619220.32999999996"/>
    <x v="2"/>
  </r>
  <r>
    <x v="10"/>
    <x v="1"/>
    <x v="0"/>
    <x v="1"/>
    <x v="12"/>
    <x v="1"/>
    <x v="1"/>
    <n v="2.7"/>
    <n v="17917.36"/>
    <n v="53827.99"/>
    <x v="2"/>
  </r>
  <r>
    <x v="10"/>
    <x v="1"/>
    <x v="0"/>
    <x v="1"/>
    <x v="13"/>
    <x v="1"/>
    <x v="1"/>
    <n v="12.13"/>
    <n v="80495.41"/>
    <n v="240471.69"/>
    <x v="2"/>
  </r>
  <r>
    <x v="10"/>
    <x v="1"/>
    <x v="0"/>
    <x v="1"/>
    <x v="14"/>
    <x v="1"/>
    <x v="1"/>
    <n v="8.17"/>
    <n v="54216.61"/>
    <n v="158934.84"/>
    <x v="2"/>
  </r>
  <r>
    <x v="10"/>
    <x v="1"/>
    <x v="0"/>
    <x v="1"/>
    <x v="15"/>
    <x v="1"/>
    <x v="1"/>
    <n v="1.83"/>
    <n v="12143.99"/>
    <n v="36794"/>
    <x v="2"/>
  </r>
  <r>
    <x v="10"/>
    <x v="1"/>
    <x v="0"/>
    <x v="1"/>
    <x v="16"/>
    <x v="1"/>
    <x v="1"/>
    <n v="13.65"/>
    <n v="90582.22"/>
    <n v="261412.52"/>
    <x v="2"/>
  </r>
  <r>
    <x v="10"/>
    <x v="1"/>
    <x v="0"/>
    <x v="1"/>
    <x v="17"/>
    <x v="1"/>
    <x v="1"/>
    <n v="6.05"/>
    <n v="40148.160000000003"/>
    <n v="116992.06"/>
    <x v="2"/>
  </r>
  <r>
    <x v="10"/>
    <x v="1"/>
    <x v="0"/>
    <x v="1"/>
    <x v="18"/>
    <x v="1"/>
    <x v="1"/>
    <n v="34.69"/>
    <n v="230204.92"/>
    <n v="701833.53"/>
    <x v="2"/>
  </r>
  <r>
    <x v="10"/>
    <x v="1"/>
    <x v="0"/>
    <x v="1"/>
    <x v="19"/>
    <x v="1"/>
    <x v="1"/>
    <n v="15.69"/>
    <n v="104119.78"/>
    <n v="307874.99"/>
    <x v="2"/>
  </r>
  <r>
    <x v="10"/>
    <x v="1"/>
    <x v="0"/>
    <x v="1"/>
    <x v="20"/>
    <x v="1"/>
    <x v="1"/>
    <n v="27.08"/>
    <n v="179704.5"/>
    <n v="522689.4"/>
    <x v="2"/>
  </r>
  <r>
    <x v="10"/>
    <x v="1"/>
    <x v="0"/>
    <x v="2"/>
    <x v="21"/>
    <x v="1"/>
    <x v="1"/>
    <n v="1.1599999999999999"/>
    <n v="7697.83"/>
    <n v="20551.27"/>
    <x v="2"/>
  </r>
  <r>
    <x v="10"/>
    <x v="1"/>
    <x v="0"/>
    <x v="2"/>
    <x v="22"/>
    <x v="1"/>
    <x v="1"/>
    <n v="17.93"/>
    <n v="118984.56"/>
    <n v="317914.13"/>
    <x v="2"/>
  </r>
  <r>
    <x v="10"/>
    <x v="1"/>
    <x v="0"/>
    <x v="2"/>
    <x v="29"/>
    <x v="1"/>
    <x v="1"/>
    <n v="2.83"/>
    <n v="18780.05"/>
    <n v="53383.15"/>
    <x v="2"/>
  </r>
  <r>
    <x v="10"/>
    <x v="1"/>
    <x v="0"/>
    <x v="2"/>
    <x v="23"/>
    <x v="1"/>
    <x v="1"/>
    <n v="3"/>
    <n v="19908.18"/>
    <n v="55283.5"/>
    <x v="2"/>
  </r>
  <r>
    <x v="10"/>
    <x v="1"/>
    <x v="0"/>
    <x v="2"/>
    <x v="24"/>
    <x v="1"/>
    <x v="1"/>
    <n v="1.89"/>
    <n v="12542.15"/>
    <n v="34126.28"/>
    <x v="2"/>
  </r>
  <r>
    <x v="10"/>
    <x v="1"/>
    <x v="0"/>
    <x v="3"/>
    <x v="25"/>
    <x v="1"/>
    <x v="1"/>
    <n v="12.38"/>
    <n v="82154.42"/>
    <n v="246809.7"/>
    <x v="2"/>
  </r>
  <r>
    <x v="10"/>
    <x v="1"/>
    <x v="0"/>
    <x v="3"/>
    <x v="26"/>
    <x v="1"/>
    <x v="1"/>
    <n v="26.62"/>
    <n v="176651.92"/>
    <n v="534731.99"/>
    <x v="2"/>
  </r>
  <r>
    <x v="10"/>
    <x v="1"/>
    <x v="0"/>
    <x v="3"/>
    <x v="27"/>
    <x v="1"/>
    <x v="1"/>
    <n v="36.71"/>
    <n v="243609.76"/>
    <n v="723605.67"/>
    <x v="2"/>
  </r>
  <r>
    <x v="10"/>
    <x v="1"/>
    <x v="1"/>
    <x v="0"/>
    <x v="0"/>
    <x v="0"/>
    <x v="0"/>
    <n v="1.53"/>
    <n v="4165.8500000000004"/>
    <n v="14772.7"/>
    <x v="2"/>
  </r>
  <r>
    <x v="10"/>
    <x v="1"/>
    <x v="1"/>
    <x v="0"/>
    <x v="1"/>
    <x v="0"/>
    <x v="0"/>
    <n v="2.4500000000000002"/>
    <n v="6670.81"/>
    <n v="23563.119999999999"/>
    <x v="2"/>
  </r>
  <r>
    <x v="10"/>
    <x v="1"/>
    <x v="1"/>
    <x v="0"/>
    <x v="2"/>
    <x v="0"/>
    <x v="0"/>
    <n v="0"/>
    <n v="0"/>
    <n v="0"/>
    <x v="2"/>
  </r>
  <r>
    <x v="10"/>
    <x v="1"/>
    <x v="1"/>
    <x v="0"/>
    <x v="3"/>
    <x v="0"/>
    <x v="0"/>
    <n v="2.23"/>
    <n v="6071.8"/>
    <n v="21426.38"/>
    <x v="2"/>
  </r>
  <r>
    <x v="10"/>
    <x v="1"/>
    <x v="1"/>
    <x v="0"/>
    <x v="4"/>
    <x v="0"/>
    <x v="0"/>
    <n v="0"/>
    <n v="0"/>
    <n v="0"/>
    <x v="2"/>
  </r>
  <r>
    <x v="10"/>
    <x v="1"/>
    <x v="1"/>
    <x v="0"/>
    <x v="5"/>
    <x v="0"/>
    <x v="0"/>
    <n v="0"/>
    <n v="0"/>
    <n v="0"/>
    <x v="2"/>
  </r>
  <r>
    <x v="10"/>
    <x v="1"/>
    <x v="1"/>
    <x v="0"/>
    <x v="6"/>
    <x v="0"/>
    <x v="0"/>
    <n v="0"/>
    <n v="0"/>
    <n v="0"/>
    <x v="2"/>
  </r>
  <r>
    <x v="10"/>
    <x v="1"/>
    <x v="1"/>
    <x v="0"/>
    <x v="8"/>
    <x v="0"/>
    <x v="0"/>
    <n v="0"/>
    <n v="0"/>
    <n v="0"/>
    <x v="2"/>
  </r>
  <r>
    <x v="10"/>
    <x v="1"/>
    <x v="1"/>
    <x v="1"/>
    <x v="10"/>
    <x v="0"/>
    <x v="0"/>
    <n v="0.99"/>
    <n v="2695.55"/>
    <n v="9533.59"/>
    <x v="2"/>
  </r>
  <r>
    <x v="10"/>
    <x v="1"/>
    <x v="1"/>
    <x v="1"/>
    <x v="11"/>
    <x v="0"/>
    <x v="0"/>
    <n v="0"/>
    <n v="0"/>
    <n v="0"/>
    <x v="2"/>
  </r>
  <r>
    <x v="10"/>
    <x v="1"/>
    <x v="1"/>
    <x v="1"/>
    <x v="13"/>
    <x v="0"/>
    <x v="0"/>
    <n v="0"/>
    <n v="0"/>
    <n v="0"/>
    <x v="2"/>
  </r>
  <r>
    <x v="10"/>
    <x v="1"/>
    <x v="1"/>
    <x v="1"/>
    <x v="14"/>
    <x v="0"/>
    <x v="0"/>
    <n v="0"/>
    <n v="0"/>
    <n v="0"/>
    <x v="2"/>
  </r>
  <r>
    <x v="10"/>
    <x v="1"/>
    <x v="1"/>
    <x v="1"/>
    <x v="16"/>
    <x v="0"/>
    <x v="0"/>
    <n v="0"/>
    <n v="0"/>
    <n v="0"/>
    <x v="2"/>
  </r>
  <r>
    <x v="10"/>
    <x v="1"/>
    <x v="1"/>
    <x v="1"/>
    <x v="17"/>
    <x v="0"/>
    <x v="0"/>
    <n v="0"/>
    <n v="0"/>
    <n v="0"/>
    <x v="2"/>
  </r>
  <r>
    <x v="10"/>
    <x v="1"/>
    <x v="1"/>
    <x v="1"/>
    <x v="18"/>
    <x v="0"/>
    <x v="0"/>
    <n v="0"/>
    <n v="0"/>
    <n v="0"/>
    <x v="2"/>
  </r>
  <r>
    <x v="10"/>
    <x v="1"/>
    <x v="1"/>
    <x v="1"/>
    <x v="19"/>
    <x v="0"/>
    <x v="0"/>
    <n v="0"/>
    <n v="0"/>
    <n v="0"/>
    <x v="2"/>
  </r>
  <r>
    <x v="10"/>
    <x v="1"/>
    <x v="1"/>
    <x v="1"/>
    <x v="20"/>
    <x v="0"/>
    <x v="0"/>
    <n v="1.1399999999999999"/>
    <n v="3103.97"/>
    <n v="10942.06"/>
    <x v="2"/>
  </r>
  <r>
    <x v="10"/>
    <x v="1"/>
    <x v="1"/>
    <x v="2"/>
    <x v="21"/>
    <x v="0"/>
    <x v="0"/>
    <n v="1.24"/>
    <n v="3376.25"/>
    <n v="11933.42"/>
    <x v="2"/>
  </r>
  <r>
    <x v="10"/>
    <x v="1"/>
    <x v="1"/>
    <x v="2"/>
    <x v="22"/>
    <x v="0"/>
    <x v="0"/>
    <n v="0"/>
    <n v="0"/>
    <n v="0"/>
    <x v="2"/>
  </r>
  <r>
    <x v="10"/>
    <x v="1"/>
    <x v="1"/>
    <x v="2"/>
    <x v="29"/>
    <x v="0"/>
    <x v="0"/>
    <n v="0"/>
    <n v="0"/>
    <n v="0"/>
    <x v="2"/>
  </r>
  <r>
    <x v="10"/>
    <x v="1"/>
    <x v="1"/>
    <x v="2"/>
    <x v="24"/>
    <x v="0"/>
    <x v="0"/>
    <n v="0"/>
    <n v="0"/>
    <n v="0"/>
    <x v="2"/>
  </r>
  <r>
    <x v="10"/>
    <x v="1"/>
    <x v="1"/>
    <x v="3"/>
    <x v="25"/>
    <x v="0"/>
    <x v="0"/>
    <n v="0"/>
    <n v="0"/>
    <n v="0"/>
    <x v="2"/>
  </r>
  <r>
    <x v="10"/>
    <x v="1"/>
    <x v="1"/>
    <x v="3"/>
    <x v="26"/>
    <x v="0"/>
    <x v="0"/>
    <n v="1.96"/>
    <n v="5336.65"/>
    <n v="18837.27"/>
    <x v="2"/>
  </r>
  <r>
    <x v="10"/>
    <x v="1"/>
    <x v="1"/>
    <x v="3"/>
    <x v="27"/>
    <x v="0"/>
    <x v="0"/>
    <n v="1.56"/>
    <n v="4247.54"/>
    <n v="15060.12"/>
    <x v="2"/>
  </r>
  <r>
    <x v="10"/>
    <x v="1"/>
    <x v="1"/>
    <x v="0"/>
    <x v="0"/>
    <x v="0"/>
    <x v="1"/>
    <n v="1.19"/>
    <n v="3240.11"/>
    <n v="11489.88"/>
    <x v="2"/>
  </r>
  <r>
    <x v="10"/>
    <x v="1"/>
    <x v="1"/>
    <x v="0"/>
    <x v="1"/>
    <x v="0"/>
    <x v="1"/>
    <n v="4.2"/>
    <n v="11435.68"/>
    <n v="40435.480000000003"/>
    <x v="2"/>
  </r>
  <r>
    <x v="10"/>
    <x v="1"/>
    <x v="1"/>
    <x v="0"/>
    <x v="2"/>
    <x v="0"/>
    <x v="1"/>
    <n v="2.2000000000000002"/>
    <n v="5990.12"/>
    <n v="21161.07"/>
    <x v="2"/>
  </r>
  <r>
    <x v="10"/>
    <x v="1"/>
    <x v="1"/>
    <x v="0"/>
    <x v="3"/>
    <x v="0"/>
    <x v="1"/>
    <n v="6.36"/>
    <n v="17316.88"/>
    <n v="61218.23"/>
    <x v="2"/>
  </r>
  <r>
    <x v="10"/>
    <x v="1"/>
    <x v="1"/>
    <x v="0"/>
    <x v="4"/>
    <x v="0"/>
    <x v="1"/>
    <n v="1.54"/>
    <n v="4193.08"/>
    <n v="14852.75"/>
    <x v="2"/>
  </r>
  <r>
    <x v="10"/>
    <x v="1"/>
    <x v="1"/>
    <x v="0"/>
    <x v="5"/>
    <x v="0"/>
    <x v="1"/>
    <n v="3.06"/>
    <n v="8331.7099999999991"/>
    <n v="29451.24"/>
    <x v="2"/>
  </r>
  <r>
    <x v="10"/>
    <x v="1"/>
    <x v="1"/>
    <x v="0"/>
    <x v="6"/>
    <x v="0"/>
    <x v="1"/>
    <n v="1.51"/>
    <n v="4111.3999999999996"/>
    <n v="14581.3"/>
    <x v="2"/>
  </r>
  <r>
    <x v="10"/>
    <x v="1"/>
    <x v="1"/>
    <x v="0"/>
    <x v="8"/>
    <x v="0"/>
    <x v="1"/>
    <n v="2.02"/>
    <n v="5500.02"/>
    <n v="19457.55"/>
    <x v="2"/>
  </r>
  <r>
    <x v="10"/>
    <x v="1"/>
    <x v="1"/>
    <x v="1"/>
    <x v="10"/>
    <x v="0"/>
    <x v="1"/>
    <n v="2.87"/>
    <n v="7814.38"/>
    <n v="27647.42"/>
    <x v="2"/>
  </r>
  <r>
    <x v="10"/>
    <x v="1"/>
    <x v="1"/>
    <x v="1"/>
    <x v="11"/>
    <x v="0"/>
    <x v="1"/>
    <n v="5.24"/>
    <n v="14267.37"/>
    <n v="50400.76"/>
    <x v="2"/>
  </r>
  <r>
    <x v="10"/>
    <x v="1"/>
    <x v="1"/>
    <x v="1"/>
    <x v="13"/>
    <x v="0"/>
    <x v="1"/>
    <n v="1.86"/>
    <n v="5064.37"/>
    <n v="17951.439999999999"/>
    <x v="2"/>
  </r>
  <r>
    <x v="10"/>
    <x v="1"/>
    <x v="1"/>
    <x v="1"/>
    <x v="14"/>
    <x v="0"/>
    <x v="1"/>
    <n v="1.53"/>
    <n v="4165.8500000000004"/>
    <n v="14761.38"/>
    <x v="2"/>
  </r>
  <r>
    <x v="10"/>
    <x v="1"/>
    <x v="1"/>
    <x v="1"/>
    <x v="16"/>
    <x v="0"/>
    <x v="1"/>
    <n v="1.3"/>
    <n v="3539.61"/>
    <n v="12526.68"/>
    <x v="2"/>
  </r>
  <r>
    <x v="10"/>
    <x v="1"/>
    <x v="1"/>
    <x v="1"/>
    <x v="17"/>
    <x v="0"/>
    <x v="1"/>
    <n v="0.88"/>
    <n v="2396.0500000000002"/>
    <n v="8481.51"/>
    <x v="2"/>
  </r>
  <r>
    <x v="10"/>
    <x v="1"/>
    <x v="1"/>
    <x v="1"/>
    <x v="18"/>
    <x v="0"/>
    <x v="1"/>
    <n v="7.73"/>
    <n v="21047.09"/>
    <n v="74440.289999999994"/>
    <x v="2"/>
  </r>
  <r>
    <x v="10"/>
    <x v="1"/>
    <x v="1"/>
    <x v="1"/>
    <x v="19"/>
    <x v="0"/>
    <x v="1"/>
    <n v="4.79"/>
    <n v="13042.12"/>
    <n v="46153.62"/>
    <x v="2"/>
  </r>
  <r>
    <x v="10"/>
    <x v="1"/>
    <x v="1"/>
    <x v="1"/>
    <x v="20"/>
    <x v="0"/>
    <x v="1"/>
    <n v="8.6199999999999992"/>
    <n v="23470.36"/>
    <n v="82977.3"/>
    <x v="2"/>
  </r>
  <r>
    <x v="10"/>
    <x v="1"/>
    <x v="1"/>
    <x v="2"/>
    <x v="21"/>
    <x v="0"/>
    <x v="1"/>
    <n v="0"/>
    <n v="0"/>
    <n v="0"/>
    <x v="2"/>
  </r>
  <r>
    <x v="10"/>
    <x v="1"/>
    <x v="1"/>
    <x v="2"/>
    <x v="22"/>
    <x v="0"/>
    <x v="1"/>
    <n v="2.96"/>
    <n v="8059.43"/>
    <n v="28452.31"/>
    <x v="2"/>
  </r>
  <r>
    <x v="10"/>
    <x v="1"/>
    <x v="1"/>
    <x v="2"/>
    <x v="29"/>
    <x v="0"/>
    <x v="1"/>
    <n v="2.25"/>
    <n v="6126.26"/>
    <n v="21704.01"/>
    <x v="2"/>
  </r>
  <r>
    <x v="10"/>
    <x v="1"/>
    <x v="1"/>
    <x v="2"/>
    <x v="24"/>
    <x v="0"/>
    <x v="1"/>
    <n v="2.25"/>
    <n v="6126.26"/>
    <n v="21681.65"/>
    <x v="2"/>
  </r>
  <r>
    <x v="10"/>
    <x v="1"/>
    <x v="1"/>
    <x v="3"/>
    <x v="25"/>
    <x v="0"/>
    <x v="1"/>
    <n v="1.47"/>
    <n v="4002.49"/>
    <n v="14196.75"/>
    <x v="2"/>
  </r>
  <r>
    <x v="10"/>
    <x v="1"/>
    <x v="1"/>
    <x v="3"/>
    <x v="26"/>
    <x v="0"/>
    <x v="1"/>
    <n v="0.93"/>
    <n v="2532.19"/>
    <n v="8970.1299999999992"/>
    <x v="2"/>
  </r>
  <r>
    <x v="10"/>
    <x v="1"/>
    <x v="1"/>
    <x v="3"/>
    <x v="27"/>
    <x v="0"/>
    <x v="1"/>
    <n v="6.16"/>
    <n v="16772.32"/>
    <n v="59299.23"/>
    <x v="2"/>
  </r>
  <r>
    <x v="10"/>
    <x v="1"/>
    <x v="1"/>
    <x v="0"/>
    <x v="0"/>
    <x v="1"/>
    <x v="0"/>
    <n v="4.2"/>
    <n v="11435.68"/>
    <n v="26472.31"/>
    <x v="2"/>
  </r>
  <r>
    <x v="10"/>
    <x v="1"/>
    <x v="1"/>
    <x v="0"/>
    <x v="1"/>
    <x v="1"/>
    <x v="0"/>
    <n v="12.01"/>
    <n v="32700.59"/>
    <n v="74360.55"/>
    <x v="2"/>
  </r>
  <r>
    <x v="10"/>
    <x v="1"/>
    <x v="1"/>
    <x v="0"/>
    <x v="2"/>
    <x v="1"/>
    <x v="0"/>
    <n v="2.5099999999999998"/>
    <n v="6834.18"/>
    <n v="14982.5"/>
    <x v="2"/>
  </r>
  <r>
    <x v="10"/>
    <x v="1"/>
    <x v="1"/>
    <x v="0"/>
    <x v="3"/>
    <x v="1"/>
    <x v="0"/>
    <n v="5.15"/>
    <n v="14022.32"/>
    <n v="32023.18"/>
    <x v="2"/>
  </r>
  <r>
    <x v="10"/>
    <x v="1"/>
    <x v="1"/>
    <x v="0"/>
    <x v="28"/>
    <x v="1"/>
    <x v="0"/>
    <n v="0"/>
    <n v="0"/>
    <n v="0"/>
    <x v="2"/>
  </r>
  <r>
    <x v="10"/>
    <x v="1"/>
    <x v="1"/>
    <x v="0"/>
    <x v="4"/>
    <x v="1"/>
    <x v="0"/>
    <n v="3.46"/>
    <n v="9420.82"/>
    <n v="21343.46"/>
    <x v="2"/>
  </r>
  <r>
    <x v="10"/>
    <x v="1"/>
    <x v="1"/>
    <x v="0"/>
    <x v="5"/>
    <x v="1"/>
    <x v="0"/>
    <n v="0.81"/>
    <n v="2205.4499999999998"/>
    <n v="5134.6899999999996"/>
    <x v="2"/>
  </r>
  <r>
    <x v="10"/>
    <x v="1"/>
    <x v="1"/>
    <x v="0"/>
    <x v="6"/>
    <x v="1"/>
    <x v="0"/>
    <n v="0"/>
    <n v="0"/>
    <n v="0"/>
    <x v="2"/>
  </r>
  <r>
    <x v="10"/>
    <x v="1"/>
    <x v="1"/>
    <x v="0"/>
    <x v="7"/>
    <x v="1"/>
    <x v="0"/>
    <n v="0"/>
    <n v="0"/>
    <n v="0"/>
    <x v="2"/>
  </r>
  <r>
    <x v="10"/>
    <x v="1"/>
    <x v="1"/>
    <x v="0"/>
    <x v="8"/>
    <x v="1"/>
    <x v="0"/>
    <n v="0"/>
    <n v="0"/>
    <n v="0"/>
    <x v="2"/>
  </r>
  <r>
    <x v="10"/>
    <x v="1"/>
    <x v="1"/>
    <x v="1"/>
    <x v="30"/>
    <x v="1"/>
    <x v="0"/>
    <n v="0.56999999999999995"/>
    <n v="1551.98"/>
    <n v="3802"/>
    <x v="2"/>
  </r>
  <r>
    <x v="10"/>
    <x v="1"/>
    <x v="1"/>
    <x v="1"/>
    <x v="9"/>
    <x v="1"/>
    <x v="0"/>
    <n v="0"/>
    <n v="0"/>
    <n v="0"/>
    <x v="2"/>
  </r>
  <r>
    <x v="10"/>
    <x v="1"/>
    <x v="1"/>
    <x v="1"/>
    <x v="31"/>
    <x v="1"/>
    <x v="0"/>
    <n v="2.4"/>
    <n v="6534.67"/>
    <n v="16030.61"/>
    <x v="2"/>
  </r>
  <r>
    <x v="10"/>
    <x v="1"/>
    <x v="1"/>
    <x v="1"/>
    <x v="10"/>
    <x v="1"/>
    <x v="0"/>
    <n v="6.31"/>
    <n v="17180.740000000002"/>
    <n v="41443.94"/>
    <x v="2"/>
  </r>
  <r>
    <x v="10"/>
    <x v="1"/>
    <x v="1"/>
    <x v="1"/>
    <x v="11"/>
    <x v="1"/>
    <x v="0"/>
    <n v="4.3600000000000003"/>
    <n v="11871.32"/>
    <n v="27274.43"/>
    <x v="2"/>
  </r>
  <r>
    <x v="10"/>
    <x v="1"/>
    <x v="1"/>
    <x v="1"/>
    <x v="12"/>
    <x v="1"/>
    <x v="0"/>
    <n v="1.7"/>
    <n v="4628.7299999999996"/>
    <n v="11168.99"/>
    <x v="2"/>
  </r>
  <r>
    <x v="10"/>
    <x v="1"/>
    <x v="1"/>
    <x v="1"/>
    <x v="13"/>
    <x v="1"/>
    <x v="0"/>
    <n v="1.21"/>
    <n v="3294.56"/>
    <n v="7953.48"/>
    <x v="2"/>
  </r>
  <r>
    <x v="10"/>
    <x v="1"/>
    <x v="1"/>
    <x v="1"/>
    <x v="14"/>
    <x v="1"/>
    <x v="0"/>
    <n v="9.2200000000000006"/>
    <n v="25104.03"/>
    <n v="59302.98"/>
    <x v="2"/>
  </r>
  <r>
    <x v="10"/>
    <x v="1"/>
    <x v="1"/>
    <x v="1"/>
    <x v="15"/>
    <x v="1"/>
    <x v="0"/>
    <n v="0.9"/>
    <n v="2450.5"/>
    <n v="5969.54"/>
    <x v="2"/>
  </r>
  <r>
    <x v="10"/>
    <x v="1"/>
    <x v="1"/>
    <x v="1"/>
    <x v="16"/>
    <x v="1"/>
    <x v="0"/>
    <n v="2.69"/>
    <n v="7324.28"/>
    <n v="17039.91"/>
    <x v="2"/>
  </r>
  <r>
    <x v="10"/>
    <x v="1"/>
    <x v="1"/>
    <x v="1"/>
    <x v="17"/>
    <x v="1"/>
    <x v="0"/>
    <n v="5.75"/>
    <n v="15655.99"/>
    <n v="36748.06"/>
    <x v="2"/>
  </r>
  <r>
    <x v="10"/>
    <x v="1"/>
    <x v="1"/>
    <x v="1"/>
    <x v="18"/>
    <x v="1"/>
    <x v="0"/>
    <n v="3.78"/>
    <n v="10292.11"/>
    <n v="25288.87"/>
    <x v="2"/>
  </r>
  <r>
    <x v="10"/>
    <x v="1"/>
    <x v="1"/>
    <x v="1"/>
    <x v="19"/>
    <x v="1"/>
    <x v="0"/>
    <n v="5.73"/>
    <n v="15601.53"/>
    <n v="37191.300000000003"/>
    <x v="2"/>
  </r>
  <r>
    <x v="10"/>
    <x v="1"/>
    <x v="1"/>
    <x v="1"/>
    <x v="20"/>
    <x v="1"/>
    <x v="0"/>
    <n v="11.32"/>
    <n v="30821.87"/>
    <n v="72246.570000000007"/>
    <x v="2"/>
  </r>
  <r>
    <x v="10"/>
    <x v="1"/>
    <x v="1"/>
    <x v="2"/>
    <x v="21"/>
    <x v="1"/>
    <x v="0"/>
    <n v="0"/>
    <n v="0"/>
    <n v="0"/>
    <x v="2"/>
  </r>
  <r>
    <x v="10"/>
    <x v="1"/>
    <x v="1"/>
    <x v="2"/>
    <x v="22"/>
    <x v="1"/>
    <x v="0"/>
    <n v="2.75"/>
    <n v="7487.65"/>
    <n v="16112.78"/>
    <x v="2"/>
  </r>
  <r>
    <x v="10"/>
    <x v="1"/>
    <x v="1"/>
    <x v="2"/>
    <x v="29"/>
    <x v="1"/>
    <x v="0"/>
    <n v="0"/>
    <n v="0"/>
    <n v="0"/>
    <x v="2"/>
  </r>
  <r>
    <x v="10"/>
    <x v="1"/>
    <x v="1"/>
    <x v="2"/>
    <x v="23"/>
    <x v="1"/>
    <x v="0"/>
    <n v="0"/>
    <n v="0"/>
    <n v="0"/>
    <x v="2"/>
  </r>
  <r>
    <x v="10"/>
    <x v="1"/>
    <x v="1"/>
    <x v="2"/>
    <x v="24"/>
    <x v="1"/>
    <x v="0"/>
    <n v="2.2000000000000002"/>
    <n v="5990.12"/>
    <n v="13152.07"/>
    <x v="2"/>
  </r>
  <r>
    <x v="10"/>
    <x v="1"/>
    <x v="1"/>
    <x v="3"/>
    <x v="25"/>
    <x v="1"/>
    <x v="0"/>
    <n v="3.99"/>
    <n v="10863.89"/>
    <n v="26298.07"/>
    <x v="2"/>
  </r>
  <r>
    <x v="10"/>
    <x v="1"/>
    <x v="1"/>
    <x v="3"/>
    <x v="26"/>
    <x v="1"/>
    <x v="0"/>
    <n v="2.27"/>
    <n v="6180.71"/>
    <n v="15070.84"/>
    <x v="2"/>
  </r>
  <r>
    <x v="10"/>
    <x v="1"/>
    <x v="1"/>
    <x v="3"/>
    <x v="27"/>
    <x v="1"/>
    <x v="0"/>
    <n v="6.56"/>
    <n v="17861.439999999999"/>
    <n v="42744.5"/>
    <x v="2"/>
  </r>
  <r>
    <x v="10"/>
    <x v="1"/>
    <x v="1"/>
    <x v="0"/>
    <x v="0"/>
    <x v="1"/>
    <x v="1"/>
    <n v="8.14"/>
    <n v="22163.43"/>
    <n v="51218.16"/>
    <x v="2"/>
  </r>
  <r>
    <x v="10"/>
    <x v="1"/>
    <x v="1"/>
    <x v="0"/>
    <x v="1"/>
    <x v="1"/>
    <x v="1"/>
    <n v="17.18"/>
    <n v="46777.36"/>
    <n v="106328.63"/>
    <x v="2"/>
  </r>
  <r>
    <x v="10"/>
    <x v="1"/>
    <x v="1"/>
    <x v="0"/>
    <x v="2"/>
    <x v="1"/>
    <x v="1"/>
    <n v="12.32"/>
    <n v="33544.65"/>
    <n v="73663.98"/>
    <x v="2"/>
  </r>
  <r>
    <x v="10"/>
    <x v="1"/>
    <x v="1"/>
    <x v="0"/>
    <x v="3"/>
    <x v="1"/>
    <x v="1"/>
    <n v="17.72"/>
    <n v="48247.66"/>
    <n v="110181.44"/>
    <x v="2"/>
  </r>
  <r>
    <x v="10"/>
    <x v="1"/>
    <x v="1"/>
    <x v="0"/>
    <x v="28"/>
    <x v="1"/>
    <x v="1"/>
    <n v="2.58"/>
    <n v="7024.77"/>
    <n v="16267.2"/>
    <x v="2"/>
  </r>
  <r>
    <x v="10"/>
    <x v="1"/>
    <x v="1"/>
    <x v="0"/>
    <x v="4"/>
    <x v="1"/>
    <x v="1"/>
    <n v="3.97"/>
    <n v="10809.44"/>
    <n v="24447.96"/>
    <x v="2"/>
  </r>
  <r>
    <x v="10"/>
    <x v="1"/>
    <x v="1"/>
    <x v="0"/>
    <x v="5"/>
    <x v="1"/>
    <x v="1"/>
    <n v="15.28"/>
    <n v="41604.080000000002"/>
    <n v="96917.36"/>
    <x v="2"/>
  </r>
  <r>
    <x v="10"/>
    <x v="1"/>
    <x v="1"/>
    <x v="0"/>
    <x v="6"/>
    <x v="1"/>
    <x v="1"/>
    <n v="2.97"/>
    <n v="8086.66"/>
    <n v="18798.84"/>
    <x v="2"/>
  </r>
  <r>
    <x v="10"/>
    <x v="1"/>
    <x v="1"/>
    <x v="0"/>
    <x v="7"/>
    <x v="1"/>
    <x v="1"/>
    <n v="2.9"/>
    <n v="7896.06"/>
    <n v="18663.39"/>
    <x v="2"/>
  </r>
  <r>
    <x v="10"/>
    <x v="1"/>
    <x v="1"/>
    <x v="0"/>
    <x v="8"/>
    <x v="1"/>
    <x v="1"/>
    <n v="2.38"/>
    <n v="6480.22"/>
    <n v="14579.37"/>
    <x v="2"/>
  </r>
  <r>
    <x v="10"/>
    <x v="1"/>
    <x v="1"/>
    <x v="1"/>
    <x v="30"/>
    <x v="1"/>
    <x v="1"/>
    <n v="0"/>
    <n v="0"/>
    <n v="0"/>
    <x v="2"/>
  </r>
  <r>
    <x v="10"/>
    <x v="1"/>
    <x v="1"/>
    <x v="1"/>
    <x v="9"/>
    <x v="1"/>
    <x v="1"/>
    <n v="0.2"/>
    <n v="544.55999999999995"/>
    <n v="1324.37"/>
    <x v="2"/>
  </r>
  <r>
    <x v="10"/>
    <x v="1"/>
    <x v="1"/>
    <x v="1"/>
    <x v="31"/>
    <x v="1"/>
    <x v="1"/>
    <n v="0"/>
    <n v="0"/>
    <n v="0"/>
    <x v="2"/>
  </r>
  <r>
    <x v="10"/>
    <x v="1"/>
    <x v="1"/>
    <x v="1"/>
    <x v="10"/>
    <x v="1"/>
    <x v="1"/>
    <n v="17.16"/>
    <n v="46722.9"/>
    <n v="112657.47"/>
    <x v="2"/>
  </r>
  <r>
    <x v="10"/>
    <x v="1"/>
    <x v="1"/>
    <x v="1"/>
    <x v="11"/>
    <x v="1"/>
    <x v="1"/>
    <n v="14.47"/>
    <n v="39398.629999999997"/>
    <n v="90551.1"/>
    <x v="2"/>
  </r>
  <r>
    <x v="10"/>
    <x v="1"/>
    <x v="1"/>
    <x v="1"/>
    <x v="12"/>
    <x v="1"/>
    <x v="1"/>
    <n v="0.8"/>
    <n v="2178.2199999999998"/>
    <n v="5290.57"/>
    <x v="2"/>
  </r>
  <r>
    <x v="10"/>
    <x v="1"/>
    <x v="1"/>
    <x v="1"/>
    <x v="13"/>
    <x v="1"/>
    <x v="1"/>
    <n v="5.72"/>
    <n v="15574.3"/>
    <n v="37494.959999999999"/>
    <x v="2"/>
  </r>
  <r>
    <x v="10"/>
    <x v="1"/>
    <x v="1"/>
    <x v="1"/>
    <x v="14"/>
    <x v="1"/>
    <x v="1"/>
    <n v="4.3099999999999996"/>
    <n v="11735.18"/>
    <n v="27711.67"/>
    <x v="2"/>
  </r>
  <r>
    <x v="10"/>
    <x v="1"/>
    <x v="1"/>
    <x v="1"/>
    <x v="15"/>
    <x v="1"/>
    <x v="1"/>
    <n v="2.2000000000000002"/>
    <n v="5990.12"/>
    <n v="14652.5"/>
    <x v="2"/>
  </r>
  <r>
    <x v="10"/>
    <x v="1"/>
    <x v="1"/>
    <x v="1"/>
    <x v="16"/>
    <x v="1"/>
    <x v="1"/>
    <n v="7.9"/>
    <n v="21509.96"/>
    <n v="50020.39"/>
    <x v="2"/>
  </r>
  <r>
    <x v="10"/>
    <x v="1"/>
    <x v="1"/>
    <x v="1"/>
    <x v="17"/>
    <x v="1"/>
    <x v="1"/>
    <n v="2.0299999999999998"/>
    <n v="5527.24"/>
    <n v="13003.16"/>
    <x v="2"/>
  </r>
  <r>
    <x v="10"/>
    <x v="1"/>
    <x v="1"/>
    <x v="1"/>
    <x v="18"/>
    <x v="1"/>
    <x v="1"/>
    <n v="15.7"/>
    <n v="42747.65"/>
    <n v="105046.06"/>
    <x v="2"/>
  </r>
  <r>
    <x v="10"/>
    <x v="1"/>
    <x v="1"/>
    <x v="1"/>
    <x v="19"/>
    <x v="1"/>
    <x v="1"/>
    <n v="9.8800000000000008"/>
    <n v="26901.07"/>
    <n v="64083.47"/>
    <x v="2"/>
  </r>
  <r>
    <x v="10"/>
    <x v="1"/>
    <x v="1"/>
    <x v="1"/>
    <x v="20"/>
    <x v="1"/>
    <x v="1"/>
    <n v="25.71"/>
    <n v="70002.67"/>
    <n v="164102.92000000001"/>
    <x v="2"/>
  </r>
  <r>
    <x v="10"/>
    <x v="1"/>
    <x v="1"/>
    <x v="2"/>
    <x v="21"/>
    <x v="1"/>
    <x v="1"/>
    <n v="2.38"/>
    <n v="6480.22"/>
    <n v="13952.94"/>
    <x v="2"/>
  </r>
  <r>
    <x v="10"/>
    <x v="1"/>
    <x v="1"/>
    <x v="2"/>
    <x v="22"/>
    <x v="1"/>
    <x v="1"/>
    <n v="9.4499999999999993"/>
    <n v="25730.27"/>
    <n v="55387.68"/>
    <x v="2"/>
  </r>
  <r>
    <x v="10"/>
    <x v="1"/>
    <x v="1"/>
    <x v="2"/>
    <x v="29"/>
    <x v="1"/>
    <x v="1"/>
    <n v="2.76"/>
    <n v="7514.87"/>
    <n v="17207.29"/>
    <x v="2"/>
  </r>
  <r>
    <x v="10"/>
    <x v="1"/>
    <x v="1"/>
    <x v="2"/>
    <x v="23"/>
    <x v="1"/>
    <x v="1"/>
    <n v="1.5"/>
    <n v="4084.17"/>
    <n v="9169.5"/>
    <x v="2"/>
  </r>
  <r>
    <x v="10"/>
    <x v="1"/>
    <x v="1"/>
    <x v="2"/>
    <x v="24"/>
    <x v="1"/>
    <x v="1"/>
    <n v="1.94"/>
    <n v="5282.19"/>
    <n v="11573.82"/>
    <x v="2"/>
  </r>
  <r>
    <x v="10"/>
    <x v="1"/>
    <x v="1"/>
    <x v="3"/>
    <x v="25"/>
    <x v="1"/>
    <x v="1"/>
    <n v="5.38"/>
    <n v="14648.56"/>
    <n v="35445.230000000003"/>
    <x v="2"/>
  </r>
  <r>
    <x v="10"/>
    <x v="1"/>
    <x v="1"/>
    <x v="3"/>
    <x v="26"/>
    <x v="1"/>
    <x v="1"/>
    <n v="18.27"/>
    <n v="49745.19"/>
    <n v="121359.89"/>
    <x v="2"/>
  </r>
  <r>
    <x v="10"/>
    <x v="1"/>
    <x v="1"/>
    <x v="3"/>
    <x v="27"/>
    <x v="1"/>
    <x v="1"/>
    <n v="19.86"/>
    <n v="54074.41"/>
    <n v="129404.58"/>
    <x v="2"/>
  </r>
  <r>
    <x v="10"/>
    <x v="1"/>
    <x v="2"/>
    <x v="0"/>
    <x v="0"/>
    <x v="0"/>
    <x v="0"/>
    <n v="2.4500000000000002"/>
    <n v="13278.31"/>
    <n v="57508.23"/>
    <x v="2"/>
  </r>
  <r>
    <x v="10"/>
    <x v="1"/>
    <x v="2"/>
    <x v="0"/>
    <x v="1"/>
    <x v="0"/>
    <x v="0"/>
    <n v="4.12"/>
    <n v="22329.25"/>
    <n v="96559.69"/>
    <x v="2"/>
  </r>
  <r>
    <x v="10"/>
    <x v="1"/>
    <x v="2"/>
    <x v="0"/>
    <x v="2"/>
    <x v="0"/>
    <x v="0"/>
    <n v="0"/>
    <n v="0"/>
    <n v="0"/>
    <x v="2"/>
  </r>
  <r>
    <x v="10"/>
    <x v="1"/>
    <x v="2"/>
    <x v="0"/>
    <x v="3"/>
    <x v="0"/>
    <x v="0"/>
    <n v="2.2400000000000002"/>
    <n v="12140.17"/>
    <n v="52515.85"/>
    <x v="2"/>
  </r>
  <r>
    <x v="10"/>
    <x v="1"/>
    <x v="2"/>
    <x v="0"/>
    <x v="4"/>
    <x v="0"/>
    <x v="0"/>
    <n v="0"/>
    <n v="0"/>
    <n v="0"/>
    <x v="2"/>
  </r>
  <r>
    <x v="10"/>
    <x v="1"/>
    <x v="2"/>
    <x v="0"/>
    <x v="5"/>
    <x v="0"/>
    <x v="0"/>
    <n v="0"/>
    <n v="0"/>
    <n v="0"/>
    <x v="2"/>
  </r>
  <r>
    <x v="10"/>
    <x v="1"/>
    <x v="2"/>
    <x v="0"/>
    <x v="6"/>
    <x v="0"/>
    <x v="0"/>
    <n v="0"/>
    <n v="0"/>
    <n v="0"/>
    <x v="2"/>
  </r>
  <r>
    <x v="10"/>
    <x v="1"/>
    <x v="2"/>
    <x v="0"/>
    <x v="8"/>
    <x v="0"/>
    <x v="0"/>
    <n v="0"/>
    <n v="0"/>
    <n v="0"/>
    <x v="2"/>
  </r>
  <r>
    <x v="10"/>
    <x v="1"/>
    <x v="2"/>
    <x v="1"/>
    <x v="10"/>
    <x v="0"/>
    <x v="0"/>
    <n v="1.67"/>
    <n v="9050.93"/>
    <n v="39078.980000000003"/>
    <x v="2"/>
  </r>
  <r>
    <x v="10"/>
    <x v="1"/>
    <x v="2"/>
    <x v="1"/>
    <x v="11"/>
    <x v="0"/>
    <x v="0"/>
    <n v="0"/>
    <n v="0"/>
    <n v="0"/>
    <x v="2"/>
  </r>
  <r>
    <x v="10"/>
    <x v="1"/>
    <x v="2"/>
    <x v="1"/>
    <x v="13"/>
    <x v="0"/>
    <x v="0"/>
    <n v="0"/>
    <n v="0"/>
    <n v="0"/>
    <x v="2"/>
  </r>
  <r>
    <x v="10"/>
    <x v="1"/>
    <x v="2"/>
    <x v="1"/>
    <x v="14"/>
    <x v="0"/>
    <x v="0"/>
    <n v="0"/>
    <n v="0"/>
    <n v="0"/>
    <x v="2"/>
  </r>
  <r>
    <x v="10"/>
    <x v="1"/>
    <x v="2"/>
    <x v="1"/>
    <x v="16"/>
    <x v="0"/>
    <x v="0"/>
    <n v="0"/>
    <n v="0"/>
    <n v="0"/>
    <x v="2"/>
  </r>
  <r>
    <x v="10"/>
    <x v="1"/>
    <x v="2"/>
    <x v="1"/>
    <x v="17"/>
    <x v="0"/>
    <x v="0"/>
    <n v="0"/>
    <n v="0"/>
    <n v="0"/>
    <x v="2"/>
  </r>
  <r>
    <x v="10"/>
    <x v="1"/>
    <x v="2"/>
    <x v="1"/>
    <x v="18"/>
    <x v="0"/>
    <x v="0"/>
    <n v="0"/>
    <n v="0"/>
    <n v="0"/>
    <x v="2"/>
  </r>
  <r>
    <x v="10"/>
    <x v="1"/>
    <x v="2"/>
    <x v="1"/>
    <x v="19"/>
    <x v="0"/>
    <x v="0"/>
    <n v="0"/>
    <n v="0"/>
    <n v="0"/>
    <x v="2"/>
  </r>
  <r>
    <x v="10"/>
    <x v="1"/>
    <x v="2"/>
    <x v="1"/>
    <x v="20"/>
    <x v="0"/>
    <x v="0"/>
    <n v="2.04"/>
    <n v="11056.23"/>
    <n v="47918.92"/>
    <x v="2"/>
  </r>
  <r>
    <x v="10"/>
    <x v="1"/>
    <x v="2"/>
    <x v="2"/>
    <x v="21"/>
    <x v="0"/>
    <x v="0"/>
    <n v="2.81"/>
    <n v="15229.41"/>
    <n v="65942.73"/>
    <x v="2"/>
  </r>
  <r>
    <x v="10"/>
    <x v="1"/>
    <x v="2"/>
    <x v="2"/>
    <x v="22"/>
    <x v="0"/>
    <x v="0"/>
    <n v="0"/>
    <n v="0"/>
    <n v="0"/>
    <x v="2"/>
  </r>
  <r>
    <x v="10"/>
    <x v="1"/>
    <x v="2"/>
    <x v="2"/>
    <x v="29"/>
    <x v="0"/>
    <x v="0"/>
    <n v="0"/>
    <n v="0"/>
    <n v="0"/>
    <x v="2"/>
  </r>
  <r>
    <x v="10"/>
    <x v="1"/>
    <x v="2"/>
    <x v="2"/>
    <x v="24"/>
    <x v="0"/>
    <x v="0"/>
    <n v="0"/>
    <n v="0"/>
    <n v="0"/>
    <x v="2"/>
  </r>
  <r>
    <x v="10"/>
    <x v="1"/>
    <x v="2"/>
    <x v="3"/>
    <x v="25"/>
    <x v="0"/>
    <x v="0"/>
    <n v="0"/>
    <n v="0"/>
    <n v="0"/>
    <x v="2"/>
  </r>
  <r>
    <x v="10"/>
    <x v="1"/>
    <x v="2"/>
    <x v="3"/>
    <x v="26"/>
    <x v="0"/>
    <x v="0"/>
    <n v="2.11"/>
    <n v="11435.61"/>
    <n v="49341.35"/>
    <x v="2"/>
  </r>
  <r>
    <x v="10"/>
    <x v="1"/>
    <x v="2"/>
    <x v="3"/>
    <x v="27"/>
    <x v="0"/>
    <x v="0"/>
    <n v="1.73"/>
    <n v="9376.1200000000008"/>
    <n v="40529.550000000003"/>
    <x v="2"/>
  </r>
  <r>
    <x v="10"/>
    <x v="1"/>
    <x v="2"/>
    <x v="0"/>
    <x v="0"/>
    <x v="0"/>
    <x v="1"/>
    <n v="2.5499999999999998"/>
    <n v="13820.29"/>
    <n v="59808.56"/>
    <x v="2"/>
  </r>
  <r>
    <x v="10"/>
    <x v="1"/>
    <x v="2"/>
    <x v="0"/>
    <x v="1"/>
    <x v="0"/>
    <x v="1"/>
    <n v="7"/>
    <n v="37938.04"/>
    <n v="164092.23000000001"/>
    <x v="2"/>
  </r>
  <r>
    <x v="10"/>
    <x v="1"/>
    <x v="2"/>
    <x v="0"/>
    <x v="2"/>
    <x v="0"/>
    <x v="1"/>
    <n v="6.01"/>
    <n v="32572.52"/>
    <n v="140880.32000000001"/>
    <x v="2"/>
  </r>
  <r>
    <x v="10"/>
    <x v="1"/>
    <x v="2"/>
    <x v="0"/>
    <x v="3"/>
    <x v="0"/>
    <x v="1"/>
    <n v="6.11"/>
    <n v="33114.49"/>
    <n v="143225.04"/>
    <x v="2"/>
  </r>
  <r>
    <x v="10"/>
    <x v="1"/>
    <x v="2"/>
    <x v="0"/>
    <x v="4"/>
    <x v="0"/>
    <x v="1"/>
    <n v="1.88"/>
    <n v="10189.07"/>
    <n v="43974.31"/>
    <x v="2"/>
  </r>
  <r>
    <x v="10"/>
    <x v="1"/>
    <x v="2"/>
    <x v="0"/>
    <x v="5"/>
    <x v="0"/>
    <x v="1"/>
    <n v="5.27"/>
    <n v="28561.919999999998"/>
    <n v="123597.31"/>
    <x v="2"/>
  </r>
  <r>
    <x v="10"/>
    <x v="1"/>
    <x v="2"/>
    <x v="0"/>
    <x v="6"/>
    <x v="0"/>
    <x v="1"/>
    <n v="2.61"/>
    <n v="14145.47"/>
    <n v="61062.57"/>
    <x v="2"/>
  </r>
  <r>
    <x v="10"/>
    <x v="1"/>
    <x v="2"/>
    <x v="0"/>
    <x v="8"/>
    <x v="0"/>
    <x v="1"/>
    <n v="4.43"/>
    <n v="24009.360000000001"/>
    <n v="103888.12"/>
    <x v="2"/>
  </r>
  <r>
    <x v="10"/>
    <x v="1"/>
    <x v="2"/>
    <x v="1"/>
    <x v="10"/>
    <x v="0"/>
    <x v="1"/>
    <n v="5.59"/>
    <n v="30296.23"/>
    <n v="131029.54"/>
    <x v="2"/>
  </r>
  <r>
    <x v="10"/>
    <x v="1"/>
    <x v="2"/>
    <x v="1"/>
    <x v="11"/>
    <x v="0"/>
    <x v="1"/>
    <n v="14.97"/>
    <n v="81133.210000000006"/>
    <n v="350765.25"/>
    <x v="2"/>
  </r>
  <r>
    <x v="10"/>
    <x v="1"/>
    <x v="2"/>
    <x v="1"/>
    <x v="13"/>
    <x v="0"/>
    <x v="1"/>
    <n v="3.37"/>
    <n v="18264.46"/>
    <n v="78941.320000000007"/>
    <x v="2"/>
  </r>
  <r>
    <x v="10"/>
    <x v="1"/>
    <x v="2"/>
    <x v="1"/>
    <x v="14"/>
    <x v="0"/>
    <x v="1"/>
    <n v="1.69"/>
    <n v="9159.33"/>
    <n v="39569.120000000003"/>
    <x v="2"/>
  </r>
  <r>
    <x v="10"/>
    <x v="1"/>
    <x v="2"/>
    <x v="1"/>
    <x v="16"/>
    <x v="0"/>
    <x v="1"/>
    <n v="2.0499999999999998"/>
    <n v="11110.43"/>
    <n v="48142.93"/>
    <x v="2"/>
  </r>
  <r>
    <x v="10"/>
    <x v="1"/>
    <x v="2"/>
    <x v="1"/>
    <x v="17"/>
    <x v="0"/>
    <x v="1"/>
    <n v="1.1200000000000001"/>
    <n v="6070.09"/>
    <n v="26171.48"/>
    <x v="2"/>
  </r>
  <r>
    <x v="10"/>
    <x v="1"/>
    <x v="2"/>
    <x v="1"/>
    <x v="18"/>
    <x v="0"/>
    <x v="1"/>
    <n v="13.45"/>
    <n v="72895.23"/>
    <n v="315287.43"/>
    <x v="2"/>
  </r>
  <r>
    <x v="10"/>
    <x v="1"/>
    <x v="2"/>
    <x v="1"/>
    <x v="19"/>
    <x v="0"/>
    <x v="1"/>
    <n v="4.67"/>
    <n v="25310.09"/>
    <n v="109528.21"/>
    <x v="2"/>
  </r>
  <r>
    <x v="10"/>
    <x v="1"/>
    <x v="2"/>
    <x v="1"/>
    <x v="20"/>
    <x v="0"/>
    <x v="1"/>
    <n v="12.85"/>
    <n v="69643.399999999994"/>
    <n v="301204.61"/>
    <x v="2"/>
  </r>
  <r>
    <x v="10"/>
    <x v="1"/>
    <x v="2"/>
    <x v="2"/>
    <x v="21"/>
    <x v="0"/>
    <x v="1"/>
    <n v="0"/>
    <n v="0"/>
    <n v="0"/>
    <x v="2"/>
  </r>
  <r>
    <x v="10"/>
    <x v="1"/>
    <x v="2"/>
    <x v="2"/>
    <x v="22"/>
    <x v="0"/>
    <x v="1"/>
    <n v="5.91"/>
    <n v="32030.55"/>
    <n v="138533.23000000001"/>
    <x v="2"/>
  </r>
  <r>
    <x v="10"/>
    <x v="1"/>
    <x v="2"/>
    <x v="2"/>
    <x v="29"/>
    <x v="0"/>
    <x v="1"/>
    <n v="2.78"/>
    <n v="15066.82"/>
    <n v="65191.69"/>
    <x v="2"/>
  </r>
  <r>
    <x v="10"/>
    <x v="1"/>
    <x v="2"/>
    <x v="2"/>
    <x v="24"/>
    <x v="0"/>
    <x v="1"/>
    <n v="2.4500000000000002"/>
    <n v="13278.31"/>
    <n v="57535.77"/>
    <x v="2"/>
  </r>
  <r>
    <x v="10"/>
    <x v="1"/>
    <x v="2"/>
    <x v="3"/>
    <x v="25"/>
    <x v="0"/>
    <x v="1"/>
    <n v="2.67"/>
    <n v="14470.65"/>
    <n v="62506.84"/>
    <x v="2"/>
  </r>
  <r>
    <x v="10"/>
    <x v="1"/>
    <x v="2"/>
    <x v="3"/>
    <x v="26"/>
    <x v="0"/>
    <x v="1"/>
    <n v="1.7"/>
    <n v="9213.52"/>
    <n v="39943"/>
    <x v="2"/>
  </r>
  <r>
    <x v="10"/>
    <x v="1"/>
    <x v="2"/>
    <x v="3"/>
    <x v="27"/>
    <x v="0"/>
    <x v="1"/>
    <n v="8.84"/>
    <n v="47910.32"/>
    <n v="207151.03"/>
    <x v="2"/>
  </r>
  <r>
    <x v="10"/>
    <x v="1"/>
    <x v="2"/>
    <x v="0"/>
    <x v="0"/>
    <x v="1"/>
    <x v="0"/>
    <n v="4.1900000000000004"/>
    <n v="22708.63"/>
    <n v="64210.97"/>
    <x v="2"/>
  </r>
  <r>
    <x v="10"/>
    <x v="1"/>
    <x v="2"/>
    <x v="0"/>
    <x v="1"/>
    <x v="1"/>
    <x v="0"/>
    <n v="15.05"/>
    <n v="81566.789999999994"/>
    <n v="226749.95"/>
    <x v="2"/>
  </r>
  <r>
    <x v="10"/>
    <x v="1"/>
    <x v="2"/>
    <x v="0"/>
    <x v="2"/>
    <x v="1"/>
    <x v="0"/>
    <n v="6.56"/>
    <n v="35553.360000000001"/>
    <n v="95452.01"/>
    <x v="2"/>
  </r>
  <r>
    <x v="10"/>
    <x v="1"/>
    <x v="2"/>
    <x v="0"/>
    <x v="3"/>
    <x v="1"/>
    <x v="0"/>
    <n v="24.14"/>
    <n v="130832.04"/>
    <n v="365525.56"/>
    <x v="2"/>
  </r>
  <r>
    <x v="10"/>
    <x v="1"/>
    <x v="2"/>
    <x v="0"/>
    <x v="28"/>
    <x v="1"/>
    <x v="0"/>
    <n v="0"/>
    <n v="0"/>
    <n v="0"/>
    <x v="2"/>
  </r>
  <r>
    <x v="10"/>
    <x v="1"/>
    <x v="2"/>
    <x v="0"/>
    <x v="4"/>
    <x v="1"/>
    <x v="0"/>
    <n v="7.63"/>
    <n v="41352.46"/>
    <n v="114487.92"/>
    <x v="2"/>
  </r>
  <r>
    <x v="10"/>
    <x v="1"/>
    <x v="2"/>
    <x v="0"/>
    <x v="5"/>
    <x v="1"/>
    <x v="0"/>
    <n v="2.42"/>
    <n v="13115.72"/>
    <n v="37398.65"/>
    <x v="2"/>
  </r>
  <r>
    <x v="10"/>
    <x v="1"/>
    <x v="2"/>
    <x v="0"/>
    <x v="6"/>
    <x v="1"/>
    <x v="0"/>
    <n v="0"/>
    <n v="0"/>
    <n v="0"/>
    <x v="2"/>
  </r>
  <r>
    <x v="10"/>
    <x v="1"/>
    <x v="2"/>
    <x v="0"/>
    <x v="7"/>
    <x v="1"/>
    <x v="0"/>
    <n v="0"/>
    <n v="0"/>
    <n v="0"/>
    <x v="2"/>
  </r>
  <r>
    <x v="10"/>
    <x v="1"/>
    <x v="2"/>
    <x v="0"/>
    <x v="8"/>
    <x v="1"/>
    <x v="0"/>
    <n v="0"/>
    <n v="0"/>
    <n v="0"/>
    <x v="2"/>
  </r>
  <r>
    <x v="10"/>
    <x v="1"/>
    <x v="2"/>
    <x v="1"/>
    <x v="30"/>
    <x v="1"/>
    <x v="0"/>
    <n v="3.94"/>
    <n v="21353.7"/>
    <n v="63656.22"/>
    <x v="2"/>
  </r>
  <r>
    <x v="10"/>
    <x v="1"/>
    <x v="2"/>
    <x v="1"/>
    <x v="9"/>
    <x v="1"/>
    <x v="0"/>
    <n v="0"/>
    <n v="0"/>
    <n v="0"/>
    <x v="2"/>
  </r>
  <r>
    <x v="10"/>
    <x v="1"/>
    <x v="2"/>
    <x v="1"/>
    <x v="31"/>
    <x v="1"/>
    <x v="0"/>
    <n v="1.28"/>
    <n v="6937.24"/>
    <n v="20872.39"/>
    <x v="2"/>
  </r>
  <r>
    <x v="10"/>
    <x v="1"/>
    <x v="2"/>
    <x v="1"/>
    <x v="10"/>
    <x v="1"/>
    <x v="0"/>
    <n v="8.2200000000000006"/>
    <n v="44550.1"/>
    <n v="131435.26"/>
    <x v="2"/>
  </r>
  <r>
    <x v="10"/>
    <x v="1"/>
    <x v="2"/>
    <x v="1"/>
    <x v="11"/>
    <x v="1"/>
    <x v="0"/>
    <n v="11.6"/>
    <n v="62868.75"/>
    <n v="176758.22"/>
    <x v="2"/>
  </r>
  <r>
    <x v="10"/>
    <x v="1"/>
    <x v="2"/>
    <x v="1"/>
    <x v="12"/>
    <x v="1"/>
    <x v="0"/>
    <n v="0.77"/>
    <n v="4173.18"/>
    <n v="12344.64"/>
    <x v="2"/>
  </r>
  <r>
    <x v="10"/>
    <x v="1"/>
    <x v="2"/>
    <x v="1"/>
    <x v="13"/>
    <x v="1"/>
    <x v="0"/>
    <n v="2.34"/>
    <n v="12682.14"/>
    <n v="37377.1"/>
    <x v="2"/>
  </r>
  <r>
    <x v="10"/>
    <x v="1"/>
    <x v="2"/>
    <x v="1"/>
    <x v="14"/>
    <x v="1"/>
    <x v="0"/>
    <n v="15.47"/>
    <n v="83843.070000000007"/>
    <n v="242211.32"/>
    <x v="2"/>
  </r>
  <r>
    <x v="10"/>
    <x v="1"/>
    <x v="2"/>
    <x v="1"/>
    <x v="15"/>
    <x v="1"/>
    <x v="0"/>
    <n v="1.43"/>
    <n v="7750.2"/>
    <n v="23211.16"/>
    <x v="2"/>
  </r>
  <r>
    <x v="10"/>
    <x v="1"/>
    <x v="2"/>
    <x v="1"/>
    <x v="16"/>
    <x v="1"/>
    <x v="0"/>
    <n v="7.16"/>
    <n v="38805.199999999997"/>
    <n v="110457"/>
    <x v="2"/>
  </r>
  <r>
    <x v="10"/>
    <x v="1"/>
    <x v="2"/>
    <x v="1"/>
    <x v="17"/>
    <x v="1"/>
    <x v="0"/>
    <n v="10.49"/>
    <n v="56852.86"/>
    <n v="163166.42000000001"/>
    <x v="2"/>
  </r>
  <r>
    <x v="10"/>
    <x v="1"/>
    <x v="2"/>
    <x v="1"/>
    <x v="18"/>
    <x v="1"/>
    <x v="0"/>
    <n v="9.07"/>
    <n v="49156.86"/>
    <n v="147713.29999999999"/>
    <x v="2"/>
  </r>
  <r>
    <x v="10"/>
    <x v="1"/>
    <x v="2"/>
    <x v="1"/>
    <x v="19"/>
    <x v="1"/>
    <x v="0"/>
    <n v="11.86"/>
    <n v="64277.88"/>
    <n v="187297.28"/>
    <x v="2"/>
  </r>
  <r>
    <x v="10"/>
    <x v="1"/>
    <x v="2"/>
    <x v="1"/>
    <x v="20"/>
    <x v="1"/>
    <x v="0"/>
    <n v="16.739999999999998"/>
    <n v="90726.11"/>
    <n v="260035.92"/>
    <x v="2"/>
  </r>
  <r>
    <x v="10"/>
    <x v="1"/>
    <x v="2"/>
    <x v="2"/>
    <x v="21"/>
    <x v="1"/>
    <x v="0"/>
    <n v="0"/>
    <n v="0"/>
    <n v="0"/>
    <x v="2"/>
  </r>
  <r>
    <x v="10"/>
    <x v="1"/>
    <x v="2"/>
    <x v="2"/>
    <x v="22"/>
    <x v="1"/>
    <x v="0"/>
    <n v="10.36"/>
    <n v="56148.3"/>
    <n v="147872.48000000001"/>
    <x v="2"/>
  </r>
  <r>
    <x v="10"/>
    <x v="1"/>
    <x v="2"/>
    <x v="2"/>
    <x v="29"/>
    <x v="1"/>
    <x v="0"/>
    <n v="0"/>
    <n v="0"/>
    <n v="0"/>
    <x v="2"/>
  </r>
  <r>
    <x v="10"/>
    <x v="1"/>
    <x v="2"/>
    <x v="2"/>
    <x v="23"/>
    <x v="1"/>
    <x v="0"/>
    <n v="0"/>
    <n v="0"/>
    <n v="0"/>
    <x v="2"/>
  </r>
  <r>
    <x v="10"/>
    <x v="1"/>
    <x v="2"/>
    <x v="2"/>
    <x v="24"/>
    <x v="1"/>
    <x v="0"/>
    <n v="4.42"/>
    <n v="23955.16"/>
    <n v="64293.24"/>
    <x v="2"/>
  </r>
  <r>
    <x v="10"/>
    <x v="1"/>
    <x v="2"/>
    <x v="3"/>
    <x v="25"/>
    <x v="1"/>
    <x v="0"/>
    <n v="8.41"/>
    <n v="45579.85"/>
    <n v="134950.81"/>
    <x v="2"/>
  </r>
  <r>
    <x v="10"/>
    <x v="1"/>
    <x v="2"/>
    <x v="3"/>
    <x v="26"/>
    <x v="1"/>
    <x v="0"/>
    <n v="1.62"/>
    <n v="8779.9500000000007"/>
    <n v="26242.63"/>
    <x v="2"/>
  </r>
  <r>
    <x v="10"/>
    <x v="1"/>
    <x v="2"/>
    <x v="3"/>
    <x v="27"/>
    <x v="1"/>
    <x v="0"/>
    <n v="14.58"/>
    <n v="79019.520000000004"/>
    <n v="231408.3"/>
    <x v="2"/>
  </r>
  <r>
    <x v="10"/>
    <x v="1"/>
    <x v="2"/>
    <x v="0"/>
    <x v="0"/>
    <x v="1"/>
    <x v="1"/>
    <n v="14.3"/>
    <n v="77502"/>
    <n v="219154.85"/>
    <x v="2"/>
  </r>
  <r>
    <x v="10"/>
    <x v="1"/>
    <x v="2"/>
    <x v="0"/>
    <x v="1"/>
    <x v="1"/>
    <x v="1"/>
    <n v="20.59"/>
    <n v="111592.03"/>
    <n v="310223.83"/>
    <x v="2"/>
  </r>
  <r>
    <x v="10"/>
    <x v="1"/>
    <x v="2"/>
    <x v="0"/>
    <x v="2"/>
    <x v="1"/>
    <x v="1"/>
    <n v="18.420000000000002"/>
    <n v="99831.24"/>
    <n v="268050.15999999997"/>
    <x v="2"/>
  </r>
  <r>
    <x v="10"/>
    <x v="1"/>
    <x v="2"/>
    <x v="0"/>
    <x v="3"/>
    <x v="1"/>
    <x v="1"/>
    <n v="50.35"/>
    <n v="272882.90000000002"/>
    <n v="762254.52"/>
    <x v="2"/>
  </r>
  <r>
    <x v="10"/>
    <x v="1"/>
    <x v="2"/>
    <x v="0"/>
    <x v="28"/>
    <x v="1"/>
    <x v="1"/>
    <n v="1.99"/>
    <n v="10785.24"/>
    <n v="30534.2"/>
    <x v="2"/>
  </r>
  <r>
    <x v="10"/>
    <x v="1"/>
    <x v="2"/>
    <x v="0"/>
    <x v="4"/>
    <x v="1"/>
    <x v="1"/>
    <n v="6.82"/>
    <n v="36962.49"/>
    <n v="102365.67"/>
    <x v="2"/>
  </r>
  <r>
    <x v="10"/>
    <x v="1"/>
    <x v="2"/>
    <x v="0"/>
    <x v="5"/>
    <x v="1"/>
    <x v="1"/>
    <n v="18.850000000000001"/>
    <n v="102161.72"/>
    <n v="291175.19"/>
    <x v="2"/>
  </r>
  <r>
    <x v="10"/>
    <x v="1"/>
    <x v="2"/>
    <x v="0"/>
    <x v="6"/>
    <x v="1"/>
    <x v="1"/>
    <n v="3.54"/>
    <n v="19185.810000000001"/>
    <n v="54521.4"/>
    <x v="2"/>
  </r>
  <r>
    <x v="10"/>
    <x v="1"/>
    <x v="2"/>
    <x v="0"/>
    <x v="7"/>
    <x v="1"/>
    <x v="1"/>
    <n v="4.43"/>
    <n v="24009.360000000001"/>
    <n v="69275.850000000006"/>
    <x v="2"/>
  </r>
  <r>
    <x v="10"/>
    <x v="1"/>
    <x v="2"/>
    <x v="0"/>
    <x v="8"/>
    <x v="1"/>
    <x v="1"/>
    <n v="4.8099999999999996"/>
    <n v="26068.85"/>
    <n v="71780.240000000005"/>
    <x v="2"/>
  </r>
  <r>
    <x v="10"/>
    <x v="1"/>
    <x v="2"/>
    <x v="1"/>
    <x v="30"/>
    <x v="1"/>
    <x v="1"/>
    <n v="0"/>
    <n v="0"/>
    <n v="0"/>
    <x v="2"/>
  </r>
  <r>
    <x v="10"/>
    <x v="1"/>
    <x v="2"/>
    <x v="1"/>
    <x v="9"/>
    <x v="1"/>
    <x v="1"/>
    <n v="3.06"/>
    <n v="16584.34"/>
    <n v="49366.28"/>
    <x v="2"/>
  </r>
  <r>
    <x v="10"/>
    <x v="1"/>
    <x v="2"/>
    <x v="1"/>
    <x v="31"/>
    <x v="1"/>
    <x v="1"/>
    <n v="0"/>
    <n v="0"/>
    <n v="0"/>
    <x v="2"/>
  </r>
  <r>
    <x v="10"/>
    <x v="1"/>
    <x v="2"/>
    <x v="1"/>
    <x v="10"/>
    <x v="1"/>
    <x v="1"/>
    <n v="36.96"/>
    <n v="200312.85"/>
    <n v="590736.49"/>
    <x v="2"/>
  </r>
  <r>
    <x v="10"/>
    <x v="1"/>
    <x v="2"/>
    <x v="1"/>
    <x v="11"/>
    <x v="1"/>
    <x v="1"/>
    <n v="34.08"/>
    <n v="184704.06"/>
    <n v="519140.28"/>
    <x v="2"/>
  </r>
  <r>
    <x v="10"/>
    <x v="1"/>
    <x v="2"/>
    <x v="1"/>
    <x v="12"/>
    <x v="1"/>
    <x v="1"/>
    <n v="3.66"/>
    <n v="19836.18"/>
    <n v="58637.03"/>
    <x v="2"/>
  </r>
  <r>
    <x v="10"/>
    <x v="1"/>
    <x v="2"/>
    <x v="1"/>
    <x v="13"/>
    <x v="1"/>
    <x v="1"/>
    <n v="15.22"/>
    <n v="82488.14"/>
    <n v="242951.12"/>
    <x v="2"/>
  </r>
  <r>
    <x v="10"/>
    <x v="1"/>
    <x v="2"/>
    <x v="1"/>
    <x v="14"/>
    <x v="1"/>
    <x v="1"/>
    <n v="9.93"/>
    <n v="53817.82"/>
    <n v="155429.72"/>
    <x v="2"/>
  </r>
  <r>
    <x v="10"/>
    <x v="1"/>
    <x v="2"/>
    <x v="1"/>
    <x v="15"/>
    <x v="1"/>
    <x v="1"/>
    <n v="1.52"/>
    <n v="8237.9699999999993"/>
    <n v="24576.52"/>
    <x v="2"/>
  </r>
  <r>
    <x v="10"/>
    <x v="1"/>
    <x v="2"/>
    <x v="1"/>
    <x v="16"/>
    <x v="1"/>
    <x v="1"/>
    <n v="12.19"/>
    <n v="66066.39"/>
    <n v="187920.35"/>
    <x v="2"/>
  </r>
  <r>
    <x v="10"/>
    <x v="1"/>
    <x v="2"/>
    <x v="1"/>
    <x v="17"/>
    <x v="1"/>
    <x v="1"/>
    <n v="5.62"/>
    <n v="30458.83"/>
    <n v="87470.66"/>
    <x v="2"/>
  </r>
  <r>
    <x v="10"/>
    <x v="1"/>
    <x v="2"/>
    <x v="1"/>
    <x v="18"/>
    <x v="1"/>
    <x v="1"/>
    <n v="38.57"/>
    <n v="209038.6"/>
    <n v="628187.34"/>
    <x v="2"/>
  </r>
  <r>
    <x v="10"/>
    <x v="1"/>
    <x v="2"/>
    <x v="1"/>
    <x v="19"/>
    <x v="1"/>
    <x v="1"/>
    <n v="18.11"/>
    <n v="98151.13"/>
    <n v="286027.63"/>
    <x v="2"/>
  </r>
  <r>
    <x v="10"/>
    <x v="1"/>
    <x v="2"/>
    <x v="1"/>
    <x v="20"/>
    <x v="1"/>
    <x v="1"/>
    <n v="32.29"/>
    <n v="175002.76"/>
    <n v="501799.05"/>
    <x v="2"/>
  </r>
  <r>
    <x v="10"/>
    <x v="1"/>
    <x v="2"/>
    <x v="2"/>
    <x v="21"/>
    <x v="1"/>
    <x v="1"/>
    <n v="3.55"/>
    <n v="19240.009999999998"/>
    <n v="50662.79"/>
    <x v="2"/>
  </r>
  <r>
    <x v="10"/>
    <x v="1"/>
    <x v="2"/>
    <x v="2"/>
    <x v="22"/>
    <x v="1"/>
    <x v="1"/>
    <n v="22.25"/>
    <n v="120588.77"/>
    <n v="317604.37"/>
    <x v="2"/>
  </r>
  <r>
    <x v="10"/>
    <x v="1"/>
    <x v="2"/>
    <x v="2"/>
    <x v="29"/>
    <x v="1"/>
    <x v="1"/>
    <n v="3.99"/>
    <n v="21624.68"/>
    <n v="60525.97"/>
    <x v="2"/>
  </r>
  <r>
    <x v="10"/>
    <x v="1"/>
    <x v="2"/>
    <x v="2"/>
    <x v="23"/>
    <x v="1"/>
    <x v="1"/>
    <n v="2.52"/>
    <n v="13657.69"/>
    <n v="37435.43"/>
    <x v="2"/>
  </r>
  <r>
    <x v="10"/>
    <x v="1"/>
    <x v="2"/>
    <x v="2"/>
    <x v="24"/>
    <x v="1"/>
    <x v="1"/>
    <n v="3.1"/>
    <n v="16801.13"/>
    <n v="45005.27"/>
    <x v="2"/>
  </r>
  <r>
    <x v="10"/>
    <x v="1"/>
    <x v="2"/>
    <x v="3"/>
    <x v="25"/>
    <x v="1"/>
    <x v="1"/>
    <n v="11.36"/>
    <n v="61568.02"/>
    <n v="182406.04"/>
    <x v="2"/>
  </r>
  <r>
    <x v="10"/>
    <x v="1"/>
    <x v="2"/>
    <x v="3"/>
    <x v="26"/>
    <x v="1"/>
    <x v="1"/>
    <n v="15.53"/>
    <n v="84168.25"/>
    <n v="251179.41"/>
    <x v="2"/>
  </r>
  <r>
    <x v="10"/>
    <x v="1"/>
    <x v="2"/>
    <x v="3"/>
    <x v="27"/>
    <x v="1"/>
    <x v="1"/>
    <n v="40.6"/>
    <n v="220040.63"/>
    <n v="644229.27"/>
    <x v="2"/>
  </r>
  <r>
    <x v="10"/>
    <x v="1"/>
    <x v="3"/>
    <x v="0"/>
    <x v="0"/>
    <x v="0"/>
    <x v="0"/>
    <n v="2.36"/>
    <n v="14216.17"/>
    <n v="64970.97"/>
    <x v="2"/>
  </r>
  <r>
    <x v="10"/>
    <x v="1"/>
    <x v="3"/>
    <x v="0"/>
    <x v="1"/>
    <x v="0"/>
    <x v="0"/>
    <n v="5.08"/>
    <n v="30600.9"/>
    <n v="139538.57999999999"/>
    <x v="2"/>
  </r>
  <r>
    <x v="10"/>
    <x v="1"/>
    <x v="3"/>
    <x v="0"/>
    <x v="2"/>
    <x v="0"/>
    <x v="0"/>
    <n v="0"/>
    <n v="0"/>
    <n v="0"/>
    <x v="2"/>
  </r>
  <r>
    <x v="10"/>
    <x v="1"/>
    <x v="3"/>
    <x v="0"/>
    <x v="3"/>
    <x v="0"/>
    <x v="0"/>
    <n v="2.15"/>
    <n v="12951.17"/>
    <n v="59036.95"/>
    <x v="2"/>
  </r>
  <r>
    <x v="10"/>
    <x v="1"/>
    <x v="3"/>
    <x v="0"/>
    <x v="4"/>
    <x v="0"/>
    <x v="0"/>
    <n v="0"/>
    <n v="0"/>
    <n v="0"/>
    <x v="2"/>
  </r>
  <r>
    <x v="10"/>
    <x v="1"/>
    <x v="3"/>
    <x v="0"/>
    <x v="5"/>
    <x v="0"/>
    <x v="0"/>
    <n v="0"/>
    <n v="0"/>
    <n v="0"/>
    <x v="2"/>
  </r>
  <r>
    <x v="10"/>
    <x v="1"/>
    <x v="3"/>
    <x v="0"/>
    <x v="6"/>
    <x v="0"/>
    <x v="0"/>
    <n v="0"/>
    <n v="0"/>
    <n v="0"/>
    <x v="2"/>
  </r>
  <r>
    <x v="10"/>
    <x v="1"/>
    <x v="3"/>
    <x v="0"/>
    <x v="8"/>
    <x v="0"/>
    <x v="0"/>
    <n v="0"/>
    <n v="0"/>
    <n v="0"/>
    <x v="2"/>
  </r>
  <r>
    <x v="10"/>
    <x v="1"/>
    <x v="3"/>
    <x v="1"/>
    <x v="10"/>
    <x v="0"/>
    <x v="0"/>
    <n v="2.95"/>
    <n v="17770.21"/>
    <n v="81183.09"/>
    <x v="2"/>
  </r>
  <r>
    <x v="10"/>
    <x v="1"/>
    <x v="3"/>
    <x v="1"/>
    <x v="11"/>
    <x v="0"/>
    <x v="0"/>
    <n v="0"/>
    <n v="0"/>
    <n v="0"/>
    <x v="2"/>
  </r>
  <r>
    <x v="10"/>
    <x v="1"/>
    <x v="3"/>
    <x v="1"/>
    <x v="13"/>
    <x v="0"/>
    <x v="0"/>
    <n v="0"/>
    <n v="0"/>
    <n v="0"/>
    <x v="2"/>
  </r>
  <r>
    <x v="10"/>
    <x v="1"/>
    <x v="3"/>
    <x v="1"/>
    <x v="14"/>
    <x v="0"/>
    <x v="0"/>
    <n v="0"/>
    <n v="0"/>
    <n v="0"/>
    <x v="2"/>
  </r>
  <r>
    <x v="10"/>
    <x v="1"/>
    <x v="3"/>
    <x v="1"/>
    <x v="16"/>
    <x v="0"/>
    <x v="0"/>
    <n v="0"/>
    <n v="0"/>
    <n v="0"/>
    <x v="2"/>
  </r>
  <r>
    <x v="10"/>
    <x v="1"/>
    <x v="3"/>
    <x v="1"/>
    <x v="17"/>
    <x v="0"/>
    <x v="0"/>
    <n v="0"/>
    <n v="0"/>
    <n v="0"/>
    <x v="2"/>
  </r>
  <r>
    <x v="10"/>
    <x v="1"/>
    <x v="3"/>
    <x v="1"/>
    <x v="18"/>
    <x v="0"/>
    <x v="0"/>
    <n v="0"/>
    <n v="0"/>
    <n v="0"/>
    <x v="2"/>
  </r>
  <r>
    <x v="10"/>
    <x v="1"/>
    <x v="3"/>
    <x v="1"/>
    <x v="19"/>
    <x v="0"/>
    <x v="0"/>
    <n v="0"/>
    <n v="0"/>
    <n v="0"/>
    <x v="2"/>
  </r>
  <r>
    <x v="10"/>
    <x v="1"/>
    <x v="3"/>
    <x v="1"/>
    <x v="20"/>
    <x v="0"/>
    <x v="0"/>
    <n v="2.4900000000000002"/>
    <n v="14999.26"/>
    <n v="68485.02"/>
    <x v="2"/>
  </r>
  <r>
    <x v="10"/>
    <x v="1"/>
    <x v="3"/>
    <x v="2"/>
    <x v="21"/>
    <x v="0"/>
    <x v="0"/>
    <n v="3.72"/>
    <n v="22408.54"/>
    <n v="102300.23"/>
    <x v="2"/>
  </r>
  <r>
    <x v="10"/>
    <x v="1"/>
    <x v="3"/>
    <x v="2"/>
    <x v="22"/>
    <x v="0"/>
    <x v="0"/>
    <n v="0"/>
    <n v="0"/>
    <n v="0"/>
    <x v="2"/>
  </r>
  <r>
    <x v="10"/>
    <x v="1"/>
    <x v="3"/>
    <x v="2"/>
    <x v="29"/>
    <x v="0"/>
    <x v="0"/>
    <n v="0"/>
    <n v="0"/>
    <n v="0"/>
    <x v="2"/>
  </r>
  <r>
    <x v="10"/>
    <x v="1"/>
    <x v="3"/>
    <x v="2"/>
    <x v="24"/>
    <x v="0"/>
    <x v="0"/>
    <n v="0"/>
    <n v="0"/>
    <n v="0"/>
    <x v="2"/>
  </r>
  <r>
    <x v="10"/>
    <x v="1"/>
    <x v="3"/>
    <x v="3"/>
    <x v="25"/>
    <x v="0"/>
    <x v="0"/>
    <n v="0"/>
    <n v="0"/>
    <n v="0"/>
    <x v="2"/>
  </r>
  <r>
    <x v="10"/>
    <x v="1"/>
    <x v="3"/>
    <x v="3"/>
    <x v="26"/>
    <x v="0"/>
    <x v="0"/>
    <n v="3.32"/>
    <n v="19999.02"/>
    <n v="91158.18"/>
    <x v="2"/>
  </r>
  <r>
    <x v="10"/>
    <x v="1"/>
    <x v="3"/>
    <x v="3"/>
    <x v="27"/>
    <x v="0"/>
    <x v="0"/>
    <n v="2.39"/>
    <n v="14396.88"/>
    <n v="65654.81"/>
    <x v="2"/>
  </r>
  <r>
    <x v="10"/>
    <x v="1"/>
    <x v="3"/>
    <x v="0"/>
    <x v="0"/>
    <x v="0"/>
    <x v="1"/>
    <n v="2.57"/>
    <n v="15481.17"/>
    <n v="70620.62"/>
    <x v="2"/>
  </r>
  <r>
    <x v="10"/>
    <x v="1"/>
    <x v="3"/>
    <x v="0"/>
    <x v="1"/>
    <x v="0"/>
    <x v="1"/>
    <n v="7.53"/>
    <n v="45359.21"/>
    <n v="206856.95999999999"/>
    <x v="2"/>
  </r>
  <r>
    <x v="10"/>
    <x v="1"/>
    <x v="3"/>
    <x v="0"/>
    <x v="2"/>
    <x v="0"/>
    <x v="1"/>
    <n v="6.27"/>
    <n v="37769.230000000003"/>
    <n v="172277.87"/>
    <x v="2"/>
  </r>
  <r>
    <x v="10"/>
    <x v="1"/>
    <x v="3"/>
    <x v="0"/>
    <x v="3"/>
    <x v="0"/>
    <x v="1"/>
    <n v="9.57"/>
    <n v="57647.77"/>
    <n v="262982.76"/>
    <x v="2"/>
  </r>
  <r>
    <x v="10"/>
    <x v="1"/>
    <x v="3"/>
    <x v="0"/>
    <x v="4"/>
    <x v="0"/>
    <x v="1"/>
    <n v="2.2400000000000002"/>
    <n v="13493.31"/>
    <n v="61677.51"/>
    <x v="2"/>
  </r>
  <r>
    <x v="10"/>
    <x v="1"/>
    <x v="3"/>
    <x v="0"/>
    <x v="5"/>
    <x v="0"/>
    <x v="1"/>
    <n v="5.0999999999999996"/>
    <n v="30721.38"/>
    <n v="140217.32999999999"/>
    <x v="2"/>
  </r>
  <r>
    <x v="10"/>
    <x v="1"/>
    <x v="3"/>
    <x v="0"/>
    <x v="6"/>
    <x v="0"/>
    <x v="1"/>
    <n v="2.66"/>
    <n v="16023.31"/>
    <n v="73000.97"/>
    <x v="2"/>
  </r>
  <r>
    <x v="10"/>
    <x v="1"/>
    <x v="3"/>
    <x v="0"/>
    <x v="8"/>
    <x v="0"/>
    <x v="1"/>
    <n v="3.04"/>
    <n v="18312.349999999999"/>
    <n v="83584.490000000005"/>
    <x v="2"/>
  </r>
  <r>
    <x v="10"/>
    <x v="1"/>
    <x v="3"/>
    <x v="1"/>
    <x v="10"/>
    <x v="0"/>
    <x v="1"/>
    <n v="7.31"/>
    <n v="44033.98"/>
    <n v="201024.78"/>
    <x v="2"/>
  </r>
  <r>
    <x v="10"/>
    <x v="1"/>
    <x v="3"/>
    <x v="1"/>
    <x v="11"/>
    <x v="0"/>
    <x v="1"/>
    <n v="14.61"/>
    <n v="88007.72"/>
    <n v="401413.89"/>
    <x v="2"/>
  </r>
  <r>
    <x v="10"/>
    <x v="1"/>
    <x v="3"/>
    <x v="1"/>
    <x v="13"/>
    <x v="0"/>
    <x v="1"/>
    <n v="5.88"/>
    <n v="35419.94"/>
    <n v="161569.14000000001"/>
    <x v="2"/>
  </r>
  <r>
    <x v="10"/>
    <x v="1"/>
    <x v="3"/>
    <x v="1"/>
    <x v="14"/>
    <x v="0"/>
    <x v="1"/>
    <n v="1.97"/>
    <n v="11866.89"/>
    <n v="54121.18"/>
    <x v="2"/>
  </r>
  <r>
    <x v="10"/>
    <x v="1"/>
    <x v="3"/>
    <x v="1"/>
    <x v="16"/>
    <x v="0"/>
    <x v="1"/>
    <n v="2.3199999999999998"/>
    <n v="13975.22"/>
    <n v="63810.74"/>
    <x v="2"/>
  </r>
  <r>
    <x v="10"/>
    <x v="1"/>
    <x v="3"/>
    <x v="1"/>
    <x v="17"/>
    <x v="0"/>
    <x v="1"/>
    <n v="1.72"/>
    <n v="10360.94"/>
    <n v="47187.46"/>
    <x v="2"/>
  </r>
  <r>
    <x v="10"/>
    <x v="1"/>
    <x v="3"/>
    <x v="1"/>
    <x v="18"/>
    <x v="0"/>
    <x v="1"/>
    <n v="17.309999999999999"/>
    <n v="104271.98"/>
    <n v="475679.12"/>
    <x v="2"/>
  </r>
  <r>
    <x v="10"/>
    <x v="1"/>
    <x v="3"/>
    <x v="1"/>
    <x v="19"/>
    <x v="0"/>
    <x v="1"/>
    <n v="4.5199999999999996"/>
    <n v="27227.58"/>
    <n v="124229.94"/>
    <x v="2"/>
  </r>
  <r>
    <x v="10"/>
    <x v="1"/>
    <x v="3"/>
    <x v="1"/>
    <x v="20"/>
    <x v="0"/>
    <x v="1"/>
    <n v="13.03"/>
    <n v="78490.11"/>
    <n v="358229.36"/>
    <x v="2"/>
  </r>
  <r>
    <x v="10"/>
    <x v="1"/>
    <x v="3"/>
    <x v="2"/>
    <x v="21"/>
    <x v="0"/>
    <x v="1"/>
    <n v="0"/>
    <n v="0"/>
    <n v="0"/>
    <x v="2"/>
  </r>
  <r>
    <x v="10"/>
    <x v="1"/>
    <x v="3"/>
    <x v="2"/>
    <x v="22"/>
    <x v="0"/>
    <x v="1"/>
    <n v="5.96"/>
    <n v="35901.85"/>
    <n v="163766.16"/>
    <x v="2"/>
  </r>
  <r>
    <x v="10"/>
    <x v="1"/>
    <x v="3"/>
    <x v="2"/>
    <x v="29"/>
    <x v="0"/>
    <x v="1"/>
    <n v="3.87"/>
    <n v="23312.11"/>
    <n v="106468.44"/>
    <x v="2"/>
  </r>
  <r>
    <x v="10"/>
    <x v="1"/>
    <x v="3"/>
    <x v="2"/>
    <x v="24"/>
    <x v="0"/>
    <x v="1"/>
    <n v="3.46"/>
    <n v="20842.349999999999"/>
    <n v="94965.09"/>
    <x v="2"/>
  </r>
  <r>
    <x v="10"/>
    <x v="1"/>
    <x v="3"/>
    <x v="3"/>
    <x v="25"/>
    <x v="0"/>
    <x v="1"/>
    <n v="2.96"/>
    <n v="17830.45"/>
    <n v="81370.539999999994"/>
    <x v="2"/>
  </r>
  <r>
    <x v="10"/>
    <x v="1"/>
    <x v="3"/>
    <x v="3"/>
    <x v="26"/>
    <x v="0"/>
    <x v="1"/>
    <n v="3.22"/>
    <n v="19396.64"/>
    <n v="88395.81"/>
    <x v="2"/>
  </r>
  <r>
    <x v="10"/>
    <x v="1"/>
    <x v="3"/>
    <x v="3"/>
    <x v="27"/>
    <x v="0"/>
    <x v="1"/>
    <n v="10.25"/>
    <n v="61743.95"/>
    <n v="281768.57"/>
    <x v="2"/>
  </r>
  <r>
    <x v="10"/>
    <x v="1"/>
    <x v="3"/>
    <x v="0"/>
    <x v="0"/>
    <x v="1"/>
    <x v="0"/>
    <n v="4.8499999999999996"/>
    <n v="29215.43"/>
    <n v="87129.919999999998"/>
    <x v="2"/>
  </r>
  <r>
    <x v="10"/>
    <x v="1"/>
    <x v="3"/>
    <x v="0"/>
    <x v="1"/>
    <x v="1"/>
    <x v="0"/>
    <n v="12.81"/>
    <n v="77164.88"/>
    <n v="226368.14"/>
    <x v="2"/>
  </r>
  <r>
    <x v="10"/>
    <x v="1"/>
    <x v="3"/>
    <x v="0"/>
    <x v="2"/>
    <x v="1"/>
    <x v="0"/>
    <n v="5.01"/>
    <n v="30179.24"/>
    <n v="85471.63"/>
    <x v="2"/>
  </r>
  <r>
    <x v="10"/>
    <x v="1"/>
    <x v="3"/>
    <x v="0"/>
    <x v="3"/>
    <x v="1"/>
    <x v="0"/>
    <n v="13.24"/>
    <n v="79755.11"/>
    <n v="235121.09"/>
    <x v="2"/>
  </r>
  <r>
    <x v="10"/>
    <x v="1"/>
    <x v="3"/>
    <x v="0"/>
    <x v="28"/>
    <x v="1"/>
    <x v="0"/>
    <n v="0"/>
    <n v="0"/>
    <n v="0"/>
    <x v="2"/>
  </r>
  <r>
    <x v="10"/>
    <x v="1"/>
    <x v="3"/>
    <x v="0"/>
    <x v="4"/>
    <x v="1"/>
    <x v="0"/>
    <n v="7.38"/>
    <n v="44455.64"/>
    <n v="129892.81"/>
    <x v="2"/>
  </r>
  <r>
    <x v="10"/>
    <x v="1"/>
    <x v="3"/>
    <x v="0"/>
    <x v="5"/>
    <x v="1"/>
    <x v="0"/>
    <n v="3.09"/>
    <n v="18613.54"/>
    <n v="56048.14"/>
    <x v="2"/>
  </r>
  <r>
    <x v="10"/>
    <x v="1"/>
    <x v="3"/>
    <x v="0"/>
    <x v="6"/>
    <x v="1"/>
    <x v="0"/>
    <n v="0"/>
    <n v="0"/>
    <n v="0"/>
    <x v="2"/>
  </r>
  <r>
    <x v="10"/>
    <x v="1"/>
    <x v="3"/>
    <x v="0"/>
    <x v="7"/>
    <x v="1"/>
    <x v="0"/>
    <n v="0"/>
    <n v="0"/>
    <n v="0"/>
    <x v="2"/>
  </r>
  <r>
    <x v="10"/>
    <x v="1"/>
    <x v="3"/>
    <x v="0"/>
    <x v="8"/>
    <x v="1"/>
    <x v="0"/>
    <n v="0"/>
    <n v="0"/>
    <n v="0"/>
    <x v="2"/>
  </r>
  <r>
    <x v="10"/>
    <x v="1"/>
    <x v="3"/>
    <x v="1"/>
    <x v="30"/>
    <x v="1"/>
    <x v="0"/>
    <n v="4.68"/>
    <n v="28191.38"/>
    <n v="88637.55"/>
    <x v="2"/>
  </r>
  <r>
    <x v="10"/>
    <x v="1"/>
    <x v="3"/>
    <x v="1"/>
    <x v="9"/>
    <x v="1"/>
    <x v="0"/>
    <n v="0"/>
    <n v="0"/>
    <n v="0"/>
    <x v="2"/>
  </r>
  <r>
    <x v="10"/>
    <x v="1"/>
    <x v="3"/>
    <x v="1"/>
    <x v="31"/>
    <x v="1"/>
    <x v="0"/>
    <n v="2.06"/>
    <n v="12409.03"/>
    <n v="39402.800000000003"/>
    <x v="2"/>
  </r>
  <r>
    <x v="10"/>
    <x v="1"/>
    <x v="3"/>
    <x v="1"/>
    <x v="10"/>
    <x v="1"/>
    <x v="0"/>
    <n v="12.09"/>
    <n v="72827.740000000005"/>
    <n v="226563.83"/>
    <x v="2"/>
  </r>
  <r>
    <x v="10"/>
    <x v="1"/>
    <x v="3"/>
    <x v="1"/>
    <x v="11"/>
    <x v="1"/>
    <x v="0"/>
    <n v="8.84"/>
    <n v="53250.39"/>
    <n v="157932.13"/>
    <x v="2"/>
  </r>
  <r>
    <x v="10"/>
    <x v="1"/>
    <x v="3"/>
    <x v="1"/>
    <x v="12"/>
    <x v="1"/>
    <x v="0"/>
    <n v="1.66"/>
    <n v="9999.51"/>
    <n v="31179.33"/>
    <x v="2"/>
  </r>
  <r>
    <x v="10"/>
    <x v="1"/>
    <x v="3"/>
    <x v="1"/>
    <x v="13"/>
    <x v="1"/>
    <x v="0"/>
    <n v="2.31"/>
    <n v="13914.98"/>
    <n v="43312.46"/>
    <x v="2"/>
  </r>
  <r>
    <x v="10"/>
    <x v="1"/>
    <x v="3"/>
    <x v="1"/>
    <x v="14"/>
    <x v="1"/>
    <x v="0"/>
    <n v="23.36"/>
    <n v="140715.97"/>
    <n v="428794.57"/>
    <x v="2"/>
  </r>
  <r>
    <x v="10"/>
    <x v="1"/>
    <x v="3"/>
    <x v="1"/>
    <x v="15"/>
    <x v="1"/>
    <x v="0"/>
    <n v="1.76"/>
    <n v="10601.89"/>
    <n v="33358.910000000003"/>
    <x v="2"/>
  </r>
  <r>
    <x v="10"/>
    <x v="1"/>
    <x v="3"/>
    <x v="1"/>
    <x v="16"/>
    <x v="1"/>
    <x v="0"/>
    <n v="6.54"/>
    <n v="39395.65"/>
    <n v="118234.82"/>
    <x v="2"/>
  </r>
  <r>
    <x v="10"/>
    <x v="1"/>
    <x v="3"/>
    <x v="1"/>
    <x v="17"/>
    <x v="1"/>
    <x v="0"/>
    <n v="6.15"/>
    <n v="37046.370000000003"/>
    <n v="112224.71"/>
    <x v="2"/>
  </r>
  <r>
    <x v="10"/>
    <x v="1"/>
    <x v="3"/>
    <x v="1"/>
    <x v="18"/>
    <x v="1"/>
    <x v="0"/>
    <n v="10.71"/>
    <n v="64514.9"/>
    <n v="204661.7"/>
    <x v="2"/>
  </r>
  <r>
    <x v="10"/>
    <x v="1"/>
    <x v="3"/>
    <x v="1"/>
    <x v="19"/>
    <x v="1"/>
    <x v="0"/>
    <n v="11.49"/>
    <n v="69213.460000000006"/>
    <n v="212804.58"/>
    <x v="2"/>
  </r>
  <r>
    <x v="10"/>
    <x v="1"/>
    <x v="3"/>
    <x v="1"/>
    <x v="20"/>
    <x v="1"/>
    <x v="0"/>
    <n v="14.3"/>
    <n v="86140.34"/>
    <n v="260555.22"/>
    <x v="2"/>
  </r>
  <r>
    <x v="10"/>
    <x v="1"/>
    <x v="3"/>
    <x v="2"/>
    <x v="21"/>
    <x v="1"/>
    <x v="0"/>
    <n v="0"/>
    <n v="0"/>
    <n v="0"/>
    <x v="2"/>
  </r>
  <r>
    <x v="10"/>
    <x v="1"/>
    <x v="3"/>
    <x v="2"/>
    <x v="22"/>
    <x v="1"/>
    <x v="0"/>
    <n v="6.55"/>
    <n v="39455.89"/>
    <n v="109690.95"/>
    <x v="2"/>
  </r>
  <r>
    <x v="10"/>
    <x v="1"/>
    <x v="3"/>
    <x v="2"/>
    <x v="29"/>
    <x v="1"/>
    <x v="0"/>
    <n v="0"/>
    <n v="0"/>
    <n v="0"/>
    <x v="2"/>
  </r>
  <r>
    <x v="10"/>
    <x v="1"/>
    <x v="3"/>
    <x v="2"/>
    <x v="23"/>
    <x v="1"/>
    <x v="0"/>
    <n v="0"/>
    <n v="0"/>
    <n v="0"/>
    <x v="2"/>
  </r>
  <r>
    <x v="10"/>
    <x v="1"/>
    <x v="3"/>
    <x v="2"/>
    <x v="24"/>
    <x v="1"/>
    <x v="0"/>
    <n v="2.8"/>
    <n v="16866.64"/>
    <n v="47714.83"/>
    <x v="2"/>
  </r>
  <r>
    <x v="10"/>
    <x v="1"/>
    <x v="3"/>
    <x v="3"/>
    <x v="25"/>
    <x v="1"/>
    <x v="0"/>
    <n v="8.61"/>
    <n v="51864.92"/>
    <n v="162069.79"/>
    <x v="2"/>
  </r>
  <r>
    <x v="10"/>
    <x v="1"/>
    <x v="3"/>
    <x v="3"/>
    <x v="26"/>
    <x v="1"/>
    <x v="0"/>
    <n v="6.23"/>
    <n v="37528.269999999997"/>
    <n v="118233.66"/>
    <x v="2"/>
  </r>
  <r>
    <x v="10"/>
    <x v="1"/>
    <x v="3"/>
    <x v="3"/>
    <x v="27"/>
    <x v="1"/>
    <x v="0"/>
    <n v="16.34"/>
    <n v="98428.89"/>
    <n v="303984.57"/>
    <x v="2"/>
  </r>
  <r>
    <x v="10"/>
    <x v="1"/>
    <x v="3"/>
    <x v="0"/>
    <x v="0"/>
    <x v="1"/>
    <x v="1"/>
    <n v="12.16"/>
    <n v="73249.41"/>
    <n v="218646.79"/>
    <x v="2"/>
  </r>
  <r>
    <x v="10"/>
    <x v="1"/>
    <x v="3"/>
    <x v="0"/>
    <x v="1"/>
    <x v="1"/>
    <x v="1"/>
    <n v="16.73"/>
    <n v="100778.17"/>
    <n v="295576.23"/>
    <x v="2"/>
  </r>
  <r>
    <x v="10"/>
    <x v="1"/>
    <x v="3"/>
    <x v="0"/>
    <x v="2"/>
    <x v="1"/>
    <x v="1"/>
    <n v="18.670000000000002"/>
    <n v="112464.35"/>
    <n v="318576.09000000003"/>
    <x v="2"/>
  </r>
  <r>
    <x v="10"/>
    <x v="1"/>
    <x v="3"/>
    <x v="0"/>
    <x v="3"/>
    <x v="1"/>
    <x v="1"/>
    <n v="31.9"/>
    <n v="192159.22"/>
    <n v="566350.06000000006"/>
    <x v="2"/>
  </r>
  <r>
    <x v="10"/>
    <x v="1"/>
    <x v="3"/>
    <x v="0"/>
    <x v="28"/>
    <x v="1"/>
    <x v="1"/>
    <n v="2.52"/>
    <n v="15179.98"/>
    <n v="45215.25"/>
    <x v="2"/>
  </r>
  <r>
    <x v="10"/>
    <x v="1"/>
    <x v="3"/>
    <x v="0"/>
    <x v="4"/>
    <x v="1"/>
    <x v="1"/>
    <n v="11.12"/>
    <n v="66984.66"/>
    <n v="195661.33"/>
    <x v="2"/>
  </r>
  <r>
    <x v="10"/>
    <x v="1"/>
    <x v="3"/>
    <x v="0"/>
    <x v="5"/>
    <x v="1"/>
    <x v="1"/>
    <n v="25.46"/>
    <n v="153365.95000000001"/>
    <n v="461196.11"/>
    <x v="2"/>
  </r>
  <r>
    <x v="10"/>
    <x v="1"/>
    <x v="3"/>
    <x v="0"/>
    <x v="6"/>
    <x v="1"/>
    <x v="1"/>
    <n v="1.24"/>
    <n v="7469.51"/>
    <n v="22416.03"/>
    <x v="2"/>
  </r>
  <r>
    <x v="10"/>
    <x v="1"/>
    <x v="3"/>
    <x v="0"/>
    <x v="7"/>
    <x v="1"/>
    <x v="1"/>
    <n v="4.7300000000000004"/>
    <n v="28492.57"/>
    <n v="86784.14"/>
    <x v="2"/>
  </r>
  <r>
    <x v="10"/>
    <x v="1"/>
    <x v="3"/>
    <x v="0"/>
    <x v="8"/>
    <x v="1"/>
    <x v="1"/>
    <n v="3.59"/>
    <n v="21625.439999999999"/>
    <n v="62821.56"/>
    <x v="2"/>
  </r>
  <r>
    <x v="10"/>
    <x v="1"/>
    <x v="3"/>
    <x v="1"/>
    <x v="30"/>
    <x v="1"/>
    <x v="1"/>
    <n v="0"/>
    <n v="0"/>
    <n v="0"/>
    <x v="2"/>
  </r>
  <r>
    <x v="10"/>
    <x v="1"/>
    <x v="3"/>
    <x v="1"/>
    <x v="9"/>
    <x v="1"/>
    <x v="1"/>
    <n v="4.9400000000000004"/>
    <n v="29757.57"/>
    <n v="93329.1"/>
    <x v="2"/>
  </r>
  <r>
    <x v="10"/>
    <x v="1"/>
    <x v="3"/>
    <x v="1"/>
    <x v="31"/>
    <x v="1"/>
    <x v="1"/>
    <n v="0"/>
    <n v="0"/>
    <n v="0"/>
    <x v="2"/>
  </r>
  <r>
    <x v="10"/>
    <x v="1"/>
    <x v="3"/>
    <x v="1"/>
    <x v="10"/>
    <x v="1"/>
    <x v="1"/>
    <n v="32.85"/>
    <n v="197881.83"/>
    <n v="615700.17000000004"/>
    <x v="2"/>
  </r>
  <r>
    <x v="10"/>
    <x v="1"/>
    <x v="3"/>
    <x v="1"/>
    <x v="11"/>
    <x v="1"/>
    <x v="1"/>
    <n v="31.75"/>
    <n v="191255.65"/>
    <n v="567266.43999999994"/>
    <x v="2"/>
  </r>
  <r>
    <x v="10"/>
    <x v="1"/>
    <x v="3"/>
    <x v="1"/>
    <x v="12"/>
    <x v="1"/>
    <x v="1"/>
    <n v="4.05"/>
    <n v="24396.39"/>
    <n v="76216.13"/>
    <x v="2"/>
  </r>
  <r>
    <x v="10"/>
    <x v="1"/>
    <x v="3"/>
    <x v="1"/>
    <x v="13"/>
    <x v="1"/>
    <x v="1"/>
    <n v="11.93"/>
    <n v="71863.929999999993"/>
    <n v="223225.76"/>
    <x v="2"/>
  </r>
  <r>
    <x v="10"/>
    <x v="1"/>
    <x v="3"/>
    <x v="1"/>
    <x v="14"/>
    <x v="1"/>
    <x v="1"/>
    <n v="12.19"/>
    <n v="73430.12"/>
    <n v="223836.16"/>
    <x v="2"/>
  </r>
  <r>
    <x v="10"/>
    <x v="1"/>
    <x v="3"/>
    <x v="1"/>
    <x v="15"/>
    <x v="1"/>
    <x v="1"/>
    <n v="2.17"/>
    <n v="13071.65"/>
    <n v="41301.5"/>
    <x v="2"/>
  </r>
  <r>
    <x v="10"/>
    <x v="1"/>
    <x v="3"/>
    <x v="1"/>
    <x v="16"/>
    <x v="1"/>
    <x v="1"/>
    <n v="13.08"/>
    <n v="78791.3"/>
    <n v="236469.64"/>
    <x v="2"/>
  </r>
  <r>
    <x v="10"/>
    <x v="1"/>
    <x v="3"/>
    <x v="1"/>
    <x v="17"/>
    <x v="1"/>
    <x v="1"/>
    <n v="3.66"/>
    <n v="22047.11"/>
    <n v="66728.2"/>
    <x v="2"/>
  </r>
  <r>
    <x v="10"/>
    <x v="1"/>
    <x v="3"/>
    <x v="1"/>
    <x v="18"/>
    <x v="1"/>
    <x v="1"/>
    <n v="47.24"/>
    <n v="284564.31"/>
    <n v="902372.02"/>
    <x v="2"/>
  </r>
  <r>
    <x v="10"/>
    <x v="1"/>
    <x v="3"/>
    <x v="1"/>
    <x v="19"/>
    <x v="1"/>
    <x v="1"/>
    <n v="15.02"/>
    <n v="90477.48"/>
    <n v="278154.01"/>
    <x v="2"/>
  </r>
  <r>
    <x v="10"/>
    <x v="1"/>
    <x v="3"/>
    <x v="1"/>
    <x v="20"/>
    <x v="1"/>
    <x v="1"/>
    <n v="26.56"/>
    <n v="159992.13"/>
    <n v="483888.27"/>
    <x v="2"/>
  </r>
  <r>
    <x v="10"/>
    <x v="1"/>
    <x v="3"/>
    <x v="2"/>
    <x v="21"/>
    <x v="1"/>
    <x v="1"/>
    <n v="2.84"/>
    <n v="17107.59"/>
    <n v="47540.31"/>
    <x v="2"/>
  </r>
  <r>
    <x v="10"/>
    <x v="1"/>
    <x v="3"/>
    <x v="2"/>
    <x v="22"/>
    <x v="1"/>
    <x v="1"/>
    <n v="13.19"/>
    <n v="79453.919999999998"/>
    <n v="220788.2"/>
    <x v="2"/>
  </r>
  <r>
    <x v="10"/>
    <x v="1"/>
    <x v="3"/>
    <x v="2"/>
    <x v="29"/>
    <x v="1"/>
    <x v="1"/>
    <n v="4.0199999999999996"/>
    <n v="24215.68"/>
    <n v="71533.13"/>
    <x v="2"/>
  </r>
  <r>
    <x v="10"/>
    <x v="1"/>
    <x v="3"/>
    <x v="2"/>
    <x v="23"/>
    <x v="1"/>
    <x v="1"/>
    <n v="3.06"/>
    <n v="18432.830000000002"/>
    <n v="53299.199999999997"/>
    <x v="2"/>
  </r>
  <r>
    <x v="10"/>
    <x v="1"/>
    <x v="3"/>
    <x v="2"/>
    <x v="24"/>
    <x v="1"/>
    <x v="1"/>
    <n v="2.89"/>
    <n v="17408.78"/>
    <n v="49254.02"/>
    <x v="2"/>
  </r>
  <r>
    <x v="10"/>
    <x v="1"/>
    <x v="3"/>
    <x v="3"/>
    <x v="25"/>
    <x v="1"/>
    <x v="1"/>
    <n v="10.37"/>
    <n v="62466.81"/>
    <n v="195180.82"/>
    <x v="2"/>
  </r>
  <r>
    <x v="10"/>
    <x v="1"/>
    <x v="3"/>
    <x v="3"/>
    <x v="26"/>
    <x v="1"/>
    <x v="1"/>
    <n v="25.96"/>
    <n v="156377.85"/>
    <n v="492346.15"/>
    <x v="2"/>
  </r>
  <r>
    <x v="10"/>
    <x v="1"/>
    <x v="3"/>
    <x v="3"/>
    <x v="27"/>
    <x v="1"/>
    <x v="1"/>
    <n v="32.5"/>
    <n v="195773.5"/>
    <n v="604628.65"/>
    <x v="2"/>
  </r>
  <r>
    <x v="10"/>
    <x v="1"/>
    <x v="4"/>
    <x v="0"/>
    <x v="0"/>
    <x v="0"/>
    <x v="0"/>
    <n v="1.63"/>
    <n v="8593.57"/>
    <n v="40021.58"/>
    <x v="2"/>
  </r>
  <r>
    <x v="10"/>
    <x v="1"/>
    <x v="4"/>
    <x v="0"/>
    <x v="1"/>
    <x v="0"/>
    <x v="0"/>
    <n v="2.84"/>
    <n v="14972.85"/>
    <n v="69679.649999999994"/>
    <x v="2"/>
  </r>
  <r>
    <x v="10"/>
    <x v="1"/>
    <x v="4"/>
    <x v="0"/>
    <x v="2"/>
    <x v="0"/>
    <x v="0"/>
    <n v="0"/>
    <n v="0"/>
    <n v="0"/>
    <x v="2"/>
  </r>
  <r>
    <x v="10"/>
    <x v="1"/>
    <x v="4"/>
    <x v="0"/>
    <x v="3"/>
    <x v="0"/>
    <x v="0"/>
    <n v="1.82"/>
    <n v="9595.2800000000007"/>
    <n v="44497.62"/>
    <x v="2"/>
  </r>
  <r>
    <x v="10"/>
    <x v="1"/>
    <x v="4"/>
    <x v="0"/>
    <x v="4"/>
    <x v="0"/>
    <x v="0"/>
    <n v="0"/>
    <n v="0"/>
    <n v="0"/>
    <x v="2"/>
  </r>
  <r>
    <x v="10"/>
    <x v="1"/>
    <x v="4"/>
    <x v="0"/>
    <x v="5"/>
    <x v="0"/>
    <x v="0"/>
    <n v="0"/>
    <n v="0"/>
    <n v="0"/>
    <x v="2"/>
  </r>
  <r>
    <x v="10"/>
    <x v="1"/>
    <x v="4"/>
    <x v="0"/>
    <x v="6"/>
    <x v="0"/>
    <x v="0"/>
    <n v="0"/>
    <n v="0"/>
    <n v="0"/>
    <x v="2"/>
  </r>
  <r>
    <x v="10"/>
    <x v="1"/>
    <x v="4"/>
    <x v="0"/>
    <x v="8"/>
    <x v="0"/>
    <x v="0"/>
    <n v="0"/>
    <n v="0"/>
    <n v="0"/>
    <x v="2"/>
  </r>
  <r>
    <x v="10"/>
    <x v="1"/>
    <x v="4"/>
    <x v="1"/>
    <x v="10"/>
    <x v="0"/>
    <x v="0"/>
    <n v="0.89"/>
    <n v="4692.2"/>
    <n v="21821.77"/>
    <x v="2"/>
  </r>
  <r>
    <x v="10"/>
    <x v="1"/>
    <x v="4"/>
    <x v="1"/>
    <x v="11"/>
    <x v="0"/>
    <x v="0"/>
    <n v="0"/>
    <n v="0"/>
    <n v="0"/>
    <x v="2"/>
  </r>
  <r>
    <x v="10"/>
    <x v="1"/>
    <x v="4"/>
    <x v="1"/>
    <x v="13"/>
    <x v="0"/>
    <x v="0"/>
    <n v="0"/>
    <n v="0"/>
    <n v="0"/>
    <x v="2"/>
  </r>
  <r>
    <x v="10"/>
    <x v="1"/>
    <x v="4"/>
    <x v="1"/>
    <x v="14"/>
    <x v="0"/>
    <x v="0"/>
    <n v="0"/>
    <n v="0"/>
    <n v="0"/>
    <x v="2"/>
  </r>
  <r>
    <x v="10"/>
    <x v="1"/>
    <x v="4"/>
    <x v="1"/>
    <x v="16"/>
    <x v="0"/>
    <x v="0"/>
    <n v="0"/>
    <n v="0"/>
    <n v="0"/>
    <x v="2"/>
  </r>
  <r>
    <x v="10"/>
    <x v="1"/>
    <x v="4"/>
    <x v="1"/>
    <x v="17"/>
    <x v="0"/>
    <x v="0"/>
    <n v="0"/>
    <n v="0"/>
    <n v="0"/>
    <x v="2"/>
  </r>
  <r>
    <x v="10"/>
    <x v="1"/>
    <x v="4"/>
    <x v="1"/>
    <x v="18"/>
    <x v="0"/>
    <x v="0"/>
    <n v="0"/>
    <n v="0"/>
    <n v="0"/>
    <x v="2"/>
  </r>
  <r>
    <x v="10"/>
    <x v="1"/>
    <x v="4"/>
    <x v="1"/>
    <x v="19"/>
    <x v="0"/>
    <x v="0"/>
    <n v="0"/>
    <n v="0"/>
    <n v="0"/>
    <x v="2"/>
  </r>
  <r>
    <x v="10"/>
    <x v="1"/>
    <x v="4"/>
    <x v="1"/>
    <x v="20"/>
    <x v="0"/>
    <x v="0"/>
    <n v="1.52"/>
    <n v="8013.64"/>
    <n v="37149.32"/>
    <x v="2"/>
  </r>
  <r>
    <x v="10"/>
    <x v="1"/>
    <x v="4"/>
    <x v="2"/>
    <x v="21"/>
    <x v="0"/>
    <x v="0"/>
    <n v="1.61"/>
    <n v="8488.1299999999992"/>
    <n v="39359.39"/>
    <x v="2"/>
  </r>
  <r>
    <x v="10"/>
    <x v="1"/>
    <x v="4"/>
    <x v="2"/>
    <x v="22"/>
    <x v="0"/>
    <x v="0"/>
    <n v="0"/>
    <n v="0"/>
    <n v="0"/>
    <x v="2"/>
  </r>
  <r>
    <x v="10"/>
    <x v="1"/>
    <x v="4"/>
    <x v="2"/>
    <x v="29"/>
    <x v="0"/>
    <x v="0"/>
    <n v="0"/>
    <n v="0"/>
    <n v="0"/>
    <x v="2"/>
  </r>
  <r>
    <x v="10"/>
    <x v="1"/>
    <x v="4"/>
    <x v="2"/>
    <x v="24"/>
    <x v="0"/>
    <x v="0"/>
    <n v="0"/>
    <n v="0"/>
    <n v="0"/>
    <x v="2"/>
  </r>
  <r>
    <x v="10"/>
    <x v="1"/>
    <x v="4"/>
    <x v="3"/>
    <x v="25"/>
    <x v="0"/>
    <x v="0"/>
    <n v="0"/>
    <n v="0"/>
    <n v="0"/>
    <x v="2"/>
  </r>
  <r>
    <x v="10"/>
    <x v="1"/>
    <x v="4"/>
    <x v="3"/>
    <x v="26"/>
    <x v="0"/>
    <x v="0"/>
    <n v="1.23"/>
    <n v="6484.72"/>
    <n v="30176.89"/>
    <x v="2"/>
  </r>
  <r>
    <x v="10"/>
    <x v="1"/>
    <x v="4"/>
    <x v="3"/>
    <x v="27"/>
    <x v="0"/>
    <x v="0"/>
    <n v="1.62"/>
    <n v="8540.85"/>
    <n v="39719.769999999997"/>
    <x v="2"/>
  </r>
  <r>
    <x v="10"/>
    <x v="1"/>
    <x v="4"/>
    <x v="0"/>
    <x v="0"/>
    <x v="0"/>
    <x v="1"/>
    <n v="0.96"/>
    <n v="5061.24"/>
    <n v="23542.11"/>
    <x v="2"/>
  </r>
  <r>
    <x v="10"/>
    <x v="1"/>
    <x v="4"/>
    <x v="0"/>
    <x v="1"/>
    <x v="0"/>
    <x v="1"/>
    <n v="4.37"/>
    <n v="23039.21"/>
    <n v="106972.98"/>
    <x v="2"/>
  </r>
  <r>
    <x v="10"/>
    <x v="1"/>
    <x v="4"/>
    <x v="0"/>
    <x v="2"/>
    <x v="0"/>
    <x v="1"/>
    <n v="4.8099999999999996"/>
    <n v="25358.95"/>
    <n v="117938.59"/>
    <x v="2"/>
  </r>
  <r>
    <x v="10"/>
    <x v="1"/>
    <x v="4"/>
    <x v="0"/>
    <x v="3"/>
    <x v="0"/>
    <x v="1"/>
    <n v="3.09"/>
    <n v="16290.88"/>
    <n v="75645.95"/>
    <x v="2"/>
  </r>
  <r>
    <x v="10"/>
    <x v="1"/>
    <x v="4"/>
    <x v="0"/>
    <x v="4"/>
    <x v="0"/>
    <x v="1"/>
    <n v="2.0499999999999998"/>
    <n v="10807.87"/>
    <n v="50343.48"/>
    <x v="2"/>
  </r>
  <r>
    <x v="10"/>
    <x v="1"/>
    <x v="4"/>
    <x v="0"/>
    <x v="5"/>
    <x v="0"/>
    <x v="1"/>
    <n v="0.64"/>
    <n v="3374.16"/>
    <n v="15682.84"/>
    <x v="2"/>
  </r>
  <r>
    <x v="10"/>
    <x v="1"/>
    <x v="4"/>
    <x v="0"/>
    <x v="6"/>
    <x v="0"/>
    <x v="1"/>
    <n v="2.12"/>
    <n v="11176.92"/>
    <n v="52066.39"/>
    <x v="2"/>
  </r>
  <r>
    <x v="10"/>
    <x v="1"/>
    <x v="4"/>
    <x v="0"/>
    <x v="8"/>
    <x v="0"/>
    <x v="1"/>
    <n v="2.4700000000000002"/>
    <n v="13022.16"/>
    <n v="60441.3"/>
    <x v="2"/>
  </r>
  <r>
    <x v="10"/>
    <x v="1"/>
    <x v="4"/>
    <x v="1"/>
    <x v="10"/>
    <x v="0"/>
    <x v="1"/>
    <n v="1.25"/>
    <n v="6590.16"/>
    <n v="30550.48"/>
    <x v="2"/>
  </r>
  <r>
    <x v="10"/>
    <x v="1"/>
    <x v="4"/>
    <x v="1"/>
    <x v="11"/>
    <x v="0"/>
    <x v="1"/>
    <n v="8.2799999999999994"/>
    <n v="43653.24"/>
    <n v="202791.6"/>
    <x v="2"/>
  </r>
  <r>
    <x v="10"/>
    <x v="1"/>
    <x v="4"/>
    <x v="1"/>
    <x v="13"/>
    <x v="0"/>
    <x v="1"/>
    <n v="2.42"/>
    <n v="12758.55"/>
    <n v="59367.93"/>
    <x v="2"/>
  </r>
  <r>
    <x v="10"/>
    <x v="1"/>
    <x v="4"/>
    <x v="1"/>
    <x v="14"/>
    <x v="0"/>
    <x v="1"/>
    <n v="1.66"/>
    <n v="8751.74"/>
    <n v="40664.01"/>
    <x v="2"/>
  </r>
  <r>
    <x v="10"/>
    <x v="1"/>
    <x v="4"/>
    <x v="1"/>
    <x v="16"/>
    <x v="0"/>
    <x v="1"/>
    <n v="0.81"/>
    <n v="4270.43"/>
    <n v="19867.099999999999"/>
    <x v="2"/>
  </r>
  <r>
    <x v="10"/>
    <x v="1"/>
    <x v="4"/>
    <x v="1"/>
    <x v="17"/>
    <x v="0"/>
    <x v="1"/>
    <n v="2.4700000000000002"/>
    <n v="13022.16"/>
    <n v="60524.01"/>
    <x v="2"/>
  </r>
  <r>
    <x v="10"/>
    <x v="1"/>
    <x v="4"/>
    <x v="1"/>
    <x v="18"/>
    <x v="0"/>
    <x v="1"/>
    <n v="8.0399999999999991"/>
    <n v="42387.93"/>
    <n v="197058.39"/>
    <x v="2"/>
  </r>
  <r>
    <x v="10"/>
    <x v="1"/>
    <x v="4"/>
    <x v="1"/>
    <x v="19"/>
    <x v="0"/>
    <x v="1"/>
    <n v="3.45"/>
    <n v="18188.849999999999"/>
    <n v="84541.88"/>
    <x v="2"/>
  </r>
  <r>
    <x v="10"/>
    <x v="1"/>
    <x v="4"/>
    <x v="1"/>
    <x v="20"/>
    <x v="0"/>
    <x v="1"/>
    <n v="5.44"/>
    <n v="28680.39"/>
    <n v="133300.49"/>
    <x v="2"/>
  </r>
  <r>
    <x v="10"/>
    <x v="1"/>
    <x v="4"/>
    <x v="2"/>
    <x v="21"/>
    <x v="0"/>
    <x v="1"/>
    <n v="0"/>
    <n v="0"/>
    <n v="0"/>
    <x v="2"/>
  </r>
  <r>
    <x v="10"/>
    <x v="1"/>
    <x v="4"/>
    <x v="2"/>
    <x v="22"/>
    <x v="0"/>
    <x v="1"/>
    <n v="3.64"/>
    <n v="19190.55"/>
    <n v="89153.62"/>
    <x v="2"/>
  </r>
  <r>
    <x v="10"/>
    <x v="1"/>
    <x v="4"/>
    <x v="2"/>
    <x v="29"/>
    <x v="0"/>
    <x v="1"/>
    <n v="1.59"/>
    <n v="8382.69"/>
    <n v="38973.22"/>
    <x v="2"/>
  </r>
  <r>
    <x v="10"/>
    <x v="1"/>
    <x v="4"/>
    <x v="2"/>
    <x v="24"/>
    <x v="0"/>
    <x v="1"/>
    <n v="2"/>
    <n v="10544.26"/>
    <n v="49050.1"/>
    <x v="2"/>
  </r>
  <r>
    <x v="10"/>
    <x v="1"/>
    <x v="4"/>
    <x v="3"/>
    <x v="25"/>
    <x v="0"/>
    <x v="1"/>
    <n v="1.58"/>
    <n v="8329.9699999999993"/>
    <n v="38643.99"/>
    <x v="2"/>
  </r>
  <r>
    <x v="10"/>
    <x v="1"/>
    <x v="4"/>
    <x v="3"/>
    <x v="26"/>
    <x v="0"/>
    <x v="1"/>
    <n v="1.46"/>
    <n v="7697.31"/>
    <n v="35663.589999999997"/>
    <x v="2"/>
  </r>
  <r>
    <x v="10"/>
    <x v="1"/>
    <x v="4"/>
    <x v="3"/>
    <x v="27"/>
    <x v="0"/>
    <x v="1"/>
    <n v="6.6"/>
    <n v="34796.06"/>
    <n v="161716.20000000001"/>
    <x v="2"/>
  </r>
  <r>
    <x v="10"/>
    <x v="1"/>
    <x v="4"/>
    <x v="0"/>
    <x v="0"/>
    <x v="1"/>
    <x v="0"/>
    <n v="7.1"/>
    <n v="37432.120000000003"/>
    <n v="113772.63"/>
    <x v="2"/>
  </r>
  <r>
    <x v="10"/>
    <x v="1"/>
    <x v="4"/>
    <x v="0"/>
    <x v="1"/>
    <x v="1"/>
    <x v="0"/>
    <n v="15.32"/>
    <n v="80769.03"/>
    <n v="241322.9"/>
    <x v="2"/>
  </r>
  <r>
    <x v="10"/>
    <x v="1"/>
    <x v="4"/>
    <x v="0"/>
    <x v="2"/>
    <x v="1"/>
    <x v="0"/>
    <n v="6.67"/>
    <n v="35165.11"/>
    <n v="101566.97"/>
    <x v="2"/>
  </r>
  <r>
    <x v="10"/>
    <x v="1"/>
    <x v="4"/>
    <x v="0"/>
    <x v="3"/>
    <x v="1"/>
    <x v="0"/>
    <n v="14.06"/>
    <n v="74126.149999999994"/>
    <n v="222638.69"/>
    <x v="2"/>
  </r>
  <r>
    <x v="10"/>
    <x v="1"/>
    <x v="4"/>
    <x v="0"/>
    <x v="28"/>
    <x v="1"/>
    <x v="0"/>
    <n v="0"/>
    <n v="0"/>
    <n v="0"/>
    <x v="2"/>
  </r>
  <r>
    <x v="10"/>
    <x v="1"/>
    <x v="4"/>
    <x v="0"/>
    <x v="4"/>
    <x v="1"/>
    <x v="0"/>
    <n v="7.63"/>
    <n v="40226.35"/>
    <n v="119581.08"/>
    <x v="2"/>
  </r>
  <r>
    <x v="10"/>
    <x v="1"/>
    <x v="4"/>
    <x v="0"/>
    <x v="5"/>
    <x v="1"/>
    <x v="0"/>
    <n v="3.14"/>
    <n v="16554.490000000002"/>
    <n v="50745.32"/>
    <x v="2"/>
  </r>
  <r>
    <x v="10"/>
    <x v="1"/>
    <x v="4"/>
    <x v="0"/>
    <x v="6"/>
    <x v="1"/>
    <x v="0"/>
    <n v="0"/>
    <n v="0"/>
    <n v="0"/>
    <x v="2"/>
  </r>
  <r>
    <x v="10"/>
    <x v="1"/>
    <x v="4"/>
    <x v="0"/>
    <x v="7"/>
    <x v="1"/>
    <x v="0"/>
    <n v="0"/>
    <n v="0"/>
    <n v="0"/>
    <x v="2"/>
  </r>
  <r>
    <x v="10"/>
    <x v="1"/>
    <x v="4"/>
    <x v="0"/>
    <x v="8"/>
    <x v="1"/>
    <x v="0"/>
    <n v="0"/>
    <n v="0"/>
    <n v="0"/>
    <x v="2"/>
  </r>
  <r>
    <x v="10"/>
    <x v="1"/>
    <x v="4"/>
    <x v="1"/>
    <x v="30"/>
    <x v="1"/>
    <x v="0"/>
    <n v="2.95"/>
    <n v="15552.78"/>
    <n v="49838.23"/>
    <x v="2"/>
  </r>
  <r>
    <x v="10"/>
    <x v="1"/>
    <x v="4"/>
    <x v="1"/>
    <x v="9"/>
    <x v="1"/>
    <x v="0"/>
    <n v="0"/>
    <n v="0"/>
    <n v="0"/>
    <x v="2"/>
  </r>
  <r>
    <x v="10"/>
    <x v="1"/>
    <x v="4"/>
    <x v="1"/>
    <x v="31"/>
    <x v="1"/>
    <x v="0"/>
    <n v="0"/>
    <n v="0"/>
    <n v="0"/>
    <x v="2"/>
  </r>
  <r>
    <x v="10"/>
    <x v="1"/>
    <x v="4"/>
    <x v="1"/>
    <x v="10"/>
    <x v="1"/>
    <x v="0"/>
    <n v="10.91"/>
    <n v="57518.94"/>
    <n v="182400.63"/>
    <x v="2"/>
  </r>
  <r>
    <x v="10"/>
    <x v="1"/>
    <x v="4"/>
    <x v="1"/>
    <x v="11"/>
    <x v="1"/>
    <x v="0"/>
    <n v="7.55"/>
    <n v="39804.58"/>
    <n v="120276.01"/>
    <x v="2"/>
  </r>
  <r>
    <x v="10"/>
    <x v="1"/>
    <x v="4"/>
    <x v="1"/>
    <x v="12"/>
    <x v="1"/>
    <x v="0"/>
    <n v="2.98"/>
    <n v="15710.95"/>
    <n v="49901.48"/>
    <x v="2"/>
  </r>
  <r>
    <x v="10"/>
    <x v="1"/>
    <x v="4"/>
    <x v="1"/>
    <x v="13"/>
    <x v="1"/>
    <x v="0"/>
    <n v="4.32"/>
    <n v="22775.599999999999"/>
    <n v="72158.490000000005"/>
    <x v="2"/>
  </r>
  <r>
    <x v="10"/>
    <x v="1"/>
    <x v="4"/>
    <x v="1"/>
    <x v="14"/>
    <x v="1"/>
    <x v="0"/>
    <n v="15.45"/>
    <n v="81454.41"/>
    <n v="252906.58"/>
    <x v="2"/>
  </r>
  <r>
    <x v="10"/>
    <x v="1"/>
    <x v="4"/>
    <x v="1"/>
    <x v="15"/>
    <x v="1"/>
    <x v="0"/>
    <n v="4.47"/>
    <n v="23566.42"/>
    <n v="75726.87"/>
    <x v="2"/>
  </r>
  <r>
    <x v="10"/>
    <x v="1"/>
    <x v="4"/>
    <x v="1"/>
    <x v="16"/>
    <x v="1"/>
    <x v="0"/>
    <n v="6.58"/>
    <n v="34690.620000000003"/>
    <n v="106123.44"/>
    <x v="2"/>
  </r>
  <r>
    <x v="10"/>
    <x v="1"/>
    <x v="4"/>
    <x v="1"/>
    <x v="17"/>
    <x v="1"/>
    <x v="0"/>
    <n v="5.56"/>
    <n v="29313.040000000001"/>
    <n v="90500.6"/>
    <x v="2"/>
  </r>
  <r>
    <x v="10"/>
    <x v="1"/>
    <x v="4"/>
    <x v="1"/>
    <x v="18"/>
    <x v="1"/>
    <x v="0"/>
    <n v="7.45"/>
    <n v="39277.370000000003"/>
    <n v="126938.52"/>
    <x v="2"/>
  </r>
  <r>
    <x v="10"/>
    <x v="1"/>
    <x v="4"/>
    <x v="1"/>
    <x v="19"/>
    <x v="1"/>
    <x v="0"/>
    <n v="13.3"/>
    <n v="70119.33"/>
    <n v="219720.56"/>
    <x v="2"/>
  </r>
  <r>
    <x v="10"/>
    <x v="1"/>
    <x v="4"/>
    <x v="1"/>
    <x v="20"/>
    <x v="1"/>
    <x v="0"/>
    <n v="14.6"/>
    <n v="76973.100000000006"/>
    <n v="237271"/>
    <x v="2"/>
  </r>
  <r>
    <x v="10"/>
    <x v="1"/>
    <x v="4"/>
    <x v="2"/>
    <x v="21"/>
    <x v="1"/>
    <x v="0"/>
    <n v="0"/>
    <n v="0"/>
    <n v="0"/>
    <x v="2"/>
  </r>
  <r>
    <x v="10"/>
    <x v="1"/>
    <x v="4"/>
    <x v="2"/>
    <x v="22"/>
    <x v="1"/>
    <x v="0"/>
    <n v="9.44"/>
    <n v="49768.91"/>
    <n v="140854.96"/>
    <x v="2"/>
  </r>
  <r>
    <x v="10"/>
    <x v="1"/>
    <x v="4"/>
    <x v="2"/>
    <x v="29"/>
    <x v="1"/>
    <x v="0"/>
    <n v="0"/>
    <n v="0"/>
    <n v="0"/>
    <x v="2"/>
  </r>
  <r>
    <x v="10"/>
    <x v="1"/>
    <x v="4"/>
    <x v="2"/>
    <x v="23"/>
    <x v="1"/>
    <x v="0"/>
    <n v="0"/>
    <n v="0"/>
    <n v="0"/>
    <x v="2"/>
  </r>
  <r>
    <x v="10"/>
    <x v="1"/>
    <x v="4"/>
    <x v="2"/>
    <x v="24"/>
    <x v="1"/>
    <x v="0"/>
    <n v="2.5499999999999998"/>
    <n v="13443.93"/>
    <n v="38692.04"/>
    <x v="2"/>
  </r>
  <r>
    <x v="10"/>
    <x v="1"/>
    <x v="4"/>
    <x v="3"/>
    <x v="25"/>
    <x v="1"/>
    <x v="0"/>
    <n v="9.56"/>
    <n v="50401.56"/>
    <n v="160433.73000000001"/>
    <x v="2"/>
  </r>
  <r>
    <x v="10"/>
    <x v="1"/>
    <x v="4"/>
    <x v="3"/>
    <x v="26"/>
    <x v="1"/>
    <x v="0"/>
    <n v="21.62"/>
    <n v="113983.45"/>
    <n v="365520.08"/>
    <x v="2"/>
  </r>
  <r>
    <x v="10"/>
    <x v="1"/>
    <x v="4"/>
    <x v="3"/>
    <x v="27"/>
    <x v="1"/>
    <x v="0"/>
    <n v="20.57"/>
    <n v="108447.71"/>
    <n v="341160.9"/>
    <x v="2"/>
  </r>
  <r>
    <x v="10"/>
    <x v="1"/>
    <x v="4"/>
    <x v="0"/>
    <x v="0"/>
    <x v="1"/>
    <x v="1"/>
    <n v="17.48"/>
    <n v="92156.83"/>
    <n v="280055.71000000002"/>
    <x v="2"/>
  </r>
  <r>
    <x v="10"/>
    <x v="1"/>
    <x v="4"/>
    <x v="0"/>
    <x v="1"/>
    <x v="1"/>
    <x v="1"/>
    <n v="24.15"/>
    <n v="127321.94"/>
    <n v="380490.7"/>
    <x v="2"/>
  </r>
  <r>
    <x v="10"/>
    <x v="1"/>
    <x v="4"/>
    <x v="0"/>
    <x v="2"/>
    <x v="1"/>
    <x v="1"/>
    <n v="21.34"/>
    <n v="112507.25"/>
    <n v="324706.51"/>
    <x v="2"/>
  </r>
  <r>
    <x v="10"/>
    <x v="1"/>
    <x v="4"/>
    <x v="0"/>
    <x v="3"/>
    <x v="1"/>
    <x v="1"/>
    <n v="47.71"/>
    <n v="251533.32"/>
    <n v="755225.35"/>
    <x v="2"/>
  </r>
  <r>
    <x v="10"/>
    <x v="1"/>
    <x v="4"/>
    <x v="0"/>
    <x v="28"/>
    <x v="1"/>
    <x v="1"/>
    <n v="2.79"/>
    <n v="14709.24"/>
    <n v="44702.29"/>
    <x v="2"/>
  </r>
  <r>
    <x v="10"/>
    <x v="1"/>
    <x v="4"/>
    <x v="0"/>
    <x v="4"/>
    <x v="1"/>
    <x v="1"/>
    <n v="7.54"/>
    <n v="39751.86"/>
    <n v="118206.59"/>
    <x v="2"/>
  </r>
  <r>
    <x v="10"/>
    <x v="1"/>
    <x v="4"/>
    <x v="0"/>
    <x v="5"/>
    <x v="1"/>
    <x v="1"/>
    <n v="24.78"/>
    <n v="130643.38"/>
    <n v="400163.13"/>
    <x v="2"/>
  </r>
  <r>
    <x v="10"/>
    <x v="1"/>
    <x v="4"/>
    <x v="0"/>
    <x v="6"/>
    <x v="1"/>
    <x v="1"/>
    <n v="5.14"/>
    <n v="27098.75"/>
    <n v="82716.600000000006"/>
    <x v="2"/>
  </r>
  <r>
    <x v="10"/>
    <x v="1"/>
    <x v="4"/>
    <x v="0"/>
    <x v="7"/>
    <x v="1"/>
    <x v="1"/>
    <n v="2.5099999999999998"/>
    <n v="13233.05"/>
    <n v="41136.839999999997"/>
    <x v="2"/>
  </r>
  <r>
    <x v="10"/>
    <x v="1"/>
    <x v="4"/>
    <x v="0"/>
    <x v="8"/>
    <x v="1"/>
    <x v="1"/>
    <n v="3.47"/>
    <n v="18294.29"/>
    <n v="54138.61"/>
    <x v="2"/>
  </r>
  <r>
    <x v="10"/>
    <x v="1"/>
    <x v="4"/>
    <x v="1"/>
    <x v="30"/>
    <x v="1"/>
    <x v="1"/>
    <n v="0"/>
    <n v="0"/>
    <n v="0"/>
    <x v="2"/>
  </r>
  <r>
    <x v="10"/>
    <x v="1"/>
    <x v="4"/>
    <x v="1"/>
    <x v="9"/>
    <x v="1"/>
    <x v="1"/>
    <n v="5.24"/>
    <n v="27625.96"/>
    <n v="88329.06"/>
    <x v="2"/>
  </r>
  <r>
    <x v="10"/>
    <x v="1"/>
    <x v="4"/>
    <x v="1"/>
    <x v="31"/>
    <x v="1"/>
    <x v="1"/>
    <n v="0"/>
    <n v="0"/>
    <n v="0"/>
    <x v="2"/>
  </r>
  <r>
    <x v="10"/>
    <x v="1"/>
    <x v="4"/>
    <x v="1"/>
    <x v="10"/>
    <x v="1"/>
    <x v="1"/>
    <n v="30.08"/>
    <n v="158585.67000000001"/>
    <n v="502713.92"/>
    <x v="2"/>
  </r>
  <r>
    <x v="10"/>
    <x v="1"/>
    <x v="4"/>
    <x v="1"/>
    <x v="11"/>
    <x v="1"/>
    <x v="1"/>
    <n v="28.46"/>
    <n v="150044.82"/>
    <n v="453250.64"/>
    <x v="2"/>
  </r>
  <r>
    <x v="10"/>
    <x v="1"/>
    <x v="4"/>
    <x v="1"/>
    <x v="12"/>
    <x v="1"/>
    <x v="1"/>
    <n v="3.46"/>
    <n v="18241.57"/>
    <n v="57950.11"/>
    <x v="2"/>
  </r>
  <r>
    <x v="10"/>
    <x v="1"/>
    <x v="4"/>
    <x v="1"/>
    <x v="13"/>
    <x v="1"/>
    <x v="1"/>
    <n v="12.29"/>
    <n v="64794.48"/>
    <n v="205156.5"/>
    <x v="2"/>
  </r>
  <r>
    <x v="10"/>
    <x v="1"/>
    <x v="4"/>
    <x v="1"/>
    <x v="14"/>
    <x v="1"/>
    <x v="1"/>
    <n v="7.2"/>
    <n v="37959.339999999997"/>
    <n v="117831.48"/>
    <x v="2"/>
  </r>
  <r>
    <x v="10"/>
    <x v="1"/>
    <x v="4"/>
    <x v="1"/>
    <x v="15"/>
    <x v="1"/>
    <x v="1"/>
    <n v="1.29"/>
    <n v="6801.05"/>
    <n v="21920.94"/>
    <x v="2"/>
  </r>
  <r>
    <x v="10"/>
    <x v="1"/>
    <x v="4"/>
    <x v="1"/>
    <x v="16"/>
    <x v="1"/>
    <x v="1"/>
    <n v="8.89"/>
    <n v="46869.24"/>
    <n v="143410.06"/>
    <x v="2"/>
  </r>
  <r>
    <x v="10"/>
    <x v="1"/>
    <x v="4"/>
    <x v="1"/>
    <x v="17"/>
    <x v="1"/>
    <x v="1"/>
    <n v="4.59"/>
    <n v="24199.08"/>
    <n v="74761.36"/>
    <x v="2"/>
  </r>
  <r>
    <x v="10"/>
    <x v="1"/>
    <x v="4"/>
    <x v="1"/>
    <x v="18"/>
    <x v="1"/>
    <x v="1"/>
    <n v="34.049999999999997"/>
    <n v="179516.03"/>
    <n v="579842.62"/>
    <x v="2"/>
  </r>
  <r>
    <x v="10"/>
    <x v="1"/>
    <x v="4"/>
    <x v="1"/>
    <x v="19"/>
    <x v="1"/>
    <x v="1"/>
    <n v="14.91"/>
    <n v="78607.460000000006"/>
    <n v="246263.98"/>
    <x v="2"/>
  </r>
  <r>
    <x v="10"/>
    <x v="1"/>
    <x v="4"/>
    <x v="1"/>
    <x v="20"/>
    <x v="1"/>
    <x v="1"/>
    <n v="24.01"/>
    <n v="126583.84"/>
    <n v="390114.29"/>
    <x v="2"/>
  </r>
  <r>
    <x v="10"/>
    <x v="1"/>
    <x v="4"/>
    <x v="2"/>
    <x v="21"/>
    <x v="1"/>
    <x v="1"/>
    <n v="1.39"/>
    <n v="7328.26"/>
    <n v="20739.96"/>
    <x v="2"/>
  </r>
  <r>
    <x v="10"/>
    <x v="1"/>
    <x v="4"/>
    <x v="2"/>
    <x v="22"/>
    <x v="1"/>
    <x v="1"/>
    <n v="14.43"/>
    <n v="76076.84"/>
    <n v="215268.89"/>
    <x v="2"/>
  </r>
  <r>
    <x v="10"/>
    <x v="1"/>
    <x v="4"/>
    <x v="2"/>
    <x v="29"/>
    <x v="1"/>
    <x v="1"/>
    <n v="2.2200000000000002"/>
    <n v="11704.13"/>
    <n v="35224.33"/>
    <x v="2"/>
  </r>
  <r>
    <x v="10"/>
    <x v="1"/>
    <x v="4"/>
    <x v="2"/>
    <x v="23"/>
    <x v="1"/>
    <x v="1"/>
    <n v="2.04"/>
    <n v="10755.15"/>
    <n v="31658.13"/>
    <x v="2"/>
  </r>
  <r>
    <x v="10"/>
    <x v="1"/>
    <x v="4"/>
    <x v="2"/>
    <x v="24"/>
    <x v="1"/>
    <x v="1"/>
    <n v="3.82"/>
    <n v="20139.54"/>
    <n v="58038.06"/>
    <x v="2"/>
  </r>
  <r>
    <x v="10"/>
    <x v="1"/>
    <x v="4"/>
    <x v="3"/>
    <x v="25"/>
    <x v="1"/>
    <x v="1"/>
    <n v="9"/>
    <n v="47449.17"/>
    <n v="151088.07999999999"/>
    <x v="2"/>
  </r>
  <r>
    <x v="10"/>
    <x v="1"/>
    <x v="4"/>
    <x v="3"/>
    <x v="26"/>
    <x v="1"/>
    <x v="1"/>
    <n v="58.2"/>
    <n v="306837.96999999997"/>
    <n v="984092.54"/>
    <x v="2"/>
  </r>
  <r>
    <x v="10"/>
    <x v="1"/>
    <x v="4"/>
    <x v="3"/>
    <x v="27"/>
    <x v="1"/>
    <x v="1"/>
    <n v="46.94"/>
    <n v="247473.78"/>
    <n v="778649.58"/>
    <x v="2"/>
  </r>
  <r>
    <x v="10"/>
    <x v="1"/>
    <x v="5"/>
    <x v="0"/>
    <x v="0"/>
    <x v="0"/>
    <x v="0"/>
    <n v="2.2400000000000002"/>
    <n v="12537.08"/>
    <n v="51425.95"/>
    <x v="2"/>
  </r>
  <r>
    <x v="10"/>
    <x v="1"/>
    <x v="5"/>
    <x v="0"/>
    <x v="1"/>
    <x v="0"/>
    <x v="0"/>
    <n v="3.85"/>
    <n v="21548.1"/>
    <n v="88345.94"/>
    <x v="2"/>
  </r>
  <r>
    <x v="10"/>
    <x v="1"/>
    <x v="5"/>
    <x v="0"/>
    <x v="2"/>
    <x v="0"/>
    <x v="0"/>
    <n v="0"/>
    <n v="0"/>
    <n v="0"/>
    <x v="2"/>
  </r>
  <r>
    <x v="10"/>
    <x v="1"/>
    <x v="5"/>
    <x v="0"/>
    <x v="3"/>
    <x v="0"/>
    <x v="0"/>
    <n v="1.59"/>
    <n v="8899.09"/>
    <n v="36433.69"/>
    <x v="2"/>
  </r>
  <r>
    <x v="10"/>
    <x v="1"/>
    <x v="5"/>
    <x v="0"/>
    <x v="4"/>
    <x v="0"/>
    <x v="0"/>
    <n v="0"/>
    <n v="0"/>
    <n v="0"/>
    <x v="2"/>
  </r>
  <r>
    <x v="10"/>
    <x v="1"/>
    <x v="5"/>
    <x v="0"/>
    <x v="5"/>
    <x v="0"/>
    <x v="0"/>
    <n v="0"/>
    <n v="0"/>
    <n v="0"/>
    <x v="2"/>
  </r>
  <r>
    <x v="10"/>
    <x v="1"/>
    <x v="5"/>
    <x v="0"/>
    <x v="6"/>
    <x v="0"/>
    <x v="0"/>
    <n v="0"/>
    <n v="0"/>
    <n v="0"/>
    <x v="2"/>
  </r>
  <r>
    <x v="10"/>
    <x v="1"/>
    <x v="5"/>
    <x v="0"/>
    <x v="8"/>
    <x v="0"/>
    <x v="0"/>
    <n v="0"/>
    <n v="0"/>
    <n v="0"/>
    <x v="2"/>
  </r>
  <r>
    <x v="10"/>
    <x v="1"/>
    <x v="5"/>
    <x v="1"/>
    <x v="10"/>
    <x v="0"/>
    <x v="0"/>
    <n v="1.53"/>
    <n v="8563.27"/>
    <n v="35245.449999999997"/>
    <x v="2"/>
  </r>
  <r>
    <x v="10"/>
    <x v="1"/>
    <x v="5"/>
    <x v="1"/>
    <x v="11"/>
    <x v="0"/>
    <x v="0"/>
    <n v="0"/>
    <n v="0"/>
    <n v="0"/>
    <x v="2"/>
  </r>
  <r>
    <x v="10"/>
    <x v="1"/>
    <x v="5"/>
    <x v="1"/>
    <x v="13"/>
    <x v="0"/>
    <x v="0"/>
    <n v="0"/>
    <n v="0"/>
    <n v="0"/>
    <x v="2"/>
  </r>
  <r>
    <x v="10"/>
    <x v="1"/>
    <x v="5"/>
    <x v="1"/>
    <x v="14"/>
    <x v="0"/>
    <x v="0"/>
    <n v="0"/>
    <n v="0"/>
    <n v="0"/>
    <x v="2"/>
  </r>
  <r>
    <x v="10"/>
    <x v="1"/>
    <x v="5"/>
    <x v="1"/>
    <x v="16"/>
    <x v="0"/>
    <x v="0"/>
    <n v="0"/>
    <n v="0"/>
    <n v="0"/>
    <x v="2"/>
  </r>
  <r>
    <x v="10"/>
    <x v="1"/>
    <x v="5"/>
    <x v="1"/>
    <x v="17"/>
    <x v="0"/>
    <x v="0"/>
    <n v="0"/>
    <n v="0"/>
    <n v="0"/>
    <x v="2"/>
  </r>
  <r>
    <x v="10"/>
    <x v="1"/>
    <x v="5"/>
    <x v="1"/>
    <x v="18"/>
    <x v="0"/>
    <x v="0"/>
    <n v="0"/>
    <n v="0"/>
    <n v="0"/>
    <x v="2"/>
  </r>
  <r>
    <x v="10"/>
    <x v="1"/>
    <x v="5"/>
    <x v="1"/>
    <x v="19"/>
    <x v="0"/>
    <x v="0"/>
    <n v="0"/>
    <n v="0"/>
    <n v="0"/>
    <x v="2"/>
  </r>
  <r>
    <x v="10"/>
    <x v="1"/>
    <x v="5"/>
    <x v="1"/>
    <x v="20"/>
    <x v="0"/>
    <x v="0"/>
    <n v="1.8"/>
    <n v="10074.44"/>
    <n v="41404"/>
    <x v="2"/>
  </r>
  <r>
    <x v="10"/>
    <x v="1"/>
    <x v="5"/>
    <x v="2"/>
    <x v="21"/>
    <x v="0"/>
    <x v="0"/>
    <n v="1.79"/>
    <n v="10018.469999999999"/>
    <n v="41096.51"/>
    <x v="2"/>
  </r>
  <r>
    <x v="10"/>
    <x v="1"/>
    <x v="5"/>
    <x v="2"/>
    <x v="22"/>
    <x v="0"/>
    <x v="0"/>
    <n v="0"/>
    <n v="0"/>
    <n v="0"/>
    <x v="2"/>
  </r>
  <r>
    <x v="10"/>
    <x v="1"/>
    <x v="5"/>
    <x v="2"/>
    <x v="29"/>
    <x v="0"/>
    <x v="0"/>
    <n v="0"/>
    <n v="0"/>
    <n v="0"/>
    <x v="2"/>
  </r>
  <r>
    <x v="10"/>
    <x v="1"/>
    <x v="5"/>
    <x v="2"/>
    <x v="24"/>
    <x v="0"/>
    <x v="0"/>
    <n v="0"/>
    <n v="0"/>
    <n v="0"/>
    <x v="2"/>
  </r>
  <r>
    <x v="10"/>
    <x v="1"/>
    <x v="5"/>
    <x v="3"/>
    <x v="25"/>
    <x v="0"/>
    <x v="0"/>
    <n v="0"/>
    <n v="0"/>
    <n v="0"/>
    <x v="2"/>
  </r>
  <r>
    <x v="10"/>
    <x v="1"/>
    <x v="5"/>
    <x v="3"/>
    <x v="26"/>
    <x v="0"/>
    <x v="0"/>
    <n v="1.86"/>
    <n v="10410.25"/>
    <n v="42629.7"/>
    <x v="2"/>
  </r>
  <r>
    <x v="10"/>
    <x v="1"/>
    <x v="5"/>
    <x v="3"/>
    <x v="27"/>
    <x v="0"/>
    <x v="0"/>
    <n v="2.5"/>
    <n v="13992.28"/>
    <n v="57479.94"/>
    <x v="2"/>
  </r>
  <r>
    <x v="10"/>
    <x v="1"/>
    <x v="5"/>
    <x v="0"/>
    <x v="0"/>
    <x v="0"/>
    <x v="1"/>
    <n v="1.85"/>
    <n v="10354.280000000001"/>
    <n v="42482.3"/>
    <x v="2"/>
  </r>
  <r>
    <x v="10"/>
    <x v="1"/>
    <x v="5"/>
    <x v="0"/>
    <x v="1"/>
    <x v="0"/>
    <x v="1"/>
    <n v="4.4400000000000004"/>
    <n v="24850.28"/>
    <n v="101937.63"/>
    <x v="2"/>
  </r>
  <r>
    <x v="10"/>
    <x v="1"/>
    <x v="5"/>
    <x v="0"/>
    <x v="2"/>
    <x v="0"/>
    <x v="1"/>
    <n v="4.79"/>
    <n v="26809.200000000001"/>
    <n v="109994.42"/>
    <x v="2"/>
  </r>
  <r>
    <x v="10"/>
    <x v="1"/>
    <x v="5"/>
    <x v="0"/>
    <x v="3"/>
    <x v="0"/>
    <x v="1"/>
    <n v="5.79"/>
    <n v="32406.11"/>
    <n v="132875.79999999999"/>
    <x v="2"/>
  </r>
  <r>
    <x v="10"/>
    <x v="1"/>
    <x v="5"/>
    <x v="0"/>
    <x v="4"/>
    <x v="0"/>
    <x v="1"/>
    <n v="0.51"/>
    <n v="2854.42"/>
    <n v="11814.12"/>
    <x v="2"/>
  </r>
  <r>
    <x v="10"/>
    <x v="1"/>
    <x v="5"/>
    <x v="0"/>
    <x v="5"/>
    <x v="0"/>
    <x v="1"/>
    <n v="3.57"/>
    <n v="19980.97"/>
    <n v="81992.52"/>
    <x v="2"/>
  </r>
  <r>
    <x v="10"/>
    <x v="1"/>
    <x v="5"/>
    <x v="0"/>
    <x v="6"/>
    <x v="0"/>
    <x v="1"/>
    <n v="1.32"/>
    <n v="7387.92"/>
    <n v="30217.29"/>
    <x v="2"/>
  </r>
  <r>
    <x v="10"/>
    <x v="1"/>
    <x v="5"/>
    <x v="0"/>
    <x v="8"/>
    <x v="0"/>
    <x v="1"/>
    <n v="1.79"/>
    <n v="10018.469999999999"/>
    <n v="41169.9"/>
    <x v="2"/>
  </r>
  <r>
    <x v="10"/>
    <x v="1"/>
    <x v="5"/>
    <x v="1"/>
    <x v="10"/>
    <x v="0"/>
    <x v="1"/>
    <n v="3.36"/>
    <n v="18805.62"/>
    <n v="77099.41"/>
    <x v="2"/>
  </r>
  <r>
    <x v="10"/>
    <x v="1"/>
    <x v="5"/>
    <x v="1"/>
    <x v="11"/>
    <x v="0"/>
    <x v="1"/>
    <n v="9.3800000000000008"/>
    <n v="52499.02"/>
    <n v="215431.16"/>
    <x v="2"/>
  </r>
  <r>
    <x v="10"/>
    <x v="1"/>
    <x v="5"/>
    <x v="1"/>
    <x v="13"/>
    <x v="0"/>
    <x v="1"/>
    <n v="3.3"/>
    <n v="18469.8"/>
    <n v="75844.88"/>
    <x v="2"/>
  </r>
  <r>
    <x v="10"/>
    <x v="1"/>
    <x v="5"/>
    <x v="1"/>
    <x v="14"/>
    <x v="0"/>
    <x v="1"/>
    <n v="1.1100000000000001"/>
    <n v="6212.57"/>
    <n v="25555.56"/>
    <x v="2"/>
  </r>
  <r>
    <x v="10"/>
    <x v="1"/>
    <x v="5"/>
    <x v="1"/>
    <x v="16"/>
    <x v="0"/>
    <x v="1"/>
    <n v="1.99"/>
    <n v="11137.85"/>
    <n v="45585"/>
    <x v="2"/>
  </r>
  <r>
    <x v="10"/>
    <x v="1"/>
    <x v="5"/>
    <x v="1"/>
    <x v="17"/>
    <x v="0"/>
    <x v="1"/>
    <n v="1.68"/>
    <n v="9402.81"/>
    <n v="38608.879999999997"/>
    <x v="2"/>
  </r>
  <r>
    <x v="10"/>
    <x v="1"/>
    <x v="5"/>
    <x v="1"/>
    <x v="18"/>
    <x v="0"/>
    <x v="1"/>
    <n v="11.12"/>
    <n v="62237.64"/>
    <n v="255434.01"/>
    <x v="2"/>
  </r>
  <r>
    <x v="10"/>
    <x v="1"/>
    <x v="5"/>
    <x v="1"/>
    <x v="19"/>
    <x v="0"/>
    <x v="1"/>
    <n v="4.9400000000000004"/>
    <n v="27648.74"/>
    <n v="113405.17"/>
    <x v="2"/>
  </r>
  <r>
    <x v="10"/>
    <x v="1"/>
    <x v="5"/>
    <x v="1"/>
    <x v="20"/>
    <x v="0"/>
    <x v="1"/>
    <n v="10.72"/>
    <n v="59998.879999999997"/>
    <n v="246123.76"/>
    <x v="2"/>
  </r>
  <r>
    <x v="10"/>
    <x v="1"/>
    <x v="5"/>
    <x v="2"/>
    <x v="21"/>
    <x v="0"/>
    <x v="1"/>
    <n v="0"/>
    <n v="0"/>
    <n v="0"/>
    <x v="2"/>
  </r>
  <r>
    <x v="10"/>
    <x v="1"/>
    <x v="5"/>
    <x v="2"/>
    <x v="22"/>
    <x v="0"/>
    <x v="1"/>
    <n v="2.95"/>
    <n v="16510.88"/>
    <n v="67719.5"/>
    <x v="2"/>
  </r>
  <r>
    <x v="10"/>
    <x v="1"/>
    <x v="5"/>
    <x v="2"/>
    <x v="29"/>
    <x v="0"/>
    <x v="1"/>
    <n v="2.09"/>
    <n v="11697.54"/>
    <n v="48014.35"/>
    <x v="2"/>
  </r>
  <r>
    <x v="10"/>
    <x v="1"/>
    <x v="5"/>
    <x v="2"/>
    <x v="24"/>
    <x v="0"/>
    <x v="1"/>
    <n v="2.09"/>
    <n v="11697.54"/>
    <n v="48014.95"/>
    <x v="2"/>
  </r>
  <r>
    <x v="10"/>
    <x v="1"/>
    <x v="5"/>
    <x v="3"/>
    <x v="25"/>
    <x v="0"/>
    <x v="1"/>
    <n v="1.37"/>
    <n v="7667.77"/>
    <n v="31492.07"/>
    <x v="2"/>
  </r>
  <r>
    <x v="10"/>
    <x v="1"/>
    <x v="5"/>
    <x v="3"/>
    <x v="26"/>
    <x v="0"/>
    <x v="1"/>
    <n v="1.56"/>
    <n v="8731.18"/>
    <n v="35898.69"/>
    <x v="2"/>
  </r>
  <r>
    <x v="10"/>
    <x v="1"/>
    <x v="5"/>
    <x v="3"/>
    <x v="27"/>
    <x v="0"/>
    <x v="1"/>
    <n v="9.5399999999999991"/>
    <n v="53394.52"/>
    <n v="218971.19"/>
    <x v="2"/>
  </r>
  <r>
    <x v="10"/>
    <x v="1"/>
    <x v="5"/>
    <x v="0"/>
    <x v="0"/>
    <x v="1"/>
    <x v="0"/>
    <n v="3.77"/>
    <n v="21100.35"/>
    <n v="56635.23"/>
    <x v="2"/>
  </r>
  <r>
    <x v="10"/>
    <x v="1"/>
    <x v="5"/>
    <x v="0"/>
    <x v="1"/>
    <x v="1"/>
    <x v="0"/>
    <n v="10.86"/>
    <n v="60782.44"/>
    <n v="160380.88"/>
    <x v="2"/>
  </r>
  <r>
    <x v="10"/>
    <x v="1"/>
    <x v="5"/>
    <x v="0"/>
    <x v="2"/>
    <x v="1"/>
    <x v="0"/>
    <n v="4.41"/>
    <n v="24682.37"/>
    <n v="62900.27"/>
    <x v="2"/>
  </r>
  <r>
    <x v="10"/>
    <x v="1"/>
    <x v="5"/>
    <x v="0"/>
    <x v="3"/>
    <x v="1"/>
    <x v="0"/>
    <n v="17.82"/>
    <n v="99736.94"/>
    <n v="264408.08"/>
    <x v="2"/>
  </r>
  <r>
    <x v="10"/>
    <x v="1"/>
    <x v="5"/>
    <x v="0"/>
    <x v="28"/>
    <x v="1"/>
    <x v="0"/>
    <n v="0"/>
    <n v="0"/>
    <n v="0"/>
    <x v="2"/>
  </r>
  <r>
    <x v="10"/>
    <x v="1"/>
    <x v="5"/>
    <x v="0"/>
    <x v="4"/>
    <x v="1"/>
    <x v="0"/>
    <n v="4.01"/>
    <n v="22443.61"/>
    <n v="58969.54"/>
    <x v="2"/>
  </r>
  <r>
    <x v="10"/>
    <x v="1"/>
    <x v="5"/>
    <x v="0"/>
    <x v="5"/>
    <x v="1"/>
    <x v="0"/>
    <n v="2.79"/>
    <n v="15615.38"/>
    <n v="42224.24"/>
    <x v="2"/>
  </r>
  <r>
    <x v="10"/>
    <x v="1"/>
    <x v="5"/>
    <x v="0"/>
    <x v="6"/>
    <x v="1"/>
    <x v="0"/>
    <n v="0"/>
    <n v="0"/>
    <n v="0"/>
    <x v="2"/>
  </r>
  <r>
    <x v="10"/>
    <x v="1"/>
    <x v="5"/>
    <x v="0"/>
    <x v="7"/>
    <x v="1"/>
    <x v="0"/>
    <n v="0"/>
    <n v="0"/>
    <n v="0"/>
    <x v="2"/>
  </r>
  <r>
    <x v="10"/>
    <x v="1"/>
    <x v="5"/>
    <x v="0"/>
    <x v="8"/>
    <x v="1"/>
    <x v="0"/>
    <n v="0"/>
    <n v="0"/>
    <n v="0"/>
    <x v="2"/>
  </r>
  <r>
    <x v="10"/>
    <x v="1"/>
    <x v="5"/>
    <x v="1"/>
    <x v="30"/>
    <x v="1"/>
    <x v="0"/>
    <n v="1.81"/>
    <n v="10130.41"/>
    <n v="28646.52"/>
    <x v="2"/>
  </r>
  <r>
    <x v="10"/>
    <x v="1"/>
    <x v="5"/>
    <x v="1"/>
    <x v="9"/>
    <x v="1"/>
    <x v="0"/>
    <n v="0"/>
    <n v="0"/>
    <n v="0"/>
    <x v="2"/>
  </r>
  <r>
    <x v="10"/>
    <x v="1"/>
    <x v="5"/>
    <x v="1"/>
    <x v="31"/>
    <x v="1"/>
    <x v="0"/>
    <n v="3.41"/>
    <n v="19085.46"/>
    <n v="54361.59"/>
    <x v="2"/>
  </r>
  <r>
    <x v="10"/>
    <x v="1"/>
    <x v="5"/>
    <x v="1"/>
    <x v="10"/>
    <x v="1"/>
    <x v="0"/>
    <n v="6.42"/>
    <n v="35932.160000000003"/>
    <n v="100599.13"/>
    <x v="2"/>
  </r>
  <r>
    <x v="10"/>
    <x v="1"/>
    <x v="5"/>
    <x v="1"/>
    <x v="11"/>
    <x v="1"/>
    <x v="0"/>
    <n v="5.79"/>
    <n v="32406.11"/>
    <n v="86490.7"/>
    <x v="2"/>
  </r>
  <r>
    <x v="10"/>
    <x v="1"/>
    <x v="5"/>
    <x v="1"/>
    <x v="12"/>
    <x v="1"/>
    <x v="0"/>
    <n v="0.82"/>
    <n v="4589.47"/>
    <n v="12812.62"/>
    <x v="2"/>
  </r>
  <r>
    <x v="10"/>
    <x v="1"/>
    <x v="5"/>
    <x v="1"/>
    <x v="13"/>
    <x v="1"/>
    <x v="0"/>
    <n v="6.89"/>
    <n v="38562.71"/>
    <n v="107756.86"/>
    <x v="2"/>
  </r>
  <r>
    <x v="10"/>
    <x v="1"/>
    <x v="5"/>
    <x v="1"/>
    <x v="14"/>
    <x v="1"/>
    <x v="0"/>
    <n v="10.72"/>
    <n v="59998.879999999997"/>
    <n v="164502.09"/>
    <x v="2"/>
  </r>
  <r>
    <x v="10"/>
    <x v="1"/>
    <x v="5"/>
    <x v="1"/>
    <x v="15"/>
    <x v="1"/>
    <x v="0"/>
    <n v="1.54"/>
    <n v="8619.24"/>
    <n v="24359.05"/>
    <x v="2"/>
  </r>
  <r>
    <x v="10"/>
    <x v="1"/>
    <x v="5"/>
    <x v="1"/>
    <x v="16"/>
    <x v="1"/>
    <x v="0"/>
    <n v="6.88"/>
    <n v="38506.74"/>
    <n v="103919.38"/>
    <x v="2"/>
  </r>
  <r>
    <x v="10"/>
    <x v="1"/>
    <x v="5"/>
    <x v="1"/>
    <x v="17"/>
    <x v="1"/>
    <x v="0"/>
    <n v="3.61"/>
    <n v="20204.849999999999"/>
    <n v="55038.720000000001"/>
    <x v="2"/>
  </r>
  <r>
    <x v="10"/>
    <x v="1"/>
    <x v="5"/>
    <x v="1"/>
    <x v="18"/>
    <x v="1"/>
    <x v="0"/>
    <n v="6.52"/>
    <n v="36491.85"/>
    <n v="104076.13"/>
    <x v="2"/>
  </r>
  <r>
    <x v="10"/>
    <x v="1"/>
    <x v="5"/>
    <x v="1"/>
    <x v="19"/>
    <x v="1"/>
    <x v="0"/>
    <n v="11.17"/>
    <n v="62517.48"/>
    <n v="172916.62"/>
    <x v="2"/>
  </r>
  <r>
    <x v="10"/>
    <x v="1"/>
    <x v="5"/>
    <x v="1"/>
    <x v="20"/>
    <x v="1"/>
    <x v="0"/>
    <n v="9.64"/>
    <n v="53954.21"/>
    <n v="146831.12"/>
    <x v="2"/>
  </r>
  <r>
    <x v="10"/>
    <x v="1"/>
    <x v="5"/>
    <x v="2"/>
    <x v="21"/>
    <x v="1"/>
    <x v="0"/>
    <n v="0"/>
    <n v="0"/>
    <n v="0"/>
    <x v="2"/>
  </r>
  <r>
    <x v="10"/>
    <x v="1"/>
    <x v="5"/>
    <x v="2"/>
    <x v="22"/>
    <x v="1"/>
    <x v="0"/>
    <n v="5.14"/>
    <n v="28768.12"/>
    <n v="71863.81"/>
    <x v="2"/>
  </r>
  <r>
    <x v="10"/>
    <x v="1"/>
    <x v="5"/>
    <x v="2"/>
    <x v="29"/>
    <x v="1"/>
    <x v="0"/>
    <n v="0"/>
    <n v="0"/>
    <n v="0"/>
    <x v="2"/>
  </r>
  <r>
    <x v="10"/>
    <x v="1"/>
    <x v="5"/>
    <x v="2"/>
    <x v="23"/>
    <x v="1"/>
    <x v="0"/>
    <n v="0"/>
    <n v="0"/>
    <n v="0"/>
    <x v="2"/>
  </r>
  <r>
    <x v="10"/>
    <x v="1"/>
    <x v="5"/>
    <x v="2"/>
    <x v="24"/>
    <x v="1"/>
    <x v="0"/>
    <n v="0.78"/>
    <n v="4365.59"/>
    <n v="11089.37"/>
    <x v="2"/>
  </r>
  <r>
    <x v="10"/>
    <x v="1"/>
    <x v="5"/>
    <x v="3"/>
    <x v="25"/>
    <x v="1"/>
    <x v="0"/>
    <n v="4.1900000000000004"/>
    <n v="23451.05"/>
    <n v="65875.649999999994"/>
    <x v="2"/>
  </r>
  <r>
    <x v="10"/>
    <x v="1"/>
    <x v="5"/>
    <x v="3"/>
    <x v="26"/>
    <x v="1"/>
    <x v="0"/>
    <n v="4.54"/>
    <n v="25409.97"/>
    <n v="71971.83"/>
    <x v="2"/>
  </r>
  <r>
    <x v="10"/>
    <x v="1"/>
    <x v="5"/>
    <x v="3"/>
    <x v="27"/>
    <x v="1"/>
    <x v="0"/>
    <n v="10.87"/>
    <n v="60838.41"/>
    <n v="169039.87"/>
    <x v="2"/>
  </r>
  <r>
    <x v="10"/>
    <x v="1"/>
    <x v="5"/>
    <x v="0"/>
    <x v="0"/>
    <x v="1"/>
    <x v="1"/>
    <n v="6"/>
    <n v="33581.46"/>
    <n v="90101.49"/>
    <x v="2"/>
  </r>
  <r>
    <x v="10"/>
    <x v="1"/>
    <x v="5"/>
    <x v="0"/>
    <x v="1"/>
    <x v="1"/>
    <x v="1"/>
    <n v="12.01"/>
    <n v="67218.89"/>
    <n v="177390.97"/>
    <x v="2"/>
  </r>
  <r>
    <x v="10"/>
    <x v="1"/>
    <x v="5"/>
    <x v="0"/>
    <x v="2"/>
    <x v="1"/>
    <x v="1"/>
    <n v="9.51"/>
    <n v="53226.61"/>
    <n v="135667.24"/>
    <x v="2"/>
  </r>
  <r>
    <x v="10"/>
    <x v="1"/>
    <x v="5"/>
    <x v="0"/>
    <x v="3"/>
    <x v="1"/>
    <x v="1"/>
    <n v="40.479999999999997"/>
    <n v="226562.92"/>
    <n v="600478.17000000004"/>
    <x v="2"/>
  </r>
  <r>
    <x v="10"/>
    <x v="1"/>
    <x v="5"/>
    <x v="0"/>
    <x v="28"/>
    <x v="1"/>
    <x v="1"/>
    <n v="4.26"/>
    <n v="23842.84"/>
    <n v="63939.35"/>
    <x v="2"/>
  </r>
  <r>
    <x v="10"/>
    <x v="1"/>
    <x v="5"/>
    <x v="0"/>
    <x v="4"/>
    <x v="1"/>
    <x v="1"/>
    <n v="5.62"/>
    <n v="31454.63"/>
    <n v="82557.350000000006"/>
    <x v="2"/>
  </r>
  <r>
    <x v="10"/>
    <x v="1"/>
    <x v="5"/>
    <x v="0"/>
    <x v="5"/>
    <x v="1"/>
    <x v="1"/>
    <n v="22.94"/>
    <n v="128393.12"/>
    <n v="347177.06"/>
    <x v="2"/>
  </r>
  <r>
    <x v="10"/>
    <x v="1"/>
    <x v="5"/>
    <x v="0"/>
    <x v="6"/>
    <x v="1"/>
    <x v="1"/>
    <n v="0.78"/>
    <n v="4365.59"/>
    <n v="11709.63"/>
    <x v="2"/>
  </r>
  <r>
    <x v="10"/>
    <x v="1"/>
    <x v="5"/>
    <x v="0"/>
    <x v="7"/>
    <x v="1"/>
    <x v="1"/>
    <n v="3.18"/>
    <n v="17798.169999999998"/>
    <n v="48729.11"/>
    <x v="2"/>
  </r>
  <r>
    <x v="10"/>
    <x v="1"/>
    <x v="5"/>
    <x v="0"/>
    <x v="8"/>
    <x v="1"/>
    <x v="1"/>
    <n v="1.49"/>
    <n v="8339.4"/>
    <n v="21796.26"/>
    <x v="2"/>
  </r>
  <r>
    <x v="10"/>
    <x v="1"/>
    <x v="5"/>
    <x v="1"/>
    <x v="30"/>
    <x v="1"/>
    <x v="1"/>
    <n v="0"/>
    <n v="0"/>
    <n v="0"/>
    <x v="2"/>
  </r>
  <r>
    <x v="10"/>
    <x v="1"/>
    <x v="5"/>
    <x v="1"/>
    <x v="9"/>
    <x v="1"/>
    <x v="1"/>
    <n v="3.98"/>
    <n v="22275.7"/>
    <n v="62932.63"/>
    <x v="2"/>
  </r>
  <r>
    <x v="10"/>
    <x v="1"/>
    <x v="5"/>
    <x v="1"/>
    <x v="31"/>
    <x v="1"/>
    <x v="1"/>
    <n v="0"/>
    <n v="0"/>
    <n v="0"/>
    <x v="2"/>
  </r>
  <r>
    <x v="10"/>
    <x v="1"/>
    <x v="5"/>
    <x v="1"/>
    <x v="10"/>
    <x v="1"/>
    <x v="1"/>
    <n v="25.43"/>
    <n v="142329.42000000001"/>
    <n v="398204.89"/>
    <x v="2"/>
  </r>
  <r>
    <x v="10"/>
    <x v="1"/>
    <x v="5"/>
    <x v="1"/>
    <x v="11"/>
    <x v="1"/>
    <x v="1"/>
    <n v="18.39"/>
    <n v="102927.17"/>
    <n v="274513.96000000002"/>
    <x v="2"/>
  </r>
  <r>
    <x v="10"/>
    <x v="1"/>
    <x v="5"/>
    <x v="1"/>
    <x v="12"/>
    <x v="1"/>
    <x v="1"/>
    <n v="2.37"/>
    <n v="13264.68"/>
    <n v="37156.61"/>
    <x v="2"/>
  </r>
  <r>
    <x v="10"/>
    <x v="1"/>
    <x v="5"/>
    <x v="1"/>
    <x v="13"/>
    <x v="1"/>
    <x v="1"/>
    <n v="11.87"/>
    <n v="66435.320000000007"/>
    <n v="185673.35"/>
    <x v="2"/>
  </r>
  <r>
    <x v="10"/>
    <x v="1"/>
    <x v="5"/>
    <x v="1"/>
    <x v="14"/>
    <x v="1"/>
    <x v="1"/>
    <n v="5.19"/>
    <n v="29047.96"/>
    <n v="79597.789999999994"/>
    <x v="2"/>
  </r>
  <r>
    <x v="10"/>
    <x v="1"/>
    <x v="5"/>
    <x v="1"/>
    <x v="15"/>
    <x v="1"/>
    <x v="1"/>
    <n v="1.54"/>
    <n v="8619.24"/>
    <n v="24359.05"/>
    <x v="2"/>
  </r>
  <r>
    <x v="10"/>
    <x v="1"/>
    <x v="5"/>
    <x v="1"/>
    <x v="16"/>
    <x v="1"/>
    <x v="1"/>
    <n v="13.27"/>
    <n v="74271"/>
    <n v="200546.17"/>
    <x v="2"/>
  </r>
  <r>
    <x v="10"/>
    <x v="1"/>
    <x v="5"/>
    <x v="1"/>
    <x v="17"/>
    <x v="1"/>
    <x v="1"/>
    <n v="3.14"/>
    <n v="17574.3"/>
    <n v="47859.76"/>
    <x v="2"/>
  </r>
  <r>
    <x v="10"/>
    <x v="1"/>
    <x v="5"/>
    <x v="1"/>
    <x v="18"/>
    <x v="1"/>
    <x v="1"/>
    <n v="26"/>
    <n v="145519.66"/>
    <n v="414878.8"/>
    <x v="2"/>
  </r>
  <r>
    <x v="10"/>
    <x v="1"/>
    <x v="5"/>
    <x v="1"/>
    <x v="19"/>
    <x v="1"/>
    <x v="1"/>
    <n v="16.63"/>
    <n v="93076.61"/>
    <n v="257409.97"/>
    <x v="2"/>
  </r>
  <r>
    <x v="10"/>
    <x v="1"/>
    <x v="5"/>
    <x v="1"/>
    <x v="20"/>
    <x v="1"/>
    <x v="1"/>
    <n v="18.75"/>
    <n v="104942.06"/>
    <n v="285504.96000000002"/>
    <x v="2"/>
  </r>
  <r>
    <x v="10"/>
    <x v="1"/>
    <x v="5"/>
    <x v="2"/>
    <x v="21"/>
    <x v="1"/>
    <x v="1"/>
    <n v="2.12"/>
    <n v="11865.45"/>
    <n v="29681.14"/>
    <x v="2"/>
  </r>
  <r>
    <x v="10"/>
    <x v="1"/>
    <x v="5"/>
    <x v="2"/>
    <x v="22"/>
    <x v="1"/>
    <x v="1"/>
    <n v="10.79"/>
    <n v="60390.66"/>
    <n v="150914.01"/>
    <x v="2"/>
  </r>
  <r>
    <x v="10"/>
    <x v="1"/>
    <x v="5"/>
    <x v="2"/>
    <x v="29"/>
    <x v="1"/>
    <x v="1"/>
    <n v="0.12"/>
    <n v="671.63"/>
    <n v="1796.77"/>
    <x v="2"/>
  </r>
  <r>
    <x v="10"/>
    <x v="1"/>
    <x v="5"/>
    <x v="2"/>
    <x v="23"/>
    <x v="1"/>
    <x v="1"/>
    <n v="1.83"/>
    <n v="10242.35"/>
    <n v="26630.89"/>
    <x v="2"/>
  </r>
  <r>
    <x v="10"/>
    <x v="1"/>
    <x v="5"/>
    <x v="2"/>
    <x v="24"/>
    <x v="1"/>
    <x v="1"/>
    <n v="1.2"/>
    <n v="6716.29"/>
    <n v="17138.11"/>
    <x v="2"/>
  </r>
  <r>
    <x v="10"/>
    <x v="1"/>
    <x v="5"/>
    <x v="3"/>
    <x v="25"/>
    <x v="1"/>
    <x v="1"/>
    <n v="7.44"/>
    <n v="41641.01"/>
    <n v="116962.88"/>
    <x v="2"/>
  </r>
  <r>
    <x v="10"/>
    <x v="1"/>
    <x v="5"/>
    <x v="3"/>
    <x v="26"/>
    <x v="1"/>
    <x v="1"/>
    <n v="10.97"/>
    <n v="61398.1"/>
    <n v="173818.75"/>
    <x v="2"/>
  </r>
  <r>
    <x v="10"/>
    <x v="1"/>
    <x v="5"/>
    <x v="3"/>
    <x v="27"/>
    <x v="1"/>
    <x v="1"/>
    <n v="28.7"/>
    <n v="160631.32"/>
    <n v="446154.41"/>
    <x v="2"/>
  </r>
  <r>
    <x v="10"/>
    <x v="1"/>
    <x v="6"/>
    <x v="0"/>
    <x v="0"/>
    <x v="0"/>
    <x v="0"/>
    <n v="2.29"/>
    <n v="6080.57"/>
    <n v="21484.25"/>
    <x v="2"/>
  </r>
  <r>
    <x v="10"/>
    <x v="1"/>
    <x v="6"/>
    <x v="0"/>
    <x v="1"/>
    <x v="0"/>
    <x v="0"/>
    <n v="3.1"/>
    <n v="8231.34"/>
    <n v="29024.13"/>
    <x v="2"/>
  </r>
  <r>
    <x v="10"/>
    <x v="1"/>
    <x v="6"/>
    <x v="0"/>
    <x v="2"/>
    <x v="0"/>
    <x v="0"/>
    <n v="0"/>
    <n v="0"/>
    <n v="0"/>
    <x v="2"/>
  </r>
  <r>
    <x v="10"/>
    <x v="1"/>
    <x v="6"/>
    <x v="0"/>
    <x v="3"/>
    <x v="0"/>
    <x v="0"/>
    <n v="1.43"/>
    <n v="3797.04"/>
    <n v="13412.21"/>
    <x v="2"/>
  </r>
  <r>
    <x v="10"/>
    <x v="1"/>
    <x v="6"/>
    <x v="0"/>
    <x v="4"/>
    <x v="0"/>
    <x v="0"/>
    <n v="0"/>
    <n v="0"/>
    <n v="0"/>
    <x v="2"/>
  </r>
  <r>
    <x v="10"/>
    <x v="1"/>
    <x v="6"/>
    <x v="0"/>
    <x v="5"/>
    <x v="0"/>
    <x v="0"/>
    <n v="0"/>
    <n v="0"/>
    <n v="0"/>
    <x v="2"/>
  </r>
  <r>
    <x v="10"/>
    <x v="1"/>
    <x v="6"/>
    <x v="0"/>
    <x v="6"/>
    <x v="0"/>
    <x v="0"/>
    <n v="0"/>
    <n v="0"/>
    <n v="0"/>
    <x v="2"/>
  </r>
  <r>
    <x v="10"/>
    <x v="1"/>
    <x v="6"/>
    <x v="0"/>
    <x v="8"/>
    <x v="0"/>
    <x v="0"/>
    <n v="0"/>
    <n v="0"/>
    <n v="0"/>
    <x v="2"/>
  </r>
  <r>
    <x v="10"/>
    <x v="1"/>
    <x v="6"/>
    <x v="1"/>
    <x v="10"/>
    <x v="0"/>
    <x v="0"/>
    <n v="2.58"/>
    <n v="6850.6"/>
    <n v="24191.93"/>
    <x v="2"/>
  </r>
  <r>
    <x v="10"/>
    <x v="1"/>
    <x v="6"/>
    <x v="1"/>
    <x v="11"/>
    <x v="0"/>
    <x v="0"/>
    <n v="0"/>
    <n v="0"/>
    <n v="0"/>
    <x v="2"/>
  </r>
  <r>
    <x v="10"/>
    <x v="1"/>
    <x v="6"/>
    <x v="1"/>
    <x v="13"/>
    <x v="0"/>
    <x v="0"/>
    <n v="0"/>
    <n v="0"/>
    <n v="0"/>
    <x v="2"/>
  </r>
  <r>
    <x v="10"/>
    <x v="1"/>
    <x v="6"/>
    <x v="1"/>
    <x v="14"/>
    <x v="0"/>
    <x v="0"/>
    <n v="0"/>
    <n v="0"/>
    <n v="0"/>
    <x v="2"/>
  </r>
  <r>
    <x v="10"/>
    <x v="1"/>
    <x v="6"/>
    <x v="1"/>
    <x v="16"/>
    <x v="0"/>
    <x v="0"/>
    <n v="0"/>
    <n v="0"/>
    <n v="0"/>
    <x v="2"/>
  </r>
  <r>
    <x v="10"/>
    <x v="1"/>
    <x v="6"/>
    <x v="1"/>
    <x v="17"/>
    <x v="0"/>
    <x v="0"/>
    <n v="0"/>
    <n v="0"/>
    <n v="0"/>
    <x v="2"/>
  </r>
  <r>
    <x v="10"/>
    <x v="1"/>
    <x v="6"/>
    <x v="1"/>
    <x v="18"/>
    <x v="0"/>
    <x v="0"/>
    <n v="0"/>
    <n v="0"/>
    <n v="0"/>
    <x v="2"/>
  </r>
  <r>
    <x v="10"/>
    <x v="1"/>
    <x v="6"/>
    <x v="1"/>
    <x v="19"/>
    <x v="0"/>
    <x v="0"/>
    <n v="0"/>
    <n v="0"/>
    <n v="0"/>
    <x v="2"/>
  </r>
  <r>
    <x v="10"/>
    <x v="1"/>
    <x v="6"/>
    <x v="1"/>
    <x v="20"/>
    <x v="0"/>
    <x v="0"/>
    <n v="1.3"/>
    <n v="3451.85"/>
    <n v="12200.71"/>
    <x v="2"/>
  </r>
  <r>
    <x v="10"/>
    <x v="1"/>
    <x v="6"/>
    <x v="2"/>
    <x v="21"/>
    <x v="0"/>
    <x v="0"/>
    <n v="1.44"/>
    <n v="3823.59"/>
    <n v="13529.52"/>
    <x v="2"/>
  </r>
  <r>
    <x v="10"/>
    <x v="1"/>
    <x v="6"/>
    <x v="2"/>
    <x v="22"/>
    <x v="0"/>
    <x v="0"/>
    <n v="0"/>
    <n v="0"/>
    <n v="0"/>
    <x v="2"/>
  </r>
  <r>
    <x v="10"/>
    <x v="1"/>
    <x v="6"/>
    <x v="2"/>
    <x v="29"/>
    <x v="0"/>
    <x v="0"/>
    <n v="0"/>
    <n v="0"/>
    <n v="0"/>
    <x v="2"/>
  </r>
  <r>
    <x v="10"/>
    <x v="1"/>
    <x v="6"/>
    <x v="2"/>
    <x v="24"/>
    <x v="0"/>
    <x v="0"/>
    <n v="0"/>
    <n v="0"/>
    <n v="0"/>
    <x v="2"/>
  </r>
  <r>
    <x v="10"/>
    <x v="1"/>
    <x v="6"/>
    <x v="3"/>
    <x v="25"/>
    <x v="0"/>
    <x v="0"/>
    <n v="0"/>
    <n v="0"/>
    <n v="0"/>
    <x v="2"/>
  </r>
  <r>
    <x v="10"/>
    <x v="1"/>
    <x v="6"/>
    <x v="3"/>
    <x v="26"/>
    <x v="0"/>
    <x v="0"/>
    <n v="1.6"/>
    <n v="4248.43"/>
    <n v="15015.63"/>
    <x v="2"/>
  </r>
  <r>
    <x v="10"/>
    <x v="1"/>
    <x v="6"/>
    <x v="3"/>
    <x v="27"/>
    <x v="0"/>
    <x v="0"/>
    <n v="1.54"/>
    <n v="4089.12"/>
    <n v="14453.46"/>
    <x v="2"/>
  </r>
  <r>
    <x v="10"/>
    <x v="1"/>
    <x v="6"/>
    <x v="0"/>
    <x v="0"/>
    <x v="0"/>
    <x v="1"/>
    <n v="1.79"/>
    <n v="4752.93"/>
    <n v="16813.759999999998"/>
    <x v="2"/>
  </r>
  <r>
    <x v="10"/>
    <x v="1"/>
    <x v="6"/>
    <x v="0"/>
    <x v="1"/>
    <x v="0"/>
    <x v="1"/>
    <n v="6.48"/>
    <n v="17206.150000000001"/>
    <n v="60741.22"/>
    <x v="2"/>
  </r>
  <r>
    <x v="10"/>
    <x v="1"/>
    <x v="6"/>
    <x v="0"/>
    <x v="2"/>
    <x v="0"/>
    <x v="1"/>
    <n v="1.91"/>
    <n v="5071.57"/>
    <n v="17879.8"/>
    <x v="2"/>
  </r>
  <r>
    <x v="10"/>
    <x v="1"/>
    <x v="6"/>
    <x v="0"/>
    <x v="3"/>
    <x v="0"/>
    <x v="1"/>
    <n v="5.73"/>
    <n v="15214.7"/>
    <n v="53648.84"/>
    <x v="2"/>
  </r>
  <r>
    <x v="10"/>
    <x v="1"/>
    <x v="6"/>
    <x v="0"/>
    <x v="4"/>
    <x v="0"/>
    <x v="1"/>
    <n v="2.16"/>
    <n v="5735.38"/>
    <n v="20223.759999999998"/>
    <x v="2"/>
  </r>
  <r>
    <x v="10"/>
    <x v="1"/>
    <x v="6"/>
    <x v="0"/>
    <x v="5"/>
    <x v="0"/>
    <x v="1"/>
    <n v="3.5"/>
    <n v="9293.4500000000007"/>
    <n v="32763.07"/>
    <x v="2"/>
  </r>
  <r>
    <x v="10"/>
    <x v="1"/>
    <x v="6"/>
    <x v="0"/>
    <x v="6"/>
    <x v="0"/>
    <x v="1"/>
    <n v="1.79"/>
    <n v="4752.93"/>
    <n v="16801.169999999998"/>
    <x v="2"/>
  </r>
  <r>
    <x v="10"/>
    <x v="1"/>
    <x v="6"/>
    <x v="0"/>
    <x v="8"/>
    <x v="0"/>
    <x v="1"/>
    <n v="2.89"/>
    <n v="7673.73"/>
    <n v="27073.919999999998"/>
    <x v="2"/>
  </r>
  <r>
    <x v="10"/>
    <x v="1"/>
    <x v="6"/>
    <x v="1"/>
    <x v="10"/>
    <x v="0"/>
    <x v="1"/>
    <n v="3.63"/>
    <n v="9638.6299999999992"/>
    <n v="34047.9"/>
    <x v="2"/>
  </r>
  <r>
    <x v="10"/>
    <x v="1"/>
    <x v="6"/>
    <x v="1"/>
    <x v="11"/>
    <x v="0"/>
    <x v="1"/>
    <n v="14.02"/>
    <n v="37226.89"/>
    <n v="131291.65"/>
    <x v="2"/>
  </r>
  <r>
    <x v="10"/>
    <x v="1"/>
    <x v="6"/>
    <x v="1"/>
    <x v="13"/>
    <x v="0"/>
    <x v="1"/>
    <n v="3.67"/>
    <n v="9744.84"/>
    <n v="34398.61"/>
    <x v="2"/>
  </r>
  <r>
    <x v="10"/>
    <x v="1"/>
    <x v="6"/>
    <x v="1"/>
    <x v="14"/>
    <x v="0"/>
    <x v="1"/>
    <n v="1.54"/>
    <n v="4089.12"/>
    <n v="14429.08"/>
    <x v="2"/>
  </r>
  <r>
    <x v="10"/>
    <x v="1"/>
    <x v="6"/>
    <x v="1"/>
    <x v="16"/>
    <x v="0"/>
    <x v="1"/>
    <n v="1.68"/>
    <n v="4460.8500000000004"/>
    <n v="15693.37"/>
    <x v="2"/>
  </r>
  <r>
    <x v="10"/>
    <x v="1"/>
    <x v="6"/>
    <x v="1"/>
    <x v="17"/>
    <x v="0"/>
    <x v="1"/>
    <n v="3.93"/>
    <n v="10435.209999999999"/>
    <n v="36852.33"/>
    <x v="2"/>
  </r>
  <r>
    <x v="10"/>
    <x v="1"/>
    <x v="6"/>
    <x v="1"/>
    <x v="18"/>
    <x v="0"/>
    <x v="1"/>
    <n v="9.7200000000000006"/>
    <n v="25809.22"/>
    <n v="91004.72"/>
    <x v="2"/>
  </r>
  <r>
    <x v="10"/>
    <x v="1"/>
    <x v="6"/>
    <x v="1"/>
    <x v="19"/>
    <x v="0"/>
    <x v="1"/>
    <n v="3.59"/>
    <n v="9532.42"/>
    <n v="33672.22"/>
    <x v="2"/>
  </r>
  <r>
    <x v="10"/>
    <x v="1"/>
    <x v="6"/>
    <x v="1"/>
    <x v="20"/>
    <x v="0"/>
    <x v="1"/>
    <n v="8.19"/>
    <n v="21746.66"/>
    <n v="76690.19"/>
    <x v="2"/>
  </r>
  <r>
    <x v="10"/>
    <x v="1"/>
    <x v="6"/>
    <x v="2"/>
    <x v="21"/>
    <x v="0"/>
    <x v="1"/>
    <n v="0"/>
    <n v="0"/>
    <n v="0"/>
    <x v="2"/>
  </r>
  <r>
    <x v="10"/>
    <x v="1"/>
    <x v="6"/>
    <x v="2"/>
    <x v="22"/>
    <x v="0"/>
    <x v="1"/>
    <n v="2.44"/>
    <n v="6478.86"/>
    <n v="22887.54"/>
    <x v="2"/>
  </r>
  <r>
    <x v="10"/>
    <x v="1"/>
    <x v="6"/>
    <x v="2"/>
    <x v="29"/>
    <x v="0"/>
    <x v="1"/>
    <n v="1.33"/>
    <n v="3531.51"/>
    <n v="12474.41"/>
    <x v="2"/>
  </r>
  <r>
    <x v="10"/>
    <x v="1"/>
    <x v="6"/>
    <x v="2"/>
    <x v="24"/>
    <x v="0"/>
    <x v="1"/>
    <n v="1.25"/>
    <n v="3319.09"/>
    <n v="11673.31"/>
    <x v="2"/>
  </r>
  <r>
    <x v="10"/>
    <x v="1"/>
    <x v="6"/>
    <x v="3"/>
    <x v="25"/>
    <x v="0"/>
    <x v="1"/>
    <n v="0.24"/>
    <n v="637.26"/>
    <n v="2243.0500000000002"/>
    <x v="2"/>
  </r>
  <r>
    <x v="10"/>
    <x v="1"/>
    <x v="6"/>
    <x v="3"/>
    <x v="26"/>
    <x v="0"/>
    <x v="1"/>
    <n v="1.1000000000000001"/>
    <n v="2920.8"/>
    <n v="10323.24"/>
    <x v="2"/>
  </r>
  <r>
    <x v="10"/>
    <x v="1"/>
    <x v="6"/>
    <x v="3"/>
    <x v="27"/>
    <x v="0"/>
    <x v="1"/>
    <n v="7.62"/>
    <n v="20233.16"/>
    <n v="71363.98"/>
    <x v="2"/>
  </r>
  <r>
    <x v="10"/>
    <x v="1"/>
    <x v="6"/>
    <x v="0"/>
    <x v="0"/>
    <x v="1"/>
    <x v="0"/>
    <n v="4.79"/>
    <n v="12718.74"/>
    <n v="29349.83"/>
    <x v="2"/>
  </r>
  <r>
    <x v="10"/>
    <x v="1"/>
    <x v="6"/>
    <x v="0"/>
    <x v="1"/>
    <x v="1"/>
    <x v="0"/>
    <n v="11.78"/>
    <n v="31279.08"/>
    <n v="70953.53"/>
    <x v="2"/>
  </r>
  <r>
    <x v="10"/>
    <x v="1"/>
    <x v="6"/>
    <x v="0"/>
    <x v="2"/>
    <x v="1"/>
    <x v="0"/>
    <n v="2.88"/>
    <n v="7647.18"/>
    <n v="16773.98"/>
    <x v="2"/>
  </r>
  <r>
    <x v="10"/>
    <x v="1"/>
    <x v="6"/>
    <x v="0"/>
    <x v="3"/>
    <x v="1"/>
    <x v="0"/>
    <n v="10.39"/>
    <n v="27588.26"/>
    <n v="62869.24"/>
    <x v="2"/>
  </r>
  <r>
    <x v="10"/>
    <x v="1"/>
    <x v="6"/>
    <x v="0"/>
    <x v="28"/>
    <x v="1"/>
    <x v="0"/>
    <n v="0"/>
    <n v="0"/>
    <n v="0"/>
    <x v="2"/>
  </r>
  <r>
    <x v="10"/>
    <x v="1"/>
    <x v="6"/>
    <x v="0"/>
    <x v="4"/>
    <x v="1"/>
    <x v="0"/>
    <n v="7.03"/>
    <n v="18666.55"/>
    <n v="42162.92"/>
    <x v="2"/>
  </r>
  <r>
    <x v="10"/>
    <x v="1"/>
    <x v="6"/>
    <x v="0"/>
    <x v="5"/>
    <x v="1"/>
    <x v="0"/>
    <n v="2.68"/>
    <n v="7116.12"/>
    <n v="16531.27"/>
    <x v="2"/>
  </r>
  <r>
    <x v="10"/>
    <x v="1"/>
    <x v="6"/>
    <x v="0"/>
    <x v="6"/>
    <x v="1"/>
    <x v="0"/>
    <n v="0"/>
    <n v="0"/>
    <n v="0"/>
    <x v="2"/>
  </r>
  <r>
    <x v="10"/>
    <x v="1"/>
    <x v="6"/>
    <x v="0"/>
    <x v="7"/>
    <x v="1"/>
    <x v="0"/>
    <n v="0"/>
    <n v="0"/>
    <n v="0"/>
    <x v="2"/>
  </r>
  <r>
    <x v="10"/>
    <x v="1"/>
    <x v="6"/>
    <x v="0"/>
    <x v="8"/>
    <x v="1"/>
    <x v="0"/>
    <n v="0"/>
    <n v="0"/>
    <n v="0"/>
    <x v="2"/>
  </r>
  <r>
    <x v="10"/>
    <x v="1"/>
    <x v="6"/>
    <x v="1"/>
    <x v="30"/>
    <x v="1"/>
    <x v="0"/>
    <n v="1.22"/>
    <n v="3239.43"/>
    <n v="7879.05"/>
    <x v="2"/>
  </r>
  <r>
    <x v="10"/>
    <x v="1"/>
    <x v="6"/>
    <x v="1"/>
    <x v="9"/>
    <x v="1"/>
    <x v="0"/>
    <n v="0"/>
    <n v="0"/>
    <n v="0"/>
    <x v="2"/>
  </r>
  <r>
    <x v="10"/>
    <x v="1"/>
    <x v="6"/>
    <x v="1"/>
    <x v="31"/>
    <x v="1"/>
    <x v="0"/>
    <n v="0.65"/>
    <n v="1725.93"/>
    <n v="4244.8900000000003"/>
    <x v="2"/>
  </r>
  <r>
    <x v="10"/>
    <x v="1"/>
    <x v="6"/>
    <x v="1"/>
    <x v="10"/>
    <x v="1"/>
    <x v="0"/>
    <n v="9.8699999999999992"/>
    <n v="26207.51"/>
    <n v="63062.95"/>
    <x v="2"/>
  </r>
  <r>
    <x v="10"/>
    <x v="1"/>
    <x v="6"/>
    <x v="1"/>
    <x v="11"/>
    <x v="1"/>
    <x v="0"/>
    <n v="7.11"/>
    <n v="18878.97"/>
    <n v="43276.74"/>
    <x v="2"/>
  </r>
  <r>
    <x v="10"/>
    <x v="1"/>
    <x v="6"/>
    <x v="1"/>
    <x v="12"/>
    <x v="1"/>
    <x v="0"/>
    <n v="1.59"/>
    <n v="4221.88"/>
    <n v="10181.719999999999"/>
    <x v="2"/>
  </r>
  <r>
    <x v="10"/>
    <x v="1"/>
    <x v="6"/>
    <x v="1"/>
    <x v="13"/>
    <x v="1"/>
    <x v="0"/>
    <n v="1.53"/>
    <n v="4062.56"/>
    <n v="9746.0400000000009"/>
    <x v="2"/>
  </r>
  <r>
    <x v="10"/>
    <x v="1"/>
    <x v="6"/>
    <x v="1"/>
    <x v="14"/>
    <x v="1"/>
    <x v="0"/>
    <n v="10.41"/>
    <n v="27641.360000000001"/>
    <n v="65115.11"/>
    <x v="2"/>
  </r>
  <r>
    <x v="10"/>
    <x v="1"/>
    <x v="6"/>
    <x v="1"/>
    <x v="15"/>
    <x v="1"/>
    <x v="0"/>
    <n v="2.1800000000000002"/>
    <n v="5788.49"/>
    <n v="14082.15"/>
    <x v="2"/>
  </r>
  <r>
    <x v="10"/>
    <x v="1"/>
    <x v="6"/>
    <x v="1"/>
    <x v="16"/>
    <x v="1"/>
    <x v="0"/>
    <n v="4.1900000000000004"/>
    <n v="11125.58"/>
    <n v="25835.41"/>
    <x v="2"/>
  </r>
  <r>
    <x v="10"/>
    <x v="1"/>
    <x v="6"/>
    <x v="1"/>
    <x v="17"/>
    <x v="1"/>
    <x v="0"/>
    <n v="4.0999999999999996"/>
    <n v="10886.61"/>
    <n v="25506.52"/>
    <x v="2"/>
  </r>
  <r>
    <x v="10"/>
    <x v="1"/>
    <x v="6"/>
    <x v="1"/>
    <x v="18"/>
    <x v="1"/>
    <x v="0"/>
    <n v="6.94"/>
    <n v="18427.57"/>
    <n v="45188.81"/>
    <x v="2"/>
  </r>
  <r>
    <x v="10"/>
    <x v="1"/>
    <x v="6"/>
    <x v="1"/>
    <x v="19"/>
    <x v="1"/>
    <x v="0"/>
    <n v="9.11"/>
    <n v="24189.51"/>
    <n v="57493.87"/>
    <x v="2"/>
  </r>
  <r>
    <x v="10"/>
    <x v="1"/>
    <x v="6"/>
    <x v="1"/>
    <x v="20"/>
    <x v="1"/>
    <x v="0"/>
    <n v="10.38"/>
    <n v="27561.7"/>
    <n v="64460.63"/>
    <x v="2"/>
  </r>
  <r>
    <x v="10"/>
    <x v="1"/>
    <x v="6"/>
    <x v="2"/>
    <x v="21"/>
    <x v="1"/>
    <x v="0"/>
    <n v="0"/>
    <n v="0"/>
    <n v="0"/>
    <x v="2"/>
  </r>
  <r>
    <x v="10"/>
    <x v="1"/>
    <x v="6"/>
    <x v="2"/>
    <x v="22"/>
    <x v="1"/>
    <x v="0"/>
    <n v="3.73"/>
    <n v="9904.16"/>
    <n v="21254.39"/>
    <x v="2"/>
  </r>
  <r>
    <x v="10"/>
    <x v="1"/>
    <x v="6"/>
    <x v="2"/>
    <x v="29"/>
    <x v="1"/>
    <x v="0"/>
    <n v="0"/>
    <n v="0"/>
    <n v="0"/>
    <x v="2"/>
  </r>
  <r>
    <x v="10"/>
    <x v="1"/>
    <x v="6"/>
    <x v="2"/>
    <x v="23"/>
    <x v="1"/>
    <x v="0"/>
    <n v="0"/>
    <n v="0"/>
    <n v="0"/>
    <x v="2"/>
  </r>
  <r>
    <x v="10"/>
    <x v="1"/>
    <x v="6"/>
    <x v="2"/>
    <x v="24"/>
    <x v="1"/>
    <x v="0"/>
    <n v="2.1"/>
    <n v="5576.07"/>
    <n v="12206.75"/>
    <x v="2"/>
  </r>
  <r>
    <x v="10"/>
    <x v="1"/>
    <x v="6"/>
    <x v="3"/>
    <x v="25"/>
    <x v="1"/>
    <x v="0"/>
    <n v="3.85"/>
    <n v="10222.790000000001"/>
    <n v="24681.75"/>
    <x v="2"/>
  </r>
  <r>
    <x v="10"/>
    <x v="1"/>
    <x v="6"/>
    <x v="3"/>
    <x v="26"/>
    <x v="1"/>
    <x v="0"/>
    <n v="2.64"/>
    <n v="7009.91"/>
    <n v="17082.39"/>
    <x v="2"/>
  </r>
  <r>
    <x v="10"/>
    <x v="1"/>
    <x v="6"/>
    <x v="3"/>
    <x v="27"/>
    <x v="1"/>
    <x v="0"/>
    <n v="9.1"/>
    <n v="24162.959999999999"/>
    <n v="57722.86"/>
    <x v="2"/>
  </r>
  <r>
    <x v="10"/>
    <x v="1"/>
    <x v="6"/>
    <x v="0"/>
    <x v="0"/>
    <x v="1"/>
    <x v="1"/>
    <n v="6.89"/>
    <n v="18294.810000000001"/>
    <n v="42190.38"/>
    <x v="2"/>
  </r>
  <r>
    <x v="10"/>
    <x v="1"/>
    <x v="6"/>
    <x v="0"/>
    <x v="1"/>
    <x v="1"/>
    <x v="1"/>
    <n v="21.05"/>
    <n v="55893.43"/>
    <n v="126777.26"/>
    <x v="2"/>
  </r>
  <r>
    <x v="10"/>
    <x v="1"/>
    <x v="6"/>
    <x v="0"/>
    <x v="2"/>
    <x v="1"/>
    <x v="1"/>
    <n v="11.8"/>
    <n v="31332.19"/>
    <n v="68620.820000000007"/>
    <x v="2"/>
  </r>
  <r>
    <x v="10"/>
    <x v="1"/>
    <x v="6"/>
    <x v="0"/>
    <x v="3"/>
    <x v="1"/>
    <x v="1"/>
    <n v="22.93"/>
    <n v="60885.34"/>
    <n v="138745.9"/>
    <x v="2"/>
  </r>
  <r>
    <x v="10"/>
    <x v="1"/>
    <x v="6"/>
    <x v="0"/>
    <x v="28"/>
    <x v="1"/>
    <x v="1"/>
    <n v="5.2"/>
    <n v="13807.4"/>
    <n v="31866.61"/>
    <x v="2"/>
  </r>
  <r>
    <x v="10"/>
    <x v="1"/>
    <x v="6"/>
    <x v="0"/>
    <x v="4"/>
    <x v="1"/>
    <x v="1"/>
    <n v="13.81"/>
    <n v="36669.279999999999"/>
    <n v="82764.25"/>
    <x v="2"/>
  </r>
  <r>
    <x v="10"/>
    <x v="1"/>
    <x v="6"/>
    <x v="0"/>
    <x v="5"/>
    <x v="1"/>
    <x v="1"/>
    <n v="14.6"/>
    <n v="38766.94"/>
    <n v="90122.08"/>
    <x v="2"/>
  </r>
  <r>
    <x v="10"/>
    <x v="1"/>
    <x v="6"/>
    <x v="0"/>
    <x v="6"/>
    <x v="1"/>
    <x v="1"/>
    <n v="2.11"/>
    <n v="5602.62"/>
    <n v="13011.74"/>
    <x v="2"/>
  </r>
  <r>
    <x v="10"/>
    <x v="1"/>
    <x v="6"/>
    <x v="0"/>
    <x v="7"/>
    <x v="1"/>
    <x v="1"/>
    <n v="1.89"/>
    <n v="5018.46"/>
    <n v="11804"/>
    <x v="2"/>
  </r>
  <r>
    <x v="10"/>
    <x v="1"/>
    <x v="6"/>
    <x v="0"/>
    <x v="8"/>
    <x v="1"/>
    <x v="1"/>
    <n v="4.03"/>
    <n v="10700.74"/>
    <n v="24019.919999999998"/>
    <x v="2"/>
  </r>
  <r>
    <x v="10"/>
    <x v="1"/>
    <x v="6"/>
    <x v="1"/>
    <x v="30"/>
    <x v="1"/>
    <x v="1"/>
    <n v="0"/>
    <n v="0"/>
    <n v="0"/>
    <x v="2"/>
  </r>
  <r>
    <x v="10"/>
    <x v="1"/>
    <x v="6"/>
    <x v="1"/>
    <x v="9"/>
    <x v="1"/>
    <x v="1"/>
    <n v="4.7300000000000004"/>
    <n v="12559.43"/>
    <n v="30464.639999999999"/>
    <x v="2"/>
  </r>
  <r>
    <x v="10"/>
    <x v="1"/>
    <x v="6"/>
    <x v="1"/>
    <x v="31"/>
    <x v="1"/>
    <x v="1"/>
    <n v="0"/>
    <n v="0"/>
    <n v="0"/>
    <x v="2"/>
  </r>
  <r>
    <x v="10"/>
    <x v="1"/>
    <x v="6"/>
    <x v="1"/>
    <x v="10"/>
    <x v="1"/>
    <x v="1"/>
    <n v="24.63"/>
    <n v="65399.3"/>
    <n v="157368.09"/>
    <x v="2"/>
  </r>
  <r>
    <x v="10"/>
    <x v="1"/>
    <x v="6"/>
    <x v="1"/>
    <x v="11"/>
    <x v="1"/>
    <x v="1"/>
    <n v="24.22"/>
    <n v="64310.64"/>
    <n v="147461.5"/>
    <x v="2"/>
  </r>
  <r>
    <x v="10"/>
    <x v="1"/>
    <x v="6"/>
    <x v="1"/>
    <x v="12"/>
    <x v="1"/>
    <x v="1"/>
    <n v="1.51"/>
    <n v="4009.46"/>
    <n v="9645.84"/>
    <x v="2"/>
  </r>
  <r>
    <x v="10"/>
    <x v="1"/>
    <x v="6"/>
    <x v="1"/>
    <x v="13"/>
    <x v="1"/>
    <x v="1"/>
    <n v="12.76"/>
    <n v="33881.25"/>
    <n v="81408.13"/>
    <x v="2"/>
  </r>
  <r>
    <x v="10"/>
    <x v="1"/>
    <x v="6"/>
    <x v="1"/>
    <x v="14"/>
    <x v="1"/>
    <x v="1"/>
    <n v="8.07"/>
    <n v="21428.03"/>
    <n v="50520.35"/>
    <x v="2"/>
  </r>
  <r>
    <x v="10"/>
    <x v="1"/>
    <x v="6"/>
    <x v="1"/>
    <x v="15"/>
    <x v="1"/>
    <x v="1"/>
    <n v="1.72"/>
    <n v="4567.0600000000004"/>
    <n v="11148.37"/>
    <x v="2"/>
  </r>
  <r>
    <x v="10"/>
    <x v="1"/>
    <x v="6"/>
    <x v="1"/>
    <x v="16"/>
    <x v="1"/>
    <x v="1"/>
    <n v="9.02"/>
    <n v="23950.54"/>
    <n v="55602.3"/>
    <x v="2"/>
  </r>
  <r>
    <x v="10"/>
    <x v="1"/>
    <x v="6"/>
    <x v="1"/>
    <x v="17"/>
    <x v="1"/>
    <x v="1"/>
    <n v="3.49"/>
    <n v="9266.89"/>
    <n v="21707.67"/>
    <x v="2"/>
  </r>
  <r>
    <x v="10"/>
    <x v="1"/>
    <x v="6"/>
    <x v="1"/>
    <x v="18"/>
    <x v="1"/>
    <x v="1"/>
    <n v="25.62"/>
    <n v="68028.02"/>
    <n v="166799.87"/>
    <x v="2"/>
  </r>
  <r>
    <x v="10"/>
    <x v="1"/>
    <x v="6"/>
    <x v="1"/>
    <x v="19"/>
    <x v="1"/>
    <x v="1"/>
    <n v="14.88"/>
    <n v="39510.42"/>
    <n v="93925.63"/>
    <x v="2"/>
  </r>
  <r>
    <x v="10"/>
    <x v="1"/>
    <x v="6"/>
    <x v="1"/>
    <x v="20"/>
    <x v="1"/>
    <x v="1"/>
    <n v="22.53"/>
    <n v="59823.23"/>
    <n v="139940.16"/>
    <x v="2"/>
  </r>
  <r>
    <x v="10"/>
    <x v="1"/>
    <x v="6"/>
    <x v="2"/>
    <x v="21"/>
    <x v="1"/>
    <x v="1"/>
    <n v="2.1800000000000002"/>
    <n v="5788.49"/>
    <n v="12452.97"/>
    <x v="2"/>
  </r>
  <r>
    <x v="10"/>
    <x v="1"/>
    <x v="6"/>
    <x v="2"/>
    <x v="22"/>
    <x v="1"/>
    <x v="1"/>
    <n v="8.11"/>
    <n v="21534.240000000002"/>
    <n v="46259.56"/>
    <x v="2"/>
  </r>
  <r>
    <x v="10"/>
    <x v="1"/>
    <x v="6"/>
    <x v="2"/>
    <x v="29"/>
    <x v="1"/>
    <x v="1"/>
    <n v="2.52"/>
    <n v="6691.28"/>
    <n v="15268.97"/>
    <x v="2"/>
  </r>
  <r>
    <x v="10"/>
    <x v="1"/>
    <x v="6"/>
    <x v="2"/>
    <x v="23"/>
    <x v="1"/>
    <x v="1"/>
    <n v="0"/>
    <n v="0"/>
    <n v="0"/>
    <x v="2"/>
  </r>
  <r>
    <x v="10"/>
    <x v="1"/>
    <x v="6"/>
    <x v="2"/>
    <x v="24"/>
    <x v="1"/>
    <x v="1"/>
    <n v="1.31"/>
    <n v="3478.4"/>
    <n v="7629.22"/>
    <x v="2"/>
  </r>
  <r>
    <x v="10"/>
    <x v="1"/>
    <x v="6"/>
    <x v="3"/>
    <x v="25"/>
    <x v="1"/>
    <x v="1"/>
    <n v="7.28"/>
    <n v="19330.37"/>
    <n v="46737.78"/>
    <x v="2"/>
  </r>
  <r>
    <x v="10"/>
    <x v="1"/>
    <x v="6"/>
    <x v="3"/>
    <x v="26"/>
    <x v="1"/>
    <x v="1"/>
    <n v="13.13"/>
    <n v="34863.699999999997"/>
    <n v="84860.93"/>
    <x v="2"/>
  </r>
  <r>
    <x v="10"/>
    <x v="1"/>
    <x v="6"/>
    <x v="3"/>
    <x v="27"/>
    <x v="1"/>
    <x v="1"/>
    <n v="26.88"/>
    <n v="71373.66"/>
    <n v="170445.81"/>
    <x v="2"/>
  </r>
  <r>
    <x v="10"/>
    <x v="1"/>
    <x v="7"/>
    <x v="0"/>
    <x v="0"/>
    <x v="0"/>
    <x v="0"/>
    <n v="2.06"/>
    <n v="9782.4"/>
    <n v="38126.33"/>
    <x v="2"/>
  </r>
  <r>
    <x v="10"/>
    <x v="1"/>
    <x v="7"/>
    <x v="0"/>
    <x v="1"/>
    <x v="0"/>
    <x v="0"/>
    <n v="3.36"/>
    <n v="15955.77"/>
    <n v="62319.22"/>
    <x v="2"/>
  </r>
  <r>
    <x v="10"/>
    <x v="1"/>
    <x v="7"/>
    <x v="0"/>
    <x v="2"/>
    <x v="0"/>
    <x v="0"/>
    <n v="0"/>
    <n v="0"/>
    <n v="0"/>
    <x v="2"/>
  </r>
  <r>
    <x v="10"/>
    <x v="1"/>
    <x v="7"/>
    <x v="0"/>
    <x v="3"/>
    <x v="0"/>
    <x v="0"/>
    <n v="2.46"/>
    <n v="11681.9"/>
    <n v="45553.22"/>
    <x v="2"/>
  </r>
  <r>
    <x v="10"/>
    <x v="1"/>
    <x v="7"/>
    <x v="0"/>
    <x v="4"/>
    <x v="0"/>
    <x v="0"/>
    <n v="0"/>
    <n v="0"/>
    <n v="0"/>
    <x v="2"/>
  </r>
  <r>
    <x v="10"/>
    <x v="1"/>
    <x v="7"/>
    <x v="0"/>
    <x v="5"/>
    <x v="0"/>
    <x v="0"/>
    <n v="0"/>
    <n v="0"/>
    <n v="0"/>
    <x v="2"/>
  </r>
  <r>
    <x v="10"/>
    <x v="1"/>
    <x v="7"/>
    <x v="0"/>
    <x v="6"/>
    <x v="0"/>
    <x v="0"/>
    <n v="0"/>
    <n v="0"/>
    <n v="0"/>
    <x v="2"/>
  </r>
  <r>
    <x v="10"/>
    <x v="1"/>
    <x v="7"/>
    <x v="0"/>
    <x v="8"/>
    <x v="0"/>
    <x v="0"/>
    <n v="0"/>
    <n v="0"/>
    <n v="0"/>
    <x v="2"/>
  </r>
  <r>
    <x v="10"/>
    <x v="1"/>
    <x v="7"/>
    <x v="1"/>
    <x v="10"/>
    <x v="0"/>
    <x v="0"/>
    <n v="0.95"/>
    <n v="4511.3"/>
    <n v="17521.330000000002"/>
    <x v="2"/>
  </r>
  <r>
    <x v="10"/>
    <x v="1"/>
    <x v="7"/>
    <x v="1"/>
    <x v="11"/>
    <x v="0"/>
    <x v="0"/>
    <n v="0"/>
    <n v="0"/>
    <n v="0"/>
    <x v="2"/>
  </r>
  <r>
    <x v="10"/>
    <x v="1"/>
    <x v="7"/>
    <x v="1"/>
    <x v="13"/>
    <x v="0"/>
    <x v="0"/>
    <n v="0"/>
    <n v="0"/>
    <n v="0"/>
    <x v="2"/>
  </r>
  <r>
    <x v="10"/>
    <x v="1"/>
    <x v="7"/>
    <x v="1"/>
    <x v="14"/>
    <x v="0"/>
    <x v="0"/>
    <n v="0"/>
    <n v="0"/>
    <n v="0"/>
    <x v="2"/>
  </r>
  <r>
    <x v="10"/>
    <x v="1"/>
    <x v="7"/>
    <x v="1"/>
    <x v="16"/>
    <x v="0"/>
    <x v="0"/>
    <n v="0"/>
    <n v="0"/>
    <n v="0"/>
    <x v="2"/>
  </r>
  <r>
    <x v="10"/>
    <x v="1"/>
    <x v="7"/>
    <x v="1"/>
    <x v="17"/>
    <x v="0"/>
    <x v="0"/>
    <n v="0"/>
    <n v="0"/>
    <n v="0"/>
    <x v="2"/>
  </r>
  <r>
    <x v="10"/>
    <x v="1"/>
    <x v="7"/>
    <x v="1"/>
    <x v="18"/>
    <x v="0"/>
    <x v="0"/>
    <n v="0"/>
    <n v="0"/>
    <n v="0"/>
    <x v="2"/>
  </r>
  <r>
    <x v="10"/>
    <x v="1"/>
    <x v="7"/>
    <x v="1"/>
    <x v="19"/>
    <x v="0"/>
    <x v="0"/>
    <n v="0"/>
    <n v="0"/>
    <n v="0"/>
    <x v="2"/>
  </r>
  <r>
    <x v="10"/>
    <x v="1"/>
    <x v="7"/>
    <x v="1"/>
    <x v="20"/>
    <x v="0"/>
    <x v="0"/>
    <n v="1.46"/>
    <n v="6933.16"/>
    <n v="27004.43"/>
    <x v="2"/>
  </r>
  <r>
    <x v="10"/>
    <x v="1"/>
    <x v="7"/>
    <x v="2"/>
    <x v="21"/>
    <x v="0"/>
    <x v="0"/>
    <n v="1.31"/>
    <n v="6220.85"/>
    <n v="24221.27"/>
    <x v="2"/>
  </r>
  <r>
    <x v="10"/>
    <x v="1"/>
    <x v="7"/>
    <x v="2"/>
    <x v="22"/>
    <x v="0"/>
    <x v="0"/>
    <n v="0"/>
    <n v="0"/>
    <n v="0"/>
    <x v="2"/>
  </r>
  <r>
    <x v="10"/>
    <x v="1"/>
    <x v="7"/>
    <x v="2"/>
    <x v="29"/>
    <x v="0"/>
    <x v="0"/>
    <n v="0"/>
    <n v="0"/>
    <n v="0"/>
    <x v="2"/>
  </r>
  <r>
    <x v="10"/>
    <x v="1"/>
    <x v="7"/>
    <x v="2"/>
    <x v="24"/>
    <x v="0"/>
    <x v="0"/>
    <n v="0"/>
    <n v="0"/>
    <n v="0"/>
    <x v="2"/>
  </r>
  <r>
    <x v="10"/>
    <x v="1"/>
    <x v="7"/>
    <x v="3"/>
    <x v="25"/>
    <x v="0"/>
    <x v="0"/>
    <n v="0"/>
    <n v="0"/>
    <n v="0"/>
    <x v="2"/>
  </r>
  <r>
    <x v="10"/>
    <x v="1"/>
    <x v="7"/>
    <x v="3"/>
    <x v="26"/>
    <x v="0"/>
    <x v="0"/>
    <n v="1.9"/>
    <n v="9022.61"/>
    <n v="35213.47"/>
    <x v="2"/>
  </r>
  <r>
    <x v="10"/>
    <x v="1"/>
    <x v="7"/>
    <x v="3"/>
    <x v="27"/>
    <x v="0"/>
    <x v="0"/>
    <n v="3.55"/>
    <n v="16858.03"/>
    <n v="65774.16"/>
    <x v="2"/>
  </r>
  <r>
    <x v="10"/>
    <x v="1"/>
    <x v="7"/>
    <x v="0"/>
    <x v="0"/>
    <x v="0"/>
    <x v="1"/>
    <n v="2.06"/>
    <n v="9782.4"/>
    <n v="38126.33"/>
    <x v="2"/>
  </r>
  <r>
    <x v="10"/>
    <x v="1"/>
    <x v="7"/>
    <x v="0"/>
    <x v="1"/>
    <x v="0"/>
    <x v="1"/>
    <n v="5.23"/>
    <n v="24835.91"/>
    <n v="96993.07"/>
    <x v="2"/>
  </r>
  <r>
    <x v="10"/>
    <x v="1"/>
    <x v="7"/>
    <x v="0"/>
    <x v="2"/>
    <x v="0"/>
    <x v="1"/>
    <n v="4.49"/>
    <n v="21321.84"/>
    <n v="83152.740000000005"/>
    <x v="2"/>
  </r>
  <r>
    <x v="10"/>
    <x v="1"/>
    <x v="7"/>
    <x v="0"/>
    <x v="3"/>
    <x v="0"/>
    <x v="1"/>
    <n v="6.64"/>
    <n v="31531.63"/>
    <n v="122993.7"/>
    <x v="2"/>
  </r>
  <r>
    <x v="10"/>
    <x v="1"/>
    <x v="7"/>
    <x v="0"/>
    <x v="4"/>
    <x v="0"/>
    <x v="1"/>
    <n v="1.49"/>
    <n v="7075.62"/>
    <n v="27635.4"/>
    <x v="2"/>
  </r>
  <r>
    <x v="10"/>
    <x v="1"/>
    <x v="7"/>
    <x v="0"/>
    <x v="5"/>
    <x v="0"/>
    <x v="1"/>
    <n v="3.54"/>
    <n v="16810.54"/>
    <n v="65606.850000000006"/>
    <x v="2"/>
  </r>
  <r>
    <x v="10"/>
    <x v="1"/>
    <x v="7"/>
    <x v="0"/>
    <x v="6"/>
    <x v="0"/>
    <x v="1"/>
    <n v="1.79"/>
    <n v="8500.24"/>
    <n v="33091.31"/>
    <x v="2"/>
  </r>
  <r>
    <x v="10"/>
    <x v="1"/>
    <x v="7"/>
    <x v="0"/>
    <x v="8"/>
    <x v="0"/>
    <x v="1"/>
    <n v="2.5299999999999998"/>
    <n v="12014.31"/>
    <n v="46815.88"/>
    <x v="2"/>
  </r>
  <r>
    <x v="10"/>
    <x v="1"/>
    <x v="7"/>
    <x v="1"/>
    <x v="10"/>
    <x v="0"/>
    <x v="1"/>
    <n v="4.0599999999999996"/>
    <n v="19279.88"/>
    <n v="75341.740000000005"/>
    <x v="2"/>
  </r>
  <r>
    <x v="10"/>
    <x v="1"/>
    <x v="7"/>
    <x v="1"/>
    <x v="11"/>
    <x v="0"/>
    <x v="1"/>
    <n v="8.83"/>
    <n v="41931.370000000003"/>
    <n v="163590.25"/>
    <x v="2"/>
  </r>
  <r>
    <x v="10"/>
    <x v="1"/>
    <x v="7"/>
    <x v="1"/>
    <x v="13"/>
    <x v="0"/>
    <x v="1"/>
    <n v="3.84"/>
    <n v="18235.16"/>
    <n v="71191.48"/>
    <x v="2"/>
  </r>
  <r>
    <x v="10"/>
    <x v="1"/>
    <x v="7"/>
    <x v="1"/>
    <x v="14"/>
    <x v="0"/>
    <x v="1"/>
    <n v="1.08"/>
    <n v="5128.6400000000003"/>
    <n v="20019.439999999999"/>
    <x v="2"/>
  </r>
  <r>
    <x v="10"/>
    <x v="1"/>
    <x v="7"/>
    <x v="1"/>
    <x v="16"/>
    <x v="0"/>
    <x v="1"/>
    <n v="0.99"/>
    <n v="4701.25"/>
    <n v="18273.27"/>
    <x v="2"/>
  </r>
  <r>
    <x v="10"/>
    <x v="1"/>
    <x v="7"/>
    <x v="1"/>
    <x v="17"/>
    <x v="0"/>
    <x v="1"/>
    <n v="2.14"/>
    <n v="10162.299999999999"/>
    <n v="39588.49"/>
    <x v="2"/>
  </r>
  <r>
    <x v="10"/>
    <x v="1"/>
    <x v="7"/>
    <x v="1"/>
    <x v="18"/>
    <x v="0"/>
    <x v="1"/>
    <n v="9.8000000000000007"/>
    <n v="46537.65"/>
    <n v="181561.49"/>
    <x v="2"/>
  </r>
  <r>
    <x v="10"/>
    <x v="1"/>
    <x v="7"/>
    <x v="1"/>
    <x v="19"/>
    <x v="0"/>
    <x v="1"/>
    <n v="3.38"/>
    <n v="16050.74"/>
    <n v="62574.04"/>
    <x v="2"/>
  </r>
  <r>
    <x v="10"/>
    <x v="1"/>
    <x v="7"/>
    <x v="1"/>
    <x v="20"/>
    <x v="0"/>
    <x v="1"/>
    <n v="9.01"/>
    <n v="42786.15"/>
    <n v="167089.92000000001"/>
    <x v="2"/>
  </r>
  <r>
    <x v="10"/>
    <x v="1"/>
    <x v="7"/>
    <x v="2"/>
    <x v="21"/>
    <x v="0"/>
    <x v="1"/>
    <n v="0"/>
    <n v="0"/>
    <n v="0"/>
    <x v="2"/>
  </r>
  <r>
    <x v="10"/>
    <x v="1"/>
    <x v="7"/>
    <x v="2"/>
    <x v="22"/>
    <x v="0"/>
    <x v="1"/>
    <n v="4.26"/>
    <n v="20229.63"/>
    <n v="78907.03"/>
    <x v="2"/>
  </r>
  <r>
    <x v="10"/>
    <x v="1"/>
    <x v="7"/>
    <x v="2"/>
    <x v="29"/>
    <x v="0"/>
    <x v="1"/>
    <n v="1.52"/>
    <n v="7218.08"/>
    <n v="28157.07"/>
    <x v="2"/>
  </r>
  <r>
    <x v="10"/>
    <x v="1"/>
    <x v="7"/>
    <x v="2"/>
    <x v="24"/>
    <x v="0"/>
    <x v="1"/>
    <n v="1.9"/>
    <n v="9022.61"/>
    <n v="35274.51"/>
    <x v="2"/>
  </r>
  <r>
    <x v="10"/>
    <x v="1"/>
    <x v="7"/>
    <x v="3"/>
    <x v="25"/>
    <x v="0"/>
    <x v="1"/>
    <n v="2.4700000000000002"/>
    <n v="11729.39"/>
    <n v="45834.93"/>
    <x v="2"/>
  </r>
  <r>
    <x v="10"/>
    <x v="1"/>
    <x v="7"/>
    <x v="3"/>
    <x v="26"/>
    <x v="0"/>
    <x v="1"/>
    <n v="2"/>
    <n v="9497.48"/>
    <n v="37066.81"/>
    <x v="2"/>
  </r>
  <r>
    <x v="10"/>
    <x v="1"/>
    <x v="7"/>
    <x v="3"/>
    <x v="27"/>
    <x v="0"/>
    <x v="1"/>
    <n v="8.73"/>
    <n v="41456.5"/>
    <n v="161905.62"/>
    <x v="2"/>
  </r>
  <r>
    <x v="10"/>
    <x v="1"/>
    <x v="7"/>
    <x v="0"/>
    <x v="0"/>
    <x v="1"/>
    <x v="0"/>
    <n v="7.12"/>
    <n v="33811.03"/>
    <n v="86363.64"/>
    <x v="2"/>
  </r>
  <r>
    <x v="10"/>
    <x v="1"/>
    <x v="7"/>
    <x v="0"/>
    <x v="1"/>
    <x v="1"/>
    <x v="0"/>
    <n v="12.09"/>
    <n v="57412.27"/>
    <n v="144121.85"/>
    <x v="2"/>
  </r>
  <r>
    <x v="10"/>
    <x v="1"/>
    <x v="7"/>
    <x v="0"/>
    <x v="2"/>
    <x v="1"/>
    <x v="0"/>
    <n v="3.32"/>
    <n v="15765.82"/>
    <n v="38164.79"/>
    <x v="2"/>
  </r>
  <r>
    <x v="10"/>
    <x v="1"/>
    <x v="7"/>
    <x v="0"/>
    <x v="3"/>
    <x v="1"/>
    <x v="0"/>
    <n v="12.47"/>
    <n v="59216.79"/>
    <n v="149369.29999999999"/>
    <x v="2"/>
  </r>
  <r>
    <x v="10"/>
    <x v="1"/>
    <x v="7"/>
    <x v="0"/>
    <x v="28"/>
    <x v="1"/>
    <x v="0"/>
    <n v="0"/>
    <n v="0"/>
    <n v="0"/>
    <x v="2"/>
  </r>
  <r>
    <x v="10"/>
    <x v="1"/>
    <x v="7"/>
    <x v="0"/>
    <x v="4"/>
    <x v="1"/>
    <x v="0"/>
    <n v="5.58"/>
    <n v="26497.97"/>
    <n v="66205.960000000006"/>
    <x v="2"/>
  </r>
  <r>
    <x v="10"/>
    <x v="1"/>
    <x v="7"/>
    <x v="0"/>
    <x v="5"/>
    <x v="1"/>
    <x v="0"/>
    <n v="1.81"/>
    <n v="8595.2199999999993"/>
    <n v="22104.7"/>
    <x v="2"/>
  </r>
  <r>
    <x v="10"/>
    <x v="1"/>
    <x v="7"/>
    <x v="0"/>
    <x v="6"/>
    <x v="1"/>
    <x v="0"/>
    <n v="0"/>
    <n v="0"/>
    <n v="0"/>
    <x v="2"/>
  </r>
  <r>
    <x v="10"/>
    <x v="1"/>
    <x v="7"/>
    <x v="0"/>
    <x v="7"/>
    <x v="1"/>
    <x v="0"/>
    <n v="0"/>
    <n v="0"/>
    <n v="0"/>
    <x v="2"/>
  </r>
  <r>
    <x v="10"/>
    <x v="1"/>
    <x v="7"/>
    <x v="0"/>
    <x v="8"/>
    <x v="1"/>
    <x v="0"/>
    <n v="0"/>
    <n v="0"/>
    <n v="0"/>
    <x v="2"/>
  </r>
  <r>
    <x v="10"/>
    <x v="1"/>
    <x v="7"/>
    <x v="1"/>
    <x v="30"/>
    <x v="1"/>
    <x v="0"/>
    <n v="1.2"/>
    <n v="5698.49"/>
    <n v="15323.76"/>
    <x v="2"/>
  </r>
  <r>
    <x v="10"/>
    <x v="1"/>
    <x v="7"/>
    <x v="1"/>
    <x v="9"/>
    <x v="1"/>
    <x v="0"/>
    <n v="0"/>
    <n v="0"/>
    <n v="0"/>
    <x v="2"/>
  </r>
  <r>
    <x v="10"/>
    <x v="1"/>
    <x v="7"/>
    <x v="1"/>
    <x v="31"/>
    <x v="1"/>
    <x v="0"/>
    <n v="1.67"/>
    <n v="7930.4"/>
    <n v="21456.33"/>
    <x v="2"/>
  </r>
  <r>
    <x v="10"/>
    <x v="1"/>
    <x v="7"/>
    <x v="1"/>
    <x v="10"/>
    <x v="1"/>
    <x v="0"/>
    <n v="5.16"/>
    <n v="24503.5"/>
    <n v="65183.53"/>
    <x v="2"/>
  </r>
  <r>
    <x v="10"/>
    <x v="1"/>
    <x v="7"/>
    <x v="1"/>
    <x v="11"/>
    <x v="1"/>
    <x v="0"/>
    <n v="7.2"/>
    <n v="34190.93"/>
    <n v="86807.21"/>
    <x v="2"/>
  </r>
  <r>
    <x v="10"/>
    <x v="1"/>
    <x v="7"/>
    <x v="1"/>
    <x v="12"/>
    <x v="1"/>
    <x v="0"/>
    <n v="2.48"/>
    <n v="11776.88"/>
    <n v="31432.06"/>
    <x v="2"/>
  </r>
  <r>
    <x v="10"/>
    <x v="1"/>
    <x v="7"/>
    <x v="1"/>
    <x v="13"/>
    <x v="1"/>
    <x v="0"/>
    <n v="1.22"/>
    <n v="5793.46"/>
    <n v="15431.97"/>
    <x v="2"/>
  </r>
  <r>
    <x v="10"/>
    <x v="1"/>
    <x v="7"/>
    <x v="1"/>
    <x v="14"/>
    <x v="1"/>
    <x v="0"/>
    <n v="11.39"/>
    <n v="54088.15"/>
    <n v="141093.1"/>
    <x v="2"/>
  </r>
  <r>
    <x v="10"/>
    <x v="1"/>
    <x v="7"/>
    <x v="1"/>
    <x v="15"/>
    <x v="1"/>
    <x v="0"/>
    <n v="4.74"/>
    <n v="22509.03"/>
    <n v="60718.5"/>
    <x v="2"/>
  </r>
  <r>
    <x v="10"/>
    <x v="1"/>
    <x v="7"/>
    <x v="1"/>
    <x v="16"/>
    <x v="1"/>
    <x v="0"/>
    <n v="3.38"/>
    <n v="16050.74"/>
    <n v="41204.01"/>
    <x v="2"/>
  </r>
  <r>
    <x v="10"/>
    <x v="1"/>
    <x v="7"/>
    <x v="1"/>
    <x v="17"/>
    <x v="1"/>
    <x v="0"/>
    <n v="7.87"/>
    <n v="37372.58"/>
    <n v="96825.96"/>
    <x v="2"/>
  </r>
  <r>
    <x v="10"/>
    <x v="1"/>
    <x v="7"/>
    <x v="1"/>
    <x v="18"/>
    <x v="1"/>
    <x v="0"/>
    <n v="8.4600000000000009"/>
    <n v="40174.339999999997"/>
    <n v="108989.07"/>
    <x v="2"/>
  </r>
  <r>
    <x v="10"/>
    <x v="1"/>
    <x v="7"/>
    <x v="1"/>
    <x v="19"/>
    <x v="1"/>
    <x v="0"/>
    <n v="7.53"/>
    <n v="35758.01"/>
    <n v="94072.98"/>
    <x v="2"/>
  </r>
  <r>
    <x v="10"/>
    <x v="1"/>
    <x v="7"/>
    <x v="1"/>
    <x v="20"/>
    <x v="1"/>
    <x v="0"/>
    <n v="15.53"/>
    <n v="73747.929999999993"/>
    <n v="190805.47"/>
    <x v="2"/>
  </r>
  <r>
    <x v="10"/>
    <x v="1"/>
    <x v="7"/>
    <x v="2"/>
    <x v="21"/>
    <x v="1"/>
    <x v="0"/>
    <n v="0"/>
    <n v="0"/>
    <n v="0"/>
    <x v="2"/>
  </r>
  <r>
    <x v="10"/>
    <x v="1"/>
    <x v="7"/>
    <x v="2"/>
    <x v="22"/>
    <x v="1"/>
    <x v="0"/>
    <n v="7.57"/>
    <n v="35947.96"/>
    <n v="85468.73"/>
    <x v="2"/>
  </r>
  <r>
    <x v="10"/>
    <x v="1"/>
    <x v="7"/>
    <x v="2"/>
    <x v="29"/>
    <x v="1"/>
    <x v="0"/>
    <n v="0"/>
    <n v="0"/>
    <n v="0"/>
    <x v="2"/>
  </r>
  <r>
    <x v="10"/>
    <x v="1"/>
    <x v="7"/>
    <x v="2"/>
    <x v="23"/>
    <x v="1"/>
    <x v="0"/>
    <n v="0"/>
    <n v="0"/>
    <n v="0"/>
    <x v="2"/>
  </r>
  <r>
    <x v="10"/>
    <x v="1"/>
    <x v="7"/>
    <x v="2"/>
    <x v="24"/>
    <x v="1"/>
    <x v="0"/>
    <n v="2.13"/>
    <n v="10114.82"/>
    <n v="24507.87"/>
    <x v="2"/>
  </r>
  <r>
    <x v="10"/>
    <x v="1"/>
    <x v="7"/>
    <x v="3"/>
    <x v="25"/>
    <x v="1"/>
    <x v="0"/>
    <n v="9.65"/>
    <n v="45825.34"/>
    <n v="122532.64"/>
    <x v="2"/>
  </r>
  <r>
    <x v="10"/>
    <x v="1"/>
    <x v="7"/>
    <x v="3"/>
    <x v="26"/>
    <x v="1"/>
    <x v="0"/>
    <n v="5.47"/>
    <n v="25975.61"/>
    <n v="69985.210000000006"/>
    <x v="2"/>
  </r>
  <r>
    <x v="10"/>
    <x v="1"/>
    <x v="7"/>
    <x v="3"/>
    <x v="27"/>
    <x v="1"/>
    <x v="0"/>
    <n v="9.86"/>
    <n v="46822.58"/>
    <n v="123698.21"/>
    <x v="2"/>
  </r>
  <r>
    <x v="10"/>
    <x v="1"/>
    <x v="7"/>
    <x v="0"/>
    <x v="0"/>
    <x v="1"/>
    <x v="1"/>
    <n v="12.11"/>
    <n v="57507.24"/>
    <n v="146818.19"/>
    <x v="2"/>
  </r>
  <r>
    <x v="10"/>
    <x v="1"/>
    <x v="7"/>
    <x v="0"/>
    <x v="1"/>
    <x v="1"/>
    <x v="1"/>
    <n v="21.71"/>
    <n v="103095.15"/>
    <n v="258764.23"/>
    <x v="2"/>
  </r>
  <r>
    <x v="10"/>
    <x v="1"/>
    <x v="7"/>
    <x v="0"/>
    <x v="2"/>
    <x v="1"/>
    <x v="1"/>
    <n v="8.42"/>
    <n v="39984.39"/>
    <n v="96879.85"/>
    <x v="2"/>
  </r>
  <r>
    <x v="10"/>
    <x v="1"/>
    <x v="7"/>
    <x v="0"/>
    <x v="3"/>
    <x v="1"/>
    <x v="1"/>
    <n v="22.05"/>
    <n v="104709.72"/>
    <n v="264026.02"/>
    <x v="2"/>
  </r>
  <r>
    <x v="10"/>
    <x v="1"/>
    <x v="7"/>
    <x v="0"/>
    <x v="28"/>
    <x v="1"/>
    <x v="1"/>
    <n v="2.81"/>
    <n v="13343.96"/>
    <n v="34066.31"/>
    <x v="2"/>
  </r>
  <r>
    <x v="10"/>
    <x v="1"/>
    <x v="7"/>
    <x v="0"/>
    <x v="4"/>
    <x v="1"/>
    <x v="1"/>
    <n v="6.03"/>
    <n v="28634.9"/>
    <n v="71545.149999999994"/>
    <x v="2"/>
  </r>
  <r>
    <x v="10"/>
    <x v="1"/>
    <x v="7"/>
    <x v="0"/>
    <x v="5"/>
    <x v="1"/>
    <x v="1"/>
    <n v="13.7"/>
    <n v="65057.74"/>
    <n v="167364.18"/>
    <x v="2"/>
  </r>
  <r>
    <x v="10"/>
    <x v="1"/>
    <x v="7"/>
    <x v="0"/>
    <x v="6"/>
    <x v="1"/>
    <x v="1"/>
    <n v="1.8"/>
    <n v="8547.73"/>
    <n v="21921.69"/>
    <x v="2"/>
  </r>
  <r>
    <x v="10"/>
    <x v="1"/>
    <x v="7"/>
    <x v="0"/>
    <x v="7"/>
    <x v="1"/>
    <x v="1"/>
    <n v="5.18"/>
    <n v="24598.47"/>
    <n v="64180.07"/>
    <x v="2"/>
  </r>
  <r>
    <x v="10"/>
    <x v="1"/>
    <x v="7"/>
    <x v="0"/>
    <x v="8"/>
    <x v="1"/>
    <x v="1"/>
    <n v="3.09"/>
    <n v="14673.61"/>
    <n v="36535.339999999997"/>
    <x v="2"/>
  </r>
  <r>
    <x v="10"/>
    <x v="1"/>
    <x v="7"/>
    <x v="1"/>
    <x v="30"/>
    <x v="1"/>
    <x v="1"/>
    <n v="0"/>
    <n v="0"/>
    <n v="0"/>
    <x v="2"/>
  </r>
  <r>
    <x v="10"/>
    <x v="1"/>
    <x v="7"/>
    <x v="1"/>
    <x v="9"/>
    <x v="1"/>
    <x v="1"/>
    <n v="0.31"/>
    <n v="1472.11"/>
    <n v="3965.79"/>
    <x v="2"/>
  </r>
  <r>
    <x v="10"/>
    <x v="1"/>
    <x v="7"/>
    <x v="1"/>
    <x v="31"/>
    <x v="1"/>
    <x v="1"/>
    <n v="0"/>
    <n v="0"/>
    <n v="0"/>
    <x v="2"/>
  </r>
  <r>
    <x v="10"/>
    <x v="1"/>
    <x v="7"/>
    <x v="1"/>
    <x v="10"/>
    <x v="1"/>
    <x v="1"/>
    <n v="29.76"/>
    <n v="141322.5"/>
    <n v="376234.73"/>
    <x v="2"/>
  </r>
  <r>
    <x v="10"/>
    <x v="1"/>
    <x v="7"/>
    <x v="1"/>
    <x v="11"/>
    <x v="1"/>
    <x v="1"/>
    <n v="23.28"/>
    <n v="110550.67"/>
    <n v="280454.05"/>
    <x v="2"/>
  </r>
  <r>
    <x v="10"/>
    <x v="1"/>
    <x v="7"/>
    <x v="1"/>
    <x v="12"/>
    <x v="1"/>
    <x v="1"/>
    <n v="2.75"/>
    <n v="13059.04"/>
    <n v="34924.519999999997"/>
    <x v="2"/>
  </r>
  <r>
    <x v="10"/>
    <x v="1"/>
    <x v="7"/>
    <x v="1"/>
    <x v="13"/>
    <x v="1"/>
    <x v="1"/>
    <n v="10.220000000000001"/>
    <n v="48532.12"/>
    <n v="128967.17"/>
    <x v="2"/>
  </r>
  <r>
    <x v="10"/>
    <x v="1"/>
    <x v="7"/>
    <x v="1"/>
    <x v="14"/>
    <x v="1"/>
    <x v="1"/>
    <n v="7.71"/>
    <n v="36612.79"/>
    <n v="95476.53"/>
    <x v="2"/>
  </r>
  <r>
    <x v="10"/>
    <x v="1"/>
    <x v="7"/>
    <x v="1"/>
    <x v="15"/>
    <x v="1"/>
    <x v="1"/>
    <n v="2.37"/>
    <n v="11254.51"/>
    <n v="30359.25"/>
    <x v="2"/>
  </r>
  <r>
    <x v="10"/>
    <x v="1"/>
    <x v="7"/>
    <x v="1"/>
    <x v="16"/>
    <x v="1"/>
    <x v="1"/>
    <n v="11.46"/>
    <n v="54420.56"/>
    <n v="139799.31"/>
    <x v="2"/>
  </r>
  <r>
    <x v="10"/>
    <x v="1"/>
    <x v="7"/>
    <x v="1"/>
    <x v="17"/>
    <x v="1"/>
    <x v="1"/>
    <n v="6.49"/>
    <n v="30819.32"/>
    <n v="79937.710000000006"/>
    <x v="2"/>
  </r>
  <r>
    <x v="10"/>
    <x v="1"/>
    <x v="7"/>
    <x v="1"/>
    <x v="18"/>
    <x v="1"/>
    <x v="1"/>
    <n v="28.27"/>
    <n v="134246.88"/>
    <n v="364216.65"/>
    <x v="2"/>
  </r>
  <r>
    <x v="10"/>
    <x v="1"/>
    <x v="7"/>
    <x v="1"/>
    <x v="19"/>
    <x v="1"/>
    <x v="1"/>
    <n v="13.89"/>
    <n v="65960"/>
    <n v="173587.05"/>
    <x v="2"/>
  </r>
  <r>
    <x v="10"/>
    <x v="1"/>
    <x v="7"/>
    <x v="1"/>
    <x v="20"/>
    <x v="1"/>
    <x v="1"/>
    <n v="23.11"/>
    <n v="109743.38"/>
    <n v="283954.59000000003"/>
    <x v="2"/>
  </r>
  <r>
    <x v="10"/>
    <x v="1"/>
    <x v="7"/>
    <x v="2"/>
    <x v="21"/>
    <x v="1"/>
    <x v="1"/>
    <n v="0.65"/>
    <n v="3086.68"/>
    <n v="7285.48"/>
    <x v="2"/>
  </r>
  <r>
    <x v="10"/>
    <x v="1"/>
    <x v="7"/>
    <x v="2"/>
    <x v="22"/>
    <x v="1"/>
    <x v="1"/>
    <n v="17.96"/>
    <n v="85287.37"/>
    <n v="202714.3"/>
    <x v="2"/>
  </r>
  <r>
    <x v="10"/>
    <x v="1"/>
    <x v="7"/>
    <x v="2"/>
    <x v="29"/>
    <x v="1"/>
    <x v="1"/>
    <n v="0.94"/>
    <n v="4463.82"/>
    <n v="11297.99"/>
    <x v="2"/>
  </r>
  <r>
    <x v="10"/>
    <x v="1"/>
    <x v="7"/>
    <x v="2"/>
    <x v="23"/>
    <x v="1"/>
    <x v="1"/>
    <n v="3.14"/>
    <n v="14911.04"/>
    <n v="36907.82"/>
    <x v="2"/>
  </r>
  <r>
    <x v="10"/>
    <x v="1"/>
    <x v="7"/>
    <x v="2"/>
    <x v="24"/>
    <x v="1"/>
    <x v="1"/>
    <n v="4"/>
    <n v="18994.96"/>
    <n v="45952.26"/>
    <x v="2"/>
  </r>
  <r>
    <x v="10"/>
    <x v="1"/>
    <x v="7"/>
    <x v="3"/>
    <x v="25"/>
    <x v="1"/>
    <x v="1"/>
    <n v="8.6999999999999993"/>
    <n v="41314.04"/>
    <n v="110430.65"/>
    <x v="2"/>
  </r>
  <r>
    <x v="10"/>
    <x v="1"/>
    <x v="7"/>
    <x v="3"/>
    <x v="26"/>
    <x v="1"/>
    <x v="1"/>
    <n v="17.03"/>
    <n v="80871.039999999994"/>
    <n v="217857.18"/>
    <x v="2"/>
  </r>
  <r>
    <x v="10"/>
    <x v="1"/>
    <x v="7"/>
    <x v="3"/>
    <x v="27"/>
    <x v="1"/>
    <x v="1"/>
    <n v="28.26"/>
    <n v="134199.39000000001"/>
    <n v="354674.52"/>
    <x v="2"/>
  </r>
  <r>
    <x v="10"/>
    <x v="1"/>
    <x v="8"/>
    <x v="0"/>
    <x v="0"/>
    <x v="0"/>
    <x v="0"/>
    <n v="2.56"/>
    <n v="8617.3700000000008"/>
    <n v="30856.639999999999"/>
    <x v="2"/>
  </r>
  <r>
    <x v="10"/>
    <x v="1"/>
    <x v="8"/>
    <x v="0"/>
    <x v="1"/>
    <x v="0"/>
    <x v="0"/>
    <n v="10.02"/>
    <n v="33728.92"/>
    <n v="121029.24"/>
    <x v="2"/>
  </r>
  <r>
    <x v="10"/>
    <x v="1"/>
    <x v="8"/>
    <x v="0"/>
    <x v="2"/>
    <x v="0"/>
    <x v="0"/>
    <n v="0"/>
    <n v="0"/>
    <n v="0"/>
    <x v="2"/>
  </r>
  <r>
    <x v="10"/>
    <x v="1"/>
    <x v="8"/>
    <x v="0"/>
    <x v="3"/>
    <x v="0"/>
    <x v="0"/>
    <n v="2.99"/>
    <n v="10064.82"/>
    <n v="36114.78"/>
    <x v="2"/>
  </r>
  <r>
    <x v="10"/>
    <x v="1"/>
    <x v="8"/>
    <x v="0"/>
    <x v="4"/>
    <x v="0"/>
    <x v="0"/>
    <n v="0"/>
    <n v="0"/>
    <n v="0"/>
    <x v="2"/>
  </r>
  <r>
    <x v="10"/>
    <x v="1"/>
    <x v="8"/>
    <x v="0"/>
    <x v="5"/>
    <x v="0"/>
    <x v="0"/>
    <n v="0"/>
    <n v="0"/>
    <n v="0"/>
    <x v="2"/>
  </r>
  <r>
    <x v="10"/>
    <x v="1"/>
    <x v="8"/>
    <x v="0"/>
    <x v="6"/>
    <x v="0"/>
    <x v="0"/>
    <n v="0"/>
    <n v="0"/>
    <n v="0"/>
    <x v="2"/>
  </r>
  <r>
    <x v="10"/>
    <x v="1"/>
    <x v="8"/>
    <x v="0"/>
    <x v="8"/>
    <x v="0"/>
    <x v="0"/>
    <n v="0"/>
    <n v="0"/>
    <n v="0"/>
    <x v="2"/>
  </r>
  <r>
    <x v="10"/>
    <x v="1"/>
    <x v="8"/>
    <x v="1"/>
    <x v="10"/>
    <x v="0"/>
    <x v="0"/>
    <n v="1.7"/>
    <n v="5722.47"/>
    <n v="20495.47"/>
    <x v="2"/>
  </r>
  <r>
    <x v="10"/>
    <x v="1"/>
    <x v="8"/>
    <x v="1"/>
    <x v="11"/>
    <x v="0"/>
    <x v="0"/>
    <n v="0"/>
    <n v="0"/>
    <n v="0"/>
    <x v="2"/>
  </r>
  <r>
    <x v="10"/>
    <x v="1"/>
    <x v="8"/>
    <x v="1"/>
    <x v="13"/>
    <x v="0"/>
    <x v="0"/>
    <n v="0"/>
    <n v="0"/>
    <n v="0"/>
    <x v="2"/>
  </r>
  <r>
    <x v="10"/>
    <x v="1"/>
    <x v="8"/>
    <x v="1"/>
    <x v="14"/>
    <x v="0"/>
    <x v="0"/>
    <n v="0"/>
    <n v="0"/>
    <n v="0"/>
    <x v="2"/>
  </r>
  <r>
    <x v="10"/>
    <x v="1"/>
    <x v="8"/>
    <x v="1"/>
    <x v="16"/>
    <x v="0"/>
    <x v="0"/>
    <n v="0"/>
    <n v="0"/>
    <n v="0"/>
    <x v="2"/>
  </r>
  <r>
    <x v="10"/>
    <x v="1"/>
    <x v="8"/>
    <x v="1"/>
    <x v="17"/>
    <x v="0"/>
    <x v="0"/>
    <n v="0"/>
    <n v="0"/>
    <n v="0"/>
    <x v="2"/>
  </r>
  <r>
    <x v="10"/>
    <x v="1"/>
    <x v="8"/>
    <x v="1"/>
    <x v="18"/>
    <x v="0"/>
    <x v="0"/>
    <n v="0"/>
    <n v="0"/>
    <n v="0"/>
    <x v="2"/>
  </r>
  <r>
    <x v="10"/>
    <x v="1"/>
    <x v="8"/>
    <x v="1"/>
    <x v="19"/>
    <x v="0"/>
    <x v="0"/>
    <n v="0"/>
    <n v="0"/>
    <n v="0"/>
    <x v="2"/>
  </r>
  <r>
    <x v="10"/>
    <x v="1"/>
    <x v="8"/>
    <x v="1"/>
    <x v="20"/>
    <x v="0"/>
    <x v="0"/>
    <n v="3.52"/>
    <n v="11848.88"/>
    <n v="42481.5"/>
    <x v="2"/>
  </r>
  <r>
    <x v="10"/>
    <x v="1"/>
    <x v="8"/>
    <x v="2"/>
    <x v="21"/>
    <x v="0"/>
    <x v="0"/>
    <n v="3.39"/>
    <n v="11411.28"/>
    <n v="40922.07"/>
    <x v="2"/>
  </r>
  <r>
    <x v="10"/>
    <x v="1"/>
    <x v="8"/>
    <x v="2"/>
    <x v="22"/>
    <x v="0"/>
    <x v="0"/>
    <n v="0"/>
    <n v="0"/>
    <n v="0"/>
    <x v="2"/>
  </r>
  <r>
    <x v="10"/>
    <x v="1"/>
    <x v="8"/>
    <x v="2"/>
    <x v="29"/>
    <x v="0"/>
    <x v="0"/>
    <n v="0"/>
    <n v="0"/>
    <n v="0"/>
    <x v="2"/>
  </r>
  <r>
    <x v="10"/>
    <x v="1"/>
    <x v="8"/>
    <x v="2"/>
    <x v="24"/>
    <x v="0"/>
    <x v="0"/>
    <n v="0"/>
    <n v="0"/>
    <n v="0"/>
    <x v="2"/>
  </r>
  <r>
    <x v="10"/>
    <x v="1"/>
    <x v="8"/>
    <x v="3"/>
    <x v="25"/>
    <x v="0"/>
    <x v="0"/>
    <n v="0"/>
    <n v="0"/>
    <n v="0"/>
    <x v="2"/>
  </r>
  <r>
    <x v="10"/>
    <x v="1"/>
    <x v="8"/>
    <x v="3"/>
    <x v="26"/>
    <x v="0"/>
    <x v="0"/>
    <n v="3.47"/>
    <n v="11680.58"/>
    <n v="41848.720000000001"/>
    <x v="2"/>
  </r>
  <r>
    <x v="10"/>
    <x v="1"/>
    <x v="8"/>
    <x v="3"/>
    <x v="27"/>
    <x v="0"/>
    <x v="0"/>
    <n v="2.95"/>
    <n v="9930.17"/>
    <n v="35598.519999999997"/>
    <x v="2"/>
  </r>
  <r>
    <x v="10"/>
    <x v="1"/>
    <x v="8"/>
    <x v="0"/>
    <x v="0"/>
    <x v="0"/>
    <x v="1"/>
    <n v="2.2599999999999998"/>
    <n v="7607.52"/>
    <n v="27296.26"/>
    <x v="2"/>
  </r>
  <r>
    <x v="10"/>
    <x v="1"/>
    <x v="8"/>
    <x v="0"/>
    <x v="1"/>
    <x v="0"/>
    <x v="1"/>
    <n v="11.58"/>
    <n v="38980.129999999997"/>
    <n v="139872.12"/>
    <x v="2"/>
  </r>
  <r>
    <x v="10"/>
    <x v="1"/>
    <x v="8"/>
    <x v="0"/>
    <x v="2"/>
    <x v="0"/>
    <x v="1"/>
    <n v="5.2"/>
    <n v="17504.03"/>
    <n v="62764.98"/>
    <x v="2"/>
  </r>
  <r>
    <x v="10"/>
    <x v="1"/>
    <x v="8"/>
    <x v="0"/>
    <x v="3"/>
    <x v="0"/>
    <x v="1"/>
    <n v="9.65"/>
    <n v="32483.439999999999"/>
    <n v="116499.31"/>
    <x v="2"/>
  </r>
  <r>
    <x v="10"/>
    <x v="1"/>
    <x v="8"/>
    <x v="0"/>
    <x v="4"/>
    <x v="0"/>
    <x v="1"/>
    <n v="2.95"/>
    <n v="9930.17"/>
    <n v="35636.36"/>
    <x v="2"/>
  </r>
  <r>
    <x v="10"/>
    <x v="1"/>
    <x v="8"/>
    <x v="0"/>
    <x v="5"/>
    <x v="0"/>
    <x v="1"/>
    <n v="4.84"/>
    <n v="16292.21"/>
    <n v="58438.84"/>
    <x v="2"/>
  </r>
  <r>
    <x v="10"/>
    <x v="1"/>
    <x v="8"/>
    <x v="0"/>
    <x v="6"/>
    <x v="0"/>
    <x v="1"/>
    <n v="0"/>
    <n v="0"/>
    <n v="0"/>
    <x v="2"/>
  </r>
  <r>
    <x v="10"/>
    <x v="1"/>
    <x v="8"/>
    <x v="0"/>
    <x v="8"/>
    <x v="0"/>
    <x v="1"/>
    <n v="3.74"/>
    <n v="12589.44"/>
    <n v="45225.3"/>
    <x v="2"/>
  </r>
  <r>
    <x v="10"/>
    <x v="1"/>
    <x v="8"/>
    <x v="1"/>
    <x v="10"/>
    <x v="0"/>
    <x v="1"/>
    <n v="5.75"/>
    <n v="19355.419999999998"/>
    <n v="69456.86"/>
    <x v="2"/>
  </r>
  <r>
    <x v="10"/>
    <x v="1"/>
    <x v="8"/>
    <x v="1"/>
    <x v="11"/>
    <x v="0"/>
    <x v="1"/>
    <n v="14.59"/>
    <n v="49112.27"/>
    <n v="176220.86"/>
    <x v="2"/>
  </r>
  <r>
    <x v="10"/>
    <x v="1"/>
    <x v="8"/>
    <x v="1"/>
    <x v="13"/>
    <x v="0"/>
    <x v="1"/>
    <n v="6.29"/>
    <n v="21173.15"/>
    <n v="75912.399999999994"/>
    <x v="2"/>
  </r>
  <r>
    <x v="10"/>
    <x v="1"/>
    <x v="8"/>
    <x v="1"/>
    <x v="14"/>
    <x v="0"/>
    <x v="1"/>
    <n v="2.81"/>
    <n v="9458.91"/>
    <n v="33878.589999999997"/>
    <x v="2"/>
  </r>
  <r>
    <x v="10"/>
    <x v="1"/>
    <x v="8"/>
    <x v="1"/>
    <x v="16"/>
    <x v="0"/>
    <x v="1"/>
    <n v="2.85"/>
    <n v="9593.56"/>
    <n v="34373.42"/>
    <x v="2"/>
  </r>
  <r>
    <x v="10"/>
    <x v="1"/>
    <x v="8"/>
    <x v="1"/>
    <x v="17"/>
    <x v="0"/>
    <x v="1"/>
    <n v="2.58"/>
    <n v="8684.69"/>
    <n v="31141.759999999998"/>
    <x v="2"/>
  </r>
  <r>
    <x v="10"/>
    <x v="1"/>
    <x v="8"/>
    <x v="1"/>
    <x v="18"/>
    <x v="0"/>
    <x v="1"/>
    <n v="17.350000000000001"/>
    <n v="58402.879999999997"/>
    <n v="209546.29"/>
    <x v="2"/>
  </r>
  <r>
    <x v="10"/>
    <x v="1"/>
    <x v="8"/>
    <x v="1"/>
    <x v="19"/>
    <x v="0"/>
    <x v="1"/>
    <n v="4.7699999999999996"/>
    <n v="16056.58"/>
    <n v="57654.75"/>
    <x v="2"/>
  </r>
  <r>
    <x v="10"/>
    <x v="1"/>
    <x v="8"/>
    <x v="1"/>
    <x v="20"/>
    <x v="0"/>
    <x v="1"/>
    <n v="15.4"/>
    <n v="51838.86"/>
    <n v="186000.09"/>
    <x v="2"/>
  </r>
  <r>
    <x v="10"/>
    <x v="1"/>
    <x v="8"/>
    <x v="2"/>
    <x v="21"/>
    <x v="0"/>
    <x v="1"/>
    <n v="0"/>
    <n v="0"/>
    <n v="0"/>
    <x v="2"/>
  </r>
  <r>
    <x v="10"/>
    <x v="1"/>
    <x v="8"/>
    <x v="2"/>
    <x v="22"/>
    <x v="0"/>
    <x v="1"/>
    <n v="5.93"/>
    <n v="19961.330000000002"/>
    <n v="71586.17"/>
    <x v="2"/>
  </r>
  <r>
    <x v="10"/>
    <x v="1"/>
    <x v="8"/>
    <x v="2"/>
    <x v="29"/>
    <x v="0"/>
    <x v="1"/>
    <n v="2.74"/>
    <n v="9223.2800000000007"/>
    <n v="33145.370000000003"/>
    <x v="2"/>
  </r>
  <r>
    <x v="10"/>
    <x v="1"/>
    <x v="8"/>
    <x v="2"/>
    <x v="24"/>
    <x v="0"/>
    <x v="1"/>
    <n v="4.1500000000000004"/>
    <n v="13969.56"/>
    <n v="50145.65"/>
    <x v="2"/>
  </r>
  <r>
    <x v="10"/>
    <x v="1"/>
    <x v="8"/>
    <x v="3"/>
    <x v="25"/>
    <x v="0"/>
    <x v="1"/>
    <n v="3.86"/>
    <n v="12993.38"/>
    <n v="46617.98"/>
    <x v="2"/>
  </r>
  <r>
    <x v="10"/>
    <x v="1"/>
    <x v="8"/>
    <x v="3"/>
    <x v="26"/>
    <x v="0"/>
    <x v="1"/>
    <n v="3.36"/>
    <n v="11310.3"/>
    <n v="40617.879999999997"/>
    <x v="2"/>
  </r>
  <r>
    <x v="10"/>
    <x v="1"/>
    <x v="8"/>
    <x v="3"/>
    <x v="27"/>
    <x v="0"/>
    <x v="1"/>
    <n v="10.55"/>
    <n v="35512.99"/>
    <n v="127465.66"/>
    <x v="2"/>
  </r>
  <r>
    <x v="10"/>
    <x v="1"/>
    <x v="8"/>
    <x v="0"/>
    <x v="0"/>
    <x v="1"/>
    <x v="0"/>
    <n v="5.61"/>
    <n v="18884.16"/>
    <n v="44271.58"/>
    <x v="2"/>
  </r>
  <r>
    <x v="10"/>
    <x v="1"/>
    <x v="8"/>
    <x v="0"/>
    <x v="1"/>
    <x v="1"/>
    <x v="0"/>
    <n v="16.079999999999998"/>
    <n v="54127.85"/>
    <n v="124836.6"/>
    <x v="2"/>
  </r>
  <r>
    <x v="10"/>
    <x v="1"/>
    <x v="8"/>
    <x v="0"/>
    <x v="2"/>
    <x v="1"/>
    <x v="0"/>
    <n v="7.74"/>
    <n v="26054.080000000002"/>
    <n v="58025.35"/>
    <x v="2"/>
  </r>
  <r>
    <x v="10"/>
    <x v="1"/>
    <x v="8"/>
    <x v="0"/>
    <x v="3"/>
    <x v="1"/>
    <x v="0"/>
    <n v="15.89"/>
    <n v="53488.28"/>
    <n v="123935.03"/>
    <x v="2"/>
  </r>
  <r>
    <x v="10"/>
    <x v="1"/>
    <x v="8"/>
    <x v="0"/>
    <x v="28"/>
    <x v="1"/>
    <x v="0"/>
    <n v="0"/>
    <n v="0"/>
    <n v="0"/>
    <x v="2"/>
  </r>
  <r>
    <x v="10"/>
    <x v="1"/>
    <x v="8"/>
    <x v="0"/>
    <x v="4"/>
    <x v="1"/>
    <x v="0"/>
    <n v="11.49"/>
    <n v="38677.18"/>
    <n v="88776.66"/>
    <x v="2"/>
  </r>
  <r>
    <x v="10"/>
    <x v="1"/>
    <x v="8"/>
    <x v="0"/>
    <x v="5"/>
    <x v="1"/>
    <x v="0"/>
    <n v="2.4700000000000002"/>
    <n v="8314.42"/>
    <n v="19665.37"/>
    <x v="2"/>
  </r>
  <r>
    <x v="10"/>
    <x v="1"/>
    <x v="8"/>
    <x v="0"/>
    <x v="6"/>
    <x v="1"/>
    <x v="0"/>
    <n v="0"/>
    <n v="0"/>
    <n v="0"/>
    <x v="2"/>
  </r>
  <r>
    <x v="10"/>
    <x v="1"/>
    <x v="8"/>
    <x v="0"/>
    <x v="7"/>
    <x v="1"/>
    <x v="0"/>
    <n v="0"/>
    <n v="0"/>
    <n v="0"/>
    <x v="2"/>
  </r>
  <r>
    <x v="10"/>
    <x v="1"/>
    <x v="8"/>
    <x v="0"/>
    <x v="8"/>
    <x v="1"/>
    <x v="0"/>
    <n v="0"/>
    <n v="0"/>
    <n v="0"/>
    <x v="2"/>
  </r>
  <r>
    <x v="10"/>
    <x v="1"/>
    <x v="8"/>
    <x v="1"/>
    <x v="30"/>
    <x v="1"/>
    <x v="0"/>
    <n v="3.81"/>
    <n v="12825.07"/>
    <n v="31662.6"/>
    <x v="2"/>
  </r>
  <r>
    <x v="10"/>
    <x v="1"/>
    <x v="8"/>
    <x v="1"/>
    <x v="9"/>
    <x v="1"/>
    <x v="0"/>
    <n v="0"/>
    <n v="0"/>
    <n v="0"/>
    <x v="2"/>
  </r>
  <r>
    <x v="10"/>
    <x v="1"/>
    <x v="8"/>
    <x v="1"/>
    <x v="31"/>
    <x v="1"/>
    <x v="0"/>
    <n v="2.21"/>
    <n v="7439.21"/>
    <n v="18547.830000000002"/>
    <x v="2"/>
  </r>
  <r>
    <x v="10"/>
    <x v="1"/>
    <x v="8"/>
    <x v="1"/>
    <x v="10"/>
    <x v="1"/>
    <x v="0"/>
    <n v="15.94"/>
    <n v="53656.59"/>
    <n v="131246.24"/>
    <x v="2"/>
  </r>
  <r>
    <x v="10"/>
    <x v="1"/>
    <x v="8"/>
    <x v="1"/>
    <x v="11"/>
    <x v="1"/>
    <x v="0"/>
    <n v="7.82"/>
    <n v="26323.37"/>
    <n v="61378.94"/>
    <x v="2"/>
  </r>
  <r>
    <x v="10"/>
    <x v="1"/>
    <x v="8"/>
    <x v="1"/>
    <x v="12"/>
    <x v="1"/>
    <x v="0"/>
    <n v="2.2400000000000002"/>
    <n v="7540.2"/>
    <n v="18478.849999999999"/>
    <x v="2"/>
  </r>
  <r>
    <x v="10"/>
    <x v="1"/>
    <x v="8"/>
    <x v="1"/>
    <x v="13"/>
    <x v="1"/>
    <x v="0"/>
    <n v="4.17"/>
    <n v="14036.89"/>
    <n v="34293.519999999997"/>
    <x v="2"/>
  </r>
  <r>
    <x v="10"/>
    <x v="1"/>
    <x v="8"/>
    <x v="1"/>
    <x v="14"/>
    <x v="1"/>
    <x v="0"/>
    <n v="13.49"/>
    <n v="45409.5"/>
    <n v="108819.67"/>
    <x v="2"/>
  </r>
  <r>
    <x v="10"/>
    <x v="1"/>
    <x v="8"/>
    <x v="1"/>
    <x v="15"/>
    <x v="1"/>
    <x v="0"/>
    <n v="2.2200000000000002"/>
    <n v="7472.88"/>
    <n v="18497.32"/>
    <x v="2"/>
  </r>
  <r>
    <x v="10"/>
    <x v="1"/>
    <x v="8"/>
    <x v="1"/>
    <x v="16"/>
    <x v="1"/>
    <x v="0"/>
    <n v="9.08"/>
    <n v="30564.73"/>
    <n v="72184.72"/>
    <x v="2"/>
  </r>
  <r>
    <x v="10"/>
    <x v="1"/>
    <x v="8"/>
    <x v="1"/>
    <x v="17"/>
    <x v="1"/>
    <x v="0"/>
    <n v="8.73"/>
    <n v="29386.58"/>
    <n v="70011.09"/>
    <x v="2"/>
  </r>
  <r>
    <x v="10"/>
    <x v="1"/>
    <x v="8"/>
    <x v="1"/>
    <x v="18"/>
    <x v="1"/>
    <x v="0"/>
    <n v="12.13"/>
    <n v="40831.519999999997"/>
    <n v="101795.19"/>
    <x v="2"/>
  </r>
  <r>
    <x v="10"/>
    <x v="1"/>
    <x v="8"/>
    <x v="1"/>
    <x v="19"/>
    <x v="1"/>
    <x v="0"/>
    <n v="10.220000000000001"/>
    <n v="34402.160000000003"/>
    <n v="83150.600000000006"/>
    <x v="2"/>
  </r>
  <r>
    <x v="10"/>
    <x v="1"/>
    <x v="8"/>
    <x v="1"/>
    <x v="20"/>
    <x v="1"/>
    <x v="0"/>
    <n v="14.44"/>
    <n v="48607.35"/>
    <n v="115656.42"/>
    <x v="2"/>
  </r>
  <r>
    <x v="10"/>
    <x v="1"/>
    <x v="8"/>
    <x v="2"/>
    <x v="21"/>
    <x v="1"/>
    <x v="0"/>
    <n v="0"/>
    <n v="0"/>
    <n v="0"/>
    <x v="2"/>
  </r>
  <r>
    <x v="10"/>
    <x v="1"/>
    <x v="8"/>
    <x v="2"/>
    <x v="22"/>
    <x v="1"/>
    <x v="0"/>
    <n v="15.53"/>
    <n v="52276.46"/>
    <n v="114232.57"/>
    <x v="2"/>
  </r>
  <r>
    <x v="10"/>
    <x v="1"/>
    <x v="8"/>
    <x v="2"/>
    <x v="29"/>
    <x v="1"/>
    <x v="0"/>
    <n v="0"/>
    <n v="0"/>
    <n v="0"/>
    <x v="2"/>
  </r>
  <r>
    <x v="10"/>
    <x v="1"/>
    <x v="8"/>
    <x v="2"/>
    <x v="23"/>
    <x v="1"/>
    <x v="0"/>
    <n v="0"/>
    <n v="0"/>
    <n v="0"/>
    <x v="2"/>
  </r>
  <r>
    <x v="10"/>
    <x v="1"/>
    <x v="8"/>
    <x v="2"/>
    <x v="24"/>
    <x v="1"/>
    <x v="0"/>
    <n v="2.2200000000000002"/>
    <n v="7472.88"/>
    <n v="16633.41"/>
    <x v="2"/>
  </r>
  <r>
    <x v="10"/>
    <x v="1"/>
    <x v="8"/>
    <x v="3"/>
    <x v="25"/>
    <x v="1"/>
    <x v="0"/>
    <n v="10.19"/>
    <n v="34301.17"/>
    <n v="84313.29"/>
    <x v="2"/>
  </r>
  <r>
    <x v="10"/>
    <x v="1"/>
    <x v="8"/>
    <x v="3"/>
    <x v="26"/>
    <x v="1"/>
    <x v="0"/>
    <n v="9.0299999999999994"/>
    <n v="30396.42"/>
    <n v="75267.53"/>
    <x v="2"/>
  </r>
  <r>
    <x v="10"/>
    <x v="1"/>
    <x v="8"/>
    <x v="3"/>
    <x v="27"/>
    <x v="1"/>
    <x v="0"/>
    <n v="14.24"/>
    <n v="47934.12"/>
    <n v="116442.84"/>
    <x v="2"/>
  </r>
  <r>
    <x v="10"/>
    <x v="1"/>
    <x v="8"/>
    <x v="0"/>
    <x v="0"/>
    <x v="1"/>
    <x v="1"/>
    <n v="9.31"/>
    <n v="31338.95"/>
    <n v="73558.94"/>
    <x v="2"/>
  </r>
  <r>
    <x v="10"/>
    <x v="1"/>
    <x v="8"/>
    <x v="0"/>
    <x v="1"/>
    <x v="1"/>
    <x v="1"/>
    <n v="21.38"/>
    <n v="71968.5"/>
    <n v="166044.79999999999"/>
    <x v="2"/>
  </r>
  <r>
    <x v="10"/>
    <x v="1"/>
    <x v="8"/>
    <x v="0"/>
    <x v="2"/>
    <x v="1"/>
    <x v="1"/>
    <n v="15.3"/>
    <n v="51502.25"/>
    <n v="114761.24"/>
    <x v="2"/>
  </r>
  <r>
    <x v="10"/>
    <x v="1"/>
    <x v="8"/>
    <x v="0"/>
    <x v="3"/>
    <x v="1"/>
    <x v="1"/>
    <n v="37.909999999999997"/>
    <n v="127611.13"/>
    <n v="295754.05"/>
    <x v="2"/>
  </r>
  <r>
    <x v="10"/>
    <x v="1"/>
    <x v="8"/>
    <x v="0"/>
    <x v="28"/>
    <x v="1"/>
    <x v="1"/>
    <n v="1.92"/>
    <n v="6463.03"/>
    <n v="15175.91"/>
    <x v="2"/>
  </r>
  <r>
    <x v="10"/>
    <x v="1"/>
    <x v="8"/>
    <x v="0"/>
    <x v="4"/>
    <x v="1"/>
    <x v="1"/>
    <n v="11.49"/>
    <n v="38677.18"/>
    <n v="88776.66"/>
    <x v="2"/>
  </r>
  <r>
    <x v="10"/>
    <x v="1"/>
    <x v="8"/>
    <x v="0"/>
    <x v="5"/>
    <x v="1"/>
    <x v="1"/>
    <n v="26.84"/>
    <n v="90347.73"/>
    <n v="213606.64"/>
    <x v="2"/>
  </r>
  <r>
    <x v="10"/>
    <x v="1"/>
    <x v="8"/>
    <x v="0"/>
    <x v="6"/>
    <x v="1"/>
    <x v="1"/>
    <n v="3.23"/>
    <n v="10872.7"/>
    <n v="25641.8"/>
    <x v="2"/>
  </r>
  <r>
    <x v="10"/>
    <x v="1"/>
    <x v="8"/>
    <x v="0"/>
    <x v="7"/>
    <x v="1"/>
    <x v="1"/>
    <n v="3.72"/>
    <n v="12522.12"/>
    <n v="30031.11"/>
    <x v="2"/>
  </r>
  <r>
    <x v="10"/>
    <x v="1"/>
    <x v="8"/>
    <x v="0"/>
    <x v="8"/>
    <x v="1"/>
    <x v="1"/>
    <n v="5.84"/>
    <n v="19658.37"/>
    <n v="44891.25"/>
    <x v="2"/>
  </r>
  <r>
    <x v="10"/>
    <x v="1"/>
    <x v="8"/>
    <x v="1"/>
    <x v="30"/>
    <x v="1"/>
    <x v="1"/>
    <n v="0"/>
    <n v="0"/>
    <n v="0"/>
    <x v="2"/>
  </r>
  <r>
    <x v="10"/>
    <x v="1"/>
    <x v="8"/>
    <x v="1"/>
    <x v="9"/>
    <x v="1"/>
    <x v="1"/>
    <n v="10.68"/>
    <n v="35950.589999999997"/>
    <n v="88696.83"/>
    <x v="2"/>
  </r>
  <r>
    <x v="10"/>
    <x v="1"/>
    <x v="8"/>
    <x v="1"/>
    <x v="31"/>
    <x v="1"/>
    <x v="1"/>
    <n v="0"/>
    <n v="0"/>
    <n v="0"/>
    <x v="2"/>
  </r>
  <r>
    <x v="10"/>
    <x v="1"/>
    <x v="8"/>
    <x v="1"/>
    <x v="10"/>
    <x v="1"/>
    <x v="1"/>
    <n v="35.46"/>
    <n v="119364.03"/>
    <n v="292058.93"/>
    <x v="2"/>
  </r>
  <r>
    <x v="10"/>
    <x v="1"/>
    <x v="8"/>
    <x v="1"/>
    <x v="11"/>
    <x v="1"/>
    <x v="1"/>
    <n v="33.1"/>
    <n v="111419.9"/>
    <n v="259837.5"/>
    <x v="2"/>
  </r>
  <r>
    <x v="10"/>
    <x v="1"/>
    <x v="8"/>
    <x v="1"/>
    <x v="12"/>
    <x v="1"/>
    <x v="1"/>
    <n v="4.03"/>
    <n v="13565.62"/>
    <n v="33261.93"/>
    <x v="2"/>
  </r>
  <r>
    <x v="10"/>
    <x v="1"/>
    <x v="8"/>
    <x v="1"/>
    <x v="13"/>
    <x v="1"/>
    <x v="1"/>
    <n v="18.760000000000002"/>
    <n v="63149.16"/>
    <n v="154320.85"/>
    <x v="2"/>
  </r>
  <r>
    <x v="10"/>
    <x v="1"/>
    <x v="8"/>
    <x v="1"/>
    <x v="14"/>
    <x v="1"/>
    <x v="1"/>
    <n v="7.55"/>
    <n v="25414.51"/>
    <n v="60915.360000000001"/>
    <x v="2"/>
  </r>
  <r>
    <x v="10"/>
    <x v="1"/>
    <x v="8"/>
    <x v="1"/>
    <x v="15"/>
    <x v="1"/>
    <x v="1"/>
    <n v="2.14"/>
    <n v="7203.58"/>
    <n v="17836.7"/>
    <x v="2"/>
  </r>
  <r>
    <x v="10"/>
    <x v="1"/>
    <x v="8"/>
    <x v="1"/>
    <x v="16"/>
    <x v="1"/>
    <x v="1"/>
    <n v="10.87"/>
    <n v="36590.160000000003"/>
    <n v="86338.58"/>
    <x v="2"/>
  </r>
  <r>
    <x v="10"/>
    <x v="1"/>
    <x v="8"/>
    <x v="1"/>
    <x v="17"/>
    <x v="1"/>
    <x v="1"/>
    <n v="7.74"/>
    <n v="26054.080000000002"/>
    <n v="62071.69"/>
    <x v="2"/>
  </r>
  <r>
    <x v="10"/>
    <x v="1"/>
    <x v="8"/>
    <x v="1"/>
    <x v="18"/>
    <x v="1"/>
    <x v="1"/>
    <n v="46.85"/>
    <n v="157704.6"/>
    <n v="393250.9"/>
    <x v="2"/>
  </r>
  <r>
    <x v="10"/>
    <x v="1"/>
    <x v="8"/>
    <x v="1"/>
    <x v="19"/>
    <x v="1"/>
    <x v="1"/>
    <n v="16.260000000000002"/>
    <n v="54733.760000000002"/>
    <n v="132317.92000000001"/>
    <x v="2"/>
  </r>
  <r>
    <x v="10"/>
    <x v="1"/>
    <x v="8"/>
    <x v="1"/>
    <x v="20"/>
    <x v="1"/>
    <x v="1"/>
    <n v="26.89"/>
    <n v="90516.04"/>
    <n v="215288.16"/>
    <x v="2"/>
  </r>
  <r>
    <x v="10"/>
    <x v="1"/>
    <x v="8"/>
    <x v="2"/>
    <x v="21"/>
    <x v="1"/>
    <x v="1"/>
    <n v="3.38"/>
    <n v="11377.62"/>
    <n v="24823.77"/>
    <x v="2"/>
  </r>
  <r>
    <x v="10"/>
    <x v="1"/>
    <x v="8"/>
    <x v="2"/>
    <x v="22"/>
    <x v="1"/>
    <x v="1"/>
    <n v="31.2"/>
    <n v="105024.19"/>
    <n v="229494.27"/>
    <x v="2"/>
  </r>
  <r>
    <x v="10"/>
    <x v="1"/>
    <x v="8"/>
    <x v="2"/>
    <x v="29"/>
    <x v="1"/>
    <x v="1"/>
    <n v="5.59"/>
    <n v="18816.830000000002"/>
    <n v="43665.71"/>
    <x v="2"/>
  </r>
  <r>
    <x v="10"/>
    <x v="1"/>
    <x v="8"/>
    <x v="2"/>
    <x v="23"/>
    <x v="1"/>
    <x v="1"/>
    <n v="2.0499999999999998"/>
    <n v="6900.63"/>
    <n v="15709.88"/>
    <x v="2"/>
  </r>
  <r>
    <x v="10"/>
    <x v="1"/>
    <x v="8"/>
    <x v="2"/>
    <x v="24"/>
    <x v="1"/>
    <x v="1"/>
    <n v="3.59"/>
    <n v="12084.51"/>
    <n v="26869.35"/>
    <x v="2"/>
  </r>
  <r>
    <x v="10"/>
    <x v="1"/>
    <x v="8"/>
    <x v="3"/>
    <x v="25"/>
    <x v="1"/>
    <x v="1"/>
    <n v="10.37"/>
    <n v="34907.08"/>
    <n v="85805.56"/>
    <x v="2"/>
  </r>
  <r>
    <x v="10"/>
    <x v="1"/>
    <x v="8"/>
    <x v="3"/>
    <x v="26"/>
    <x v="1"/>
    <x v="1"/>
    <n v="23.31"/>
    <n v="78465.19"/>
    <n v="194261.9"/>
    <x v="2"/>
  </r>
  <r>
    <x v="10"/>
    <x v="1"/>
    <x v="8"/>
    <x v="3"/>
    <x v="27"/>
    <x v="1"/>
    <x v="1"/>
    <n v="45.29"/>
    <n v="152453.39000000001"/>
    <n v="370302.71"/>
    <x v="2"/>
  </r>
  <r>
    <x v="10"/>
    <x v="1"/>
    <x v="9"/>
    <x v="0"/>
    <x v="0"/>
    <x v="0"/>
    <x v="0"/>
    <n v="1.31"/>
    <n v="3536.75"/>
    <n v="12317.33"/>
    <x v="2"/>
  </r>
  <r>
    <x v="10"/>
    <x v="1"/>
    <x v="9"/>
    <x v="0"/>
    <x v="1"/>
    <x v="0"/>
    <x v="0"/>
    <n v="3.97"/>
    <n v="10718.25"/>
    <n v="37242.46"/>
    <x v="2"/>
  </r>
  <r>
    <x v="10"/>
    <x v="1"/>
    <x v="9"/>
    <x v="0"/>
    <x v="2"/>
    <x v="0"/>
    <x v="0"/>
    <n v="0"/>
    <n v="0"/>
    <n v="0"/>
    <x v="2"/>
  </r>
  <r>
    <x v="10"/>
    <x v="1"/>
    <x v="9"/>
    <x v="0"/>
    <x v="3"/>
    <x v="0"/>
    <x v="0"/>
    <n v="2.74"/>
    <n v="7397.48"/>
    <n v="25673.759999999998"/>
    <x v="2"/>
  </r>
  <r>
    <x v="10"/>
    <x v="1"/>
    <x v="9"/>
    <x v="0"/>
    <x v="4"/>
    <x v="0"/>
    <x v="0"/>
    <n v="0"/>
    <n v="0"/>
    <n v="0"/>
    <x v="2"/>
  </r>
  <r>
    <x v="10"/>
    <x v="1"/>
    <x v="9"/>
    <x v="0"/>
    <x v="5"/>
    <x v="0"/>
    <x v="0"/>
    <n v="0"/>
    <n v="0"/>
    <n v="0"/>
    <x v="2"/>
  </r>
  <r>
    <x v="10"/>
    <x v="1"/>
    <x v="9"/>
    <x v="0"/>
    <x v="6"/>
    <x v="0"/>
    <x v="0"/>
    <n v="0"/>
    <n v="0"/>
    <n v="0"/>
    <x v="2"/>
  </r>
  <r>
    <x v="10"/>
    <x v="1"/>
    <x v="9"/>
    <x v="0"/>
    <x v="8"/>
    <x v="0"/>
    <x v="0"/>
    <n v="0"/>
    <n v="0"/>
    <n v="0"/>
    <x v="2"/>
  </r>
  <r>
    <x v="10"/>
    <x v="1"/>
    <x v="9"/>
    <x v="1"/>
    <x v="10"/>
    <x v="0"/>
    <x v="0"/>
    <n v="1.76"/>
    <n v="4751.67"/>
    <n v="16484.14"/>
    <x v="2"/>
  </r>
  <r>
    <x v="10"/>
    <x v="1"/>
    <x v="9"/>
    <x v="1"/>
    <x v="11"/>
    <x v="0"/>
    <x v="0"/>
    <n v="0"/>
    <n v="0"/>
    <n v="0"/>
    <x v="2"/>
  </r>
  <r>
    <x v="10"/>
    <x v="1"/>
    <x v="9"/>
    <x v="1"/>
    <x v="13"/>
    <x v="0"/>
    <x v="0"/>
    <n v="0"/>
    <n v="0"/>
    <n v="0"/>
    <x v="2"/>
  </r>
  <r>
    <x v="10"/>
    <x v="1"/>
    <x v="9"/>
    <x v="1"/>
    <x v="14"/>
    <x v="0"/>
    <x v="0"/>
    <n v="0"/>
    <n v="0"/>
    <n v="0"/>
    <x v="2"/>
  </r>
  <r>
    <x v="10"/>
    <x v="1"/>
    <x v="9"/>
    <x v="1"/>
    <x v="16"/>
    <x v="0"/>
    <x v="0"/>
    <n v="0"/>
    <n v="0"/>
    <n v="0"/>
    <x v="2"/>
  </r>
  <r>
    <x v="10"/>
    <x v="1"/>
    <x v="9"/>
    <x v="1"/>
    <x v="17"/>
    <x v="0"/>
    <x v="0"/>
    <n v="0"/>
    <n v="0"/>
    <n v="0"/>
    <x v="2"/>
  </r>
  <r>
    <x v="10"/>
    <x v="1"/>
    <x v="9"/>
    <x v="1"/>
    <x v="18"/>
    <x v="0"/>
    <x v="0"/>
    <n v="0"/>
    <n v="0"/>
    <n v="0"/>
    <x v="2"/>
  </r>
  <r>
    <x v="10"/>
    <x v="1"/>
    <x v="9"/>
    <x v="1"/>
    <x v="19"/>
    <x v="0"/>
    <x v="0"/>
    <n v="0"/>
    <n v="0"/>
    <n v="0"/>
    <x v="2"/>
  </r>
  <r>
    <x v="10"/>
    <x v="1"/>
    <x v="9"/>
    <x v="1"/>
    <x v="20"/>
    <x v="0"/>
    <x v="0"/>
    <n v="1.92"/>
    <n v="5183.6400000000003"/>
    <n v="17998.5"/>
    <x v="2"/>
  </r>
  <r>
    <x v="10"/>
    <x v="1"/>
    <x v="9"/>
    <x v="2"/>
    <x v="21"/>
    <x v="0"/>
    <x v="0"/>
    <n v="2.78"/>
    <n v="7505.47"/>
    <n v="26086.05"/>
    <x v="2"/>
  </r>
  <r>
    <x v="10"/>
    <x v="1"/>
    <x v="9"/>
    <x v="2"/>
    <x v="22"/>
    <x v="0"/>
    <x v="0"/>
    <n v="0"/>
    <n v="0"/>
    <n v="0"/>
    <x v="2"/>
  </r>
  <r>
    <x v="10"/>
    <x v="1"/>
    <x v="9"/>
    <x v="2"/>
    <x v="29"/>
    <x v="0"/>
    <x v="0"/>
    <n v="0"/>
    <n v="0"/>
    <n v="0"/>
    <x v="2"/>
  </r>
  <r>
    <x v="10"/>
    <x v="1"/>
    <x v="9"/>
    <x v="2"/>
    <x v="24"/>
    <x v="0"/>
    <x v="0"/>
    <n v="0"/>
    <n v="0"/>
    <n v="0"/>
    <x v="2"/>
  </r>
  <r>
    <x v="10"/>
    <x v="1"/>
    <x v="9"/>
    <x v="3"/>
    <x v="25"/>
    <x v="0"/>
    <x v="0"/>
    <n v="0"/>
    <n v="0"/>
    <n v="0"/>
    <x v="2"/>
  </r>
  <r>
    <x v="10"/>
    <x v="1"/>
    <x v="9"/>
    <x v="3"/>
    <x v="26"/>
    <x v="0"/>
    <x v="0"/>
    <n v="1.47"/>
    <n v="3968.72"/>
    <n v="13747.89"/>
    <x v="2"/>
  </r>
  <r>
    <x v="10"/>
    <x v="1"/>
    <x v="9"/>
    <x v="3"/>
    <x v="27"/>
    <x v="0"/>
    <x v="0"/>
    <n v="3.04"/>
    <n v="8207.42"/>
    <n v="28531.51"/>
    <x v="2"/>
  </r>
  <r>
    <x v="10"/>
    <x v="1"/>
    <x v="9"/>
    <x v="0"/>
    <x v="0"/>
    <x v="0"/>
    <x v="1"/>
    <n v="1.78"/>
    <n v="4805.66"/>
    <n v="16716.38"/>
    <x v="2"/>
  </r>
  <r>
    <x v="10"/>
    <x v="1"/>
    <x v="9"/>
    <x v="0"/>
    <x v="1"/>
    <x v="0"/>
    <x v="1"/>
    <n v="8.25"/>
    <n v="22273.43"/>
    <n v="77349.73"/>
    <x v="2"/>
  </r>
  <r>
    <x v="10"/>
    <x v="1"/>
    <x v="9"/>
    <x v="0"/>
    <x v="2"/>
    <x v="0"/>
    <x v="1"/>
    <n v="3.46"/>
    <n v="9341.34"/>
    <n v="32431.1"/>
    <x v="2"/>
  </r>
  <r>
    <x v="10"/>
    <x v="1"/>
    <x v="9"/>
    <x v="0"/>
    <x v="3"/>
    <x v="0"/>
    <x v="1"/>
    <n v="8.83"/>
    <n v="23839.32"/>
    <n v="82856.240000000005"/>
    <x v="2"/>
  </r>
  <r>
    <x v="10"/>
    <x v="1"/>
    <x v="9"/>
    <x v="0"/>
    <x v="4"/>
    <x v="0"/>
    <x v="1"/>
    <n v="1.83"/>
    <n v="4940.6499999999996"/>
    <n v="17187.02"/>
    <x v="2"/>
  </r>
  <r>
    <x v="10"/>
    <x v="1"/>
    <x v="9"/>
    <x v="0"/>
    <x v="5"/>
    <x v="0"/>
    <x v="1"/>
    <n v="4.22"/>
    <n v="11393.2"/>
    <n v="39556.04"/>
    <x v="2"/>
  </r>
  <r>
    <x v="10"/>
    <x v="1"/>
    <x v="9"/>
    <x v="0"/>
    <x v="6"/>
    <x v="0"/>
    <x v="1"/>
    <n v="2.0699999999999998"/>
    <n v="5588.61"/>
    <n v="19437.07"/>
    <x v="2"/>
  </r>
  <r>
    <x v="10"/>
    <x v="1"/>
    <x v="9"/>
    <x v="0"/>
    <x v="8"/>
    <x v="0"/>
    <x v="1"/>
    <n v="3.61"/>
    <n v="9746.31"/>
    <n v="33854.239999999998"/>
    <x v="2"/>
  </r>
  <r>
    <x v="10"/>
    <x v="1"/>
    <x v="9"/>
    <x v="1"/>
    <x v="10"/>
    <x v="0"/>
    <x v="1"/>
    <n v="5.27"/>
    <n v="14228"/>
    <n v="49452.43"/>
    <x v="2"/>
  </r>
  <r>
    <x v="10"/>
    <x v="1"/>
    <x v="9"/>
    <x v="1"/>
    <x v="11"/>
    <x v="0"/>
    <x v="1"/>
    <n v="10.79"/>
    <n v="29130.95"/>
    <n v="101239.67999999999"/>
    <x v="2"/>
  </r>
  <r>
    <x v="10"/>
    <x v="1"/>
    <x v="9"/>
    <x v="1"/>
    <x v="13"/>
    <x v="0"/>
    <x v="1"/>
    <n v="5.74"/>
    <n v="15496.91"/>
    <n v="53815.519999999997"/>
    <x v="2"/>
  </r>
  <r>
    <x v="10"/>
    <x v="1"/>
    <x v="9"/>
    <x v="1"/>
    <x v="14"/>
    <x v="0"/>
    <x v="1"/>
    <n v="2.0299999999999998"/>
    <n v="5480.61"/>
    <n v="19065.759999999998"/>
    <x v="2"/>
  </r>
  <r>
    <x v="10"/>
    <x v="1"/>
    <x v="9"/>
    <x v="1"/>
    <x v="16"/>
    <x v="0"/>
    <x v="1"/>
    <n v="1.41"/>
    <n v="3806.73"/>
    <n v="13205.44"/>
    <x v="2"/>
  </r>
  <r>
    <x v="10"/>
    <x v="1"/>
    <x v="9"/>
    <x v="1"/>
    <x v="17"/>
    <x v="0"/>
    <x v="1"/>
    <n v="2.11"/>
    <n v="5696.6"/>
    <n v="19755.13"/>
    <x v="2"/>
  </r>
  <r>
    <x v="10"/>
    <x v="1"/>
    <x v="9"/>
    <x v="1"/>
    <x v="18"/>
    <x v="0"/>
    <x v="1"/>
    <n v="11.18"/>
    <n v="30183.88"/>
    <n v="104867.59"/>
    <x v="2"/>
  </r>
  <r>
    <x v="10"/>
    <x v="1"/>
    <x v="9"/>
    <x v="1"/>
    <x v="19"/>
    <x v="0"/>
    <x v="1"/>
    <n v="4.25"/>
    <n v="11474.19"/>
    <n v="39860.239999999998"/>
    <x v="2"/>
  </r>
  <r>
    <x v="10"/>
    <x v="1"/>
    <x v="9"/>
    <x v="1"/>
    <x v="20"/>
    <x v="0"/>
    <x v="1"/>
    <n v="10.84"/>
    <n v="29265.94"/>
    <n v="101691.54"/>
    <x v="2"/>
  </r>
  <r>
    <x v="10"/>
    <x v="1"/>
    <x v="9"/>
    <x v="2"/>
    <x v="21"/>
    <x v="0"/>
    <x v="1"/>
    <n v="0"/>
    <n v="0"/>
    <n v="0"/>
    <x v="2"/>
  </r>
  <r>
    <x v="10"/>
    <x v="1"/>
    <x v="9"/>
    <x v="2"/>
    <x v="22"/>
    <x v="0"/>
    <x v="1"/>
    <n v="3.46"/>
    <n v="9341.34"/>
    <n v="32417.360000000001"/>
    <x v="2"/>
  </r>
  <r>
    <x v="10"/>
    <x v="1"/>
    <x v="9"/>
    <x v="2"/>
    <x v="29"/>
    <x v="0"/>
    <x v="1"/>
    <n v="2.65"/>
    <n v="7154.5"/>
    <n v="24860.67"/>
    <x v="2"/>
  </r>
  <r>
    <x v="10"/>
    <x v="1"/>
    <x v="9"/>
    <x v="2"/>
    <x v="24"/>
    <x v="0"/>
    <x v="1"/>
    <n v="2.2400000000000002"/>
    <n v="6047.57"/>
    <n v="21026.69"/>
    <x v="2"/>
  </r>
  <r>
    <x v="10"/>
    <x v="1"/>
    <x v="9"/>
    <x v="3"/>
    <x v="25"/>
    <x v="0"/>
    <x v="1"/>
    <n v="1.94"/>
    <n v="5237.63"/>
    <n v="18233.29"/>
    <x v="2"/>
  </r>
  <r>
    <x v="10"/>
    <x v="1"/>
    <x v="9"/>
    <x v="3"/>
    <x v="26"/>
    <x v="0"/>
    <x v="1"/>
    <n v="1.17"/>
    <n v="3158.78"/>
    <n v="10998.31"/>
    <x v="2"/>
  </r>
  <r>
    <x v="10"/>
    <x v="1"/>
    <x v="9"/>
    <x v="3"/>
    <x v="27"/>
    <x v="0"/>
    <x v="1"/>
    <n v="8.3699999999999992"/>
    <n v="22597.41"/>
    <n v="78461.649999999994"/>
    <x v="2"/>
  </r>
  <r>
    <x v="10"/>
    <x v="1"/>
    <x v="9"/>
    <x v="0"/>
    <x v="0"/>
    <x v="1"/>
    <x v="0"/>
    <n v="4.29"/>
    <n v="11582.18"/>
    <n v="26319.360000000001"/>
    <x v="2"/>
  </r>
  <r>
    <x v="10"/>
    <x v="1"/>
    <x v="9"/>
    <x v="0"/>
    <x v="1"/>
    <x v="1"/>
    <x v="0"/>
    <n v="12.83"/>
    <n v="34638.559999999998"/>
    <n v="77352.09"/>
    <x v="2"/>
  </r>
  <r>
    <x v="10"/>
    <x v="1"/>
    <x v="9"/>
    <x v="0"/>
    <x v="2"/>
    <x v="1"/>
    <x v="0"/>
    <n v="7.27"/>
    <n v="19627.62"/>
    <n v="42319.360000000001"/>
    <x v="2"/>
  </r>
  <r>
    <x v="10"/>
    <x v="1"/>
    <x v="9"/>
    <x v="0"/>
    <x v="3"/>
    <x v="1"/>
    <x v="0"/>
    <n v="12.77"/>
    <n v="34476.57"/>
    <n v="77359.53"/>
    <x v="2"/>
  </r>
  <r>
    <x v="10"/>
    <x v="1"/>
    <x v="9"/>
    <x v="0"/>
    <x v="28"/>
    <x v="1"/>
    <x v="0"/>
    <n v="0"/>
    <n v="0"/>
    <n v="0"/>
    <x v="2"/>
  </r>
  <r>
    <x v="10"/>
    <x v="1"/>
    <x v="9"/>
    <x v="0"/>
    <x v="4"/>
    <x v="1"/>
    <x v="0"/>
    <n v="9.14"/>
    <n v="24676.26"/>
    <n v="54840.74"/>
    <x v="2"/>
  </r>
  <r>
    <x v="10"/>
    <x v="1"/>
    <x v="9"/>
    <x v="0"/>
    <x v="5"/>
    <x v="1"/>
    <x v="0"/>
    <n v="2.75"/>
    <n v="7424.48"/>
    <n v="17020.8"/>
    <x v="2"/>
  </r>
  <r>
    <x v="10"/>
    <x v="1"/>
    <x v="9"/>
    <x v="0"/>
    <x v="6"/>
    <x v="1"/>
    <x v="0"/>
    <n v="0"/>
    <n v="0"/>
    <n v="0"/>
    <x v="2"/>
  </r>
  <r>
    <x v="10"/>
    <x v="1"/>
    <x v="9"/>
    <x v="0"/>
    <x v="7"/>
    <x v="1"/>
    <x v="0"/>
    <n v="0"/>
    <n v="0"/>
    <n v="0"/>
    <x v="2"/>
  </r>
  <r>
    <x v="10"/>
    <x v="1"/>
    <x v="9"/>
    <x v="0"/>
    <x v="8"/>
    <x v="1"/>
    <x v="0"/>
    <n v="0"/>
    <n v="0"/>
    <n v="0"/>
    <x v="2"/>
  </r>
  <r>
    <x v="10"/>
    <x v="1"/>
    <x v="9"/>
    <x v="1"/>
    <x v="30"/>
    <x v="1"/>
    <x v="0"/>
    <n v="0.97"/>
    <n v="2618.8200000000002"/>
    <n v="6287.34"/>
    <x v="2"/>
  </r>
  <r>
    <x v="10"/>
    <x v="1"/>
    <x v="9"/>
    <x v="1"/>
    <x v="9"/>
    <x v="1"/>
    <x v="0"/>
    <n v="0"/>
    <n v="0"/>
    <n v="0"/>
    <x v="2"/>
  </r>
  <r>
    <x v="10"/>
    <x v="1"/>
    <x v="9"/>
    <x v="1"/>
    <x v="31"/>
    <x v="1"/>
    <x v="0"/>
    <n v="0"/>
    <n v="0"/>
    <n v="0"/>
    <x v="2"/>
  </r>
  <r>
    <x v="10"/>
    <x v="1"/>
    <x v="9"/>
    <x v="1"/>
    <x v="10"/>
    <x v="1"/>
    <x v="0"/>
    <n v="5.37"/>
    <n v="14497.98"/>
    <n v="34358.870000000003"/>
    <x v="2"/>
  </r>
  <r>
    <x v="10"/>
    <x v="1"/>
    <x v="9"/>
    <x v="1"/>
    <x v="11"/>
    <x v="1"/>
    <x v="0"/>
    <n v="7.95"/>
    <n v="21463.49"/>
    <n v="48493.45"/>
    <x v="2"/>
  </r>
  <r>
    <x v="10"/>
    <x v="1"/>
    <x v="9"/>
    <x v="1"/>
    <x v="12"/>
    <x v="1"/>
    <x v="0"/>
    <n v="2.14"/>
    <n v="5777.59"/>
    <n v="13698.2"/>
    <x v="2"/>
  </r>
  <r>
    <x v="10"/>
    <x v="1"/>
    <x v="9"/>
    <x v="1"/>
    <x v="13"/>
    <x v="1"/>
    <x v="0"/>
    <n v="2.96"/>
    <n v="7991.44"/>
    <n v="18930.259999999998"/>
    <x v="2"/>
  </r>
  <r>
    <x v="10"/>
    <x v="1"/>
    <x v="9"/>
    <x v="1"/>
    <x v="14"/>
    <x v="1"/>
    <x v="0"/>
    <n v="12.93"/>
    <n v="34908.54"/>
    <n v="81028.72"/>
    <x v="2"/>
  </r>
  <r>
    <x v="10"/>
    <x v="1"/>
    <x v="9"/>
    <x v="1"/>
    <x v="15"/>
    <x v="1"/>
    <x v="0"/>
    <n v="1.92"/>
    <n v="5183.6400000000003"/>
    <n v="12434.09"/>
    <x v="2"/>
  </r>
  <r>
    <x v="10"/>
    <x v="1"/>
    <x v="9"/>
    <x v="1"/>
    <x v="16"/>
    <x v="1"/>
    <x v="0"/>
    <n v="6.7"/>
    <n v="18088.73"/>
    <n v="41353.31"/>
    <x v="2"/>
  </r>
  <r>
    <x v="10"/>
    <x v="1"/>
    <x v="9"/>
    <x v="1"/>
    <x v="17"/>
    <x v="1"/>
    <x v="0"/>
    <n v="6.12"/>
    <n v="16522.84"/>
    <n v="38117.42"/>
    <x v="2"/>
  </r>
  <r>
    <x v="10"/>
    <x v="1"/>
    <x v="9"/>
    <x v="1"/>
    <x v="18"/>
    <x v="1"/>
    <x v="0"/>
    <n v="8.08"/>
    <n v="21814.46"/>
    <n v="52675.58"/>
    <x v="2"/>
  </r>
  <r>
    <x v="10"/>
    <x v="1"/>
    <x v="9"/>
    <x v="1"/>
    <x v="19"/>
    <x v="1"/>
    <x v="0"/>
    <n v="10.65"/>
    <n v="28752.98"/>
    <n v="67353.41"/>
    <x v="2"/>
  </r>
  <r>
    <x v="10"/>
    <x v="1"/>
    <x v="9"/>
    <x v="1"/>
    <x v="20"/>
    <x v="1"/>
    <x v="0"/>
    <n v="12.71"/>
    <n v="34314.589999999997"/>
    <n v="79027.19"/>
    <x v="2"/>
  </r>
  <r>
    <x v="10"/>
    <x v="1"/>
    <x v="9"/>
    <x v="2"/>
    <x v="21"/>
    <x v="1"/>
    <x v="0"/>
    <n v="0"/>
    <n v="0"/>
    <n v="0"/>
    <x v="2"/>
  </r>
  <r>
    <x v="10"/>
    <x v="1"/>
    <x v="9"/>
    <x v="2"/>
    <x v="22"/>
    <x v="1"/>
    <x v="0"/>
    <n v="7.91"/>
    <n v="21355.5"/>
    <n v="45156.87"/>
    <x v="2"/>
  </r>
  <r>
    <x v="10"/>
    <x v="1"/>
    <x v="9"/>
    <x v="2"/>
    <x v="29"/>
    <x v="1"/>
    <x v="0"/>
    <n v="0"/>
    <n v="0"/>
    <n v="0"/>
    <x v="2"/>
  </r>
  <r>
    <x v="10"/>
    <x v="1"/>
    <x v="9"/>
    <x v="2"/>
    <x v="23"/>
    <x v="1"/>
    <x v="0"/>
    <n v="0"/>
    <n v="0"/>
    <n v="0"/>
    <x v="2"/>
  </r>
  <r>
    <x v="10"/>
    <x v="1"/>
    <x v="9"/>
    <x v="2"/>
    <x v="24"/>
    <x v="1"/>
    <x v="0"/>
    <n v="1.1100000000000001"/>
    <n v="2996.79"/>
    <n v="6477.72"/>
    <x v="2"/>
  </r>
  <r>
    <x v="10"/>
    <x v="1"/>
    <x v="9"/>
    <x v="3"/>
    <x v="25"/>
    <x v="1"/>
    <x v="0"/>
    <n v="5.16"/>
    <n v="13931.02"/>
    <n v="33172.46"/>
    <x v="2"/>
  </r>
  <r>
    <x v="10"/>
    <x v="1"/>
    <x v="9"/>
    <x v="3"/>
    <x v="26"/>
    <x v="1"/>
    <x v="0"/>
    <n v="5.38"/>
    <n v="14524.98"/>
    <n v="34815.71"/>
    <x v="2"/>
  </r>
  <r>
    <x v="10"/>
    <x v="1"/>
    <x v="9"/>
    <x v="3"/>
    <x v="27"/>
    <x v="1"/>
    <x v="0"/>
    <n v="15.1"/>
    <n v="40767.129999999997"/>
    <n v="95908.06"/>
    <x v="2"/>
  </r>
  <r>
    <x v="10"/>
    <x v="1"/>
    <x v="9"/>
    <x v="0"/>
    <x v="0"/>
    <x v="1"/>
    <x v="1"/>
    <n v="11.21"/>
    <n v="30264.87"/>
    <n v="68752.62"/>
    <x v="2"/>
  </r>
  <r>
    <x v="10"/>
    <x v="1"/>
    <x v="9"/>
    <x v="0"/>
    <x v="1"/>
    <x v="1"/>
    <x v="1"/>
    <n v="22.62"/>
    <n v="61069.7"/>
    <n v="136411.46"/>
    <x v="2"/>
  </r>
  <r>
    <x v="10"/>
    <x v="1"/>
    <x v="9"/>
    <x v="0"/>
    <x v="2"/>
    <x v="1"/>
    <x v="1"/>
    <n v="13.62"/>
    <n v="36771.410000000003"/>
    <n v="79348.789999999994"/>
    <x v="2"/>
  </r>
  <r>
    <x v="10"/>
    <x v="1"/>
    <x v="9"/>
    <x v="0"/>
    <x v="3"/>
    <x v="1"/>
    <x v="1"/>
    <n v="25.97"/>
    <n v="70114.070000000007"/>
    <n v="157386.63"/>
    <x v="2"/>
  </r>
  <r>
    <x v="10"/>
    <x v="1"/>
    <x v="9"/>
    <x v="0"/>
    <x v="28"/>
    <x v="1"/>
    <x v="1"/>
    <n v="3.88"/>
    <n v="10475.26"/>
    <n v="23784.23"/>
    <x v="2"/>
  </r>
  <r>
    <x v="10"/>
    <x v="1"/>
    <x v="9"/>
    <x v="0"/>
    <x v="4"/>
    <x v="1"/>
    <x v="1"/>
    <n v="8.67"/>
    <n v="23407.35"/>
    <n v="52071.01"/>
    <x v="2"/>
  </r>
  <r>
    <x v="10"/>
    <x v="1"/>
    <x v="9"/>
    <x v="0"/>
    <x v="5"/>
    <x v="1"/>
    <x v="1"/>
    <n v="21.41"/>
    <n v="57802.93"/>
    <n v="132322.97"/>
    <x v="2"/>
  </r>
  <r>
    <x v="10"/>
    <x v="1"/>
    <x v="9"/>
    <x v="0"/>
    <x v="6"/>
    <x v="1"/>
    <x v="1"/>
    <n v="2.09"/>
    <n v="5642.6"/>
    <n v="12908.72"/>
    <x v="2"/>
  </r>
  <r>
    <x v="10"/>
    <x v="1"/>
    <x v="9"/>
    <x v="0"/>
    <x v="7"/>
    <x v="1"/>
    <x v="1"/>
    <n v="4.42"/>
    <n v="11933.16"/>
    <n v="27676.32"/>
    <x v="2"/>
  </r>
  <r>
    <x v="10"/>
    <x v="1"/>
    <x v="9"/>
    <x v="0"/>
    <x v="8"/>
    <x v="1"/>
    <x v="1"/>
    <n v="2.82"/>
    <n v="7613.46"/>
    <n v="16864.47"/>
    <x v="2"/>
  </r>
  <r>
    <x v="10"/>
    <x v="1"/>
    <x v="9"/>
    <x v="1"/>
    <x v="30"/>
    <x v="1"/>
    <x v="1"/>
    <n v="0"/>
    <n v="0"/>
    <n v="0"/>
    <x v="2"/>
  </r>
  <r>
    <x v="10"/>
    <x v="1"/>
    <x v="9"/>
    <x v="1"/>
    <x v="9"/>
    <x v="1"/>
    <x v="1"/>
    <n v="3.88"/>
    <n v="10475.26"/>
    <n v="25064.32"/>
    <x v="2"/>
  </r>
  <r>
    <x v="10"/>
    <x v="1"/>
    <x v="9"/>
    <x v="1"/>
    <x v="31"/>
    <x v="1"/>
    <x v="1"/>
    <n v="0"/>
    <n v="0"/>
    <n v="0"/>
    <x v="2"/>
  </r>
  <r>
    <x v="10"/>
    <x v="1"/>
    <x v="9"/>
    <x v="1"/>
    <x v="10"/>
    <x v="1"/>
    <x v="1"/>
    <n v="31.13"/>
    <n v="84045.09"/>
    <n v="199164.98"/>
    <x v="2"/>
  </r>
  <r>
    <x v="10"/>
    <x v="1"/>
    <x v="9"/>
    <x v="1"/>
    <x v="11"/>
    <x v="1"/>
    <x v="1"/>
    <n v="31.73"/>
    <n v="85664.97"/>
    <n v="193428.94"/>
    <x v="2"/>
  </r>
  <r>
    <x v="10"/>
    <x v="1"/>
    <x v="9"/>
    <x v="1"/>
    <x v="12"/>
    <x v="1"/>
    <x v="1"/>
    <n v="3.25"/>
    <n v="8774.3799999999992"/>
    <n v="20845.09"/>
    <x v="2"/>
  </r>
  <r>
    <x v="10"/>
    <x v="1"/>
    <x v="9"/>
    <x v="1"/>
    <x v="13"/>
    <x v="1"/>
    <x v="1"/>
    <n v="11.59"/>
    <n v="31290.799999999999"/>
    <n v="74000.11"/>
    <x v="2"/>
  </r>
  <r>
    <x v="10"/>
    <x v="1"/>
    <x v="9"/>
    <x v="1"/>
    <x v="14"/>
    <x v="1"/>
    <x v="1"/>
    <n v="5.58"/>
    <n v="15064.94"/>
    <n v="34964.449999999997"/>
    <x v="2"/>
  </r>
  <r>
    <x v="10"/>
    <x v="1"/>
    <x v="9"/>
    <x v="1"/>
    <x v="15"/>
    <x v="1"/>
    <x v="1"/>
    <n v="2.35"/>
    <n v="6344.55"/>
    <n v="15260.02"/>
    <x v="2"/>
  </r>
  <r>
    <x v="10"/>
    <x v="1"/>
    <x v="9"/>
    <x v="1"/>
    <x v="16"/>
    <x v="1"/>
    <x v="1"/>
    <n v="10"/>
    <n v="26998.1"/>
    <n v="61746.73"/>
    <x v="2"/>
  </r>
  <r>
    <x v="10"/>
    <x v="1"/>
    <x v="9"/>
    <x v="1"/>
    <x v="17"/>
    <x v="1"/>
    <x v="1"/>
    <n v="4.0199999999999996"/>
    <n v="10853.24"/>
    <n v="25063.51"/>
    <x v="2"/>
  </r>
  <r>
    <x v="10"/>
    <x v="1"/>
    <x v="9"/>
    <x v="1"/>
    <x v="18"/>
    <x v="1"/>
    <x v="1"/>
    <n v="27.62"/>
    <n v="74568.75"/>
    <n v="180023.13"/>
    <x v="2"/>
  </r>
  <r>
    <x v="10"/>
    <x v="1"/>
    <x v="9"/>
    <x v="1"/>
    <x v="19"/>
    <x v="1"/>
    <x v="1"/>
    <n v="14.92"/>
    <n v="40281.17"/>
    <n v="94294.78"/>
    <x v="2"/>
  </r>
  <r>
    <x v="10"/>
    <x v="1"/>
    <x v="9"/>
    <x v="1"/>
    <x v="20"/>
    <x v="1"/>
    <x v="1"/>
    <n v="21.02"/>
    <n v="56750.01"/>
    <n v="130698.82"/>
    <x v="2"/>
  </r>
  <r>
    <x v="10"/>
    <x v="1"/>
    <x v="9"/>
    <x v="2"/>
    <x v="21"/>
    <x v="1"/>
    <x v="1"/>
    <n v="1.83"/>
    <n v="4940.6499999999996"/>
    <n v="10445.629999999999"/>
    <x v="2"/>
  </r>
  <r>
    <x v="10"/>
    <x v="1"/>
    <x v="9"/>
    <x v="2"/>
    <x v="22"/>
    <x v="1"/>
    <x v="1"/>
    <n v="10.65"/>
    <n v="28752.98"/>
    <n v="60842.95"/>
    <x v="2"/>
  </r>
  <r>
    <x v="10"/>
    <x v="1"/>
    <x v="9"/>
    <x v="2"/>
    <x v="29"/>
    <x v="1"/>
    <x v="1"/>
    <n v="1.55"/>
    <n v="4184.71"/>
    <n v="9381.56"/>
    <x v="2"/>
  </r>
  <r>
    <x v="10"/>
    <x v="1"/>
    <x v="9"/>
    <x v="2"/>
    <x v="23"/>
    <x v="1"/>
    <x v="1"/>
    <n v="0"/>
    <n v="0"/>
    <n v="0"/>
    <x v="2"/>
  </r>
  <r>
    <x v="10"/>
    <x v="1"/>
    <x v="9"/>
    <x v="2"/>
    <x v="24"/>
    <x v="1"/>
    <x v="1"/>
    <n v="2.0699999999999998"/>
    <n v="5588.61"/>
    <n v="12030.05"/>
    <x v="2"/>
  </r>
  <r>
    <x v="10"/>
    <x v="1"/>
    <x v="9"/>
    <x v="3"/>
    <x v="25"/>
    <x v="1"/>
    <x v="1"/>
    <n v="8.7200000000000006"/>
    <n v="23542.34"/>
    <n v="56050.01"/>
    <x v="2"/>
  </r>
  <r>
    <x v="10"/>
    <x v="1"/>
    <x v="9"/>
    <x v="3"/>
    <x v="26"/>
    <x v="1"/>
    <x v="1"/>
    <n v="17.21"/>
    <n v="46463.73"/>
    <n v="111410.27"/>
    <x v="2"/>
  </r>
  <r>
    <x v="10"/>
    <x v="1"/>
    <x v="9"/>
    <x v="3"/>
    <x v="27"/>
    <x v="1"/>
    <x v="1"/>
    <n v="52.14"/>
    <n v="140768.09"/>
    <n v="331067.26"/>
    <x v="2"/>
  </r>
  <r>
    <x v="11"/>
    <x v="1"/>
    <x v="0"/>
    <x v="0"/>
    <x v="0"/>
    <x v="0"/>
    <x v="0"/>
    <n v="4.0999999999999996"/>
    <n v="27207.85"/>
    <n v="119418.19"/>
    <x v="2"/>
  </r>
  <r>
    <x v="11"/>
    <x v="1"/>
    <x v="0"/>
    <x v="0"/>
    <x v="1"/>
    <x v="0"/>
    <x v="0"/>
    <n v="7.87"/>
    <n v="52225.79"/>
    <n v="229045.12"/>
    <x v="2"/>
  </r>
  <r>
    <x v="11"/>
    <x v="1"/>
    <x v="0"/>
    <x v="0"/>
    <x v="2"/>
    <x v="0"/>
    <x v="0"/>
    <n v="0"/>
    <n v="0"/>
    <n v="0"/>
    <x v="2"/>
  </r>
  <r>
    <x v="11"/>
    <x v="1"/>
    <x v="0"/>
    <x v="0"/>
    <x v="3"/>
    <x v="0"/>
    <x v="0"/>
    <n v="2.33"/>
    <n v="15462.02"/>
    <n v="67956.2"/>
    <x v="2"/>
  </r>
  <r>
    <x v="11"/>
    <x v="1"/>
    <x v="0"/>
    <x v="0"/>
    <x v="4"/>
    <x v="0"/>
    <x v="0"/>
    <n v="0"/>
    <n v="0"/>
    <n v="0"/>
    <x v="2"/>
  </r>
  <r>
    <x v="11"/>
    <x v="1"/>
    <x v="0"/>
    <x v="0"/>
    <x v="5"/>
    <x v="0"/>
    <x v="0"/>
    <n v="0"/>
    <n v="0"/>
    <n v="0"/>
    <x v="2"/>
  </r>
  <r>
    <x v="11"/>
    <x v="1"/>
    <x v="0"/>
    <x v="0"/>
    <x v="6"/>
    <x v="0"/>
    <x v="0"/>
    <n v="0"/>
    <n v="0"/>
    <n v="0"/>
    <x v="2"/>
  </r>
  <r>
    <x v="11"/>
    <x v="1"/>
    <x v="0"/>
    <x v="0"/>
    <x v="8"/>
    <x v="0"/>
    <x v="0"/>
    <n v="0"/>
    <n v="0"/>
    <n v="0"/>
    <x v="2"/>
  </r>
  <r>
    <x v="11"/>
    <x v="1"/>
    <x v="0"/>
    <x v="1"/>
    <x v="10"/>
    <x v="0"/>
    <x v="0"/>
    <n v="2.4500000000000002"/>
    <n v="16258.35"/>
    <n v="71387.600000000006"/>
    <x v="2"/>
  </r>
  <r>
    <x v="11"/>
    <x v="1"/>
    <x v="0"/>
    <x v="1"/>
    <x v="11"/>
    <x v="0"/>
    <x v="0"/>
    <n v="0"/>
    <n v="0"/>
    <n v="0"/>
    <x v="2"/>
  </r>
  <r>
    <x v="11"/>
    <x v="1"/>
    <x v="0"/>
    <x v="1"/>
    <x v="13"/>
    <x v="0"/>
    <x v="0"/>
    <n v="0"/>
    <n v="0"/>
    <n v="0"/>
    <x v="2"/>
  </r>
  <r>
    <x v="11"/>
    <x v="1"/>
    <x v="0"/>
    <x v="1"/>
    <x v="14"/>
    <x v="0"/>
    <x v="0"/>
    <n v="0"/>
    <n v="0"/>
    <n v="0"/>
    <x v="2"/>
  </r>
  <r>
    <x v="11"/>
    <x v="1"/>
    <x v="0"/>
    <x v="1"/>
    <x v="16"/>
    <x v="0"/>
    <x v="0"/>
    <n v="0"/>
    <n v="0"/>
    <n v="0"/>
    <x v="2"/>
  </r>
  <r>
    <x v="11"/>
    <x v="1"/>
    <x v="0"/>
    <x v="1"/>
    <x v="17"/>
    <x v="0"/>
    <x v="0"/>
    <n v="0"/>
    <n v="0"/>
    <n v="0"/>
    <x v="2"/>
  </r>
  <r>
    <x v="11"/>
    <x v="1"/>
    <x v="0"/>
    <x v="1"/>
    <x v="18"/>
    <x v="0"/>
    <x v="0"/>
    <n v="0"/>
    <n v="0"/>
    <n v="0"/>
    <x v="2"/>
  </r>
  <r>
    <x v="11"/>
    <x v="1"/>
    <x v="0"/>
    <x v="1"/>
    <x v="19"/>
    <x v="0"/>
    <x v="0"/>
    <n v="0"/>
    <n v="0"/>
    <n v="0"/>
    <x v="2"/>
  </r>
  <r>
    <x v="11"/>
    <x v="1"/>
    <x v="0"/>
    <x v="1"/>
    <x v="20"/>
    <x v="0"/>
    <x v="0"/>
    <n v="3.01"/>
    <n v="19974.54"/>
    <n v="87748.45"/>
    <x v="2"/>
  </r>
  <r>
    <x v="11"/>
    <x v="1"/>
    <x v="0"/>
    <x v="2"/>
    <x v="21"/>
    <x v="0"/>
    <x v="0"/>
    <n v="2.85"/>
    <n v="18912.77"/>
    <n v="82990.740000000005"/>
    <x v="2"/>
  </r>
  <r>
    <x v="11"/>
    <x v="1"/>
    <x v="0"/>
    <x v="2"/>
    <x v="22"/>
    <x v="0"/>
    <x v="0"/>
    <n v="0"/>
    <n v="0"/>
    <n v="0"/>
    <x v="2"/>
  </r>
  <r>
    <x v="11"/>
    <x v="1"/>
    <x v="0"/>
    <x v="2"/>
    <x v="29"/>
    <x v="0"/>
    <x v="0"/>
    <n v="0"/>
    <n v="0"/>
    <n v="0"/>
    <x v="2"/>
  </r>
  <r>
    <x v="11"/>
    <x v="1"/>
    <x v="0"/>
    <x v="2"/>
    <x v="24"/>
    <x v="0"/>
    <x v="0"/>
    <n v="0"/>
    <n v="0"/>
    <n v="0"/>
    <x v="2"/>
  </r>
  <r>
    <x v="11"/>
    <x v="1"/>
    <x v="0"/>
    <x v="3"/>
    <x v="25"/>
    <x v="0"/>
    <x v="0"/>
    <n v="0"/>
    <n v="0"/>
    <n v="0"/>
    <x v="2"/>
  </r>
  <r>
    <x v="11"/>
    <x v="1"/>
    <x v="0"/>
    <x v="3"/>
    <x v="26"/>
    <x v="0"/>
    <x v="0"/>
    <n v="2.82"/>
    <n v="18713.689999999999"/>
    <n v="82124.94"/>
    <x v="2"/>
  </r>
  <r>
    <x v="11"/>
    <x v="1"/>
    <x v="0"/>
    <x v="3"/>
    <x v="27"/>
    <x v="0"/>
    <x v="0"/>
    <n v="3.59"/>
    <n v="23823.46"/>
    <n v="104501.7"/>
    <x v="2"/>
  </r>
  <r>
    <x v="11"/>
    <x v="1"/>
    <x v="0"/>
    <x v="0"/>
    <x v="0"/>
    <x v="0"/>
    <x v="1"/>
    <n v="3.18"/>
    <n v="21102.67"/>
    <n v="92549.1"/>
    <x v="2"/>
  </r>
  <r>
    <x v="11"/>
    <x v="1"/>
    <x v="0"/>
    <x v="0"/>
    <x v="1"/>
    <x v="0"/>
    <x v="1"/>
    <n v="7.59"/>
    <n v="50367.7"/>
    <n v="220896.57"/>
    <x v="2"/>
  </r>
  <r>
    <x v="11"/>
    <x v="1"/>
    <x v="0"/>
    <x v="0"/>
    <x v="2"/>
    <x v="0"/>
    <x v="1"/>
    <n v="7.98"/>
    <n v="52955.76"/>
    <n v="232269.92"/>
    <x v="2"/>
  </r>
  <r>
    <x v="11"/>
    <x v="1"/>
    <x v="0"/>
    <x v="0"/>
    <x v="3"/>
    <x v="0"/>
    <x v="1"/>
    <n v="7.88"/>
    <n v="52292.15"/>
    <n v="229352.17"/>
    <x v="2"/>
  </r>
  <r>
    <x v="11"/>
    <x v="1"/>
    <x v="0"/>
    <x v="0"/>
    <x v="4"/>
    <x v="0"/>
    <x v="1"/>
    <n v="2.5099999999999998"/>
    <n v="16656.509999999998"/>
    <n v="72985.990000000005"/>
    <x v="2"/>
  </r>
  <r>
    <x v="11"/>
    <x v="1"/>
    <x v="0"/>
    <x v="0"/>
    <x v="5"/>
    <x v="0"/>
    <x v="1"/>
    <n v="5.04"/>
    <n v="33445.74"/>
    <n v="146667.85"/>
    <x v="2"/>
  </r>
  <r>
    <x v="11"/>
    <x v="1"/>
    <x v="0"/>
    <x v="0"/>
    <x v="6"/>
    <x v="0"/>
    <x v="1"/>
    <n v="3.08"/>
    <n v="20439.060000000001"/>
    <n v="89733.47"/>
    <x v="2"/>
  </r>
  <r>
    <x v="11"/>
    <x v="1"/>
    <x v="0"/>
    <x v="0"/>
    <x v="8"/>
    <x v="0"/>
    <x v="1"/>
    <n v="5.29"/>
    <n v="35104.76"/>
    <n v="153902.29"/>
    <x v="2"/>
  </r>
  <r>
    <x v="11"/>
    <x v="1"/>
    <x v="0"/>
    <x v="1"/>
    <x v="10"/>
    <x v="0"/>
    <x v="1"/>
    <n v="5.0999999999999996"/>
    <n v="33843.910000000003"/>
    <n v="148486.21"/>
    <x v="2"/>
  </r>
  <r>
    <x v="11"/>
    <x v="1"/>
    <x v="0"/>
    <x v="1"/>
    <x v="11"/>
    <x v="0"/>
    <x v="1"/>
    <n v="13.77"/>
    <n v="91378.55"/>
    <n v="401023.02"/>
    <x v="2"/>
  </r>
  <r>
    <x v="11"/>
    <x v="1"/>
    <x v="0"/>
    <x v="1"/>
    <x v="13"/>
    <x v="0"/>
    <x v="1"/>
    <n v="6.23"/>
    <n v="41342.65"/>
    <n v="181275.26"/>
    <x v="2"/>
  </r>
  <r>
    <x v="11"/>
    <x v="1"/>
    <x v="0"/>
    <x v="1"/>
    <x v="14"/>
    <x v="0"/>
    <x v="1"/>
    <n v="5.21"/>
    <n v="34573.870000000003"/>
    <n v="151629.87"/>
    <x v="2"/>
  </r>
  <r>
    <x v="11"/>
    <x v="1"/>
    <x v="0"/>
    <x v="1"/>
    <x v="16"/>
    <x v="0"/>
    <x v="1"/>
    <n v="2.75"/>
    <n v="18249.169999999998"/>
    <n v="80028.789999999994"/>
    <x v="2"/>
  </r>
  <r>
    <x v="11"/>
    <x v="1"/>
    <x v="0"/>
    <x v="1"/>
    <x v="17"/>
    <x v="0"/>
    <x v="1"/>
    <n v="2.58"/>
    <n v="17121.03"/>
    <n v="74971.48"/>
    <x v="2"/>
  </r>
  <r>
    <x v="11"/>
    <x v="1"/>
    <x v="0"/>
    <x v="1"/>
    <x v="18"/>
    <x v="0"/>
    <x v="1"/>
    <n v="16.059999999999999"/>
    <n v="106575.12"/>
    <n v="467609.71"/>
    <x v="2"/>
  </r>
  <r>
    <x v="11"/>
    <x v="1"/>
    <x v="0"/>
    <x v="1"/>
    <x v="19"/>
    <x v="0"/>
    <x v="1"/>
    <n v="4.3899999999999997"/>
    <n v="29132.3"/>
    <n v="127842.15"/>
    <x v="2"/>
  </r>
  <r>
    <x v="11"/>
    <x v="1"/>
    <x v="0"/>
    <x v="1"/>
    <x v="20"/>
    <x v="0"/>
    <x v="1"/>
    <n v="13"/>
    <n v="86268.78"/>
    <n v="378415.2"/>
    <x v="2"/>
  </r>
  <r>
    <x v="11"/>
    <x v="1"/>
    <x v="0"/>
    <x v="2"/>
    <x v="21"/>
    <x v="0"/>
    <x v="1"/>
    <n v="0"/>
    <n v="0"/>
    <n v="0"/>
    <x v="2"/>
  </r>
  <r>
    <x v="11"/>
    <x v="1"/>
    <x v="0"/>
    <x v="2"/>
    <x v="22"/>
    <x v="0"/>
    <x v="1"/>
    <n v="5.68"/>
    <n v="37692.82"/>
    <n v="165265.14000000001"/>
    <x v="2"/>
  </r>
  <r>
    <x v="11"/>
    <x v="1"/>
    <x v="0"/>
    <x v="2"/>
    <x v="29"/>
    <x v="0"/>
    <x v="1"/>
    <n v="3.93"/>
    <n v="26079.72"/>
    <n v="114296.07"/>
    <x v="2"/>
  </r>
  <r>
    <x v="11"/>
    <x v="1"/>
    <x v="0"/>
    <x v="2"/>
    <x v="24"/>
    <x v="0"/>
    <x v="1"/>
    <n v="2.2799999999999998"/>
    <n v="15130.22"/>
    <n v="66352.94"/>
    <x v="2"/>
  </r>
  <r>
    <x v="11"/>
    <x v="1"/>
    <x v="0"/>
    <x v="3"/>
    <x v="25"/>
    <x v="0"/>
    <x v="1"/>
    <n v="2.42"/>
    <n v="16059.27"/>
    <n v="70565.990000000005"/>
    <x v="2"/>
  </r>
  <r>
    <x v="11"/>
    <x v="1"/>
    <x v="0"/>
    <x v="3"/>
    <x v="26"/>
    <x v="0"/>
    <x v="1"/>
    <n v="1.85"/>
    <n v="12276.71"/>
    <n v="53805.99"/>
    <x v="2"/>
  </r>
  <r>
    <x v="11"/>
    <x v="1"/>
    <x v="0"/>
    <x v="3"/>
    <x v="27"/>
    <x v="0"/>
    <x v="1"/>
    <n v="13.16"/>
    <n v="87330.55"/>
    <n v="383172.9"/>
    <x v="2"/>
  </r>
  <r>
    <x v="11"/>
    <x v="1"/>
    <x v="0"/>
    <x v="0"/>
    <x v="0"/>
    <x v="1"/>
    <x v="0"/>
    <n v="6.75"/>
    <n v="44793.41"/>
    <n v="128582.33"/>
    <x v="2"/>
  </r>
  <r>
    <x v="11"/>
    <x v="1"/>
    <x v="0"/>
    <x v="0"/>
    <x v="1"/>
    <x v="1"/>
    <x v="0"/>
    <n v="13.04"/>
    <n v="86534.22"/>
    <n v="244094.07"/>
    <x v="2"/>
  </r>
  <r>
    <x v="11"/>
    <x v="1"/>
    <x v="0"/>
    <x v="0"/>
    <x v="2"/>
    <x v="1"/>
    <x v="0"/>
    <n v="4.88"/>
    <n v="32383.97"/>
    <n v="88194.26"/>
    <x v="2"/>
  </r>
  <r>
    <x v="11"/>
    <x v="1"/>
    <x v="0"/>
    <x v="0"/>
    <x v="3"/>
    <x v="1"/>
    <x v="0"/>
    <n v="17.260000000000002"/>
    <n v="114538.4"/>
    <n v="324613.15000000002"/>
    <x v="2"/>
  </r>
  <r>
    <x v="11"/>
    <x v="1"/>
    <x v="0"/>
    <x v="0"/>
    <x v="28"/>
    <x v="1"/>
    <x v="0"/>
    <n v="0"/>
    <n v="0"/>
    <n v="0"/>
    <x v="2"/>
  </r>
  <r>
    <x v="11"/>
    <x v="1"/>
    <x v="0"/>
    <x v="0"/>
    <x v="4"/>
    <x v="1"/>
    <x v="0"/>
    <n v="7.14"/>
    <n v="47381.47"/>
    <n v="133100.48000000001"/>
    <x v="2"/>
  </r>
  <r>
    <x v="11"/>
    <x v="1"/>
    <x v="0"/>
    <x v="0"/>
    <x v="5"/>
    <x v="1"/>
    <x v="0"/>
    <n v="1.55"/>
    <n v="10285.89"/>
    <n v="29782.51"/>
    <x v="2"/>
  </r>
  <r>
    <x v="11"/>
    <x v="1"/>
    <x v="0"/>
    <x v="0"/>
    <x v="6"/>
    <x v="1"/>
    <x v="0"/>
    <n v="0"/>
    <n v="0"/>
    <n v="0"/>
    <x v="2"/>
  </r>
  <r>
    <x v="11"/>
    <x v="1"/>
    <x v="0"/>
    <x v="0"/>
    <x v="7"/>
    <x v="1"/>
    <x v="0"/>
    <n v="0"/>
    <n v="0"/>
    <n v="0"/>
    <x v="2"/>
  </r>
  <r>
    <x v="11"/>
    <x v="1"/>
    <x v="0"/>
    <x v="0"/>
    <x v="8"/>
    <x v="1"/>
    <x v="0"/>
    <n v="0"/>
    <n v="0"/>
    <n v="0"/>
    <x v="2"/>
  </r>
  <r>
    <x v="11"/>
    <x v="1"/>
    <x v="0"/>
    <x v="1"/>
    <x v="30"/>
    <x v="1"/>
    <x v="0"/>
    <n v="3.11"/>
    <n v="20638.150000000001"/>
    <n v="62417.51"/>
    <x v="2"/>
  </r>
  <r>
    <x v="11"/>
    <x v="1"/>
    <x v="0"/>
    <x v="1"/>
    <x v="9"/>
    <x v="1"/>
    <x v="0"/>
    <n v="0"/>
    <n v="0"/>
    <n v="0"/>
    <x v="2"/>
  </r>
  <r>
    <x v="11"/>
    <x v="1"/>
    <x v="0"/>
    <x v="1"/>
    <x v="31"/>
    <x v="1"/>
    <x v="0"/>
    <n v="4.05"/>
    <n v="26876.04"/>
    <n v="81946.23"/>
    <x v="2"/>
  </r>
  <r>
    <x v="11"/>
    <x v="1"/>
    <x v="0"/>
    <x v="1"/>
    <x v="10"/>
    <x v="1"/>
    <x v="0"/>
    <n v="10.09"/>
    <n v="66957.850000000006"/>
    <n v="200254.81"/>
    <x v="2"/>
  </r>
  <r>
    <x v="11"/>
    <x v="1"/>
    <x v="0"/>
    <x v="1"/>
    <x v="11"/>
    <x v="1"/>
    <x v="0"/>
    <n v="10.27"/>
    <n v="68152.34"/>
    <n v="194397.72"/>
    <x v="2"/>
  </r>
  <r>
    <x v="11"/>
    <x v="1"/>
    <x v="0"/>
    <x v="1"/>
    <x v="12"/>
    <x v="1"/>
    <x v="0"/>
    <n v="2.64"/>
    <n v="17519.2"/>
    <n v="52620.77"/>
    <x v="2"/>
  </r>
  <r>
    <x v="11"/>
    <x v="1"/>
    <x v="0"/>
    <x v="1"/>
    <x v="13"/>
    <x v="1"/>
    <x v="0"/>
    <n v="2.69"/>
    <n v="17851"/>
    <n v="53348.3"/>
    <x v="2"/>
  </r>
  <r>
    <x v="11"/>
    <x v="1"/>
    <x v="0"/>
    <x v="1"/>
    <x v="14"/>
    <x v="1"/>
    <x v="0"/>
    <n v="14.01"/>
    <n v="92971.199999999997"/>
    <n v="272525.49"/>
    <x v="2"/>
  </r>
  <r>
    <x v="11"/>
    <x v="1"/>
    <x v="0"/>
    <x v="1"/>
    <x v="15"/>
    <x v="1"/>
    <x v="0"/>
    <n v="3.32"/>
    <n v="22031.72"/>
    <n v="66726.509999999995"/>
    <x v="2"/>
  </r>
  <r>
    <x v="11"/>
    <x v="1"/>
    <x v="0"/>
    <x v="1"/>
    <x v="16"/>
    <x v="1"/>
    <x v="0"/>
    <n v="6.57"/>
    <n v="43598.91"/>
    <n v="125831.98"/>
    <x v="2"/>
  </r>
  <r>
    <x v="11"/>
    <x v="1"/>
    <x v="0"/>
    <x v="1"/>
    <x v="17"/>
    <x v="1"/>
    <x v="0"/>
    <n v="9.2200000000000006"/>
    <n v="61184.47"/>
    <n v="178287.46"/>
    <x v="2"/>
  </r>
  <r>
    <x v="11"/>
    <x v="1"/>
    <x v="0"/>
    <x v="1"/>
    <x v="18"/>
    <x v="1"/>
    <x v="0"/>
    <n v="8.49"/>
    <n v="56340.15"/>
    <n v="171870.49"/>
    <x v="2"/>
  </r>
  <r>
    <x v="11"/>
    <x v="1"/>
    <x v="0"/>
    <x v="1"/>
    <x v="19"/>
    <x v="1"/>
    <x v="0"/>
    <n v="17.29"/>
    <n v="114737.48"/>
    <n v="339179.11"/>
    <x v="2"/>
  </r>
  <r>
    <x v="11"/>
    <x v="1"/>
    <x v="0"/>
    <x v="1"/>
    <x v="20"/>
    <x v="1"/>
    <x v="0"/>
    <n v="7.31"/>
    <n v="48509.599999999999"/>
    <n v="141169"/>
    <x v="2"/>
  </r>
  <r>
    <x v="11"/>
    <x v="1"/>
    <x v="0"/>
    <x v="2"/>
    <x v="21"/>
    <x v="1"/>
    <x v="0"/>
    <n v="0"/>
    <n v="0"/>
    <n v="0"/>
    <x v="2"/>
  </r>
  <r>
    <x v="11"/>
    <x v="1"/>
    <x v="0"/>
    <x v="2"/>
    <x v="22"/>
    <x v="1"/>
    <x v="0"/>
    <n v="7.58"/>
    <n v="50301.33"/>
    <n v="134424.79999999999"/>
    <x v="2"/>
  </r>
  <r>
    <x v="11"/>
    <x v="1"/>
    <x v="0"/>
    <x v="2"/>
    <x v="29"/>
    <x v="1"/>
    <x v="0"/>
    <n v="0"/>
    <n v="0"/>
    <n v="0"/>
    <x v="2"/>
  </r>
  <r>
    <x v="11"/>
    <x v="1"/>
    <x v="0"/>
    <x v="2"/>
    <x v="23"/>
    <x v="1"/>
    <x v="0"/>
    <n v="0"/>
    <n v="0"/>
    <n v="0"/>
    <x v="2"/>
  </r>
  <r>
    <x v="11"/>
    <x v="1"/>
    <x v="0"/>
    <x v="2"/>
    <x v="24"/>
    <x v="1"/>
    <x v="0"/>
    <n v="2.04"/>
    <n v="13537.56"/>
    <n v="36854.81"/>
    <x v="2"/>
  </r>
  <r>
    <x v="11"/>
    <x v="1"/>
    <x v="0"/>
    <x v="3"/>
    <x v="25"/>
    <x v="1"/>
    <x v="0"/>
    <n v="9.08"/>
    <n v="60255.42"/>
    <n v="181118.41"/>
    <x v="2"/>
  </r>
  <r>
    <x v="11"/>
    <x v="1"/>
    <x v="0"/>
    <x v="3"/>
    <x v="26"/>
    <x v="1"/>
    <x v="0"/>
    <n v="6.29"/>
    <n v="41740.82"/>
    <n v="126310.6"/>
    <x v="2"/>
  </r>
  <r>
    <x v="11"/>
    <x v="1"/>
    <x v="0"/>
    <x v="3"/>
    <x v="27"/>
    <x v="1"/>
    <x v="0"/>
    <n v="15.39"/>
    <n v="102128.96000000001"/>
    <n v="303253.08"/>
    <x v="2"/>
  </r>
  <r>
    <x v="11"/>
    <x v="1"/>
    <x v="0"/>
    <x v="0"/>
    <x v="0"/>
    <x v="1"/>
    <x v="1"/>
    <n v="11.4"/>
    <n v="75651.08"/>
    <n v="217087.05"/>
    <x v="2"/>
  </r>
  <r>
    <x v="11"/>
    <x v="1"/>
    <x v="0"/>
    <x v="0"/>
    <x v="1"/>
    <x v="1"/>
    <x v="1"/>
    <n v="24.43"/>
    <n v="162118.95000000001"/>
    <n v="457269.56"/>
    <x v="2"/>
  </r>
  <r>
    <x v="11"/>
    <x v="1"/>
    <x v="0"/>
    <x v="0"/>
    <x v="2"/>
    <x v="1"/>
    <x v="1"/>
    <n v="14.72"/>
    <n v="97682.8"/>
    <n v="266157.68"/>
    <x v="2"/>
  </r>
  <r>
    <x v="11"/>
    <x v="1"/>
    <x v="0"/>
    <x v="0"/>
    <x v="3"/>
    <x v="1"/>
    <x v="1"/>
    <n v="49.62"/>
    <n v="329281.3"/>
    <n v="933262.81"/>
    <x v="2"/>
  </r>
  <r>
    <x v="11"/>
    <x v="1"/>
    <x v="0"/>
    <x v="0"/>
    <x v="28"/>
    <x v="1"/>
    <x v="1"/>
    <n v="2.2599999999999998"/>
    <n v="14997.5"/>
    <n v="42957.63"/>
    <x v="2"/>
  </r>
  <r>
    <x v="11"/>
    <x v="1"/>
    <x v="0"/>
    <x v="0"/>
    <x v="4"/>
    <x v="1"/>
    <x v="1"/>
    <n v="9.98"/>
    <n v="66227.88"/>
    <n v="185999.38"/>
    <x v="2"/>
  </r>
  <r>
    <x v="11"/>
    <x v="1"/>
    <x v="0"/>
    <x v="0"/>
    <x v="5"/>
    <x v="1"/>
    <x v="1"/>
    <n v="27.58"/>
    <n v="183022.53"/>
    <n v="529077.61"/>
    <x v="2"/>
  </r>
  <r>
    <x v="11"/>
    <x v="1"/>
    <x v="0"/>
    <x v="0"/>
    <x v="6"/>
    <x v="1"/>
    <x v="1"/>
    <n v="3.23"/>
    <n v="21434.47"/>
    <n v="61825.85"/>
    <x v="2"/>
  </r>
  <r>
    <x v="11"/>
    <x v="1"/>
    <x v="0"/>
    <x v="0"/>
    <x v="7"/>
    <x v="1"/>
    <x v="1"/>
    <n v="6.66"/>
    <n v="44196.160000000003"/>
    <n v="129532.42"/>
    <x v="2"/>
  </r>
  <r>
    <x v="11"/>
    <x v="1"/>
    <x v="0"/>
    <x v="0"/>
    <x v="8"/>
    <x v="1"/>
    <x v="1"/>
    <n v="4.47"/>
    <n v="29663.19"/>
    <n v="82865.67"/>
    <x v="2"/>
  </r>
  <r>
    <x v="11"/>
    <x v="1"/>
    <x v="0"/>
    <x v="1"/>
    <x v="30"/>
    <x v="1"/>
    <x v="1"/>
    <n v="0"/>
    <n v="0"/>
    <n v="0"/>
    <x v="2"/>
  </r>
  <r>
    <x v="11"/>
    <x v="1"/>
    <x v="0"/>
    <x v="1"/>
    <x v="9"/>
    <x v="1"/>
    <x v="1"/>
    <n v="5.09"/>
    <n v="33777.550000000003"/>
    <n v="101951.25"/>
    <x v="2"/>
  </r>
  <r>
    <x v="11"/>
    <x v="1"/>
    <x v="0"/>
    <x v="1"/>
    <x v="31"/>
    <x v="1"/>
    <x v="1"/>
    <n v="0"/>
    <n v="0"/>
    <n v="0"/>
    <x v="2"/>
  </r>
  <r>
    <x v="11"/>
    <x v="1"/>
    <x v="0"/>
    <x v="1"/>
    <x v="10"/>
    <x v="1"/>
    <x v="1"/>
    <n v="32.799999999999997"/>
    <n v="217662.77"/>
    <n v="651279.16"/>
    <x v="2"/>
  </r>
  <r>
    <x v="11"/>
    <x v="1"/>
    <x v="0"/>
    <x v="1"/>
    <x v="11"/>
    <x v="1"/>
    <x v="1"/>
    <n v="32.979999999999997"/>
    <n v="218857.26"/>
    <n v="624118.99"/>
    <x v="2"/>
  </r>
  <r>
    <x v="11"/>
    <x v="1"/>
    <x v="0"/>
    <x v="1"/>
    <x v="12"/>
    <x v="1"/>
    <x v="1"/>
    <n v="2.74"/>
    <n v="18182.8"/>
    <n v="54500.08"/>
    <x v="2"/>
  </r>
  <r>
    <x v="11"/>
    <x v="1"/>
    <x v="0"/>
    <x v="1"/>
    <x v="13"/>
    <x v="1"/>
    <x v="1"/>
    <n v="12.15"/>
    <n v="80628.13"/>
    <n v="240927.83"/>
    <x v="2"/>
  </r>
  <r>
    <x v="11"/>
    <x v="1"/>
    <x v="0"/>
    <x v="1"/>
    <x v="14"/>
    <x v="1"/>
    <x v="1"/>
    <n v="8.2100000000000009"/>
    <n v="54482.05"/>
    <n v="159696.47"/>
    <x v="2"/>
  </r>
  <r>
    <x v="11"/>
    <x v="1"/>
    <x v="0"/>
    <x v="1"/>
    <x v="15"/>
    <x v="1"/>
    <x v="1"/>
    <n v="1.84"/>
    <n v="12210.35"/>
    <n v="37070.28"/>
    <x v="2"/>
  </r>
  <r>
    <x v="11"/>
    <x v="1"/>
    <x v="0"/>
    <x v="1"/>
    <x v="16"/>
    <x v="1"/>
    <x v="1"/>
    <n v="13.6"/>
    <n v="90250.42"/>
    <n v="260494.28"/>
    <x v="2"/>
  </r>
  <r>
    <x v="11"/>
    <x v="1"/>
    <x v="0"/>
    <x v="1"/>
    <x v="17"/>
    <x v="1"/>
    <x v="1"/>
    <n v="6.09"/>
    <n v="40413.61"/>
    <n v="117704.34"/>
    <x v="2"/>
  </r>
  <r>
    <x v="11"/>
    <x v="1"/>
    <x v="0"/>
    <x v="1"/>
    <x v="18"/>
    <x v="1"/>
    <x v="1"/>
    <n v="23.54"/>
    <n v="156212.85"/>
    <n v="476326.77"/>
    <x v="2"/>
  </r>
  <r>
    <x v="11"/>
    <x v="1"/>
    <x v="0"/>
    <x v="1"/>
    <x v="19"/>
    <x v="1"/>
    <x v="1"/>
    <n v="17.87"/>
    <n v="118586.39"/>
    <n v="350715.81"/>
    <x v="2"/>
  </r>
  <r>
    <x v="11"/>
    <x v="1"/>
    <x v="0"/>
    <x v="1"/>
    <x v="20"/>
    <x v="1"/>
    <x v="1"/>
    <n v="27.16"/>
    <n v="180235.39"/>
    <n v="524341.99"/>
    <x v="2"/>
  </r>
  <r>
    <x v="11"/>
    <x v="1"/>
    <x v="0"/>
    <x v="2"/>
    <x v="21"/>
    <x v="1"/>
    <x v="1"/>
    <n v="1.17"/>
    <n v="7764.19"/>
    <n v="20752.32"/>
    <x v="2"/>
  </r>
  <r>
    <x v="11"/>
    <x v="1"/>
    <x v="0"/>
    <x v="2"/>
    <x v="22"/>
    <x v="1"/>
    <x v="1"/>
    <n v="18.010000000000002"/>
    <n v="119515.44"/>
    <n v="319258.90999999997"/>
    <x v="2"/>
  </r>
  <r>
    <x v="11"/>
    <x v="1"/>
    <x v="0"/>
    <x v="2"/>
    <x v="29"/>
    <x v="1"/>
    <x v="1"/>
    <n v="2.88"/>
    <n v="19111.849999999999"/>
    <n v="54163.14"/>
    <x v="2"/>
  </r>
  <r>
    <x v="11"/>
    <x v="1"/>
    <x v="0"/>
    <x v="2"/>
    <x v="23"/>
    <x v="1"/>
    <x v="1"/>
    <n v="2.98"/>
    <n v="19775.46"/>
    <n v="55071.09"/>
    <x v="2"/>
  </r>
  <r>
    <x v="11"/>
    <x v="1"/>
    <x v="0"/>
    <x v="2"/>
    <x v="24"/>
    <x v="1"/>
    <x v="1"/>
    <n v="1.88"/>
    <n v="12475.79"/>
    <n v="33906.42"/>
    <x v="2"/>
  </r>
  <r>
    <x v="11"/>
    <x v="1"/>
    <x v="0"/>
    <x v="3"/>
    <x v="25"/>
    <x v="1"/>
    <x v="1"/>
    <n v="12.51"/>
    <n v="83017.11"/>
    <n v="249499.85"/>
    <x v="2"/>
  </r>
  <r>
    <x v="11"/>
    <x v="1"/>
    <x v="0"/>
    <x v="3"/>
    <x v="26"/>
    <x v="1"/>
    <x v="1"/>
    <n v="26.91"/>
    <n v="178576.37"/>
    <n v="540535.06999999995"/>
    <x v="2"/>
  </r>
  <r>
    <x v="11"/>
    <x v="1"/>
    <x v="0"/>
    <x v="3"/>
    <x v="27"/>
    <x v="1"/>
    <x v="1"/>
    <n v="36.840000000000003"/>
    <n v="244472.45"/>
    <n v="726074.53"/>
    <x v="2"/>
  </r>
  <r>
    <x v="11"/>
    <x v="1"/>
    <x v="1"/>
    <x v="0"/>
    <x v="0"/>
    <x v="0"/>
    <x v="0"/>
    <n v="2.31"/>
    <n v="6289.62"/>
    <n v="22247.69"/>
    <x v="2"/>
  </r>
  <r>
    <x v="11"/>
    <x v="1"/>
    <x v="1"/>
    <x v="0"/>
    <x v="1"/>
    <x v="0"/>
    <x v="0"/>
    <n v="2.46"/>
    <n v="6698.04"/>
    <n v="23678.1"/>
    <x v="2"/>
  </r>
  <r>
    <x v="11"/>
    <x v="1"/>
    <x v="1"/>
    <x v="0"/>
    <x v="2"/>
    <x v="0"/>
    <x v="0"/>
    <n v="0"/>
    <n v="0"/>
    <n v="0"/>
    <x v="2"/>
  </r>
  <r>
    <x v="11"/>
    <x v="1"/>
    <x v="1"/>
    <x v="0"/>
    <x v="3"/>
    <x v="0"/>
    <x v="0"/>
    <n v="3"/>
    <n v="8168.34"/>
    <n v="28872.04"/>
    <x v="2"/>
  </r>
  <r>
    <x v="11"/>
    <x v="1"/>
    <x v="1"/>
    <x v="0"/>
    <x v="4"/>
    <x v="0"/>
    <x v="0"/>
    <n v="0"/>
    <n v="0"/>
    <n v="0"/>
    <x v="2"/>
  </r>
  <r>
    <x v="11"/>
    <x v="1"/>
    <x v="1"/>
    <x v="0"/>
    <x v="5"/>
    <x v="0"/>
    <x v="0"/>
    <n v="0"/>
    <n v="0"/>
    <n v="0"/>
    <x v="2"/>
  </r>
  <r>
    <x v="11"/>
    <x v="1"/>
    <x v="1"/>
    <x v="0"/>
    <x v="6"/>
    <x v="0"/>
    <x v="0"/>
    <n v="0"/>
    <n v="0"/>
    <n v="0"/>
    <x v="2"/>
  </r>
  <r>
    <x v="11"/>
    <x v="1"/>
    <x v="1"/>
    <x v="0"/>
    <x v="8"/>
    <x v="0"/>
    <x v="0"/>
    <n v="0"/>
    <n v="0"/>
    <n v="0"/>
    <x v="2"/>
  </r>
  <r>
    <x v="11"/>
    <x v="1"/>
    <x v="1"/>
    <x v="1"/>
    <x v="10"/>
    <x v="0"/>
    <x v="0"/>
    <n v="1.01"/>
    <n v="2750.01"/>
    <n v="9686.43"/>
    <x v="2"/>
  </r>
  <r>
    <x v="11"/>
    <x v="1"/>
    <x v="1"/>
    <x v="1"/>
    <x v="11"/>
    <x v="0"/>
    <x v="0"/>
    <n v="0"/>
    <n v="0"/>
    <n v="0"/>
    <x v="2"/>
  </r>
  <r>
    <x v="11"/>
    <x v="1"/>
    <x v="1"/>
    <x v="1"/>
    <x v="13"/>
    <x v="0"/>
    <x v="0"/>
    <n v="0"/>
    <n v="0"/>
    <n v="0"/>
    <x v="2"/>
  </r>
  <r>
    <x v="11"/>
    <x v="1"/>
    <x v="1"/>
    <x v="1"/>
    <x v="14"/>
    <x v="0"/>
    <x v="0"/>
    <n v="0"/>
    <n v="0"/>
    <n v="0"/>
    <x v="2"/>
  </r>
  <r>
    <x v="11"/>
    <x v="1"/>
    <x v="1"/>
    <x v="1"/>
    <x v="16"/>
    <x v="0"/>
    <x v="0"/>
    <n v="0"/>
    <n v="0"/>
    <n v="0"/>
    <x v="2"/>
  </r>
  <r>
    <x v="11"/>
    <x v="1"/>
    <x v="1"/>
    <x v="1"/>
    <x v="17"/>
    <x v="0"/>
    <x v="0"/>
    <n v="0"/>
    <n v="0"/>
    <n v="0"/>
    <x v="2"/>
  </r>
  <r>
    <x v="11"/>
    <x v="1"/>
    <x v="1"/>
    <x v="1"/>
    <x v="18"/>
    <x v="0"/>
    <x v="0"/>
    <n v="0"/>
    <n v="0"/>
    <n v="0"/>
    <x v="2"/>
  </r>
  <r>
    <x v="11"/>
    <x v="1"/>
    <x v="1"/>
    <x v="1"/>
    <x v="19"/>
    <x v="0"/>
    <x v="0"/>
    <n v="0"/>
    <n v="0"/>
    <n v="0"/>
    <x v="2"/>
  </r>
  <r>
    <x v="11"/>
    <x v="1"/>
    <x v="1"/>
    <x v="1"/>
    <x v="20"/>
    <x v="0"/>
    <x v="0"/>
    <n v="1.1399999999999999"/>
    <n v="3103.97"/>
    <n v="11016.9"/>
    <x v="2"/>
  </r>
  <r>
    <x v="11"/>
    <x v="1"/>
    <x v="1"/>
    <x v="2"/>
    <x v="21"/>
    <x v="0"/>
    <x v="0"/>
    <n v="1.27"/>
    <n v="3457.93"/>
    <n v="12233.5"/>
    <x v="2"/>
  </r>
  <r>
    <x v="11"/>
    <x v="1"/>
    <x v="1"/>
    <x v="2"/>
    <x v="22"/>
    <x v="0"/>
    <x v="0"/>
    <n v="0"/>
    <n v="0"/>
    <n v="0"/>
    <x v="2"/>
  </r>
  <r>
    <x v="11"/>
    <x v="1"/>
    <x v="1"/>
    <x v="2"/>
    <x v="29"/>
    <x v="0"/>
    <x v="0"/>
    <n v="0"/>
    <n v="0"/>
    <n v="0"/>
    <x v="2"/>
  </r>
  <r>
    <x v="11"/>
    <x v="1"/>
    <x v="1"/>
    <x v="2"/>
    <x v="24"/>
    <x v="0"/>
    <x v="0"/>
    <n v="0"/>
    <n v="0"/>
    <n v="0"/>
    <x v="2"/>
  </r>
  <r>
    <x v="11"/>
    <x v="1"/>
    <x v="1"/>
    <x v="3"/>
    <x v="25"/>
    <x v="0"/>
    <x v="0"/>
    <n v="0"/>
    <n v="0"/>
    <n v="0"/>
    <x v="2"/>
  </r>
  <r>
    <x v="11"/>
    <x v="1"/>
    <x v="1"/>
    <x v="3"/>
    <x v="26"/>
    <x v="0"/>
    <x v="0"/>
    <n v="1.84"/>
    <n v="5009.92"/>
    <n v="17673.87"/>
    <x v="2"/>
  </r>
  <r>
    <x v="11"/>
    <x v="1"/>
    <x v="1"/>
    <x v="3"/>
    <x v="27"/>
    <x v="0"/>
    <x v="0"/>
    <n v="1.77"/>
    <n v="4819.32"/>
    <n v="17062.23"/>
    <x v="2"/>
  </r>
  <r>
    <x v="11"/>
    <x v="1"/>
    <x v="1"/>
    <x v="0"/>
    <x v="0"/>
    <x v="0"/>
    <x v="1"/>
    <n v="1.8"/>
    <n v="4901"/>
    <n v="17303.759999999998"/>
    <x v="2"/>
  </r>
  <r>
    <x v="11"/>
    <x v="1"/>
    <x v="1"/>
    <x v="0"/>
    <x v="1"/>
    <x v="0"/>
    <x v="1"/>
    <n v="4.22"/>
    <n v="11490.13"/>
    <n v="40632.78"/>
    <x v="2"/>
  </r>
  <r>
    <x v="11"/>
    <x v="1"/>
    <x v="1"/>
    <x v="0"/>
    <x v="2"/>
    <x v="0"/>
    <x v="1"/>
    <n v="2.2200000000000002"/>
    <n v="6044.57"/>
    <n v="21349.06"/>
    <x v="2"/>
  </r>
  <r>
    <x v="11"/>
    <x v="1"/>
    <x v="1"/>
    <x v="0"/>
    <x v="3"/>
    <x v="0"/>
    <x v="1"/>
    <n v="8.57"/>
    <n v="23334.22"/>
    <n v="82491.539999999994"/>
    <x v="2"/>
  </r>
  <r>
    <x v="11"/>
    <x v="1"/>
    <x v="1"/>
    <x v="0"/>
    <x v="4"/>
    <x v="0"/>
    <x v="1"/>
    <n v="1.58"/>
    <n v="4301.99"/>
    <n v="15204.92"/>
    <x v="2"/>
  </r>
  <r>
    <x v="11"/>
    <x v="1"/>
    <x v="1"/>
    <x v="0"/>
    <x v="5"/>
    <x v="0"/>
    <x v="1"/>
    <n v="3.07"/>
    <n v="8358.93"/>
    <n v="29513.22"/>
    <x v="2"/>
  </r>
  <r>
    <x v="11"/>
    <x v="1"/>
    <x v="1"/>
    <x v="0"/>
    <x v="6"/>
    <x v="0"/>
    <x v="1"/>
    <n v="1.1200000000000001"/>
    <n v="3049.51"/>
    <n v="10752.31"/>
    <x v="2"/>
  </r>
  <r>
    <x v="11"/>
    <x v="1"/>
    <x v="1"/>
    <x v="0"/>
    <x v="8"/>
    <x v="0"/>
    <x v="1"/>
    <n v="2.0099999999999998"/>
    <n v="5472.79"/>
    <n v="19328.59"/>
    <x v="2"/>
  </r>
  <r>
    <x v="11"/>
    <x v="1"/>
    <x v="1"/>
    <x v="1"/>
    <x v="10"/>
    <x v="0"/>
    <x v="1"/>
    <n v="2.92"/>
    <n v="7950.52"/>
    <n v="28090.66"/>
    <x v="2"/>
  </r>
  <r>
    <x v="11"/>
    <x v="1"/>
    <x v="1"/>
    <x v="1"/>
    <x v="11"/>
    <x v="0"/>
    <x v="1"/>
    <n v="5.21"/>
    <n v="14185.68"/>
    <n v="50201.86"/>
    <x v="2"/>
  </r>
  <r>
    <x v="11"/>
    <x v="1"/>
    <x v="1"/>
    <x v="1"/>
    <x v="13"/>
    <x v="0"/>
    <x v="1"/>
    <n v="1.81"/>
    <n v="4928.2299999999996"/>
    <n v="17418.439999999999"/>
    <x v="2"/>
  </r>
  <r>
    <x v="11"/>
    <x v="1"/>
    <x v="1"/>
    <x v="1"/>
    <x v="14"/>
    <x v="0"/>
    <x v="1"/>
    <n v="1.55"/>
    <n v="4220.3100000000004"/>
    <n v="14900.39"/>
    <x v="2"/>
  </r>
  <r>
    <x v="11"/>
    <x v="1"/>
    <x v="1"/>
    <x v="1"/>
    <x v="16"/>
    <x v="0"/>
    <x v="1"/>
    <n v="1.3"/>
    <n v="3539.61"/>
    <n v="12556.93"/>
    <x v="2"/>
  </r>
  <r>
    <x v="11"/>
    <x v="1"/>
    <x v="1"/>
    <x v="1"/>
    <x v="17"/>
    <x v="0"/>
    <x v="1"/>
    <n v="0.51"/>
    <n v="1388.62"/>
    <n v="4889.29"/>
    <x v="2"/>
  </r>
  <r>
    <x v="11"/>
    <x v="1"/>
    <x v="1"/>
    <x v="1"/>
    <x v="18"/>
    <x v="0"/>
    <x v="1"/>
    <n v="7.72"/>
    <n v="21019.86"/>
    <n v="74275.95"/>
    <x v="2"/>
  </r>
  <r>
    <x v="11"/>
    <x v="1"/>
    <x v="1"/>
    <x v="1"/>
    <x v="19"/>
    <x v="0"/>
    <x v="1"/>
    <n v="2.23"/>
    <n v="6071.8"/>
    <n v="21442.7"/>
    <x v="2"/>
  </r>
  <r>
    <x v="11"/>
    <x v="1"/>
    <x v="1"/>
    <x v="1"/>
    <x v="20"/>
    <x v="0"/>
    <x v="1"/>
    <n v="8.68"/>
    <n v="23633.73"/>
    <n v="83544.83"/>
    <x v="2"/>
  </r>
  <r>
    <x v="11"/>
    <x v="1"/>
    <x v="1"/>
    <x v="2"/>
    <x v="21"/>
    <x v="0"/>
    <x v="1"/>
    <n v="0"/>
    <n v="0"/>
    <n v="0"/>
    <x v="2"/>
  </r>
  <r>
    <x v="11"/>
    <x v="1"/>
    <x v="1"/>
    <x v="2"/>
    <x v="22"/>
    <x v="0"/>
    <x v="1"/>
    <n v="2.98"/>
    <n v="8113.88"/>
    <n v="28674.77"/>
    <x v="2"/>
  </r>
  <r>
    <x v="11"/>
    <x v="1"/>
    <x v="1"/>
    <x v="2"/>
    <x v="29"/>
    <x v="0"/>
    <x v="1"/>
    <n v="2.35"/>
    <n v="6398.53"/>
    <n v="22607.03"/>
    <x v="2"/>
  </r>
  <r>
    <x v="11"/>
    <x v="1"/>
    <x v="1"/>
    <x v="2"/>
    <x v="24"/>
    <x v="0"/>
    <x v="1"/>
    <n v="2.2799999999999998"/>
    <n v="6207.94"/>
    <n v="21979.3"/>
    <x v="2"/>
  </r>
  <r>
    <x v="11"/>
    <x v="1"/>
    <x v="1"/>
    <x v="3"/>
    <x v="25"/>
    <x v="0"/>
    <x v="1"/>
    <n v="1.5"/>
    <n v="4084.17"/>
    <n v="14399.77"/>
    <x v="2"/>
  </r>
  <r>
    <x v="11"/>
    <x v="1"/>
    <x v="1"/>
    <x v="3"/>
    <x v="26"/>
    <x v="0"/>
    <x v="1"/>
    <n v="0.87"/>
    <n v="2368.8200000000002"/>
    <n v="8416.1299999999992"/>
    <x v="2"/>
  </r>
  <r>
    <x v="11"/>
    <x v="1"/>
    <x v="1"/>
    <x v="3"/>
    <x v="27"/>
    <x v="0"/>
    <x v="1"/>
    <n v="6.98"/>
    <n v="19005"/>
    <n v="67182.55"/>
    <x v="2"/>
  </r>
  <r>
    <x v="11"/>
    <x v="1"/>
    <x v="1"/>
    <x v="0"/>
    <x v="0"/>
    <x v="1"/>
    <x v="0"/>
    <n v="4.25"/>
    <n v="11571.82"/>
    <n v="26784.74"/>
    <x v="2"/>
  </r>
  <r>
    <x v="11"/>
    <x v="1"/>
    <x v="1"/>
    <x v="0"/>
    <x v="1"/>
    <x v="1"/>
    <x v="0"/>
    <n v="9.65"/>
    <n v="26274.83"/>
    <n v="59746.47"/>
    <x v="2"/>
  </r>
  <r>
    <x v="11"/>
    <x v="1"/>
    <x v="1"/>
    <x v="0"/>
    <x v="2"/>
    <x v="1"/>
    <x v="0"/>
    <n v="5.19"/>
    <n v="14131.23"/>
    <n v="31030.09"/>
    <x v="2"/>
  </r>
  <r>
    <x v="11"/>
    <x v="1"/>
    <x v="1"/>
    <x v="0"/>
    <x v="3"/>
    <x v="1"/>
    <x v="0"/>
    <n v="5.16"/>
    <n v="14049.54"/>
    <n v="32077.86"/>
    <x v="2"/>
  </r>
  <r>
    <x v="11"/>
    <x v="1"/>
    <x v="1"/>
    <x v="0"/>
    <x v="28"/>
    <x v="1"/>
    <x v="0"/>
    <n v="0"/>
    <n v="0"/>
    <n v="0"/>
    <x v="2"/>
  </r>
  <r>
    <x v="11"/>
    <x v="1"/>
    <x v="1"/>
    <x v="0"/>
    <x v="4"/>
    <x v="1"/>
    <x v="0"/>
    <n v="2.7"/>
    <n v="7351.51"/>
    <n v="16659.79"/>
    <x v="2"/>
  </r>
  <r>
    <x v="11"/>
    <x v="1"/>
    <x v="1"/>
    <x v="0"/>
    <x v="5"/>
    <x v="1"/>
    <x v="0"/>
    <n v="1.03"/>
    <n v="2804.46"/>
    <n v="6559.96"/>
    <x v="2"/>
  </r>
  <r>
    <x v="11"/>
    <x v="1"/>
    <x v="1"/>
    <x v="0"/>
    <x v="6"/>
    <x v="1"/>
    <x v="0"/>
    <n v="0"/>
    <n v="0"/>
    <n v="0"/>
    <x v="2"/>
  </r>
  <r>
    <x v="11"/>
    <x v="1"/>
    <x v="1"/>
    <x v="0"/>
    <x v="7"/>
    <x v="1"/>
    <x v="0"/>
    <n v="0"/>
    <n v="0"/>
    <n v="0"/>
    <x v="2"/>
  </r>
  <r>
    <x v="11"/>
    <x v="1"/>
    <x v="1"/>
    <x v="0"/>
    <x v="8"/>
    <x v="1"/>
    <x v="0"/>
    <n v="0"/>
    <n v="0"/>
    <n v="0"/>
    <x v="2"/>
  </r>
  <r>
    <x v="11"/>
    <x v="1"/>
    <x v="1"/>
    <x v="1"/>
    <x v="30"/>
    <x v="1"/>
    <x v="0"/>
    <n v="0.6"/>
    <n v="1633.67"/>
    <n v="3976.07"/>
    <x v="2"/>
  </r>
  <r>
    <x v="11"/>
    <x v="1"/>
    <x v="1"/>
    <x v="1"/>
    <x v="9"/>
    <x v="1"/>
    <x v="0"/>
    <n v="0"/>
    <n v="0"/>
    <n v="0"/>
    <x v="2"/>
  </r>
  <r>
    <x v="11"/>
    <x v="1"/>
    <x v="1"/>
    <x v="1"/>
    <x v="31"/>
    <x v="1"/>
    <x v="0"/>
    <n v="2.42"/>
    <n v="6589.13"/>
    <n v="16215.75"/>
    <x v="2"/>
  </r>
  <r>
    <x v="11"/>
    <x v="1"/>
    <x v="1"/>
    <x v="1"/>
    <x v="10"/>
    <x v="1"/>
    <x v="0"/>
    <n v="6.34"/>
    <n v="17262.43"/>
    <n v="41655.440000000002"/>
    <x v="2"/>
  </r>
  <r>
    <x v="11"/>
    <x v="1"/>
    <x v="1"/>
    <x v="1"/>
    <x v="11"/>
    <x v="1"/>
    <x v="0"/>
    <n v="4.37"/>
    <n v="11898.55"/>
    <n v="27333.84"/>
    <x v="2"/>
  </r>
  <r>
    <x v="11"/>
    <x v="1"/>
    <x v="1"/>
    <x v="1"/>
    <x v="12"/>
    <x v="1"/>
    <x v="0"/>
    <n v="1.7"/>
    <n v="4628.7299999999996"/>
    <n v="11205.22"/>
    <x v="2"/>
  </r>
  <r>
    <x v="11"/>
    <x v="1"/>
    <x v="1"/>
    <x v="1"/>
    <x v="13"/>
    <x v="1"/>
    <x v="0"/>
    <n v="1.21"/>
    <n v="3294.56"/>
    <n v="7961.29"/>
    <x v="2"/>
  </r>
  <r>
    <x v="11"/>
    <x v="1"/>
    <x v="1"/>
    <x v="1"/>
    <x v="14"/>
    <x v="1"/>
    <x v="0"/>
    <n v="9.1999999999999993"/>
    <n v="25049.58"/>
    <n v="59184.79"/>
    <x v="2"/>
  </r>
  <r>
    <x v="11"/>
    <x v="1"/>
    <x v="1"/>
    <x v="1"/>
    <x v="15"/>
    <x v="1"/>
    <x v="0"/>
    <n v="0.88"/>
    <n v="2396.0500000000002"/>
    <n v="5859.37"/>
    <x v="2"/>
  </r>
  <r>
    <x v="11"/>
    <x v="1"/>
    <x v="1"/>
    <x v="1"/>
    <x v="16"/>
    <x v="1"/>
    <x v="0"/>
    <n v="2.46"/>
    <n v="6698.04"/>
    <n v="15555.68"/>
    <x v="2"/>
  </r>
  <r>
    <x v="11"/>
    <x v="1"/>
    <x v="1"/>
    <x v="1"/>
    <x v="17"/>
    <x v="1"/>
    <x v="0"/>
    <n v="5.77"/>
    <n v="15710.44"/>
    <n v="36897.440000000002"/>
    <x v="2"/>
  </r>
  <r>
    <x v="11"/>
    <x v="1"/>
    <x v="1"/>
    <x v="1"/>
    <x v="18"/>
    <x v="1"/>
    <x v="0"/>
    <n v="6.07"/>
    <n v="16527.27"/>
    <n v="40643.61"/>
    <x v="2"/>
  </r>
  <r>
    <x v="11"/>
    <x v="1"/>
    <x v="1"/>
    <x v="1"/>
    <x v="19"/>
    <x v="1"/>
    <x v="0"/>
    <n v="5.75"/>
    <n v="15655.99"/>
    <n v="37319.120000000003"/>
    <x v="2"/>
  </r>
  <r>
    <x v="11"/>
    <x v="1"/>
    <x v="1"/>
    <x v="1"/>
    <x v="20"/>
    <x v="1"/>
    <x v="0"/>
    <n v="7.24"/>
    <n v="19712.93"/>
    <n v="46239.14"/>
    <x v="2"/>
  </r>
  <r>
    <x v="11"/>
    <x v="1"/>
    <x v="1"/>
    <x v="2"/>
    <x v="21"/>
    <x v="1"/>
    <x v="0"/>
    <n v="0"/>
    <n v="0"/>
    <n v="0"/>
    <x v="2"/>
  </r>
  <r>
    <x v="11"/>
    <x v="1"/>
    <x v="1"/>
    <x v="2"/>
    <x v="22"/>
    <x v="1"/>
    <x v="0"/>
    <n v="2.76"/>
    <n v="7514.87"/>
    <n v="16195.59"/>
    <x v="2"/>
  </r>
  <r>
    <x v="11"/>
    <x v="1"/>
    <x v="1"/>
    <x v="2"/>
    <x v="29"/>
    <x v="1"/>
    <x v="0"/>
    <n v="0"/>
    <n v="0"/>
    <n v="0"/>
    <x v="2"/>
  </r>
  <r>
    <x v="11"/>
    <x v="1"/>
    <x v="1"/>
    <x v="2"/>
    <x v="23"/>
    <x v="1"/>
    <x v="0"/>
    <n v="0"/>
    <n v="0"/>
    <n v="0"/>
    <x v="2"/>
  </r>
  <r>
    <x v="11"/>
    <x v="1"/>
    <x v="1"/>
    <x v="2"/>
    <x v="24"/>
    <x v="1"/>
    <x v="0"/>
    <n v="2.2200000000000002"/>
    <n v="6044.57"/>
    <n v="13244.39"/>
    <x v="2"/>
  </r>
  <r>
    <x v="11"/>
    <x v="1"/>
    <x v="1"/>
    <x v="3"/>
    <x v="25"/>
    <x v="1"/>
    <x v="0"/>
    <n v="3.98"/>
    <n v="10836.66"/>
    <n v="26277.59"/>
    <x v="2"/>
  </r>
  <r>
    <x v="11"/>
    <x v="1"/>
    <x v="1"/>
    <x v="3"/>
    <x v="26"/>
    <x v="1"/>
    <x v="0"/>
    <n v="2.14"/>
    <n v="5826.75"/>
    <n v="14220.14"/>
    <x v="2"/>
  </r>
  <r>
    <x v="11"/>
    <x v="1"/>
    <x v="1"/>
    <x v="3"/>
    <x v="27"/>
    <x v="1"/>
    <x v="0"/>
    <n v="6.62"/>
    <n v="18024.8"/>
    <n v="43115.48"/>
    <x v="2"/>
  </r>
  <r>
    <x v="11"/>
    <x v="1"/>
    <x v="1"/>
    <x v="0"/>
    <x v="0"/>
    <x v="1"/>
    <x v="1"/>
    <n v="8.23"/>
    <n v="22408.48"/>
    <n v="51822.65"/>
    <x v="2"/>
  </r>
  <r>
    <x v="11"/>
    <x v="1"/>
    <x v="1"/>
    <x v="0"/>
    <x v="1"/>
    <x v="1"/>
    <x v="1"/>
    <n v="13.8"/>
    <n v="37574.36"/>
    <n v="85431.86"/>
    <x v="2"/>
  </r>
  <r>
    <x v="11"/>
    <x v="1"/>
    <x v="1"/>
    <x v="0"/>
    <x v="2"/>
    <x v="1"/>
    <x v="1"/>
    <n v="25.52"/>
    <n v="69485.350000000006"/>
    <n v="152564.6"/>
    <x v="2"/>
  </r>
  <r>
    <x v="11"/>
    <x v="1"/>
    <x v="1"/>
    <x v="0"/>
    <x v="3"/>
    <x v="1"/>
    <x v="1"/>
    <n v="17.75"/>
    <n v="48329.35"/>
    <n v="110369.60000000001"/>
    <x v="2"/>
  </r>
  <r>
    <x v="11"/>
    <x v="1"/>
    <x v="1"/>
    <x v="0"/>
    <x v="28"/>
    <x v="1"/>
    <x v="1"/>
    <n v="2.65"/>
    <n v="7215.37"/>
    <n v="16674.95"/>
    <x v="2"/>
  </r>
  <r>
    <x v="11"/>
    <x v="1"/>
    <x v="1"/>
    <x v="0"/>
    <x v="4"/>
    <x v="1"/>
    <x v="1"/>
    <n v="3.1"/>
    <n v="8440.6200000000008"/>
    <n v="19083.03"/>
    <x v="2"/>
  </r>
  <r>
    <x v="11"/>
    <x v="1"/>
    <x v="1"/>
    <x v="0"/>
    <x v="5"/>
    <x v="1"/>
    <x v="1"/>
    <n v="19.52"/>
    <n v="53148.67"/>
    <n v="123819.25"/>
    <x v="2"/>
  </r>
  <r>
    <x v="11"/>
    <x v="1"/>
    <x v="1"/>
    <x v="0"/>
    <x v="6"/>
    <x v="1"/>
    <x v="1"/>
    <n v="3.02"/>
    <n v="8222.7999999999993"/>
    <n v="19125.72"/>
    <x v="2"/>
  </r>
  <r>
    <x v="11"/>
    <x v="1"/>
    <x v="1"/>
    <x v="0"/>
    <x v="7"/>
    <x v="1"/>
    <x v="1"/>
    <n v="2.93"/>
    <n v="7977.75"/>
    <n v="18829.36"/>
    <x v="2"/>
  </r>
  <r>
    <x v="11"/>
    <x v="1"/>
    <x v="1"/>
    <x v="0"/>
    <x v="8"/>
    <x v="1"/>
    <x v="1"/>
    <n v="2.4"/>
    <n v="6534.67"/>
    <n v="14705.06"/>
    <x v="2"/>
  </r>
  <r>
    <x v="11"/>
    <x v="1"/>
    <x v="1"/>
    <x v="1"/>
    <x v="30"/>
    <x v="1"/>
    <x v="1"/>
    <n v="0"/>
    <n v="0"/>
    <n v="0"/>
    <x v="2"/>
  </r>
  <r>
    <x v="11"/>
    <x v="1"/>
    <x v="1"/>
    <x v="1"/>
    <x v="9"/>
    <x v="1"/>
    <x v="1"/>
    <n v="3.15"/>
    <n v="8576.76"/>
    <n v="20884.28"/>
    <x v="2"/>
  </r>
  <r>
    <x v="11"/>
    <x v="1"/>
    <x v="1"/>
    <x v="1"/>
    <x v="31"/>
    <x v="1"/>
    <x v="1"/>
    <n v="0"/>
    <n v="0"/>
    <n v="0"/>
    <x v="2"/>
  </r>
  <r>
    <x v="11"/>
    <x v="1"/>
    <x v="1"/>
    <x v="1"/>
    <x v="10"/>
    <x v="1"/>
    <x v="1"/>
    <n v="17.25"/>
    <n v="46967.96"/>
    <n v="113232.39"/>
    <x v="2"/>
  </r>
  <r>
    <x v="11"/>
    <x v="1"/>
    <x v="1"/>
    <x v="1"/>
    <x v="11"/>
    <x v="1"/>
    <x v="1"/>
    <n v="14.5"/>
    <n v="39480.31"/>
    <n v="90748.34"/>
    <x v="2"/>
  </r>
  <r>
    <x v="11"/>
    <x v="1"/>
    <x v="1"/>
    <x v="1"/>
    <x v="12"/>
    <x v="1"/>
    <x v="1"/>
    <n v="0.81"/>
    <n v="2205.4499999999998"/>
    <n v="5307.74"/>
    <x v="2"/>
  </r>
  <r>
    <x v="11"/>
    <x v="1"/>
    <x v="1"/>
    <x v="1"/>
    <x v="13"/>
    <x v="1"/>
    <x v="1"/>
    <n v="5.73"/>
    <n v="15601.53"/>
    <n v="37531.78"/>
    <x v="2"/>
  </r>
  <r>
    <x v="11"/>
    <x v="1"/>
    <x v="1"/>
    <x v="1"/>
    <x v="14"/>
    <x v="1"/>
    <x v="1"/>
    <n v="4.3"/>
    <n v="11707.95"/>
    <n v="27656.45"/>
    <x v="2"/>
  </r>
  <r>
    <x v="11"/>
    <x v="1"/>
    <x v="1"/>
    <x v="1"/>
    <x v="15"/>
    <x v="1"/>
    <x v="1"/>
    <n v="2.16"/>
    <n v="5881.2"/>
    <n v="14382.09"/>
    <x v="2"/>
  </r>
  <r>
    <x v="11"/>
    <x v="1"/>
    <x v="1"/>
    <x v="1"/>
    <x v="16"/>
    <x v="1"/>
    <x v="1"/>
    <n v="7.21"/>
    <n v="19631.240000000002"/>
    <n v="45663.45"/>
    <x v="2"/>
  </r>
  <r>
    <x v="11"/>
    <x v="1"/>
    <x v="1"/>
    <x v="1"/>
    <x v="17"/>
    <x v="1"/>
    <x v="1"/>
    <n v="2.04"/>
    <n v="5554.47"/>
    <n v="13056.02"/>
    <x v="2"/>
  </r>
  <r>
    <x v="11"/>
    <x v="1"/>
    <x v="1"/>
    <x v="1"/>
    <x v="18"/>
    <x v="1"/>
    <x v="1"/>
    <n v="25.23"/>
    <n v="68695.740000000005"/>
    <n v="168827.3"/>
    <x v="2"/>
  </r>
  <r>
    <x v="11"/>
    <x v="1"/>
    <x v="1"/>
    <x v="1"/>
    <x v="19"/>
    <x v="1"/>
    <x v="1"/>
    <n v="9.91"/>
    <n v="26982.75"/>
    <n v="64303.72"/>
    <x v="2"/>
  </r>
  <r>
    <x v="11"/>
    <x v="1"/>
    <x v="1"/>
    <x v="1"/>
    <x v="20"/>
    <x v="1"/>
    <x v="1"/>
    <n v="16.46"/>
    <n v="44816.959999999999"/>
    <n v="105028.9"/>
    <x v="2"/>
  </r>
  <r>
    <x v="11"/>
    <x v="1"/>
    <x v="1"/>
    <x v="2"/>
    <x v="21"/>
    <x v="1"/>
    <x v="1"/>
    <n v="2.42"/>
    <n v="6589.13"/>
    <n v="14166.37"/>
    <x v="2"/>
  </r>
  <r>
    <x v="11"/>
    <x v="1"/>
    <x v="1"/>
    <x v="2"/>
    <x v="22"/>
    <x v="1"/>
    <x v="1"/>
    <n v="9.5"/>
    <n v="25866.41"/>
    <n v="55672.33"/>
    <x v="2"/>
  </r>
  <r>
    <x v="11"/>
    <x v="1"/>
    <x v="1"/>
    <x v="2"/>
    <x v="29"/>
    <x v="1"/>
    <x v="1"/>
    <n v="2.79"/>
    <n v="7596.56"/>
    <n v="17378.669999999998"/>
    <x v="2"/>
  </r>
  <r>
    <x v="11"/>
    <x v="1"/>
    <x v="1"/>
    <x v="2"/>
    <x v="23"/>
    <x v="1"/>
    <x v="1"/>
    <n v="1.51"/>
    <n v="4111.3999999999996"/>
    <n v="9193.94"/>
    <x v="2"/>
  </r>
  <r>
    <x v="11"/>
    <x v="1"/>
    <x v="1"/>
    <x v="2"/>
    <x v="24"/>
    <x v="1"/>
    <x v="1"/>
    <n v="1.95"/>
    <n v="5309.42"/>
    <n v="11655.06"/>
    <x v="2"/>
  </r>
  <r>
    <x v="11"/>
    <x v="1"/>
    <x v="1"/>
    <x v="3"/>
    <x v="25"/>
    <x v="1"/>
    <x v="1"/>
    <n v="5.37"/>
    <n v="14621.33"/>
    <n v="35417.620000000003"/>
    <x v="2"/>
  </r>
  <r>
    <x v="11"/>
    <x v="1"/>
    <x v="1"/>
    <x v="3"/>
    <x v="26"/>
    <x v="1"/>
    <x v="1"/>
    <n v="17.239999999999998"/>
    <n v="46940.73"/>
    <n v="114509.55"/>
    <x v="2"/>
  </r>
  <r>
    <x v="11"/>
    <x v="1"/>
    <x v="1"/>
    <x v="3"/>
    <x v="27"/>
    <x v="1"/>
    <x v="1"/>
    <n v="20.03"/>
    <n v="54537.279999999999"/>
    <n v="130527.69"/>
    <x v="2"/>
  </r>
  <r>
    <x v="11"/>
    <x v="1"/>
    <x v="2"/>
    <x v="0"/>
    <x v="0"/>
    <x v="0"/>
    <x v="0"/>
    <n v="2.4900000000000002"/>
    <n v="13495.1"/>
    <n v="58313.120000000003"/>
    <x v="2"/>
  </r>
  <r>
    <x v="11"/>
    <x v="1"/>
    <x v="2"/>
    <x v="0"/>
    <x v="1"/>
    <x v="0"/>
    <x v="0"/>
    <n v="4.17"/>
    <n v="22600.23"/>
    <n v="97817.64"/>
    <x v="2"/>
  </r>
  <r>
    <x v="11"/>
    <x v="1"/>
    <x v="2"/>
    <x v="0"/>
    <x v="2"/>
    <x v="0"/>
    <x v="0"/>
    <n v="0"/>
    <n v="0"/>
    <n v="0"/>
    <x v="2"/>
  </r>
  <r>
    <x v="11"/>
    <x v="1"/>
    <x v="2"/>
    <x v="0"/>
    <x v="3"/>
    <x v="0"/>
    <x v="0"/>
    <n v="3.79"/>
    <n v="20540.740000000002"/>
    <n v="88780.6"/>
    <x v="2"/>
  </r>
  <r>
    <x v="11"/>
    <x v="1"/>
    <x v="2"/>
    <x v="0"/>
    <x v="4"/>
    <x v="0"/>
    <x v="0"/>
    <n v="0"/>
    <n v="0"/>
    <n v="0"/>
    <x v="2"/>
  </r>
  <r>
    <x v="11"/>
    <x v="1"/>
    <x v="2"/>
    <x v="0"/>
    <x v="5"/>
    <x v="0"/>
    <x v="0"/>
    <n v="0"/>
    <n v="0"/>
    <n v="0"/>
    <x v="2"/>
  </r>
  <r>
    <x v="11"/>
    <x v="1"/>
    <x v="2"/>
    <x v="0"/>
    <x v="6"/>
    <x v="0"/>
    <x v="0"/>
    <n v="0"/>
    <n v="0"/>
    <n v="0"/>
    <x v="2"/>
  </r>
  <r>
    <x v="11"/>
    <x v="1"/>
    <x v="2"/>
    <x v="0"/>
    <x v="8"/>
    <x v="0"/>
    <x v="0"/>
    <n v="0"/>
    <n v="0"/>
    <n v="0"/>
    <x v="2"/>
  </r>
  <r>
    <x v="11"/>
    <x v="1"/>
    <x v="2"/>
    <x v="1"/>
    <x v="10"/>
    <x v="0"/>
    <x v="0"/>
    <n v="1.69"/>
    <n v="9159.33"/>
    <n v="39627.620000000003"/>
    <x v="2"/>
  </r>
  <r>
    <x v="11"/>
    <x v="1"/>
    <x v="2"/>
    <x v="1"/>
    <x v="11"/>
    <x v="0"/>
    <x v="0"/>
    <n v="0"/>
    <n v="0"/>
    <n v="0"/>
    <x v="2"/>
  </r>
  <r>
    <x v="11"/>
    <x v="1"/>
    <x v="2"/>
    <x v="1"/>
    <x v="13"/>
    <x v="0"/>
    <x v="0"/>
    <n v="0"/>
    <n v="0"/>
    <n v="0"/>
    <x v="2"/>
  </r>
  <r>
    <x v="11"/>
    <x v="1"/>
    <x v="2"/>
    <x v="1"/>
    <x v="14"/>
    <x v="0"/>
    <x v="0"/>
    <n v="0"/>
    <n v="0"/>
    <n v="0"/>
    <x v="2"/>
  </r>
  <r>
    <x v="11"/>
    <x v="1"/>
    <x v="2"/>
    <x v="1"/>
    <x v="16"/>
    <x v="0"/>
    <x v="0"/>
    <n v="0"/>
    <n v="0"/>
    <n v="0"/>
    <x v="2"/>
  </r>
  <r>
    <x v="11"/>
    <x v="1"/>
    <x v="2"/>
    <x v="1"/>
    <x v="17"/>
    <x v="0"/>
    <x v="0"/>
    <n v="0"/>
    <n v="0"/>
    <n v="0"/>
    <x v="2"/>
  </r>
  <r>
    <x v="11"/>
    <x v="1"/>
    <x v="2"/>
    <x v="1"/>
    <x v="18"/>
    <x v="0"/>
    <x v="0"/>
    <n v="0"/>
    <n v="0"/>
    <n v="0"/>
    <x v="2"/>
  </r>
  <r>
    <x v="11"/>
    <x v="1"/>
    <x v="2"/>
    <x v="1"/>
    <x v="19"/>
    <x v="0"/>
    <x v="0"/>
    <n v="0"/>
    <n v="0"/>
    <n v="0"/>
    <x v="2"/>
  </r>
  <r>
    <x v="11"/>
    <x v="1"/>
    <x v="2"/>
    <x v="1"/>
    <x v="20"/>
    <x v="0"/>
    <x v="0"/>
    <n v="2.0699999999999998"/>
    <n v="11218.82"/>
    <n v="48526.89"/>
    <x v="2"/>
  </r>
  <r>
    <x v="11"/>
    <x v="1"/>
    <x v="2"/>
    <x v="2"/>
    <x v="21"/>
    <x v="0"/>
    <x v="0"/>
    <n v="2.89"/>
    <n v="15662.99"/>
    <n v="67714.25"/>
    <x v="2"/>
  </r>
  <r>
    <x v="11"/>
    <x v="1"/>
    <x v="2"/>
    <x v="2"/>
    <x v="22"/>
    <x v="0"/>
    <x v="0"/>
    <n v="0"/>
    <n v="0"/>
    <n v="0"/>
    <x v="2"/>
  </r>
  <r>
    <x v="11"/>
    <x v="1"/>
    <x v="2"/>
    <x v="2"/>
    <x v="29"/>
    <x v="0"/>
    <x v="0"/>
    <n v="0"/>
    <n v="0"/>
    <n v="0"/>
    <x v="2"/>
  </r>
  <r>
    <x v="11"/>
    <x v="1"/>
    <x v="2"/>
    <x v="2"/>
    <x v="24"/>
    <x v="0"/>
    <x v="0"/>
    <n v="0"/>
    <n v="0"/>
    <n v="0"/>
    <x v="2"/>
  </r>
  <r>
    <x v="11"/>
    <x v="1"/>
    <x v="2"/>
    <x v="3"/>
    <x v="25"/>
    <x v="0"/>
    <x v="0"/>
    <n v="0"/>
    <n v="0"/>
    <n v="0"/>
    <x v="2"/>
  </r>
  <r>
    <x v="11"/>
    <x v="1"/>
    <x v="2"/>
    <x v="3"/>
    <x v="26"/>
    <x v="0"/>
    <x v="0"/>
    <n v="2.14"/>
    <n v="11598.2"/>
    <n v="50247.199999999997"/>
    <x v="2"/>
  </r>
  <r>
    <x v="11"/>
    <x v="1"/>
    <x v="2"/>
    <x v="3"/>
    <x v="27"/>
    <x v="0"/>
    <x v="0"/>
    <n v="1.75"/>
    <n v="9484.51"/>
    <n v="40922.1"/>
    <x v="2"/>
  </r>
  <r>
    <x v="11"/>
    <x v="1"/>
    <x v="2"/>
    <x v="0"/>
    <x v="0"/>
    <x v="0"/>
    <x v="1"/>
    <n v="2.59"/>
    <n v="14037.07"/>
    <n v="60645.65"/>
    <x v="2"/>
  </r>
  <r>
    <x v="11"/>
    <x v="1"/>
    <x v="2"/>
    <x v="0"/>
    <x v="1"/>
    <x v="0"/>
    <x v="1"/>
    <n v="7.09"/>
    <n v="38425.81"/>
    <n v="166229.97"/>
    <x v="2"/>
  </r>
  <r>
    <x v="11"/>
    <x v="1"/>
    <x v="2"/>
    <x v="0"/>
    <x v="2"/>
    <x v="0"/>
    <x v="1"/>
    <n v="6.1"/>
    <n v="33060.29"/>
    <n v="143038.01999999999"/>
    <x v="2"/>
  </r>
  <r>
    <x v="11"/>
    <x v="1"/>
    <x v="2"/>
    <x v="0"/>
    <x v="3"/>
    <x v="0"/>
    <x v="1"/>
    <n v="10.33"/>
    <n v="55985.71"/>
    <n v="242128.9"/>
    <x v="2"/>
  </r>
  <r>
    <x v="11"/>
    <x v="1"/>
    <x v="2"/>
    <x v="0"/>
    <x v="4"/>
    <x v="0"/>
    <x v="1"/>
    <n v="2.79"/>
    <n v="15121.02"/>
    <n v="65401.22"/>
    <x v="2"/>
  </r>
  <r>
    <x v="11"/>
    <x v="1"/>
    <x v="2"/>
    <x v="0"/>
    <x v="5"/>
    <x v="0"/>
    <x v="1"/>
    <n v="5.32"/>
    <n v="28832.91"/>
    <n v="124759.36"/>
    <x v="2"/>
  </r>
  <r>
    <x v="11"/>
    <x v="1"/>
    <x v="2"/>
    <x v="0"/>
    <x v="6"/>
    <x v="0"/>
    <x v="1"/>
    <n v="2.64"/>
    <n v="14308.06"/>
    <n v="61769.84"/>
    <x v="2"/>
  </r>
  <r>
    <x v="11"/>
    <x v="1"/>
    <x v="2"/>
    <x v="0"/>
    <x v="8"/>
    <x v="0"/>
    <x v="1"/>
    <n v="4.47"/>
    <n v="24226.15"/>
    <n v="104686.65"/>
    <x v="2"/>
  </r>
  <r>
    <x v="11"/>
    <x v="1"/>
    <x v="2"/>
    <x v="1"/>
    <x v="10"/>
    <x v="0"/>
    <x v="1"/>
    <n v="5.67"/>
    <n v="30729.81"/>
    <n v="132869.07"/>
    <x v="2"/>
  </r>
  <r>
    <x v="11"/>
    <x v="1"/>
    <x v="2"/>
    <x v="1"/>
    <x v="11"/>
    <x v="0"/>
    <x v="1"/>
    <n v="16.61"/>
    <n v="90021.55"/>
    <n v="389161.63"/>
    <x v="2"/>
  </r>
  <r>
    <x v="11"/>
    <x v="1"/>
    <x v="2"/>
    <x v="1"/>
    <x v="13"/>
    <x v="0"/>
    <x v="1"/>
    <n v="3.38"/>
    <n v="18318.650000000001"/>
    <n v="79251.64"/>
    <x v="2"/>
  </r>
  <r>
    <x v="11"/>
    <x v="1"/>
    <x v="2"/>
    <x v="1"/>
    <x v="14"/>
    <x v="0"/>
    <x v="1"/>
    <n v="1.7"/>
    <n v="9213.52"/>
    <n v="39758.74"/>
    <x v="2"/>
  </r>
  <r>
    <x v="11"/>
    <x v="1"/>
    <x v="2"/>
    <x v="1"/>
    <x v="16"/>
    <x v="0"/>
    <x v="1"/>
    <n v="1.61"/>
    <n v="8725.75"/>
    <n v="37801.46"/>
    <x v="2"/>
  </r>
  <r>
    <x v="11"/>
    <x v="1"/>
    <x v="2"/>
    <x v="1"/>
    <x v="17"/>
    <x v="0"/>
    <x v="1"/>
    <n v="1.1000000000000001"/>
    <n v="5961.69"/>
    <n v="25783.01"/>
    <x v="2"/>
  </r>
  <r>
    <x v="11"/>
    <x v="1"/>
    <x v="2"/>
    <x v="1"/>
    <x v="18"/>
    <x v="0"/>
    <x v="1"/>
    <n v="13.58"/>
    <n v="73599.8"/>
    <n v="318360.87"/>
    <x v="2"/>
  </r>
  <r>
    <x v="11"/>
    <x v="1"/>
    <x v="2"/>
    <x v="1"/>
    <x v="19"/>
    <x v="0"/>
    <x v="1"/>
    <n v="4.75"/>
    <n v="25743.67"/>
    <n v="111362.53"/>
    <x v="2"/>
  </r>
  <r>
    <x v="11"/>
    <x v="1"/>
    <x v="2"/>
    <x v="1"/>
    <x v="20"/>
    <x v="0"/>
    <x v="1"/>
    <n v="13.02"/>
    <n v="70564.75"/>
    <n v="305026.14"/>
    <x v="2"/>
  </r>
  <r>
    <x v="11"/>
    <x v="1"/>
    <x v="2"/>
    <x v="2"/>
    <x v="21"/>
    <x v="0"/>
    <x v="1"/>
    <n v="0"/>
    <n v="0"/>
    <n v="0"/>
    <x v="2"/>
  </r>
  <r>
    <x v="11"/>
    <x v="1"/>
    <x v="2"/>
    <x v="2"/>
    <x v="22"/>
    <x v="0"/>
    <x v="1"/>
    <n v="6"/>
    <n v="32518.32"/>
    <n v="140589.04999999999"/>
    <x v="2"/>
  </r>
  <r>
    <x v="11"/>
    <x v="1"/>
    <x v="2"/>
    <x v="2"/>
    <x v="29"/>
    <x v="0"/>
    <x v="1"/>
    <n v="2.85"/>
    <n v="15446.2"/>
    <n v="66691.149999999994"/>
    <x v="2"/>
  </r>
  <r>
    <x v="11"/>
    <x v="1"/>
    <x v="2"/>
    <x v="2"/>
    <x v="24"/>
    <x v="0"/>
    <x v="1"/>
    <n v="2.4900000000000002"/>
    <n v="13495.1"/>
    <n v="58359.25"/>
    <x v="2"/>
  </r>
  <r>
    <x v="11"/>
    <x v="1"/>
    <x v="2"/>
    <x v="3"/>
    <x v="25"/>
    <x v="0"/>
    <x v="1"/>
    <n v="2.27"/>
    <n v="12302.76"/>
    <n v="53193.89"/>
    <x v="2"/>
  </r>
  <r>
    <x v="11"/>
    <x v="1"/>
    <x v="2"/>
    <x v="3"/>
    <x v="26"/>
    <x v="0"/>
    <x v="1"/>
    <n v="1.74"/>
    <n v="9430.31"/>
    <n v="40676.31"/>
    <x v="2"/>
  </r>
  <r>
    <x v="11"/>
    <x v="1"/>
    <x v="2"/>
    <x v="3"/>
    <x v="27"/>
    <x v="0"/>
    <x v="1"/>
    <n v="8.92"/>
    <n v="48343.9"/>
    <n v="209157.41"/>
    <x v="2"/>
  </r>
  <r>
    <x v="11"/>
    <x v="1"/>
    <x v="2"/>
    <x v="0"/>
    <x v="0"/>
    <x v="1"/>
    <x v="0"/>
    <n v="4.24"/>
    <n v="22979.61"/>
    <n v="64928.76"/>
    <x v="2"/>
  </r>
  <r>
    <x v="11"/>
    <x v="1"/>
    <x v="2"/>
    <x v="0"/>
    <x v="1"/>
    <x v="1"/>
    <x v="0"/>
    <n v="15.06"/>
    <n v="81620.98"/>
    <n v="227018.57"/>
    <x v="2"/>
  </r>
  <r>
    <x v="11"/>
    <x v="1"/>
    <x v="2"/>
    <x v="0"/>
    <x v="2"/>
    <x v="1"/>
    <x v="0"/>
    <n v="6.61"/>
    <n v="35824.35"/>
    <n v="96258.95"/>
    <x v="2"/>
  </r>
  <r>
    <x v="11"/>
    <x v="1"/>
    <x v="2"/>
    <x v="0"/>
    <x v="3"/>
    <x v="1"/>
    <x v="0"/>
    <n v="13.33"/>
    <n v="72244.87"/>
    <n v="201850"/>
    <x v="2"/>
  </r>
  <r>
    <x v="11"/>
    <x v="1"/>
    <x v="2"/>
    <x v="0"/>
    <x v="28"/>
    <x v="1"/>
    <x v="0"/>
    <n v="0"/>
    <n v="0"/>
    <n v="0"/>
    <x v="2"/>
  </r>
  <r>
    <x v="11"/>
    <x v="1"/>
    <x v="2"/>
    <x v="0"/>
    <x v="4"/>
    <x v="1"/>
    <x v="0"/>
    <n v="7.69"/>
    <n v="41677.65"/>
    <n v="115306.24000000001"/>
    <x v="2"/>
  </r>
  <r>
    <x v="11"/>
    <x v="1"/>
    <x v="2"/>
    <x v="0"/>
    <x v="5"/>
    <x v="1"/>
    <x v="0"/>
    <n v="2.42"/>
    <n v="13115.72"/>
    <n v="37398.879999999997"/>
    <x v="2"/>
  </r>
  <r>
    <x v="11"/>
    <x v="1"/>
    <x v="2"/>
    <x v="0"/>
    <x v="6"/>
    <x v="1"/>
    <x v="0"/>
    <n v="0"/>
    <n v="0"/>
    <n v="0"/>
    <x v="2"/>
  </r>
  <r>
    <x v="11"/>
    <x v="1"/>
    <x v="2"/>
    <x v="0"/>
    <x v="7"/>
    <x v="1"/>
    <x v="0"/>
    <n v="0"/>
    <n v="0"/>
    <n v="0"/>
    <x v="2"/>
  </r>
  <r>
    <x v="11"/>
    <x v="1"/>
    <x v="2"/>
    <x v="0"/>
    <x v="8"/>
    <x v="1"/>
    <x v="0"/>
    <n v="0"/>
    <n v="0"/>
    <n v="0"/>
    <x v="2"/>
  </r>
  <r>
    <x v="11"/>
    <x v="1"/>
    <x v="2"/>
    <x v="1"/>
    <x v="30"/>
    <x v="1"/>
    <x v="0"/>
    <n v="3.99"/>
    <n v="21624.68"/>
    <n v="64481.67"/>
    <x v="2"/>
  </r>
  <r>
    <x v="11"/>
    <x v="1"/>
    <x v="2"/>
    <x v="1"/>
    <x v="9"/>
    <x v="1"/>
    <x v="0"/>
    <n v="0"/>
    <n v="0"/>
    <n v="0"/>
    <x v="2"/>
  </r>
  <r>
    <x v="11"/>
    <x v="1"/>
    <x v="2"/>
    <x v="1"/>
    <x v="31"/>
    <x v="1"/>
    <x v="0"/>
    <n v="3.73"/>
    <n v="20215.560000000001"/>
    <n v="60697.42"/>
    <x v="2"/>
  </r>
  <r>
    <x v="11"/>
    <x v="1"/>
    <x v="2"/>
    <x v="1"/>
    <x v="10"/>
    <x v="1"/>
    <x v="0"/>
    <n v="8.2899999999999991"/>
    <n v="44929.48"/>
    <n v="132566.09"/>
    <x v="2"/>
  </r>
  <r>
    <x v="11"/>
    <x v="1"/>
    <x v="2"/>
    <x v="1"/>
    <x v="11"/>
    <x v="1"/>
    <x v="0"/>
    <n v="11.74"/>
    <n v="63627.51"/>
    <n v="178883.51"/>
    <x v="2"/>
  </r>
  <r>
    <x v="11"/>
    <x v="1"/>
    <x v="2"/>
    <x v="1"/>
    <x v="12"/>
    <x v="1"/>
    <x v="0"/>
    <n v="0.78"/>
    <n v="4227.38"/>
    <n v="12580.83"/>
    <x v="2"/>
  </r>
  <r>
    <x v="11"/>
    <x v="1"/>
    <x v="2"/>
    <x v="1"/>
    <x v="13"/>
    <x v="1"/>
    <x v="0"/>
    <n v="2.36"/>
    <n v="12790.54"/>
    <n v="37685.85"/>
    <x v="2"/>
  </r>
  <r>
    <x v="11"/>
    <x v="1"/>
    <x v="2"/>
    <x v="1"/>
    <x v="14"/>
    <x v="1"/>
    <x v="0"/>
    <n v="15.1"/>
    <n v="81837.77"/>
    <n v="236415.35"/>
    <x v="2"/>
  </r>
  <r>
    <x v="11"/>
    <x v="1"/>
    <x v="2"/>
    <x v="1"/>
    <x v="15"/>
    <x v="1"/>
    <x v="0"/>
    <n v="1.42"/>
    <n v="7696"/>
    <n v="22963.56"/>
    <x v="2"/>
  </r>
  <r>
    <x v="11"/>
    <x v="1"/>
    <x v="2"/>
    <x v="1"/>
    <x v="16"/>
    <x v="1"/>
    <x v="0"/>
    <n v="7.26"/>
    <n v="39347.17"/>
    <n v="112009.84"/>
    <x v="2"/>
  </r>
  <r>
    <x v="11"/>
    <x v="1"/>
    <x v="2"/>
    <x v="1"/>
    <x v="17"/>
    <x v="1"/>
    <x v="0"/>
    <n v="13.67"/>
    <n v="74087.570000000007"/>
    <n v="212666.39"/>
    <x v="2"/>
  </r>
  <r>
    <x v="11"/>
    <x v="1"/>
    <x v="2"/>
    <x v="1"/>
    <x v="18"/>
    <x v="1"/>
    <x v="0"/>
    <n v="10.42"/>
    <n v="56473.48"/>
    <n v="169795.18"/>
    <x v="2"/>
  </r>
  <r>
    <x v="11"/>
    <x v="1"/>
    <x v="2"/>
    <x v="1"/>
    <x v="19"/>
    <x v="1"/>
    <x v="0"/>
    <n v="12"/>
    <n v="65036.639999999999"/>
    <n v="189554.38"/>
    <x v="2"/>
  </r>
  <r>
    <x v="11"/>
    <x v="1"/>
    <x v="2"/>
    <x v="1"/>
    <x v="20"/>
    <x v="1"/>
    <x v="0"/>
    <n v="16.91"/>
    <n v="91647.47"/>
    <n v="262757.88"/>
    <x v="2"/>
  </r>
  <r>
    <x v="11"/>
    <x v="1"/>
    <x v="2"/>
    <x v="2"/>
    <x v="21"/>
    <x v="1"/>
    <x v="0"/>
    <n v="0"/>
    <n v="0"/>
    <n v="0"/>
    <x v="2"/>
  </r>
  <r>
    <x v="11"/>
    <x v="1"/>
    <x v="2"/>
    <x v="2"/>
    <x v="22"/>
    <x v="1"/>
    <x v="0"/>
    <n v="10.5"/>
    <n v="56907.06"/>
    <n v="149934.09"/>
    <x v="2"/>
  </r>
  <r>
    <x v="11"/>
    <x v="1"/>
    <x v="2"/>
    <x v="2"/>
    <x v="29"/>
    <x v="1"/>
    <x v="0"/>
    <n v="0"/>
    <n v="0"/>
    <n v="0"/>
    <x v="2"/>
  </r>
  <r>
    <x v="11"/>
    <x v="1"/>
    <x v="2"/>
    <x v="2"/>
    <x v="23"/>
    <x v="1"/>
    <x v="0"/>
    <n v="0"/>
    <n v="0"/>
    <n v="0"/>
    <x v="2"/>
  </r>
  <r>
    <x v="11"/>
    <x v="1"/>
    <x v="2"/>
    <x v="2"/>
    <x v="24"/>
    <x v="1"/>
    <x v="0"/>
    <n v="4.45"/>
    <n v="24117.75"/>
    <n v="64661.54"/>
    <x v="2"/>
  </r>
  <r>
    <x v="11"/>
    <x v="1"/>
    <x v="2"/>
    <x v="3"/>
    <x v="25"/>
    <x v="1"/>
    <x v="0"/>
    <n v="8.51"/>
    <n v="46121.82"/>
    <n v="136604.49"/>
    <x v="2"/>
  </r>
  <r>
    <x v="11"/>
    <x v="1"/>
    <x v="2"/>
    <x v="3"/>
    <x v="26"/>
    <x v="1"/>
    <x v="0"/>
    <n v="1.63"/>
    <n v="8834.14"/>
    <n v="26406.25"/>
    <x v="2"/>
  </r>
  <r>
    <x v="11"/>
    <x v="1"/>
    <x v="2"/>
    <x v="3"/>
    <x v="27"/>
    <x v="1"/>
    <x v="0"/>
    <n v="18.25"/>
    <n v="98909.89"/>
    <n v="289629.82"/>
    <x v="2"/>
  </r>
  <r>
    <x v="11"/>
    <x v="1"/>
    <x v="2"/>
    <x v="0"/>
    <x v="0"/>
    <x v="1"/>
    <x v="1"/>
    <n v="14.46"/>
    <n v="78369.149999999994"/>
    <n v="221604.7"/>
    <x v="2"/>
  </r>
  <r>
    <x v="11"/>
    <x v="1"/>
    <x v="2"/>
    <x v="0"/>
    <x v="1"/>
    <x v="1"/>
    <x v="1"/>
    <n v="20.61"/>
    <n v="111700.43"/>
    <n v="310591.34999999998"/>
    <x v="2"/>
  </r>
  <r>
    <x v="11"/>
    <x v="1"/>
    <x v="2"/>
    <x v="0"/>
    <x v="2"/>
    <x v="1"/>
    <x v="1"/>
    <n v="18.57"/>
    <n v="100644.2"/>
    <n v="270316.21999999997"/>
    <x v="2"/>
  </r>
  <r>
    <x v="11"/>
    <x v="1"/>
    <x v="2"/>
    <x v="0"/>
    <x v="3"/>
    <x v="1"/>
    <x v="1"/>
    <n v="27.8"/>
    <n v="150668.22"/>
    <n v="420931.1"/>
    <x v="2"/>
  </r>
  <r>
    <x v="11"/>
    <x v="1"/>
    <x v="2"/>
    <x v="0"/>
    <x v="28"/>
    <x v="1"/>
    <x v="1"/>
    <n v="3.43"/>
    <n v="18589.64"/>
    <n v="52547.61"/>
    <x v="2"/>
  </r>
  <r>
    <x v="11"/>
    <x v="1"/>
    <x v="2"/>
    <x v="0"/>
    <x v="4"/>
    <x v="1"/>
    <x v="1"/>
    <n v="6.87"/>
    <n v="37233.480000000003"/>
    <n v="103097.34"/>
    <x v="2"/>
  </r>
  <r>
    <x v="11"/>
    <x v="1"/>
    <x v="2"/>
    <x v="0"/>
    <x v="5"/>
    <x v="1"/>
    <x v="1"/>
    <n v="18.850000000000001"/>
    <n v="102161.72"/>
    <n v="291176.96999999997"/>
    <x v="2"/>
  </r>
  <r>
    <x v="11"/>
    <x v="1"/>
    <x v="2"/>
    <x v="0"/>
    <x v="6"/>
    <x v="1"/>
    <x v="1"/>
    <n v="3.62"/>
    <n v="19619.39"/>
    <n v="55712.77"/>
    <x v="2"/>
  </r>
  <r>
    <x v="11"/>
    <x v="1"/>
    <x v="2"/>
    <x v="0"/>
    <x v="7"/>
    <x v="1"/>
    <x v="1"/>
    <n v="4.42"/>
    <n v="23955.16"/>
    <n v="69214.179999999993"/>
    <x v="2"/>
  </r>
  <r>
    <x v="11"/>
    <x v="1"/>
    <x v="2"/>
    <x v="0"/>
    <x v="8"/>
    <x v="1"/>
    <x v="1"/>
    <n v="4.87"/>
    <n v="26394.04"/>
    <n v="72632.710000000006"/>
    <x v="2"/>
  </r>
  <r>
    <x v="11"/>
    <x v="1"/>
    <x v="2"/>
    <x v="1"/>
    <x v="30"/>
    <x v="1"/>
    <x v="1"/>
    <n v="0"/>
    <n v="0"/>
    <n v="0"/>
    <x v="2"/>
  </r>
  <r>
    <x v="11"/>
    <x v="1"/>
    <x v="2"/>
    <x v="1"/>
    <x v="9"/>
    <x v="1"/>
    <x v="1"/>
    <n v="4.3099999999999996"/>
    <n v="23358.99"/>
    <n v="69458.39"/>
    <x v="2"/>
  </r>
  <r>
    <x v="11"/>
    <x v="1"/>
    <x v="2"/>
    <x v="1"/>
    <x v="31"/>
    <x v="1"/>
    <x v="1"/>
    <n v="0"/>
    <n v="0"/>
    <n v="0"/>
    <x v="2"/>
  </r>
  <r>
    <x v="11"/>
    <x v="1"/>
    <x v="2"/>
    <x v="1"/>
    <x v="10"/>
    <x v="1"/>
    <x v="1"/>
    <n v="37.28"/>
    <n v="202047.16"/>
    <n v="595819.04"/>
    <x v="2"/>
  </r>
  <r>
    <x v="11"/>
    <x v="1"/>
    <x v="2"/>
    <x v="1"/>
    <x v="11"/>
    <x v="1"/>
    <x v="1"/>
    <n v="34.49"/>
    <n v="186926.14"/>
    <n v="525382.29"/>
    <x v="2"/>
  </r>
  <r>
    <x v="11"/>
    <x v="1"/>
    <x v="2"/>
    <x v="1"/>
    <x v="12"/>
    <x v="1"/>
    <x v="1"/>
    <n v="3.73"/>
    <n v="20215.560000000001"/>
    <n v="59758.95"/>
    <x v="2"/>
  </r>
  <r>
    <x v="11"/>
    <x v="1"/>
    <x v="2"/>
    <x v="1"/>
    <x v="13"/>
    <x v="1"/>
    <x v="1"/>
    <n v="15.35"/>
    <n v="83192.7"/>
    <n v="244958.01"/>
    <x v="2"/>
  </r>
  <r>
    <x v="11"/>
    <x v="1"/>
    <x v="2"/>
    <x v="1"/>
    <x v="14"/>
    <x v="1"/>
    <x v="1"/>
    <n v="9.69"/>
    <n v="52517.09"/>
    <n v="151710.38"/>
    <x v="2"/>
  </r>
  <r>
    <x v="11"/>
    <x v="1"/>
    <x v="2"/>
    <x v="1"/>
    <x v="15"/>
    <x v="1"/>
    <x v="1"/>
    <n v="1.5"/>
    <n v="8129.58"/>
    <n v="24314.36"/>
    <x v="2"/>
  </r>
  <r>
    <x v="11"/>
    <x v="1"/>
    <x v="2"/>
    <x v="1"/>
    <x v="16"/>
    <x v="1"/>
    <x v="1"/>
    <n v="12.36"/>
    <n v="66987.740000000005"/>
    <n v="190562.19"/>
    <x v="2"/>
  </r>
  <r>
    <x v="11"/>
    <x v="1"/>
    <x v="2"/>
    <x v="1"/>
    <x v="17"/>
    <x v="1"/>
    <x v="1"/>
    <n v="7.33"/>
    <n v="39726.550000000003"/>
    <n v="114006.72"/>
    <x v="2"/>
  </r>
  <r>
    <x v="11"/>
    <x v="1"/>
    <x v="2"/>
    <x v="1"/>
    <x v="18"/>
    <x v="1"/>
    <x v="1"/>
    <n v="44.33"/>
    <n v="240256.19"/>
    <n v="722096"/>
    <x v="2"/>
  </r>
  <r>
    <x v="11"/>
    <x v="1"/>
    <x v="2"/>
    <x v="1"/>
    <x v="19"/>
    <x v="1"/>
    <x v="1"/>
    <n v="18.329999999999998"/>
    <n v="99343.47"/>
    <n v="289474.52"/>
    <x v="2"/>
  </r>
  <r>
    <x v="11"/>
    <x v="1"/>
    <x v="2"/>
    <x v="1"/>
    <x v="20"/>
    <x v="1"/>
    <x v="1"/>
    <n v="32.630000000000003"/>
    <n v="176845.46"/>
    <n v="507051.7"/>
    <x v="2"/>
  </r>
  <r>
    <x v="11"/>
    <x v="1"/>
    <x v="2"/>
    <x v="2"/>
    <x v="21"/>
    <x v="1"/>
    <x v="1"/>
    <n v="3.61"/>
    <n v="19565.189999999999"/>
    <n v="51502.18"/>
    <x v="2"/>
  </r>
  <r>
    <x v="11"/>
    <x v="1"/>
    <x v="2"/>
    <x v="2"/>
    <x v="22"/>
    <x v="1"/>
    <x v="1"/>
    <n v="22.56"/>
    <n v="122268.88"/>
    <n v="322032.34999999998"/>
    <x v="2"/>
  </r>
  <r>
    <x v="11"/>
    <x v="1"/>
    <x v="2"/>
    <x v="2"/>
    <x v="29"/>
    <x v="1"/>
    <x v="1"/>
    <n v="4.0599999999999996"/>
    <n v="22004.06"/>
    <n v="61631.1"/>
    <x v="2"/>
  </r>
  <r>
    <x v="11"/>
    <x v="1"/>
    <x v="2"/>
    <x v="2"/>
    <x v="23"/>
    <x v="1"/>
    <x v="1"/>
    <n v="2.56"/>
    <n v="13874.48"/>
    <n v="38015.58"/>
    <x v="2"/>
  </r>
  <r>
    <x v="11"/>
    <x v="1"/>
    <x v="2"/>
    <x v="2"/>
    <x v="24"/>
    <x v="1"/>
    <x v="1"/>
    <n v="3.12"/>
    <n v="16909.53"/>
    <n v="45263.07"/>
    <x v="2"/>
  </r>
  <r>
    <x v="11"/>
    <x v="1"/>
    <x v="2"/>
    <x v="3"/>
    <x v="25"/>
    <x v="1"/>
    <x v="1"/>
    <n v="11.5"/>
    <n v="62326.78"/>
    <n v="184641.23"/>
    <x v="2"/>
  </r>
  <r>
    <x v="11"/>
    <x v="1"/>
    <x v="2"/>
    <x v="3"/>
    <x v="26"/>
    <x v="1"/>
    <x v="1"/>
    <n v="15.63"/>
    <n v="84710.22"/>
    <n v="252745.5"/>
    <x v="2"/>
  </r>
  <r>
    <x v="11"/>
    <x v="1"/>
    <x v="2"/>
    <x v="3"/>
    <x v="27"/>
    <x v="1"/>
    <x v="1"/>
    <n v="50.82"/>
    <n v="275430.17"/>
    <n v="806315.11"/>
    <x v="2"/>
  </r>
  <r>
    <x v="11"/>
    <x v="1"/>
    <x v="3"/>
    <x v="0"/>
    <x v="0"/>
    <x v="0"/>
    <x v="0"/>
    <n v="2.42"/>
    <n v="14577.6"/>
    <n v="66489.740000000005"/>
    <x v="2"/>
  </r>
  <r>
    <x v="11"/>
    <x v="1"/>
    <x v="3"/>
    <x v="0"/>
    <x v="1"/>
    <x v="0"/>
    <x v="0"/>
    <n v="5.14"/>
    <n v="30962.33"/>
    <n v="141230.37"/>
    <x v="2"/>
  </r>
  <r>
    <x v="11"/>
    <x v="1"/>
    <x v="3"/>
    <x v="0"/>
    <x v="2"/>
    <x v="0"/>
    <x v="0"/>
    <n v="0"/>
    <n v="0"/>
    <n v="0"/>
    <x v="2"/>
  </r>
  <r>
    <x v="11"/>
    <x v="1"/>
    <x v="3"/>
    <x v="0"/>
    <x v="3"/>
    <x v="0"/>
    <x v="0"/>
    <n v="2.1800000000000002"/>
    <n v="13131.88"/>
    <n v="59810.27"/>
    <x v="2"/>
  </r>
  <r>
    <x v="11"/>
    <x v="1"/>
    <x v="3"/>
    <x v="0"/>
    <x v="4"/>
    <x v="0"/>
    <x v="0"/>
    <n v="0"/>
    <n v="0"/>
    <n v="0"/>
    <x v="2"/>
  </r>
  <r>
    <x v="11"/>
    <x v="1"/>
    <x v="3"/>
    <x v="0"/>
    <x v="5"/>
    <x v="0"/>
    <x v="0"/>
    <n v="0"/>
    <n v="0"/>
    <n v="0"/>
    <x v="2"/>
  </r>
  <r>
    <x v="11"/>
    <x v="1"/>
    <x v="3"/>
    <x v="0"/>
    <x v="6"/>
    <x v="0"/>
    <x v="0"/>
    <n v="0"/>
    <n v="0"/>
    <n v="0"/>
    <x v="2"/>
  </r>
  <r>
    <x v="11"/>
    <x v="1"/>
    <x v="3"/>
    <x v="0"/>
    <x v="8"/>
    <x v="0"/>
    <x v="0"/>
    <n v="0"/>
    <n v="0"/>
    <n v="0"/>
    <x v="2"/>
  </r>
  <r>
    <x v="11"/>
    <x v="1"/>
    <x v="3"/>
    <x v="1"/>
    <x v="10"/>
    <x v="0"/>
    <x v="0"/>
    <n v="2.15"/>
    <n v="12951.17"/>
    <n v="59133.919999999998"/>
    <x v="2"/>
  </r>
  <r>
    <x v="11"/>
    <x v="1"/>
    <x v="3"/>
    <x v="1"/>
    <x v="11"/>
    <x v="0"/>
    <x v="0"/>
    <n v="0"/>
    <n v="0"/>
    <n v="0"/>
    <x v="2"/>
  </r>
  <r>
    <x v="11"/>
    <x v="1"/>
    <x v="3"/>
    <x v="1"/>
    <x v="13"/>
    <x v="0"/>
    <x v="0"/>
    <n v="0"/>
    <n v="0"/>
    <n v="0"/>
    <x v="2"/>
  </r>
  <r>
    <x v="11"/>
    <x v="1"/>
    <x v="3"/>
    <x v="1"/>
    <x v="14"/>
    <x v="0"/>
    <x v="0"/>
    <n v="0"/>
    <n v="0"/>
    <n v="0"/>
    <x v="2"/>
  </r>
  <r>
    <x v="11"/>
    <x v="1"/>
    <x v="3"/>
    <x v="1"/>
    <x v="16"/>
    <x v="0"/>
    <x v="0"/>
    <n v="0"/>
    <n v="0"/>
    <n v="0"/>
    <x v="2"/>
  </r>
  <r>
    <x v="11"/>
    <x v="1"/>
    <x v="3"/>
    <x v="1"/>
    <x v="17"/>
    <x v="0"/>
    <x v="0"/>
    <n v="0"/>
    <n v="0"/>
    <n v="0"/>
    <x v="2"/>
  </r>
  <r>
    <x v="11"/>
    <x v="1"/>
    <x v="3"/>
    <x v="1"/>
    <x v="18"/>
    <x v="0"/>
    <x v="0"/>
    <n v="0"/>
    <n v="0"/>
    <n v="0"/>
    <x v="2"/>
  </r>
  <r>
    <x v="11"/>
    <x v="1"/>
    <x v="3"/>
    <x v="1"/>
    <x v="19"/>
    <x v="0"/>
    <x v="0"/>
    <n v="0"/>
    <n v="0"/>
    <n v="0"/>
    <x v="2"/>
  </r>
  <r>
    <x v="11"/>
    <x v="1"/>
    <x v="3"/>
    <x v="1"/>
    <x v="20"/>
    <x v="0"/>
    <x v="0"/>
    <n v="2.52"/>
    <n v="15179.98"/>
    <n v="69125.83"/>
    <x v="2"/>
  </r>
  <r>
    <x v="11"/>
    <x v="1"/>
    <x v="3"/>
    <x v="2"/>
    <x v="21"/>
    <x v="0"/>
    <x v="0"/>
    <n v="3.82"/>
    <n v="23010.92"/>
    <n v="104890.83"/>
    <x v="2"/>
  </r>
  <r>
    <x v="11"/>
    <x v="1"/>
    <x v="3"/>
    <x v="2"/>
    <x v="22"/>
    <x v="0"/>
    <x v="0"/>
    <n v="0"/>
    <n v="0"/>
    <n v="0"/>
    <x v="2"/>
  </r>
  <r>
    <x v="11"/>
    <x v="1"/>
    <x v="3"/>
    <x v="2"/>
    <x v="29"/>
    <x v="0"/>
    <x v="0"/>
    <n v="0"/>
    <n v="0"/>
    <n v="0"/>
    <x v="2"/>
  </r>
  <r>
    <x v="11"/>
    <x v="1"/>
    <x v="3"/>
    <x v="2"/>
    <x v="24"/>
    <x v="0"/>
    <x v="0"/>
    <n v="0"/>
    <n v="0"/>
    <n v="0"/>
    <x v="2"/>
  </r>
  <r>
    <x v="11"/>
    <x v="1"/>
    <x v="3"/>
    <x v="3"/>
    <x v="25"/>
    <x v="0"/>
    <x v="0"/>
    <n v="0"/>
    <n v="0"/>
    <n v="0"/>
    <x v="2"/>
  </r>
  <r>
    <x v="11"/>
    <x v="1"/>
    <x v="3"/>
    <x v="3"/>
    <x v="26"/>
    <x v="0"/>
    <x v="0"/>
    <n v="3.38"/>
    <n v="20360.439999999999"/>
    <n v="92879.02"/>
    <x v="2"/>
  </r>
  <r>
    <x v="11"/>
    <x v="1"/>
    <x v="3"/>
    <x v="3"/>
    <x v="27"/>
    <x v="0"/>
    <x v="0"/>
    <n v="2.54"/>
    <n v="15300.45"/>
    <n v="69818.09"/>
    <x v="2"/>
  </r>
  <r>
    <x v="11"/>
    <x v="1"/>
    <x v="3"/>
    <x v="0"/>
    <x v="0"/>
    <x v="0"/>
    <x v="1"/>
    <n v="2.63"/>
    <n v="15842.59"/>
    <n v="72271.45"/>
    <x v="2"/>
  </r>
  <r>
    <x v="11"/>
    <x v="1"/>
    <x v="3"/>
    <x v="0"/>
    <x v="1"/>
    <x v="0"/>
    <x v="1"/>
    <n v="7.62"/>
    <n v="45901.36"/>
    <n v="209364.93"/>
    <x v="2"/>
  </r>
  <r>
    <x v="11"/>
    <x v="1"/>
    <x v="3"/>
    <x v="0"/>
    <x v="2"/>
    <x v="0"/>
    <x v="1"/>
    <n v="6.32"/>
    <n v="38070.42"/>
    <n v="173577.16"/>
    <x v="2"/>
  </r>
  <r>
    <x v="11"/>
    <x v="1"/>
    <x v="3"/>
    <x v="0"/>
    <x v="3"/>
    <x v="0"/>
    <x v="1"/>
    <n v="9.69"/>
    <n v="58370.62"/>
    <n v="266427.55"/>
    <x v="2"/>
  </r>
  <r>
    <x v="11"/>
    <x v="1"/>
    <x v="3"/>
    <x v="0"/>
    <x v="4"/>
    <x v="0"/>
    <x v="1"/>
    <n v="2.29"/>
    <n v="13794.5"/>
    <n v="63037.72"/>
    <x v="2"/>
  </r>
  <r>
    <x v="11"/>
    <x v="1"/>
    <x v="3"/>
    <x v="0"/>
    <x v="5"/>
    <x v="0"/>
    <x v="1"/>
    <n v="5.15"/>
    <n v="31022.57"/>
    <n v="141651.93"/>
    <x v="2"/>
  </r>
  <r>
    <x v="11"/>
    <x v="1"/>
    <x v="3"/>
    <x v="0"/>
    <x v="6"/>
    <x v="0"/>
    <x v="1"/>
    <n v="2.7"/>
    <n v="16264.26"/>
    <n v="74140.03"/>
    <x v="2"/>
  </r>
  <r>
    <x v="11"/>
    <x v="1"/>
    <x v="3"/>
    <x v="0"/>
    <x v="8"/>
    <x v="0"/>
    <x v="1"/>
    <n v="3.05"/>
    <n v="18372.59"/>
    <n v="83756.509999999995"/>
    <x v="2"/>
  </r>
  <r>
    <x v="11"/>
    <x v="1"/>
    <x v="3"/>
    <x v="1"/>
    <x v="10"/>
    <x v="0"/>
    <x v="1"/>
    <n v="5.33"/>
    <n v="32106.85"/>
    <n v="146426.85999999999"/>
    <x v="2"/>
  </r>
  <r>
    <x v="11"/>
    <x v="1"/>
    <x v="3"/>
    <x v="1"/>
    <x v="11"/>
    <x v="0"/>
    <x v="1"/>
    <n v="14.77"/>
    <n v="88971.53"/>
    <n v="405890.94"/>
    <x v="2"/>
  </r>
  <r>
    <x v="11"/>
    <x v="1"/>
    <x v="3"/>
    <x v="1"/>
    <x v="13"/>
    <x v="0"/>
    <x v="1"/>
    <n v="5.94"/>
    <n v="35781.370000000003"/>
    <n v="163231.99"/>
    <x v="2"/>
  </r>
  <r>
    <x v="11"/>
    <x v="1"/>
    <x v="3"/>
    <x v="1"/>
    <x v="14"/>
    <x v="0"/>
    <x v="1"/>
    <n v="1.98"/>
    <n v="11927.12"/>
    <n v="54377.29"/>
    <x v="2"/>
  </r>
  <r>
    <x v="11"/>
    <x v="1"/>
    <x v="3"/>
    <x v="1"/>
    <x v="16"/>
    <x v="0"/>
    <x v="1"/>
    <n v="2.33"/>
    <n v="14035.45"/>
    <n v="63953.46"/>
    <x v="2"/>
  </r>
  <r>
    <x v="11"/>
    <x v="1"/>
    <x v="3"/>
    <x v="1"/>
    <x v="17"/>
    <x v="0"/>
    <x v="1"/>
    <n v="1.71"/>
    <n v="10300.700000000001"/>
    <n v="47039.72"/>
    <x v="2"/>
  </r>
  <r>
    <x v="11"/>
    <x v="1"/>
    <x v="3"/>
    <x v="1"/>
    <x v="18"/>
    <x v="0"/>
    <x v="1"/>
    <n v="17.52"/>
    <n v="105536.98"/>
    <n v="481503.32"/>
    <x v="2"/>
  </r>
  <r>
    <x v="11"/>
    <x v="1"/>
    <x v="3"/>
    <x v="1"/>
    <x v="19"/>
    <x v="0"/>
    <x v="1"/>
    <n v="5.34"/>
    <n v="32167.09"/>
    <n v="146755.12"/>
    <x v="2"/>
  </r>
  <r>
    <x v="11"/>
    <x v="1"/>
    <x v="3"/>
    <x v="1"/>
    <x v="20"/>
    <x v="0"/>
    <x v="1"/>
    <n v="13.16"/>
    <n v="79273.210000000006"/>
    <n v="361581.24"/>
    <x v="2"/>
  </r>
  <r>
    <x v="11"/>
    <x v="1"/>
    <x v="3"/>
    <x v="2"/>
    <x v="21"/>
    <x v="0"/>
    <x v="1"/>
    <n v="0"/>
    <n v="0"/>
    <n v="0"/>
    <x v="2"/>
  </r>
  <r>
    <x v="11"/>
    <x v="1"/>
    <x v="3"/>
    <x v="2"/>
    <x v="22"/>
    <x v="0"/>
    <x v="1"/>
    <n v="6.02"/>
    <n v="36263.279999999999"/>
    <n v="165495.75"/>
    <x v="2"/>
  </r>
  <r>
    <x v="11"/>
    <x v="1"/>
    <x v="3"/>
    <x v="2"/>
    <x v="29"/>
    <x v="0"/>
    <x v="1"/>
    <n v="3.98"/>
    <n v="23974.720000000001"/>
    <n v="109256.79"/>
    <x v="2"/>
  </r>
  <r>
    <x v="11"/>
    <x v="1"/>
    <x v="3"/>
    <x v="2"/>
    <x v="24"/>
    <x v="0"/>
    <x v="1"/>
    <n v="1.55"/>
    <n v="9336.89"/>
    <n v="42561.49"/>
    <x v="2"/>
  </r>
  <r>
    <x v="11"/>
    <x v="1"/>
    <x v="3"/>
    <x v="3"/>
    <x v="25"/>
    <x v="0"/>
    <x v="1"/>
    <n v="3.01"/>
    <n v="18131.64"/>
    <n v="82598.3"/>
    <x v="2"/>
  </r>
  <r>
    <x v="11"/>
    <x v="1"/>
    <x v="3"/>
    <x v="3"/>
    <x v="26"/>
    <x v="0"/>
    <x v="1"/>
    <n v="3.28"/>
    <n v="19758.060000000001"/>
    <n v="90064.5"/>
    <x v="2"/>
  </r>
  <r>
    <x v="11"/>
    <x v="1"/>
    <x v="3"/>
    <x v="3"/>
    <x v="27"/>
    <x v="0"/>
    <x v="1"/>
    <n v="10.9"/>
    <n v="65659.42"/>
    <n v="299635.98"/>
    <x v="2"/>
  </r>
  <r>
    <x v="11"/>
    <x v="1"/>
    <x v="3"/>
    <x v="0"/>
    <x v="0"/>
    <x v="1"/>
    <x v="0"/>
    <n v="4.91"/>
    <n v="29576.86"/>
    <n v="88188.69"/>
    <x v="2"/>
  </r>
  <r>
    <x v="11"/>
    <x v="1"/>
    <x v="3"/>
    <x v="0"/>
    <x v="1"/>
    <x v="1"/>
    <x v="0"/>
    <n v="12.81"/>
    <n v="77164.88"/>
    <n v="226453.64"/>
    <x v="2"/>
  </r>
  <r>
    <x v="11"/>
    <x v="1"/>
    <x v="3"/>
    <x v="0"/>
    <x v="2"/>
    <x v="1"/>
    <x v="0"/>
    <n v="5.07"/>
    <n v="30540.67"/>
    <n v="86468.52"/>
    <x v="2"/>
  </r>
  <r>
    <x v="11"/>
    <x v="1"/>
    <x v="3"/>
    <x v="0"/>
    <x v="3"/>
    <x v="1"/>
    <x v="0"/>
    <n v="13.88"/>
    <n v="83610.34"/>
    <n v="246513.13"/>
    <x v="2"/>
  </r>
  <r>
    <x v="11"/>
    <x v="1"/>
    <x v="3"/>
    <x v="0"/>
    <x v="28"/>
    <x v="1"/>
    <x v="0"/>
    <n v="0"/>
    <n v="0"/>
    <n v="0"/>
    <x v="2"/>
  </r>
  <r>
    <x v="11"/>
    <x v="1"/>
    <x v="3"/>
    <x v="0"/>
    <x v="4"/>
    <x v="1"/>
    <x v="0"/>
    <n v="7.5"/>
    <n v="45178.5"/>
    <n v="131885.97"/>
    <x v="2"/>
  </r>
  <r>
    <x v="11"/>
    <x v="1"/>
    <x v="3"/>
    <x v="0"/>
    <x v="5"/>
    <x v="1"/>
    <x v="0"/>
    <n v="3.11"/>
    <n v="18734.02"/>
    <n v="56284.45"/>
    <x v="2"/>
  </r>
  <r>
    <x v="11"/>
    <x v="1"/>
    <x v="3"/>
    <x v="0"/>
    <x v="6"/>
    <x v="1"/>
    <x v="0"/>
    <n v="0"/>
    <n v="0"/>
    <n v="0"/>
    <x v="2"/>
  </r>
  <r>
    <x v="11"/>
    <x v="1"/>
    <x v="3"/>
    <x v="0"/>
    <x v="7"/>
    <x v="1"/>
    <x v="0"/>
    <n v="0"/>
    <n v="0"/>
    <n v="0"/>
    <x v="2"/>
  </r>
  <r>
    <x v="11"/>
    <x v="1"/>
    <x v="3"/>
    <x v="0"/>
    <x v="8"/>
    <x v="1"/>
    <x v="0"/>
    <n v="0"/>
    <n v="0"/>
    <n v="0"/>
    <x v="2"/>
  </r>
  <r>
    <x v="11"/>
    <x v="1"/>
    <x v="3"/>
    <x v="1"/>
    <x v="30"/>
    <x v="1"/>
    <x v="0"/>
    <n v="11.13"/>
    <n v="67044.89"/>
    <n v="210779.25"/>
    <x v="2"/>
  </r>
  <r>
    <x v="11"/>
    <x v="1"/>
    <x v="3"/>
    <x v="1"/>
    <x v="9"/>
    <x v="1"/>
    <x v="0"/>
    <n v="0"/>
    <n v="0"/>
    <n v="0"/>
    <x v="2"/>
  </r>
  <r>
    <x v="11"/>
    <x v="1"/>
    <x v="3"/>
    <x v="1"/>
    <x v="31"/>
    <x v="1"/>
    <x v="0"/>
    <n v="2.06"/>
    <n v="12409.03"/>
    <n v="39258.870000000003"/>
    <x v="2"/>
  </r>
  <r>
    <x v="11"/>
    <x v="1"/>
    <x v="3"/>
    <x v="1"/>
    <x v="10"/>
    <x v="1"/>
    <x v="0"/>
    <n v="12.25"/>
    <n v="73791.55"/>
    <n v="229517.41"/>
    <x v="2"/>
  </r>
  <r>
    <x v="11"/>
    <x v="1"/>
    <x v="3"/>
    <x v="1"/>
    <x v="11"/>
    <x v="1"/>
    <x v="0"/>
    <n v="8.93"/>
    <n v="53792.53"/>
    <n v="159559.23000000001"/>
    <x v="2"/>
  </r>
  <r>
    <x v="11"/>
    <x v="1"/>
    <x v="3"/>
    <x v="1"/>
    <x v="12"/>
    <x v="1"/>
    <x v="0"/>
    <n v="1.68"/>
    <n v="10119.98"/>
    <n v="31493.05"/>
    <x v="2"/>
  </r>
  <r>
    <x v="11"/>
    <x v="1"/>
    <x v="3"/>
    <x v="1"/>
    <x v="13"/>
    <x v="1"/>
    <x v="0"/>
    <n v="2.33"/>
    <n v="14035.45"/>
    <n v="43652.19"/>
    <x v="2"/>
  </r>
  <r>
    <x v="11"/>
    <x v="1"/>
    <x v="3"/>
    <x v="1"/>
    <x v="14"/>
    <x v="1"/>
    <x v="0"/>
    <n v="17.71"/>
    <n v="106681.5"/>
    <n v="325160.86"/>
    <x v="2"/>
  </r>
  <r>
    <x v="11"/>
    <x v="1"/>
    <x v="3"/>
    <x v="1"/>
    <x v="15"/>
    <x v="1"/>
    <x v="0"/>
    <n v="1.73"/>
    <n v="10421.17"/>
    <n v="32941.31"/>
    <x v="2"/>
  </r>
  <r>
    <x v="11"/>
    <x v="1"/>
    <x v="3"/>
    <x v="1"/>
    <x v="16"/>
    <x v="1"/>
    <x v="0"/>
    <n v="7.25"/>
    <n v="43672.55"/>
    <n v="131189.35999999999"/>
    <x v="2"/>
  </r>
  <r>
    <x v="11"/>
    <x v="1"/>
    <x v="3"/>
    <x v="1"/>
    <x v="17"/>
    <x v="1"/>
    <x v="0"/>
    <n v="6.09"/>
    <n v="36684.94"/>
    <n v="111183.67999999999"/>
    <x v="2"/>
  </r>
  <r>
    <x v="11"/>
    <x v="1"/>
    <x v="3"/>
    <x v="1"/>
    <x v="18"/>
    <x v="1"/>
    <x v="0"/>
    <n v="13.7"/>
    <n v="82526.06"/>
    <n v="261762.34"/>
    <x v="2"/>
  </r>
  <r>
    <x v="11"/>
    <x v="1"/>
    <x v="3"/>
    <x v="1"/>
    <x v="19"/>
    <x v="1"/>
    <x v="0"/>
    <n v="11.59"/>
    <n v="69815.839999999997"/>
    <n v="214708.36"/>
    <x v="2"/>
  </r>
  <r>
    <x v="11"/>
    <x v="1"/>
    <x v="3"/>
    <x v="1"/>
    <x v="20"/>
    <x v="1"/>
    <x v="0"/>
    <n v="14.4"/>
    <n v="86742.720000000001"/>
    <n v="262459.75"/>
    <x v="2"/>
  </r>
  <r>
    <x v="11"/>
    <x v="1"/>
    <x v="3"/>
    <x v="2"/>
    <x v="21"/>
    <x v="1"/>
    <x v="0"/>
    <n v="0"/>
    <n v="0"/>
    <n v="0"/>
    <x v="2"/>
  </r>
  <r>
    <x v="11"/>
    <x v="1"/>
    <x v="3"/>
    <x v="2"/>
    <x v="22"/>
    <x v="1"/>
    <x v="0"/>
    <n v="6.56"/>
    <n v="39516.129999999997"/>
    <n v="109856.83"/>
    <x v="2"/>
  </r>
  <r>
    <x v="11"/>
    <x v="1"/>
    <x v="3"/>
    <x v="2"/>
    <x v="29"/>
    <x v="1"/>
    <x v="0"/>
    <n v="0"/>
    <n v="0"/>
    <n v="0"/>
    <x v="2"/>
  </r>
  <r>
    <x v="11"/>
    <x v="1"/>
    <x v="3"/>
    <x v="2"/>
    <x v="23"/>
    <x v="1"/>
    <x v="0"/>
    <n v="0"/>
    <n v="0"/>
    <n v="0"/>
    <x v="2"/>
  </r>
  <r>
    <x v="11"/>
    <x v="1"/>
    <x v="3"/>
    <x v="2"/>
    <x v="24"/>
    <x v="1"/>
    <x v="0"/>
    <n v="2.83"/>
    <n v="17047.349999999999"/>
    <n v="48250.74"/>
    <x v="2"/>
  </r>
  <r>
    <x v="11"/>
    <x v="1"/>
    <x v="3"/>
    <x v="3"/>
    <x v="25"/>
    <x v="1"/>
    <x v="0"/>
    <n v="8.7200000000000006"/>
    <n v="52527.54"/>
    <n v="164248.32000000001"/>
    <x v="2"/>
  </r>
  <r>
    <x v="11"/>
    <x v="1"/>
    <x v="3"/>
    <x v="3"/>
    <x v="26"/>
    <x v="1"/>
    <x v="0"/>
    <n v="6.33"/>
    <n v="38130.65"/>
    <n v="120008.69"/>
    <x v="2"/>
  </r>
  <r>
    <x v="11"/>
    <x v="1"/>
    <x v="3"/>
    <x v="3"/>
    <x v="27"/>
    <x v="1"/>
    <x v="0"/>
    <n v="16.47"/>
    <n v="99211.99"/>
    <n v="306450.59999999998"/>
    <x v="2"/>
  </r>
  <r>
    <x v="11"/>
    <x v="1"/>
    <x v="3"/>
    <x v="0"/>
    <x v="0"/>
    <x v="1"/>
    <x v="1"/>
    <n v="12.31"/>
    <n v="74152.98"/>
    <n v="221303.67999999999"/>
    <x v="2"/>
  </r>
  <r>
    <x v="11"/>
    <x v="1"/>
    <x v="3"/>
    <x v="0"/>
    <x v="1"/>
    <x v="1"/>
    <x v="1"/>
    <n v="16.73"/>
    <n v="100778.17"/>
    <n v="295687.88"/>
    <x v="2"/>
  </r>
  <r>
    <x v="11"/>
    <x v="1"/>
    <x v="3"/>
    <x v="0"/>
    <x v="2"/>
    <x v="1"/>
    <x v="1"/>
    <n v="18.88"/>
    <n v="113729.34"/>
    <n v="322291.76"/>
    <x v="2"/>
  </r>
  <r>
    <x v="11"/>
    <x v="1"/>
    <x v="3"/>
    <x v="0"/>
    <x v="3"/>
    <x v="1"/>
    <x v="1"/>
    <n v="33.44"/>
    <n v="201435.87"/>
    <n v="593790.76"/>
    <x v="2"/>
  </r>
  <r>
    <x v="11"/>
    <x v="1"/>
    <x v="3"/>
    <x v="0"/>
    <x v="28"/>
    <x v="1"/>
    <x v="1"/>
    <n v="2.4900000000000002"/>
    <n v="14999.26"/>
    <n v="44698.05"/>
    <x v="2"/>
  </r>
  <r>
    <x v="11"/>
    <x v="1"/>
    <x v="3"/>
    <x v="0"/>
    <x v="4"/>
    <x v="1"/>
    <x v="1"/>
    <n v="11.29"/>
    <n v="68008.7"/>
    <n v="198663.67999999999"/>
    <x v="2"/>
  </r>
  <r>
    <x v="11"/>
    <x v="1"/>
    <x v="3"/>
    <x v="0"/>
    <x v="5"/>
    <x v="1"/>
    <x v="1"/>
    <n v="25.57"/>
    <n v="154028.57"/>
    <n v="463140.65"/>
    <x v="2"/>
  </r>
  <r>
    <x v="11"/>
    <x v="1"/>
    <x v="3"/>
    <x v="0"/>
    <x v="6"/>
    <x v="1"/>
    <x v="1"/>
    <n v="1.23"/>
    <n v="7409.27"/>
    <n v="22276.45"/>
    <x v="2"/>
  </r>
  <r>
    <x v="11"/>
    <x v="1"/>
    <x v="3"/>
    <x v="0"/>
    <x v="7"/>
    <x v="1"/>
    <x v="1"/>
    <n v="4.7699999999999996"/>
    <n v="28733.53"/>
    <n v="87636.82"/>
    <x v="2"/>
  </r>
  <r>
    <x v="11"/>
    <x v="1"/>
    <x v="3"/>
    <x v="0"/>
    <x v="8"/>
    <x v="1"/>
    <x v="1"/>
    <n v="3.61"/>
    <n v="21745.919999999998"/>
    <n v="63209.74"/>
    <x v="2"/>
  </r>
  <r>
    <x v="11"/>
    <x v="1"/>
    <x v="3"/>
    <x v="1"/>
    <x v="30"/>
    <x v="1"/>
    <x v="1"/>
    <n v="0"/>
    <n v="0"/>
    <n v="0"/>
    <x v="2"/>
  </r>
  <r>
    <x v="11"/>
    <x v="1"/>
    <x v="3"/>
    <x v="1"/>
    <x v="9"/>
    <x v="1"/>
    <x v="1"/>
    <n v="4.99"/>
    <n v="30058.76"/>
    <n v="94341.41"/>
    <x v="2"/>
  </r>
  <r>
    <x v="11"/>
    <x v="1"/>
    <x v="3"/>
    <x v="1"/>
    <x v="31"/>
    <x v="1"/>
    <x v="1"/>
    <n v="0"/>
    <n v="0"/>
    <n v="0"/>
    <x v="2"/>
  </r>
  <r>
    <x v="11"/>
    <x v="1"/>
    <x v="3"/>
    <x v="1"/>
    <x v="10"/>
    <x v="1"/>
    <x v="1"/>
    <n v="33.28"/>
    <n v="200472.06"/>
    <n v="623726.72"/>
    <x v="2"/>
  </r>
  <r>
    <x v="11"/>
    <x v="1"/>
    <x v="3"/>
    <x v="1"/>
    <x v="11"/>
    <x v="1"/>
    <x v="1"/>
    <n v="32.08"/>
    <n v="193243.5"/>
    <n v="573110.72"/>
    <x v="2"/>
  </r>
  <r>
    <x v="11"/>
    <x v="1"/>
    <x v="3"/>
    <x v="1"/>
    <x v="12"/>
    <x v="1"/>
    <x v="1"/>
    <n v="4.0999999999999996"/>
    <n v="24697.58"/>
    <n v="76983.009999999995"/>
    <x v="2"/>
  </r>
  <r>
    <x v="11"/>
    <x v="1"/>
    <x v="3"/>
    <x v="1"/>
    <x v="13"/>
    <x v="1"/>
    <x v="1"/>
    <n v="12.02"/>
    <n v="72406.080000000002"/>
    <n v="224976.67"/>
    <x v="2"/>
  </r>
  <r>
    <x v="11"/>
    <x v="1"/>
    <x v="3"/>
    <x v="1"/>
    <x v="14"/>
    <x v="1"/>
    <x v="1"/>
    <n v="9.25"/>
    <n v="55720.15"/>
    <n v="169738.06"/>
    <x v="2"/>
  </r>
  <r>
    <x v="11"/>
    <x v="1"/>
    <x v="3"/>
    <x v="1"/>
    <x v="15"/>
    <x v="1"/>
    <x v="1"/>
    <n v="2.15"/>
    <n v="12951.17"/>
    <n v="40784.480000000003"/>
    <x v="2"/>
  </r>
  <r>
    <x v="11"/>
    <x v="1"/>
    <x v="3"/>
    <x v="1"/>
    <x v="16"/>
    <x v="1"/>
    <x v="1"/>
    <n v="14.51"/>
    <n v="87405.34"/>
    <n v="262378.71999999997"/>
    <x v="2"/>
  </r>
  <r>
    <x v="11"/>
    <x v="1"/>
    <x v="3"/>
    <x v="1"/>
    <x v="17"/>
    <x v="1"/>
    <x v="1"/>
    <n v="3.62"/>
    <n v="21806.16"/>
    <n v="66109.210000000006"/>
    <x v="2"/>
  </r>
  <r>
    <x v="11"/>
    <x v="1"/>
    <x v="3"/>
    <x v="1"/>
    <x v="18"/>
    <x v="1"/>
    <x v="1"/>
    <n v="60.42"/>
    <n v="363958"/>
    <n v="1154133.96"/>
    <x v="2"/>
  </r>
  <r>
    <x v="11"/>
    <x v="1"/>
    <x v="3"/>
    <x v="1"/>
    <x v="19"/>
    <x v="1"/>
    <x v="1"/>
    <n v="15.15"/>
    <n v="91260.57"/>
    <n v="280642.42"/>
    <x v="2"/>
  </r>
  <r>
    <x v="11"/>
    <x v="1"/>
    <x v="3"/>
    <x v="1"/>
    <x v="20"/>
    <x v="1"/>
    <x v="1"/>
    <n v="26.75"/>
    <n v="161136.65"/>
    <n v="487425.24"/>
    <x v="2"/>
  </r>
  <r>
    <x v="11"/>
    <x v="1"/>
    <x v="3"/>
    <x v="2"/>
    <x v="21"/>
    <x v="1"/>
    <x v="1"/>
    <n v="2.91"/>
    <n v="17529.259999999998"/>
    <n v="48628.76"/>
    <x v="2"/>
  </r>
  <r>
    <x v="11"/>
    <x v="1"/>
    <x v="3"/>
    <x v="2"/>
    <x v="22"/>
    <x v="1"/>
    <x v="1"/>
    <n v="13.21"/>
    <n v="79574.399999999994"/>
    <n v="221122.08"/>
    <x v="2"/>
  </r>
  <r>
    <x v="11"/>
    <x v="1"/>
    <x v="3"/>
    <x v="2"/>
    <x v="29"/>
    <x v="1"/>
    <x v="1"/>
    <n v="2.4900000000000002"/>
    <n v="14999.26"/>
    <n v="44227.83"/>
    <x v="2"/>
  </r>
  <r>
    <x v="11"/>
    <x v="1"/>
    <x v="3"/>
    <x v="2"/>
    <x v="23"/>
    <x v="1"/>
    <x v="1"/>
    <n v="4.84"/>
    <n v="29155.19"/>
    <n v="84404.22"/>
    <x v="2"/>
  </r>
  <r>
    <x v="11"/>
    <x v="1"/>
    <x v="3"/>
    <x v="2"/>
    <x v="24"/>
    <x v="1"/>
    <x v="1"/>
    <n v="2.92"/>
    <n v="17589.5"/>
    <n v="49807.22"/>
    <x v="2"/>
  </r>
  <r>
    <x v="11"/>
    <x v="1"/>
    <x v="3"/>
    <x v="3"/>
    <x v="25"/>
    <x v="1"/>
    <x v="1"/>
    <n v="10.51"/>
    <n v="63310.14"/>
    <n v="197804.43"/>
    <x v="2"/>
  </r>
  <r>
    <x v="11"/>
    <x v="1"/>
    <x v="3"/>
    <x v="3"/>
    <x v="26"/>
    <x v="1"/>
    <x v="1"/>
    <n v="26.35"/>
    <n v="158727.13"/>
    <n v="499737.68"/>
    <x v="2"/>
  </r>
  <r>
    <x v="11"/>
    <x v="1"/>
    <x v="3"/>
    <x v="3"/>
    <x v="27"/>
    <x v="1"/>
    <x v="1"/>
    <n v="32.76"/>
    <n v="197339.69"/>
    <n v="609533.61"/>
    <x v="2"/>
  </r>
  <r>
    <x v="11"/>
    <x v="1"/>
    <x v="4"/>
    <x v="0"/>
    <x v="0"/>
    <x v="0"/>
    <x v="0"/>
    <n v="1.65"/>
    <n v="8699.01"/>
    <n v="40401.5"/>
    <x v="2"/>
  </r>
  <r>
    <x v="11"/>
    <x v="1"/>
    <x v="4"/>
    <x v="0"/>
    <x v="1"/>
    <x v="0"/>
    <x v="0"/>
    <n v="2.85"/>
    <n v="15025.57"/>
    <n v="69887.210000000006"/>
    <x v="2"/>
  </r>
  <r>
    <x v="11"/>
    <x v="1"/>
    <x v="4"/>
    <x v="0"/>
    <x v="2"/>
    <x v="0"/>
    <x v="0"/>
    <n v="0"/>
    <n v="0"/>
    <n v="0"/>
    <x v="2"/>
  </r>
  <r>
    <x v="11"/>
    <x v="1"/>
    <x v="4"/>
    <x v="0"/>
    <x v="3"/>
    <x v="0"/>
    <x v="0"/>
    <n v="1.81"/>
    <n v="9542.56"/>
    <n v="44379.12"/>
    <x v="2"/>
  </r>
  <r>
    <x v="11"/>
    <x v="1"/>
    <x v="4"/>
    <x v="0"/>
    <x v="4"/>
    <x v="0"/>
    <x v="0"/>
    <n v="0"/>
    <n v="0"/>
    <n v="0"/>
    <x v="2"/>
  </r>
  <r>
    <x v="11"/>
    <x v="1"/>
    <x v="4"/>
    <x v="0"/>
    <x v="5"/>
    <x v="0"/>
    <x v="0"/>
    <n v="0"/>
    <n v="0"/>
    <n v="0"/>
    <x v="2"/>
  </r>
  <r>
    <x v="11"/>
    <x v="1"/>
    <x v="4"/>
    <x v="0"/>
    <x v="6"/>
    <x v="0"/>
    <x v="0"/>
    <n v="0"/>
    <n v="0"/>
    <n v="0"/>
    <x v="2"/>
  </r>
  <r>
    <x v="11"/>
    <x v="1"/>
    <x v="4"/>
    <x v="0"/>
    <x v="8"/>
    <x v="0"/>
    <x v="0"/>
    <n v="0"/>
    <n v="0"/>
    <n v="0"/>
    <x v="2"/>
  </r>
  <r>
    <x v="11"/>
    <x v="1"/>
    <x v="4"/>
    <x v="1"/>
    <x v="10"/>
    <x v="0"/>
    <x v="0"/>
    <n v="0.88"/>
    <n v="4639.47"/>
    <n v="21667.39"/>
    <x v="2"/>
  </r>
  <r>
    <x v="11"/>
    <x v="1"/>
    <x v="4"/>
    <x v="1"/>
    <x v="11"/>
    <x v="0"/>
    <x v="0"/>
    <n v="0"/>
    <n v="0"/>
    <n v="0"/>
    <x v="2"/>
  </r>
  <r>
    <x v="11"/>
    <x v="1"/>
    <x v="4"/>
    <x v="1"/>
    <x v="13"/>
    <x v="0"/>
    <x v="0"/>
    <n v="0"/>
    <n v="0"/>
    <n v="0"/>
    <x v="2"/>
  </r>
  <r>
    <x v="11"/>
    <x v="1"/>
    <x v="4"/>
    <x v="1"/>
    <x v="14"/>
    <x v="0"/>
    <x v="0"/>
    <n v="0"/>
    <n v="0"/>
    <n v="0"/>
    <x v="2"/>
  </r>
  <r>
    <x v="11"/>
    <x v="1"/>
    <x v="4"/>
    <x v="1"/>
    <x v="16"/>
    <x v="0"/>
    <x v="0"/>
    <n v="0"/>
    <n v="0"/>
    <n v="0"/>
    <x v="2"/>
  </r>
  <r>
    <x v="11"/>
    <x v="1"/>
    <x v="4"/>
    <x v="1"/>
    <x v="17"/>
    <x v="0"/>
    <x v="0"/>
    <n v="0"/>
    <n v="0"/>
    <n v="0"/>
    <x v="2"/>
  </r>
  <r>
    <x v="11"/>
    <x v="1"/>
    <x v="4"/>
    <x v="1"/>
    <x v="18"/>
    <x v="0"/>
    <x v="0"/>
    <n v="0"/>
    <n v="0"/>
    <n v="0"/>
    <x v="2"/>
  </r>
  <r>
    <x v="11"/>
    <x v="1"/>
    <x v="4"/>
    <x v="1"/>
    <x v="19"/>
    <x v="0"/>
    <x v="0"/>
    <n v="0"/>
    <n v="0"/>
    <n v="0"/>
    <x v="2"/>
  </r>
  <r>
    <x v="11"/>
    <x v="1"/>
    <x v="4"/>
    <x v="1"/>
    <x v="20"/>
    <x v="0"/>
    <x v="0"/>
    <n v="1.51"/>
    <n v="7960.92"/>
    <n v="36906.26"/>
    <x v="2"/>
  </r>
  <r>
    <x v="11"/>
    <x v="1"/>
    <x v="4"/>
    <x v="2"/>
    <x v="21"/>
    <x v="0"/>
    <x v="0"/>
    <n v="1.64"/>
    <n v="8646.2900000000009"/>
    <n v="40124.11"/>
    <x v="2"/>
  </r>
  <r>
    <x v="11"/>
    <x v="1"/>
    <x v="4"/>
    <x v="2"/>
    <x v="22"/>
    <x v="0"/>
    <x v="0"/>
    <n v="0"/>
    <n v="0"/>
    <n v="0"/>
    <x v="2"/>
  </r>
  <r>
    <x v="11"/>
    <x v="1"/>
    <x v="4"/>
    <x v="2"/>
    <x v="29"/>
    <x v="0"/>
    <x v="0"/>
    <n v="0"/>
    <n v="0"/>
    <n v="0"/>
    <x v="2"/>
  </r>
  <r>
    <x v="11"/>
    <x v="1"/>
    <x v="4"/>
    <x v="2"/>
    <x v="24"/>
    <x v="0"/>
    <x v="0"/>
    <n v="0"/>
    <n v="0"/>
    <n v="0"/>
    <x v="2"/>
  </r>
  <r>
    <x v="11"/>
    <x v="1"/>
    <x v="4"/>
    <x v="3"/>
    <x v="25"/>
    <x v="0"/>
    <x v="0"/>
    <n v="0"/>
    <n v="0"/>
    <n v="0"/>
    <x v="2"/>
  </r>
  <r>
    <x v="11"/>
    <x v="1"/>
    <x v="4"/>
    <x v="3"/>
    <x v="26"/>
    <x v="0"/>
    <x v="0"/>
    <n v="1.38"/>
    <n v="7275.54"/>
    <n v="33708.400000000001"/>
    <x v="2"/>
  </r>
  <r>
    <x v="11"/>
    <x v="1"/>
    <x v="4"/>
    <x v="3"/>
    <x v="27"/>
    <x v="0"/>
    <x v="0"/>
    <n v="1.7"/>
    <n v="8962.6200000000008"/>
    <n v="41541.370000000003"/>
    <x v="2"/>
  </r>
  <r>
    <x v="11"/>
    <x v="1"/>
    <x v="4"/>
    <x v="0"/>
    <x v="0"/>
    <x v="0"/>
    <x v="1"/>
    <n v="0.97"/>
    <n v="5113.97"/>
    <n v="23765.59"/>
    <x v="2"/>
  </r>
  <r>
    <x v="11"/>
    <x v="1"/>
    <x v="4"/>
    <x v="0"/>
    <x v="1"/>
    <x v="0"/>
    <x v="1"/>
    <n v="4.38"/>
    <n v="23091.93"/>
    <n v="107291.63"/>
    <x v="2"/>
  </r>
  <r>
    <x v="11"/>
    <x v="1"/>
    <x v="4"/>
    <x v="0"/>
    <x v="2"/>
    <x v="0"/>
    <x v="1"/>
    <n v="4.43"/>
    <n v="23355.54"/>
    <n v="108457.26"/>
    <x v="2"/>
  </r>
  <r>
    <x v="11"/>
    <x v="1"/>
    <x v="4"/>
    <x v="0"/>
    <x v="3"/>
    <x v="0"/>
    <x v="1"/>
    <n v="3.08"/>
    <n v="16238.16"/>
    <n v="75444.5"/>
    <x v="2"/>
  </r>
  <r>
    <x v="11"/>
    <x v="1"/>
    <x v="4"/>
    <x v="0"/>
    <x v="4"/>
    <x v="0"/>
    <x v="1"/>
    <n v="2.1"/>
    <n v="11071.47"/>
    <n v="51524.13"/>
    <x v="2"/>
  </r>
  <r>
    <x v="11"/>
    <x v="1"/>
    <x v="4"/>
    <x v="0"/>
    <x v="5"/>
    <x v="0"/>
    <x v="1"/>
    <n v="0.48"/>
    <n v="2530.62"/>
    <n v="11667.27"/>
    <x v="2"/>
  </r>
  <r>
    <x v="11"/>
    <x v="1"/>
    <x v="4"/>
    <x v="0"/>
    <x v="6"/>
    <x v="0"/>
    <x v="1"/>
    <n v="2.15"/>
    <n v="11335.08"/>
    <n v="52678.94"/>
    <x v="2"/>
  </r>
  <r>
    <x v="11"/>
    <x v="1"/>
    <x v="4"/>
    <x v="0"/>
    <x v="8"/>
    <x v="0"/>
    <x v="1"/>
    <n v="2.4500000000000002"/>
    <n v="12916.72"/>
    <n v="59922.55"/>
    <x v="2"/>
  </r>
  <r>
    <x v="11"/>
    <x v="1"/>
    <x v="4"/>
    <x v="1"/>
    <x v="10"/>
    <x v="0"/>
    <x v="1"/>
    <n v="1.24"/>
    <n v="6537.44"/>
    <n v="30334.35"/>
    <x v="2"/>
  </r>
  <r>
    <x v="11"/>
    <x v="1"/>
    <x v="4"/>
    <x v="1"/>
    <x v="11"/>
    <x v="0"/>
    <x v="1"/>
    <n v="8.36"/>
    <n v="44075.01"/>
    <n v="204833.21"/>
    <x v="2"/>
  </r>
  <r>
    <x v="11"/>
    <x v="1"/>
    <x v="4"/>
    <x v="1"/>
    <x v="13"/>
    <x v="0"/>
    <x v="1"/>
    <n v="4.08"/>
    <n v="21510.29"/>
    <n v="99930.45"/>
    <x v="2"/>
  </r>
  <r>
    <x v="11"/>
    <x v="1"/>
    <x v="4"/>
    <x v="1"/>
    <x v="14"/>
    <x v="0"/>
    <x v="1"/>
    <n v="1.68"/>
    <n v="8857.18"/>
    <n v="41204.730000000003"/>
    <x v="2"/>
  </r>
  <r>
    <x v="11"/>
    <x v="1"/>
    <x v="4"/>
    <x v="1"/>
    <x v="16"/>
    <x v="0"/>
    <x v="1"/>
    <n v="0.81"/>
    <n v="4270.43"/>
    <n v="19776.39"/>
    <x v="2"/>
  </r>
  <r>
    <x v="11"/>
    <x v="1"/>
    <x v="4"/>
    <x v="1"/>
    <x v="17"/>
    <x v="0"/>
    <x v="1"/>
    <n v="2.44"/>
    <n v="12864"/>
    <n v="59717.16"/>
    <x v="2"/>
  </r>
  <r>
    <x v="11"/>
    <x v="1"/>
    <x v="4"/>
    <x v="1"/>
    <x v="18"/>
    <x v="0"/>
    <x v="1"/>
    <n v="8.0500000000000007"/>
    <n v="42440.65"/>
    <n v="197322.83"/>
    <x v="2"/>
  </r>
  <r>
    <x v="11"/>
    <x v="1"/>
    <x v="4"/>
    <x v="1"/>
    <x v="19"/>
    <x v="0"/>
    <x v="1"/>
    <n v="3.5"/>
    <n v="18452.46"/>
    <n v="85806.2"/>
    <x v="2"/>
  </r>
  <r>
    <x v="11"/>
    <x v="1"/>
    <x v="4"/>
    <x v="1"/>
    <x v="20"/>
    <x v="0"/>
    <x v="1"/>
    <n v="5.4"/>
    <n v="28469.5"/>
    <n v="132428.32999999999"/>
    <x v="2"/>
  </r>
  <r>
    <x v="11"/>
    <x v="1"/>
    <x v="4"/>
    <x v="2"/>
    <x v="21"/>
    <x v="0"/>
    <x v="1"/>
    <n v="0"/>
    <n v="0"/>
    <n v="0"/>
    <x v="2"/>
  </r>
  <r>
    <x v="11"/>
    <x v="1"/>
    <x v="4"/>
    <x v="2"/>
    <x v="22"/>
    <x v="0"/>
    <x v="1"/>
    <n v="3.69"/>
    <n v="19454.16"/>
    <n v="90384.83"/>
    <x v="2"/>
  </r>
  <r>
    <x v="11"/>
    <x v="1"/>
    <x v="4"/>
    <x v="2"/>
    <x v="29"/>
    <x v="0"/>
    <x v="1"/>
    <n v="1.62"/>
    <n v="8540.85"/>
    <n v="39586.97"/>
    <x v="2"/>
  </r>
  <r>
    <x v="11"/>
    <x v="1"/>
    <x v="4"/>
    <x v="2"/>
    <x v="24"/>
    <x v="0"/>
    <x v="1"/>
    <n v="2.36"/>
    <n v="12442.23"/>
    <n v="57712.39"/>
    <x v="2"/>
  </r>
  <r>
    <x v="11"/>
    <x v="1"/>
    <x v="4"/>
    <x v="3"/>
    <x v="25"/>
    <x v="0"/>
    <x v="1"/>
    <n v="1.6"/>
    <n v="8435.41"/>
    <n v="39216.97"/>
    <x v="2"/>
  </r>
  <r>
    <x v="11"/>
    <x v="1"/>
    <x v="4"/>
    <x v="3"/>
    <x v="26"/>
    <x v="0"/>
    <x v="1"/>
    <n v="1.63"/>
    <n v="8593.57"/>
    <n v="39837.199999999997"/>
    <x v="2"/>
  </r>
  <r>
    <x v="11"/>
    <x v="1"/>
    <x v="4"/>
    <x v="3"/>
    <x v="27"/>
    <x v="0"/>
    <x v="1"/>
    <n v="6.9"/>
    <n v="36377.699999999997"/>
    <n v="169132.72"/>
    <x v="2"/>
  </r>
  <r>
    <x v="11"/>
    <x v="1"/>
    <x v="4"/>
    <x v="0"/>
    <x v="0"/>
    <x v="1"/>
    <x v="0"/>
    <n v="5.95"/>
    <n v="31369.17"/>
    <n v="95339.06"/>
    <x v="2"/>
  </r>
  <r>
    <x v="11"/>
    <x v="1"/>
    <x v="4"/>
    <x v="0"/>
    <x v="1"/>
    <x v="1"/>
    <x v="0"/>
    <n v="15.58"/>
    <n v="82139.789999999994"/>
    <n v="245545.35"/>
    <x v="2"/>
  </r>
  <r>
    <x v="11"/>
    <x v="1"/>
    <x v="4"/>
    <x v="0"/>
    <x v="2"/>
    <x v="1"/>
    <x v="0"/>
    <n v="5.22"/>
    <n v="27520.52"/>
    <n v="79466.3"/>
    <x v="2"/>
  </r>
  <r>
    <x v="11"/>
    <x v="1"/>
    <x v="4"/>
    <x v="0"/>
    <x v="3"/>
    <x v="1"/>
    <x v="0"/>
    <n v="13.92"/>
    <n v="73388.05"/>
    <n v="220403.79"/>
    <x v="2"/>
  </r>
  <r>
    <x v="11"/>
    <x v="1"/>
    <x v="4"/>
    <x v="0"/>
    <x v="28"/>
    <x v="1"/>
    <x v="0"/>
    <n v="0"/>
    <n v="0"/>
    <n v="0"/>
    <x v="2"/>
  </r>
  <r>
    <x v="11"/>
    <x v="1"/>
    <x v="4"/>
    <x v="0"/>
    <x v="4"/>
    <x v="1"/>
    <x v="0"/>
    <n v="7.64"/>
    <n v="40279.07"/>
    <n v="119775.76"/>
    <x v="2"/>
  </r>
  <r>
    <x v="11"/>
    <x v="1"/>
    <x v="4"/>
    <x v="0"/>
    <x v="5"/>
    <x v="1"/>
    <x v="0"/>
    <n v="3.16"/>
    <n v="16659.93"/>
    <n v="51064.28"/>
    <x v="2"/>
  </r>
  <r>
    <x v="11"/>
    <x v="1"/>
    <x v="4"/>
    <x v="0"/>
    <x v="6"/>
    <x v="1"/>
    <x v="0"/>
    <n v="0"/>
    <n v="0"/>
    <n v="0"/>
    <x v="2"/>
  </r>
  <r>
    <x v="11"/>
    <x v="1"/>
    <x v="4"/>
    <x v="0"/>
    <x v="7"/>
    <x v="1"/>
    <x v="0"/>
    <n v="0"/>
    <n v="0"/>
    <n v="0"/>
    <x v="2"/>
  </r>
  <r>
    <x v="11"/>
    <x v="1"/>
    <x v="4"/>
    <x v="0"/>
    <x v="8"/>
    <x v="1"/>
    <x v="0"/>
    <n v="0"/>
    <n v="0"/>
    <n v="0"/>
    <x v="2"/>
  </r>
  <r>
    <x v="11"/>
    <x v="1"/>
    <x v="4"/>
    <x v="1"/>
    <x v="30"/>
    <x v="1"/>
    <x v="0"/>
    <n v="7.45"/>
    <n v="39277.370000000003"/>
    <n v="125772.28"/>
    <x v="2"/>
  </r>
  <r>
    <x v="11"/>
    <x v="1"/>
    <x v="4"/>
    <x v="1"/>
    <x v="9"/>
    <x v="1"/>
    <x v="0"/>
    <n v="0"/>
    <n v="0"/>
    <n v="0"/>
    <x v="2"/>
  </r>
  <r>
    <x v="11"/>
    <x v="1"/>
    <x v="4"/>
    <x v="1"/>
    <x v="31"/>
    <x v="1"/>
    <x v="0"/>
    <n v="0"/>
    <n v="0"/>
    <n v="0"/>
    <x v="2"/>
  </r>
  <r>
    <x v="11"/>
    <x v="1"/>
    <x v="4"/>
    <x v="1"/>
    <x v="10"/>
    <x v="1"/>
    <x v="0"/>
    <n v="10.95"/>
    <n v="57729.82"/>
    <n v="183062.98"/>
    <x v="2"/>
  </r>
  <r>
    <x v="11"/>
    <x v="1"/>
    <x v="4"/>
    <x v="1"/>
    <x v="11"/>
    <x v="1"/>
    <x v="0"/>
    <n v="11.07"/>
    <n v="58362.48"/>
    <n v="176250.79"/>
    <x v="2"/>
  </r>
  <r>
    <x v="11"/>
    <x v="1"/>
    <x v="4"/>
    <x v="1"/>
    <x v="12"/>
    <x v="1"/>
    <x v="0"/>
    <n v="3.03"/>
    <n v="15974.55"/>
    <n v="50833.26"/>
    <x v="2"/>
  </r>
  <r>
    <x v="11"/>
    <x v="1"/>
    <x v="4"/>
    <x v="1"/>
    <x v="13"/>
    <x v="1"/>
    <x v="0"/>
    <n v="4.3"/>
    <n v="22670.16"/>
    <n v="71770.210000000006"/>
    <x v="2"/>
  </r>
  <r>
    <x v="11"/>
    <x v="1"/>
    <x v="4"/>
    <x v="1"/>
    <x v="14"/>
    <x v="1"/>
    <x v="0"/>
    <n v="15.48"/>
    <n v="81612.570000000007"/>
    <n v="253335.77"/>
    <x v="2"/>
  </r>
  <r>
    <x v="11"/>
    <x v="1"/>
    <x v="4"/>
    <x v="1"/>
    <x v="15"/>
    <x v="1"/>
    <x v="0"/>
    <n v="3.73"/>
    <n v="19665.04"/>
    <n v="63184.53"/>
    <x v="2"/>
  </r>
  <r>
    <x v="11"/>
    <x v="1"/>
    <x v="4"/>
    <x v="1"/>
    <x v="16"/>
    <x v="1"/>
    <x v="0"/>
    <n v="6.61"/>
    <n v="34848.78"/>
    <n v="106550.85"/>
    <x v="2"/>
  </r>
  <r>
    <x v="11"/>
    <x v="1"/>
    <x v="4"/>
    <x v="1"/>
    <x v="17"/>
    <x v="1"/>
    <x v="0"/>
    <n v="5.47"/>
    <n v="28838.55"/>
    <n v="88976.56"/>
    <x v="2"/>
  </r>
  <r>
    <x v="11"/>
    <x v="1"/>
    <x v="4"/>
    <x v="1"/>
    <x v="18"/>
    <x v="1"/>
    <x v="0"/>
    <n v="8.82"/>
    <n v="46500.19"/>
    <n v="150248.47"/>
    <x v="2"/>
  </r>
  <r>
    <x v="11"/>
    <x v="1"/>
    <x v="4"/>
    <x v="1"/>
    <x v="19"/>
    <x v="1"/>
    <x v="0"/>
    <n v="13.38"/>
    <n v="70541.100000000006"/>
    <n v="220928.44"/>
    <x v="2"/>
  </r>
  <r>
    <x v="11"/>
    <x v="1"/>
    <x v="4"/>
    <x v="1"/>
    <x v="20"/>
    <x v="1"/>
    <x v="0"/>
    <n v="14.71"/>
    <n v="77553.03"/>
    <n v="239011.34"/>
    <x v="2"/>
  </r>
  <r>
    <x v="11"/>
    <x v="1"/>
    <x v="4"/>
    <x v="2"/>
    <x v="21"/>
    <x v="1"/>
    <x v="0"/>
    <n v="0"/>
    <n v="0"/>
    <n v="0"/>
    <x v="2"/>
  </r>
  <r>
    <x v="11"/>
    <x v="1"/>
    <x v="4"/>
    <x v="2"/>
    <x v="22"/>
    <x v="1"/>
    <x v="0"/>
    <n v="9.5399999999999991"/>
    <n v="50296.12"/>
    <n v="142376.26999999999"/>
    <x v="2"/>
  </r>
  <r>
    <x v="11"/>
    <x v="1"/>
    <x v="4"/>
    <x v="2"/>
    <x v="29"/>
    <x v="1"/>
    <x v="0"/>
    <n v="0"/>
    <n v="0"/>
    <n v="0"/>
    <x v="2"/>
  </r>
  <r>
    <x v="11"/>
    <x v="1"/>
    <x v="4"/>
    <x v="2"/>
    <x v="23"/>
    <x v="1"/>
    <x v="0"/>
    <n v="0"/>
    <n v="0"/>
    <n v="0"/>
    <x v="2"/>
  </r>
  <r>
    <x v="11"/>
    <x v="1"/>
    <x v="4"/>
    <x v="2"/>
    <x v="24"/>
    <x v="1"/>
    <x v="0"/>
    <n v="2.57"/>
    <n v="13549.37"/>
    <n v="39101.550000000003"/>
    <x v="2"/>
  </r>
  <r>
    <x v="11"/>
    <x v="1"/>
    <x v="4"/>
    <x v="3"/>
    <x v="25"/>
    <x v="1"/>
    <x v="0"/>
    <n v="9.68"/>
    <n v="51034.22"/>
    <n v="162561.45000000001"/>
    <x v="2"/>
  </r>
  <r>
    <x v="11"/>
    <x v="1"/>
    <x v="4"/>
    <x v="3"/>
    <x v="26"/>
    <x v="1"/>
    <x v="0"/>
    <n v="9.06"/>
    <n v="47765.5"/>
    <n v="153106.6"/>
    <x v="2"/>
  </r>
  <r>
    <x v="11"/>
    <x v="1"/>
    <x v="4"/>
    <x v="3"/>
    <x v="27"/>
    <x v="1"/>
    <x v="0"/>
    <n v="23.72"/>
    <n v="125054.92"/>
    <n v="393461.4"/>
    <x v="2"/>
  </r>
  <r>
    <x v="11"/>
    <x v="1"/>
    <x v="4"/>
    <x v="0"/>
    <x v="0"/>
    <x v="1"/>
    <x v="1"/>
    <n v="14.64"/>
    <n v="77183.98"/>
    <n v="234680.77"/>
    <x v="2"/>
  </r>
  <r>
    <x v="11"/>
    <x v="1"/>
    <x v="4"/>
    <x v="0"/>
    <x v="1"/>
    <x v="1"/>
    <x v="1"/>
    <n v="24.57"/>
    <n v="129536.23"/>
    <n v="387148.19"/>
    <x v="2"/>
  </r>
  <r>
    <x v="11"/>
    <x v="1"/>
    <x v="4"/>
    <x v="0"/>
    <x v="2"/>
    <x v="1"/>
    <x v="1"/>
    <n v="16.7"/>
    <n v="88044.57"/>
    <n v="254051.35"/>
    <x v="2"/>
  </r>
  <r>
    <x v="11"/>
    <x v="1"/>
    <x v="4"/>
    <x v="0"/>
    <x v="3"/>
    <x v="1"/>
    <x v="1"/>
    <n v="47.23"/>
    <n v="249002.7"/>
    <n v="747644.24"/>
    <x v="2"/>
  </r>
  <r>
    <x v="11"/>
    <x v="1"/>
    <x v="4"/>
    <x v="0"/>
    <x v="28"/>
    <x v="1"/>
    <x v="1"/>
    <n v="2.82"/>
    <n v="14867.41"/>
    <n v="45216.480000000003"/>
    <x v="2"/>
  </r>
  <r>
    <x v="11"/>
    <x v="1"/>
    <x v="4"/>
    <x v="0"/>
    <x v="4"/>
    <x v="1"/>
    <x v="1"/>
    <n v="7.55"/>
    <n v="39804.58"/>
    <n v="118399.02"/>
    <x v="2"/>
  </r>
  <r>
    <x v="11"/>
    <x v="1"/>
    <x v="4"/>
    <x v="0"/>
    <x v="5"/>
    <x v="1"/>
    <x v="1"/>
    <n v="24.94"/>
    <n v="131486.92000000001"/>
    <n v="402678.29"/>
    <x v="2"/>
  </r>
  <r>
    <x v="11"/>
    <x v="1"/>
    <x v="4"/>
    <x v="0"/>
    <x v="6"/>
    <x v="1"/>
    <x v="1"/>
    <n v="5.26"/>
    <n v="27731.4"/>
    <n v="84611.49"/>
    <x v="2"/>
  </r>
  <r>
    <x v="11"/>
    <x v="1"/>
    <x v="4"/>
    <x v="0"/>
    <x v="7"/>
    <x v="1"/>
    <x v="1"/>
    <n v="2.3199999999999998"/>
    <n v="12231.34"/>
    <n v="37952.6"/>
    <x v="2"/>
  </r>
  <r>
    <x v="11"/>
    <x v="1"/>
    <x v="4"/>
    <x v="0"/>
    <x v="8"/>
    <x v="1"/>
    <x v="1"/>
    <n v="3.43"/>
    <n v="18083.41"/>
    <n v="53513.25"/>
    <x v="2"/>
  </r>
  <r>
    <x v="11"/>
    <x v="1"/>
    <x v="4"/>
    <x v="1"/>
    <x v="30"/>
    <x v="1"/>
    <x v="1"/>
    <n v="0"/>
    <n v="0"/>
    <n v="0"/>
    <x v="2"/>
  </r>
  <r>
    <x v="11"/>
    <x v="1"/>
    <x v="4"/>
    <x v="1"/>
    <x v="9"/>
    <x v="1"/>
    <x v="1"/>
    <n v="5.21"/>
    <n v="27467.8"/>
    <n v="87763.199999999997"/>
    <x v="2"/>
  </r>
  <r>
    <x v="11"/>
    <x v="1"/>
    <x v="4"/>
    <x v="1"/>
    <x v="31"/>
    <x v="1"/>
    <x v="1"/>
    <n v="0"/>
    <n v="0"/>
    <n v="0"/>
    <x v="2"/>
  </r>
  <r>
    <x v="11"/>
    <x v="1"/>
    <x v="4"/>
    <x v="1"/>
    <x v="10"/>
    <x v="1"/>
    <x v="1"/>
    <n v="30.19"/>
    <n v="159165.6"/>
    <n v="504539.43"/>
    <x v="2"/>
  </r>
  <r>
    <x v="11"/>
    <x v="1"/>
    <x v="4"/>
    <x v="1"/>
    <x v="11"/>
    <x v="1"/>
    <x v="1"/>
    <n v="41.7"/>
    <n v="219847.82"/>
    <n v="664187.17000000004"/>
    <x v="2"/>
  </r>
  <r>
    <x v="11"/>
    <x v="1"/>
    <x v="4"/>
    <x v="1"/>
    <x v="12"/>
    <x v="1"/>
    <x v="1"/>
    <n v="3.52"/>
    <n v="18557.900000000001"/>
    <n v="59032.17"/>
    <x v="2"/>
  </r>
  <r>
    <x v="11"/>
    <x v="1"/>
    <x v="4"/>
    <x v="1"/>
    <x v="13"/>
    <x v="1"/>
    <x v="1"/>
    <n v="12.23"/>
    <n v="64478.15"/>
    <n v="204052.57"/>
    <x v="2"/>
  </r>
  <r>
    <x v="11"/>
    <x v="1"/>
    <x v="4"/>
    <x v="1"/>
    <x v="14"/>
    <x v="1"/>
    <x v="1"/>
    <n v="7.21"/>
    <n v="38012.06"/>
    <n v="118031.44"/>
    <x v="2"/>
  </r>
  <r>
    <x v="11"/>
    <x v="1"/>
    <x v="4"/>
    <x v="1"/>
    <x v="15"/>
    <x v="1"/>
    <x v="1"/>
    <n v="1.08"/>
    <n v="5693.9"/>
    <n v="18290.259999999998"/>
    <x v="2"/>
  </r>
  <r>
    <x v="11"/>
    <x v="1"/>
    <x v="4"/>
    <x v="1"/>
    <x v="16"/>
    <x v="1"/>
    <x v="1"/>
    <n v="8.93"/>
    <n v="47080.12"/>
    <n v="143987.63"/>
    <x v="2"/>
  </r>
  <r>
    <x v="11"/>
    <x v="1"/>
    <x v="4"/>
    <x v="1"/>
    <x v="17"/>
    <x v="1"/>
    <x v="1"/>
    <n v="4.5199999999999996"/>
    <n v="23830.03"/>
    <n v="73502.37"/>
    <x v="2"/>
  </r>
  <r>
    <x v="11"/>
    <x v="1"/>
    <x v="4"/>
    <x v="1"/>
    <x v="18"/>
    <x v="1"/>
    <x v="1"/>
    <n v="40.299999999999997"/>
    <n v="212466.84"/>
    <n v="686320.18"/>
    <x v="2"/>
  </r>
  <r>
    <x v="11"/>
    <x v="1"/>
    <x v="4"/>
    <x v="1"/>
    <x v="19"/>
    <x v="1"/>
    <x v="1"/>
    <n v="14.99"/>
    <n v="79029.23"/>
    <n v="247617.78"/>
    <x v="2"/>
  </r>
  <r>
    <x v="11"/>
    <x v="1"/>
    <x v="4"/>
    <x v="1"/>
    <x v="20"/>
    <x v="1"/>
    <x v="1"/>
    <n v="24.19"/>
    <n v="127532.82"/>
    <n v="392975.7"/>
    <x v="2"/>
  </r>
  <r>
    <x v="11"/>
    <x v="1"/>
    <x v="4"/>
    <x v="2"/>
    <x v="21"/>
    <x v="1"/>
    <x v="1"/>
    <n v="1.38"/>
    <n v="7275.54"/>
    <n v="20661.53"/>
    <x v="2"/>
  </r>
  <r>
    <x v="11"/>
    <x v="1"/>
    <x v="4"/>
    <x v="2"/>
    <x v="22"/>
    <x v="1"/>
    <x v="1"/>
    <n v="14.58"/>
    <n v="76867.66"/>
    <n v="217593.93"/>
    <x v="2"/>
  </r>
  <r>
    <x v="11"/>
    <x v="1"/>
    <x v="4"/>
    <x v="2"/>
    <x v="29"/>
    <x v="1"/>
    <x v="1"/>
    <n v="2.2400000000000002"/>
    <n v="11809.57"/>
    <n v="35552.28"/>
    <x v="2"/>
  </r>
  <r>
    <x v="11"/>
    <x v="1"/>
    <x v="4"/>
    <x v="2"/>
    <x v="23"/>
    <x v="1"/>
    <x v="1"/>
    <n v="2"/>
    <n v="10544.26"/>
    <n v="31141.3"/>
    <x v="2"/>
  </r>
  <r>
    <x v="11"/>
    <x v="1"/>
    <x v="4"/>
    <x v="2"/>
    <x v="24"/>
    <x v="1"/>
    <x v="1"/>
    <n v="3.86"/>
    <n v="20350.419999999998"/>
    <n v="58652.33"/>
    <x v="2"/>
  </r>
  <r>
    <x v="11"/>
    <x v="1"/>
    <x v="4"/>
    <x v="3"/>
    <x v="25"/>
    <x v="1"/>
    <x v="1"/>
    <n v="9.1199999999999992"/>
    <n v="48081.83"/>
    <n v="153091.85"/>
    <x v="2"/>
  </r>
  <r>
    <x v="11"/>
    <x v="1"/>
    <x v="4"/>
    <x v="3"/>
    <x v="26"/>
    <x v="1"/>
    <x v="1"/>
    <n v="24.38"/>
    <n v="128534.53"/>
    <n v="412210.08"/>
    <x v="2"/>
  </r>
  <r>
    <x v="11"/>
    <x v="1"/>
    <x v="4"/>
    <x v="3"/>
    <x v="27"/>
    <x v="1"/>
    <x v="1"/>
    <n v="54.13"/>
    <n v="285380.40000000002"/>
    <n v="898017.78"/>
    <x v="2"/>
  </r>
  <r>
    <x v="11"/>
    <x v="1"/>
    <x v="5"/>
    <x v="0"/>
    <x v="0"/>
    <x v="0"/>
    <x v="0"/>
    <n v="2.27"/>
    <n v="12704.99"/>
    <n v="52059.25"/>
    <x v="2"/>
  </r>
  <r>
    <x v="11"/>
    <x v="1"/>
    <x v="5"/>
    <x v="0"/>
    <x v="1"/>
    <x v="0"/>
    <x v="0"/>
    <n v="3.87"/>
    <n v="21660.04"/>
    <n v="88926"/>
    <x v="2"/>
  </r>
  <r>
    <x v="11"/>
    <x v="1"/>
    <x v="5"/>
    <x v="0"/>
    <x v="2"/>
    <x v="0"/>
    <x v="0"/>
    <n v="0"/>
    <n v="0"/>
    <n v="0"/>
    <x v="2"/>
  </r>
  <r>
    <x v="11"/>
    <x v="1"/>
    <x v="5"/>
    <x v="0"/>
    <x v="3"/>
    <x v="0"/>
    <x v="0"/>
    <n v="1.59"/>
    <n v="8899.09"/>
    <n v="36558.82"/>
    <x v="2"/>
  </r>
  <r>
    <x v="11"/>
    <x v="1"/>
    <x v="5"/>
    <x v="0"/>
    <x v="4"/>
    <x v="0"/>
    <x v="0"/>
    <n v="0"/>
    <n v="0"/>
    <n v="0"/>
    <x v="2"/>
  </r>
  <r>
    <x v="11"/>
    <x v="1"/>
    <x v="5"/>
    <x v="0"/>
    <x v="5"/>
    <x v="0"/>
    <x v="0"/>
    <n v="0"/>
    <n v="0"/>
    <n v="0"/>
    <x v="2"/>
  </r>
  <r>
    <x v="11"/>
    <x v="1"/>
    <x v="5"/>
    <x v="0"/>
    <x v="6"/>
    <x v="0"/>
    <x v="0"/>
    <n v="0"/>
    <n v="0"/>
    <n v="0"/>
    <x v="2"/>
  </r>
  <r>
    <x v="11"/>
    <x v="1"/>
    <x v="5"/>
    <x v="0"/>
    <x v="8"/>
    <x v="0"/>
    <x v="0"/>
    <n v="0"/>
    <n v="0"/>
    <n v="0"/>
    <x v="2"/>
  </r>
  <r>
    <x v="11"/>
    <x v="1"/>
    <x v="5"/>
    <x v="1"/>
    <x v="10"/>
    <x v="0"/>
    <x v="0"/>
    <n v="1.55"/>
    <n v="8675.2099999999991"/>
    <n v="35575.08"/>
    <x v="2"/>
  </r>
  <r>
    <x v="11"/>
    <x v="1"/>
    <x v="5"/>
    <x v="1"/>
    <x v="11"/>
    <x v="0"/>
    <x v="0"/>
    <n v="0"/>
    <n v="0"/>
    <n v="0"/>
    <x v="2"/>
  </r>
  <r>
    <x v="11"/>
    <x v="1"/>
    <x v="5"/>
    <x v="1"/>
    <x v="13"/>
    <x v="0"/>
    <x v="0"/>
    <n v="0"/>
    <n v="0"/>
    <n v="0"/>
    <x v="2"/>
  </r>
  <r>
    <x v="11"/>
    <x v="1"/>
    <x v="5"/>
    <x v="1"/>
    <x v="14"/>
    <x v="0"/>
    <x v="0"/>
    <n v="0"/>
    <n v="0"/>
    <n v="0"/>
    <x v="2"/>
  </r>
  <r>
    <x v="11"/>
    <x v="1"/>
    <x v="5"/>
    <x v="1"/>
    <x v="16"/>
    <x v="0"/>
    <x v="0"/>
    <n v="0"/>
    <n v="0"/>
    <n v="0"/>
    <x v="2"/>
  </r>
  <r>
    <x v="11"/>
    <x v="1"/>
    <x v="5"/>
    <x v="1"/>
    <x v="17"/>
    <x v="0"/>
    <x v="0"/>
    <n v="0"/>
    <n v="0"/>
    <n v="0"/>
    <x v="2"/>
  </r>
  <r>
    <x v="11"/>
    <x v="1"/>
    <x v="5"/>
    <x v="1"/>
    <x v="18"/>
    <x v="0"/>
    <x v="0"/>
    <n v="0"/>
    <n v="0"/>
    <n v="0"/>
    <x v="2"/>
  </r>
  <r>
    <x v="11"/>
    <x v="1"/>
    <x v="5"/>
    <x v="1"/>
    <x v="19"/>
    <x v="0"/>
    <x v="0"/>
    <n v="0"/>
    <n v="0"/>
    <n v="0"/>
    <x v="2"/>
  </r>
  <r>
    <x v="11"/>
    <x v="1"/>
    <x v="5"/>
    <x v="1"/>
    <x v="20"/>
    <x v="0"/>
    <x v="0"/>
    <n v="1.6"/>
    <n v="8955.06"/>
    <n v="36828.699999999997"/>
    <x v="2"/>
  </r>
  <r>
    <x v="11"/>
    <x v="1"/>
    <x v="5"/>
    <x v="2"/>
    <x v="21"/>
    <x v="0"/>
    <x v="0"/>
    <n v="1.7"/>
    <n v="9514.75"/>
    <n v="39142.36"/>
    <x v="2"/>
  </r>
  <r>
    <x v="11"/>
    <x v="1"/>
    <x v="5"/>
    <x v="2"/>
    <x v="22"/>
    <x v="0"/>
    <x v="0"/>
    <n v="0"/>
    <n v="0"/>
    <n v="0"/>
    <x v="2"/>
  </r>
  <r>
    <x v="11"/>
    <x v="1"/>
    <x v="5"/>
    <x v="2"/>
    <x v="29"/>
    <x v="0"/>
    <x v="0"/>
    <n v="0"/>
    <n v="0"/>
    <n v="0"/>
    <x v="2"/>
  </r>
  <r>
    <x v="11"/>
    <x v="1"/>
    <x v="5"/>
    <x v="2"/>
    <x v="24"/>
    <x v="0"/>
    <x v="0"/>
    <n v="0"/>
    <n v="0"/>
    <n v="0"/>
    <x v="2"/>
  </r>
  <r>
    <x v="11"/>
    <x v="1"/>
    <x v="5"/>
    <x v="3"/>
    <x v="25"/>
    <x v="0"/>
    <x v="0"/>
    <n v="0"/>
    <n v="0"/>
    <n v="0"/>
    <x v="2"/>
  </r>
  <r>
    <x v="11"/>
    <x v="1"/>
    <x v="5"/>
    <x v="3"/>
    <x v="26"/>
    <x v="0"/>
    <x v="0"/>
    <n v="1.88"/>
    <n v="10522.19"/>
    <n v="43185.5"/>
    <x v="2"/>
  </r>
  <r>
    <x v="11"/>
    <x v="1"/>
    <x v="5"/>
    <x v="3"/>
    <x v="27"/>
    <x v="0"/>
    <x v="0"/>
    <n v="3.22"/>
    <n v="18022.05"/>
    <n v="73853.89"/>
    <x v="2"/>
  </r>
  <r>
    <x v="11"/>
    <x v="1"/>
    <x v="5"/>
    <x v="0"/>
    <x v="0"/>
    <x v="0"/>
    <x v="1"/>
    <n v="1.87"/>
    <n v="10466.219999999999"/>
    <n v="43005.47"/>
    <x v="2"/>
  </r>
  <r>
    <x v="11"/>
    <x v="1"/>
    <x v="5"/>
    <x v="0"/>
    <x v="1"/>
    <x v="0"/>
    <x v="1"/>
    <n v="4.47"/>
    <n v="25018.19"/>
    <n v="102606.92"/>
    <x v="2"/>
  </r>
  <r>
    <x v="11"/>
    <x v="1"/>
    <x v="5"/>
    <x v="0"/>
    <x v="2"/>
    <x v="0"/>
    <x v="1"/>
    <n v="4.83"/>
    <n v="27033.08"/>
    <n v="111026.55"/>
    <x v="2"/>
  </r>
  <r>
    <x v="11"/>
    <x v="1"/>
    <x v="5"/>
    <x v="0"/>
    <x v="3"/>
    <x v="0"/>
    <x v="1"/>
    <n v="5.81"/>
    <n v="32518.05"/>
    <n v="133332.18"/>
    <x v="2"/>
  </r>
  <r>
    <x v="11"/>
    <x v="1"/>
    <x v="5"/>
    <x v="0"/>
    <x v="4"/>
    <x v="0"/>
    <x v="1"/>
    <n v="0.53"/>
    <n v="2966.36"/>
    <n v="12095.02"/>
    <x v="2"/>
  </r>
  <r>
    <x v="11"/>
    <x v="1"/>
    <x v="5"/>
    <x v="0"/>
    <x v="5"/>
    <x v="0"/>
    <x v="1"/>
    <n v="3.61"/>
    <n v="20204.849999999999"/>
    <n v="82874.320000000007"/>
    <x v="2"/>
  </r>
  <r>
    <x v="11"/>
    <x v="1"/>
    <x v="5"/>
    <x v="0"/>
    <x v="6"/>
    <x v="0"/>
    <x v="1"/>
    <n v="1.3"/>
    <n v="7275.98"/>
    <n v="29930.61"/>
    <x v="2"/>
  </r>
  <r>
    <x v="11"/>
    <x v="1"/>
    <x v="5"/>
    <x v="0"/>
    <x v="8"/>
    <x v="0"/>
    <x v="1"/>
    <n v="1.76"/>
    <n v="9850.56"/>
    <n v="40365.17"/>
    <x v="2"/>
  </r>
  <r>
    <x v="11"/>
    <x v="1"/>
    <x v="5"/>
    <x v="1"/>
    <x v="10"/>
    <x v="0"/>
    <x v="1"/>
    <n v="3.39"/>
    <n v="18973.52"/>
    <n v="77820.479999999996"/>
    <x v="2"/>
  </r>
  <r>
    <x v="11"/>
    <x v="1"/>
    <x v="5"/>
    <x v="1"/>
    <x v="11"/>
    <x v="0"/>
    <x v="1"/>
    <n v="9.4700000000000006"/>
    <n v="53002.74"/>
    <n v="217359.63"/>
    <x v="2"/>
  </r>
  <r>
    <x v="11"/>
    <x v="1"/>
    <x v="5"/>
    <x v="1"/>
    <x v="13"/>
    <x v="0"/>
    <x v="1"/>
    <n v="4.91"/>
    <n v="27480.83"/>
    <n v="112857.44"/>
    <x v="2"/>
  </r>
  <r>
    <x v="11"/>
    <x v="1"/>
    <x v="5"/>
    <x v="1"/>
    <x v="14"/>
    <x v="0"/>
    <x v="1"/>
    <n v="1.1000000000000001"/>
    <n v="6156.6"/>
    <n v="25146.16"/>
    <x v="2"/>
  </r>
  <r>
    <x v="11"/>
    <x v="1"/>
    <x v="5"/>
    <x v="1"/>
    <x v="16"/>
    <x v="0"/>
    <x v="1"/>
    <n v="3.07"/>
    <n v="17182.509999999998"/>
    <n v="70578.16"/>
    <x v="2"/>
  </r>
  <r>
    <x v="11"/>
    <x v="1"/>
    <x v="5"/>
    <x v="1"/>
    <x v="17"/>
    <x v="0"/>
    <x v="1"/>
    <n v="1.67"/>
    <n v="9346.84"/>
    <n v="38303.5"/>
    <x v="2"/>
  </r>
  <r>
    <x v="11"/>
    <x v="1"/>
    <x v="5"/>
    <x v="1"/>
    <x v="18"/>
    <x v="0"/>
    <x v="1"/>
    <n v="11.23"/>
    <n v="62853.3"/>
    <n v="257809.54"/>
    <x v="2"/>
  </r>
  <r>
    <x v="11"/>
    <x v="1"/>
    <x v="5"/>
    <x v="1"/>
    <x v="19"/>
    <x v="0"/>
    <x v="1"/>
    <n v="5.03"/>
    <n v="28152.46"/>
    <n v="115616.28"/>
    <x v="2"/>
  </r>
  <r>
    <x v="11"/>
    <x v="1"/>
    <x v="5"/>
    <x v="1"/>
    <x v="20"/>
    <x v="0"/>
    <x v="1"/>
    <n v="9.5299999999999994"/>
    <n v="53338.55"/>
    <n v="218926.14"/>
    <x v="2"/>
  </r>
  <r>
    <x v="11"/>
    <x v="1"/>
    <x v="5"/>
    <x v="2"/>
    <x v="21"/>
    <x v="0"/>
    <x v="1"/>
    <n v="0"/>
    <n v="0"/>
    <n v="0"/>
    <x v="2"/>
  </r>
  <r>
    <x v="11"/>
    <x v="1"/>
    <x v="5"/>
    <x v="2"/>
    <x v="22"/>
    <x v="0"/>
    <x v="1"/>
    <n v="2.97"/>
    <n v="16622.82"/>
    <n v="68251.63"/>
    <x v="2"/>
  </r>
  <r>
    <x v="11"/>
    <x v="1"/>
    <x v="5"/>
    <x v="2"/>
    <x v="29"/>
    <x v="0"/>
    <x v="1"/>
    <n v="2.17"/>
    <n v="12145.29"/>
    <n v="49729.01"/>
    <x v="2"/>
  </r>
  <r>
    <x v="11"/>
    <x v="1"/>
    <x v="5"/>
    <x v="2"/>
    <x v="24"/>
    <x v="0"/>
    <x v="1"/>
    <n v="2.11"/>
    <n v="11809.48"/>
    <n v="48370.35"/>
    <x v="2"/>
  </r>
  <r>
    <x v="11"/>
    <x v="1"/>
    <x v="5"/>
    <x v="3"/>
    <x v="25"/>
    <x v="0"/>
    <x v="1"/>
    <n v="1.37"/>
    <n v="7667.77"/>
    <n v="31448.880000000001"/>
    <x v="2"/>
  </r>
  <r>
    <x v="11"/>
    <x v="1"/>
    <x v="5"/>
    <x v="3"/>
    <x v="26"/>
    <x v="0"/>
    <x v="1"/>
    <n v="1.58"/>
    <n v="8843.1200000000008"/>
    <n v="36366.74"/>
    <x v="2"/>
  </r>
  <r>
    <x v="11"/>
    <x v="1"/>
    <x v="5"/>
    <x v="3"/>
    <x v="27"/>
    <x v="0"/>
    <x v="1"/>
    <n v="12.25"/>
    <n v="68562.149999999994"/>
    <n v="281348.15999999997"/>
    <x v="2"/>
  </r>
  <r>
    <x v="11"/>
    <x v="1"/>
    <x v="5"/>
    <x v="0"/>
    <x v="0"/>
    <x v="1"/>
    <x v="0"/>
    <n v="3.77"/>
    <n v="21100.35"/>
    <n v="56595.33"/>
    <x v="2"/>
  </r>
  <r>
    <x v="11"/>
    <x v="1"/>
    <x v="5"/>
    <x v="0"/>
    <x v="1"/>
    <x v="1"/>
    <x v="0"/>
    <n v="10.88"/>
    <n v="60894.38"/>
    <n v="160585.28"/>
    <x v="2"/>
  </r>
  <r>
    <x v="11"/>
    <x v="1"/>
    <x v="5"/>
    <x v="0"/>
    <x v="2"/>
    <x v="1"/>
    <x v="0"/>
    <n v="4.42"/>
    <n v="24738.34"/>
    <n v="62974.51"/>
    <x v="2"/>
  </r>
  <r>
    <x v="11"/>
    <x v="1"/>
    <x v="5"/>
    <x v="0"/>
    <x v="3"/>
    <x v="1"/>
    <x v="0"/>
    <n v="13.56"/>
    <n v="75894.100000000006"/>
    <n v="201204.32"/>
    <x v="2"/>
  </r>
  <r>
    <x v="11"/>
    <x v="1"/>
    <x v="5"/>
    <x v="0"/>
    <x v="28"/>
    <x v="1"/>
    <x v="0"/>
    <n v="0"/>
    <n v="0"/>
    <n v="0"/>
    <x v="2"/>
  </r>
  <r>
    <x v="11"/>
    <x v="1"/>
    <x v="5"/>
    <x v="0"/>
    <x v="4"/>
    <x v="1"/>
    <x v="0"/>
    <n v="4.03"/>
    <n v="22555.55"/>
    <n v="59242.59"/>
    <x v="2"/>
  </r>
  <r>
    <x v="11"/>
    <x v="1"/>
    <x v="5"/>
    <x v="0"/>
    <x v="5"/>
    <x v="1"/>
    <x v="0"/>
    <n v="2.91"/>
    <n v="16287.01"/>
    <n v="44105.24"/>
    <x v="2"/>
  </r>
  <r>
    <x v="11"/>
    <x v="1"/>
    <x v="5"/>
    <x v="0"/>
    <x v="6"/>
    <x v="1"/>
    <x v="0"/>
    <n v="0"/>
    <n v="0"/>
    <n v="0"/>
    <x v="2"/>
  </r>
  <r>
    <x v="11"/>
    <x v="1"/>
    <x v="5"/>
    <x v="0"/>
    <x v="7"/>
    <x v="1"/>
    <x v="0"/>
    <n v="0"/>
    <n v="0"/>
    <n v="0"/>
    <x v="2"/>
  </r>
  <r>
    <x v="11"/>
    <x v="1"/>
    <x v="5"/>
    <x v="0"/>
    <x v="8"/>
    <x v="1"/>
    <x v="0"/>
    <n v="0"/>
    <n v="0"/>
    <n v="0"/>
    <x v="2"/>
  </r>
  <r>
    <x v="11"/>
    <x v="1"/>
    <x v="5"/>
    <x v="1"/>
    <x v="30"/>
    <x v="1"/>
    <x v="0"/>
    <n v="1.84"/>
    <n v="10298.31"/>
    <n v="29107.98"/>
    <x v="2"/>
  </r>
  <r>
    <x v="11"/>
    <x v="1"/>
    <x v="5"/>
    <x v="1"/>
    <x v="9"/>
    <x v="1"/>
    <x v="0"/>
    <n v="0"/>
    <n v="0"/>
    <n v="0"/>
    <x v="2"/>
  </r>
  <r>
    <x v="11"/>
    <x v="1"/>
    <x v="5"/>
    <x v="1"/>
    <x v="31"/>
    <x v="1"/>
    <x v="0"/>
    <n v="3.44"/>
    <n v="19253.37"/>
    <n v="54977.34"/>
    <x v="2"/>
  </r>
  <r>
    <x v="11"/>
    <x v="1"/>
    <x v="5"/>
    <x v="1"/>
    <x v="10"/>
    <x v="1"/>
    <x v="0"/>
    <n v="6.46"/>
    <n v="36156.04"/>
    <n v="101181.84"/>
    <x v="2"/>
  </r>
  <r>
    <x v="11"/>
    <x v="1"/>
    <x v="5"/>
    <x v="1"/>
    <x v="11"/>
    <x v="1"/>
    <x v="0"/>
    <n v="6.99"/>
    <n v="39122.400000000001"/>
    <n v="104268.85"/>
    <x v="2"/>
  </r>
  <r>
    <x v="11"/>
    <x v="1"/>
    <x v="5"/>
    <x v="1"/>
    <x v="12"/>
    <x v="1"/>
    <x v="0"/>
    <n v="0.8"/>
    <n v="4477.53"/>
    <n v="12589.21"/>
    <x v="2"/>
  </r>
  <r>
    <x v="11"/>
    <x v="1"/>
    <x v="5"/>
    <x v="1"/>
    <x v="13"/>
    <x v="1"/>
    <x v="0"/>
    <n v="5.91"/>
    <n v="33077.74"/>
    <n v="92468.34"/>
    <x v="2"/>
  </r>
  <r>
    <x v="11"/>
    <x v="1"/>
    <x v="5"/>
    <x v="1"/>
    <x v="14"/>
    <x v="1"/>
    <x v="0"/>
    <n v="10.71"/>
    <n v="59942.91"/>
    <n v="164242.43"/>
    <x v="2"/>
  </r>
  <r>
    <x v="11"/>
    <x v="1"/>
    <x v="5"/>
    <x v="1"/>
    <x v="15"/>
    <x v="1"/>
    <x v="0"/>
    <n v="1.54"/>
    <n v="8619.24"/>
    <n v="24475.5"/>
    <x v="2"/>
  </r>
  <r>
    <x v="11"/>
    <x v="1"/>
    <x v="5"/>
    <x v="1"/>
    <x v="16"/>
    <x v="1"/>
    <x v="0"/>
    <n v="6.48"/>
    <n v="36267.980000000003"/>
    <n v="97869.37"/>
    <x v="2"/>
  </r>
  <r>
    <x v="11"/>
    <x v="1"/>
    <x v="5"/>
    <x v="1"/>
    <x v="17"/>
    <x v="1"/>
    <x v="0"/>
    <n v="3.53"/>
    <n v="19757.09"/>
    <n v="53816.44"/>
    <x v="2"/>
  </r>
  <r>
    <x v="11"/>
    <x v="1"/>
    <x v="5"/>
    <x v="1"/>
    <x v="18"/>
    <x v="1"/>
    <x v="0"/>
    <n v="6.57"/>
    <n v="36771.699999999997"/>
    <n v="104910.34"/>
    <x v="2"/>
  </r>
  <r>
    <x v="11"/>
    <x v="1"/>
    <x v="5"/>
    <x v="1"/>
    <x v="19"/>
    <x v="1"/>
    <x v="0"/>
    <n v="10.49"/>
    <n v="58711.59"/>
    <n v="162324.15"/>
    <x v="2"/>
  </r>
  <r>
    <x v="11"/>
    <x v="1"/>
    <x v="5"/>
    <x v="1"/>
    <x v="20"/>
    <x v="1"/>
    <x v="0"/>
    <n v="9.73"/>
    <n v="54457.93"/>
    <n v="148139.79999999999"/>
    <x v="2"/>
  </r>
  <r>
    <x v="11"/>
    <x v="1"/>
    <x v="5"/>
    <x v="2"/>
    <x v="21"/>
    <x v="1"/>
    <x v="0"/>
    <n v="0"/>
    <n v="0"/>
    <n v="0"/>
    <x v="2"/>
  </r>
  <r>
    <x v="11"/>
    <x v="1"/>
    <x v="5"/>
    <x v="2"/>
    <x v="22"/>
    <x v="1"/>
    <x v="0"/>
    <n v="5.15"/>
    <n v="28824.09"/>
    <n v="72089.570000000007"/>
    <x v="2"/>
  </r>
  <r>
    <x v="11"/>
    <x v="1"/>
    <x v="5"/>
    <x v="2"/>
    <x v="29"/>
    <x v="1"/>
    <x v="0"/>
    <n v="0"/>
    <n v="0"/>
    <n v="0"/>
    <x v="2"/>
  </r>
  <r>
    <x v="11"/>
    <x v="1"/>
    <x v="5"/>
    <x v="2"/>
    <x v="23"/>
    <x v="1"/>
    <x v="0"/>
    <n v="0"/>
    <n v="0"/>
    <n v="0"/>
    <x v="2"/>
  </r>
  <r>
    <x v="11"/>
    <x v="1"/>
    <x v="5"/>
    <x v="2"/>
    <x v="24"/>
    <x v="1"/>
    <x v="0"/>
    <n v="0.75"/>
    <n v="4197.68"/>
    <n v="10628.04"/>
    <x v="2"/>
  </r>
  <r>
    <x v="11"/>
    <x v="1"/>
    <x v="5"/>
    <x v="3"/>
    <x v="25"/>
    <x v="1"/>
    <x v="0"/>
    <n v="4.17"/>
    <n v="23339.11"/>
    <n v="65591.350000000006"/>
    <x v="2"/>
  </r>
  <r>
    <x v="11"/>
    <x v="1"/>
    <x v="5"/>
    <x v="3"/>
    <x v="26"/>
    <x v="1"/>
    <x v="0"/>
    <n v="4.53"/>
    <n v="25354"/>
    <n v="71777.16"/>
    <x v="2"/>
  </r>
  <r>
    <x v="11"/>
    <x v="1"/>
    <x v="5"/>
    <x v="3"/>
    <x v="27"/>
    <x v="1"/>
    <x v="0"/>
    <n v="10.94"/>
    <n v="61230.2"/>
    <n v="170138.85"/>
    <x v="2"/>
  </r>
  <r>
    <x v="11"/>
    <x v="1"/>
    <x v="5"/>
    <x v="0"/>
    <x v="0"/>
    <x v="1"/>
    <x v="1"/>
    <n v="6"/>
    <n v="33581.46"/>
    <n v="90038.03"/>
    <x v="2"/>
  </r>
  <r>
    <x v="11"/>
    <x v="1"/>
    <x v="5"/>
    <x v="0"/>
    <x v="1"/>
    <x v="1"/>
    <x v="1"/>
    <n v="12.03"/>
    <n v="67330.83"/>
    <n v="177617.05"/>
    <x v="2"/>
  </r>
  <r>
    <x v="11"/>
    <x v="1"/>
    <x v="5"/>
    <x v="0"/>
    <x v="2"/>
    <x v="1"/>
    <x v="1"/>
    <n v="9.52"/>
    <n v="53282.58"/>
    <n v="135827.35999999999"/>
    <x v="2"/>
  </r>
  <r>
    <x v="11"/>
    <x v="1"/>
    <x v="5"/>
    <x v="0"/>
    <x v="3"/>
    <x v="1"/>
    <x v="1"/>
    <n v="30.8"/>
    <n v="172384.83"/>
    <n v="456940.66"/>
    <x v="2"/>
  </r>
  <r>
    <x v="11"/>
    <x v="1"/>
    <x v="5"/>
    <x v="0"/>
    <x v="28"/>
    <x v="1"/>
    <x v="1"/>
    <n v="1.1100000000000001"/>
    <n v="6212.57"/>
    <n v="16632"/>
    <x v="2"/>
  </r>
  <r>
    <x v="11"/>
    <x v="1"/>
    <x v="5"/>
    <x v="0"/>
    <x v="4"/>
    <x v="1"/>
    <x v="1"/>
    <n v="5.64"/>
    <n v="31566.57"/>
    <n v="82939.62"/>
    <x v="2"/>
  </r>
  <r>
    <x v="11"/>
    <x v="1"/>
    <x v="5"/>
    <x v="0"/>
    <x v="5"/>
    <x v="1"/>
    <x v="1"/>
    <n v="23.96"/>
    <n v="134101.96"/>
    <n v="362643.06"/>
    <x v="2"/>
  </r>
  <r>
    <x v="11"/>
    <x v="1"/>
    <x v="5"/>
    <x v="0"/>
    <x v="6"/>
    <x v="1"/>
    <x v="1"/>
    <n v="0.75"/>
    <n v="4197.68"/>
    <n v="11318.07"/>
    <x v="2"/>
  </r>
  <r>
    <x v="11"/>
    <x v="1"/>
    <x v="5"/>
    <x v="0"/>
    <x v="7"/>
    <x v="1"/>
    <x v="1"/>
    <n v="3.2"/>
    <n v="17910.11"/>
    <n v="49033.48"/>
    <x v="2"/>
  </r>
  <r>
    <x v="11"/>
    <x v="1"/>
    <x v="5"/>
    <x v="0"/>
    <x v="8"/>
    <x v="1"/>
    <x v="1"/>
    <n v="1.48"/>
    <n v="8283.43"/>
    <n v="21624.3"/>
    <x v="2"/>
  </r>
  <r>
    <x v="11"/>
    <x v="1"/>
    <x v="5"/>
    <x v="1"/>
    <x v="30"/>
    <x v="1"/>
    <x v="1"/>
    <n v="0"/>
    <n v="0"/>
    <n v="0"/>
    <x v="2"/>
  </r>
  <r>
    <x v="11"/>
    <x v="1"/>
    <x v="5"/>
    <x v="1"/>
    <x v="9"/>
    <x v="1"/>
    <x v="1"/>
    <n v="4.04"/>
    <n v="22611.52"/>
    <n v="63792.04"/>
    <x v="2"/>
  </r>
  <r>
    <x v="11"/>
    <x v="1"/>
    <x v="5"/>
    <x v="1"/>
    <x v="31"/>
    <x v="1"/>
    <x v="1"/>
    <n v="0"/>
    <n v="0"/>
    <n v="0"/>
    <x v="2"/>
  </r>
  <r>
    <x v="11"/>
    <x v="1"/>
    <x v="5"/>
    <x v="1"/>
    <x v="10"/>
    <x v="1"/>
    <x v="1"/>
    <n v="25.57"/>
    <n v="143112.99"/>
    <n v="400511.46"/>
    <x v="2"/>
  </r>
  <r>
    <x v="11"/>
    <x v="1"/>
    <x v="5"/>
    <x v="1"/>
    <x v="11"/>
    <x v="1"/>
    <x v="1"/>
    <n v="22.17"/>
    <n v="124083.49"/>
    <n v="330940.26"/>
    <x v="2"/>
  </r>
  <r>
    <x v="11"/>
    <x v="1"/>
    <x v="5"/>
    <x v="1"/>
    <x v="12"/>
    <x v="1"/>
    <x v="1"/>
    <n v="2.3199999999999998"/>
    <n v="12984.83"/>
    <n v="36508.720000000001"/>
    <x v="2"/>
  </r>
  <r>
    <x v="11"/>
    <x v="1"/>
    <x v="5"/>
    <x v="1"/>
    <x v="13"/>
    <x v="1"/>
    <x v="1"/>
    <n v="10.19"/>
    <n v="57032.51"/>
    <n v="159330.06"/>
    <x v="2"/>
  </r>
  <r>
    <x v="11"/>
    <x v="1"/>
    <x v="5"/>
    <x v="1"/>
    <x v="14"/>
    <x v="1"/>
    <x v="1"/>
    <n v="5.18"/>
    <n v="28991.99"/>
    <n v="79472.14"/>
    <x v="2"/>
  </r>
  <r>
    <x v="11"/>
    <x v="1"/>
    <x v="5"/>
    <x v="1"/>
    <x v="15"/>
    <x v="1"/>
    <x v="1"/>
    <n v="1.54"/>
    <n v="8619.24"/>
    <n v="24475.5"/>
    <x v="2"/>
  </r>
  <r>
    <x v="11"/>
    <x v="1"/>
    <x v="5"/>
    <x v="1"/>
    <x v="16"/>
    <x v="1"/>
    <x v="1"/>
    <n v="12.5"/>
    <n v="69961.38"/>
    <n v="188870.72"/>
    <x v="2"/>
  </r>
  <r>
    <x v="11"/>
    <x v="1"/>
    <x v="5"/>
    <x v="1"/>
    <x v="17"/>
    <x v="1"/>
    <x v="1"/>
    <n v="3.07"/>
    <n v="17182.509999999998"/>
    <n v="46796.91"/>
    <x v="2"/>
  </r>
  <r>
    <x v="11"/>
    <x v="1"/>
    <x v="5"/>
    <x v="1"/>
    <x v="18"/>
    <x v="1"/>
    <x v="1"/>
    <n v="26.2"/>
    <n v="146639.04000000001"/>
    <n v="418204.24"/>
    <x v="2"/>
  </r>
  <r>
    <x v="11"/>
    <x v="1"/>
    <x v="5"/>
    <x v="1"/>
    <x v="19"/>
    <x v="1"/>
    <x v="1"/>
    <n v="15.61"/>
    <n v="87367.77"/>
    <n v="241641.63"/>
    <x v="2"/>
  </r>
  <r>
    <x v="11"/>
    <x v="1"/>
    <x v="5"/>
    <x v="1"/>
    <x v="20"/>
    <x v="1"/>
    <x v="1"/>
    <n v="18.920000000000002"/>
    <n v="105893.54"/>
    <n v="288049.62"/>
    <x v="2"/>
  </r>
  <r>
    <x v="11"/>
    <x v="1"/>
    <x v="5"/>
    <x v="2"/>
    <x v="21"/>
    <x v="1"/>
    <x v="1"/>
    <n v="2.15"/>
    <n v="12033.36"/>
    <n v="30026.82"/>
    <x v="2"/>
  </r>
  <r>
    <x v="11"/>
    <x v="1"/>
    <x v="5"/>
    <x v="2"/>
    <x v="22"/>
    <x v="1"/>
    <x v="1"/>
    <n v="10.83"/>
    <n v="60614.54"/>
    <n v="151388.1"/>
    <x v="2"/>
  </r>
  <r>
    <x v="11"/>
    <x v="1"/>
    <x v="5"/>
    <x v="2"/>
    <x v="29"/>
    <x v="1"/>
    <x v="1"/>
    <n v="0.17"/>
    <n v="951.47"/>
    <n v="2551.5500000000002"/>
    <x v="2"/>
  </r>
  <r>
    <x v="11"/>
    <x v="1"/>
    <x v="5"/>
    <x v="2"/>
    <x v="23"/>
    <x v="1"/>
    <x v="1"/>
    <n v="1.82"/>
    <n v="10186.379999999999"/>
    <n v="26482.58"/>
    <x v="2"/>
  </r>
  <r>
    <x v="11"/>
    <x v="1"/>
    <x v="5"/>
    <x v="2"/>
    <x v="24"/>
    <x v="1"/>
    <x v="1"/>
    <n v="1.1499999999999999"/>
    <n v="6436.45"/>
    <n v="16425.16"/>
    <x v="2"/>
  </r>
  <r>
    <x v="11"/>
    <x v="1"/>
    <x v="5"/>
    <x v="3"/>
    <x v="25"/>
    <x v="1"/>
    <x v="1"/>
    <n v="7.4"/>
    <n v="41417.129999999997"/>
    <n v="116458.11"/>
    <x v="2"/>
  </r>
  <r>
    <x v="11"/>
    <x v="1"/>
    <x v="5"/>
    <x v="3"/>
    <x v="26"/>
    <x v="1"/>
    <x v="1"/>
    <n v="10.94"/>
    <n v="61230.2"/>
    <n v="173348.61"/>
    <x v="2"/>
  </r>
  <r>
    <x v="11"/>
    <x v="1"/>
    <x v="5"/>
    <x v="3"/>
    <x v="27"/>
    <x v="1"/>
    <x v="1"/>
    <n v="28.88"/>
    <n v="161638.76"/>
    <n v="449055.01"/>
    <x v="2"/>
  </r>
  <r>
    <x v="11"/>
    <x v="1"/>
    <x v="6"/>
    <x v="0"/>
    <x v="0"/>
    <x v="0"/>
    <x v="0"/>
    <n v="2.33"/>
    <n v="6186.78"/>
    <n v="21855.21"/>
    <x v="2"/>
  </r>
  <r>
    <x v="11"/>
    <x v="1"/>
    <x v="6"/>
    <x v="0"/>
    <x v="1"/>
    <x v="0"/>
    <x v="0"/>
    <n v="3.14"/>
    <n v="8337.5499999999993"/>
    <n v="29433.439999999999"/>
    <x v="2"/>
  </r>
  <r>
    <x v="11"/>
    <x v="1"/>
    <x v="6"/>
    <x v="0"/>
    <x v="2"/>
    <x v="0"/>
    <x v="0"/>
    <n v="0"/>
    <n v="0"/>
    <n v="0"/>
    <x v="2"/>
  </r>
  <r>
    <x v="11"/>
    <x v="1"/>
    <x v="6"/>
    <x v="0"/>
    <x v="3"/>
    <x v="0"/>
    <x v="0"/>
    <n v="1.44"/>
    <n v="3823.59"/>
    <n v="13523.65"/>
    <x v="2"/>
  </r>
  <r>
    <x v="11"/>
    <x v="1"/>
    <x v="6"/>
    <x v="0"/>
    <x v="4"/>
    <x v="0"/>
    <x v="0"/>
    <n v="0"/>
    <n v="0"/>
    <n v="0"/>
    <x v="2"/>
  </r>
  <r>
    <x v="11"/>
    <x v="1"/>
    <x v="6"/>
    <x v="0"/>
    <x v="5"/>
    <x v="0"/>
    <x v="0"/>
    <n v="0"/>
    <n v="0"/>
    <n v="0"/>
    <x v="2"/>
  </r>
  <r>
    <x v="11"/>
    <x v="1"/>
    <x v="6"/>
    <x v="0"/>
    <x v="6"/>
    <x v="0"/>
    <x v="0"/>
    <n v="0"/>
    <n v="0"/>
    <n v="0"/>
    <x v="2"/>
  </r>
  <r>
    <x v="11"/>
    <x v="1"/>
    <x v="6"/>
    <x v="0"/>
    <x v="8"/>
    <x v="0"/>
    <x v="0"/>
    <n v="0"/>
    <n v="0"/>
    <n v="0"/>
    <x v="2"/>
  </r>
  <r>
    <x v="11"/>
    <x v="1"/>
    <x v="6"/>
    <x v="1"/>
    <x v="10"/>
    <x v="0"/>
    <x v="0"/>
    <n v="2.61"/>
    <n v="6930.25"/>
    <n v="24403.38"/>
    <x v="2"/>
  </r>
  <r>
    <x v="11"/>
    <x v="1"/>
    <x v="6"/>
    <x v="1"/>
    <x v="11"/>
    <x v="0"/>
    <x v="0"/>
    <n v="0"/>
    <n v="0"/>
    <n v="0"/>
    <x v="2"/>
  </r>
  <r>
    <x v="11"/>
    <x v="1"/>
    <x v="6"/>
    <x v="1"/>
    <x v="13"/>
    <x v="0"/>
    <x v="0"/>
    <n v="0"/>
    <n v="0"/>
    <n v="0"/>
    <x v="2"/>
  </r>
  <r>
    <x v="11"/>
    <x v="1"/>
    <x v="6"/>
    <x v="1"/>
    <x v="14"/>
    <x v="0"/>
    <x v="0"/>
    <n v="0"/>
    <n v="0"/>
    <n v="0"/>
    <x v="2"/>
  </r>
  <r>
    <x v="11"/>
    <x v="1"/>
    <x v="6"/>
    <x v="1"/>
    <x v="16"/>
    <x v="0"/>
    <x v="0"/>
    <n v="0"/>
    <n v="0"/>
    <n v="0"/>
    <x v="2"/>
  </r>
  <r>
    <x v="11"/>
    <x v="1"/>
    <x v="6"/>
    <x v="1"/>
    <x v="17"/>
    <x v="0"/>
    <x v="0"/>
    <n v="0"/>
    <n v="0"/>
    <n v="0"/>
    <x v="2"/>
  </r>
  <r>
    <x v="11"/>
    <x v="1"/>
    <x v="6"/>
    <x v="1"/>
    <x v="18"/>
    <x v="0"/>
    <x v="0"/>
    <n v="0"/>
    <n v="0"/>
    <n v="0"/>
    <x v="2"/>
  </r>
  <r>
    <x v="11"/>
    <x v="1"/>
    <x v="6"/>
    <x v="1"/>
    <x v="19"/>
    <x v="0"/>
    <x v="0"/>
    <n v="0"/>
    <n v="0"/>
    <n v="0"/>
    <x v="2"/>
  </r>
  <r>
    <x v="11"/>
    <x v="1"/>
    <x v="6"/>
    <x v="1"/>
    <x v="20"/>
    <x v="0"/>
    <x v="0"/>
    <n v="1.31"/>
    <n v="3478.4"/>
    <n v="12236.52"/>
    <x v="2"/>
  </r>
  <r>
    <x v="11"/>
    <x v="1"/>
    <x v="6"/>
    <x v="2"/>
    <x v="21"/>
    <x v="0"/>
    <x v="0"/>
    <n v="1.48"/>
    <n v="3929.8"/>
    <n v="13866.21"/>
    <x v="2"/>
  </r>
  <r>
    <x v="11"/>
    <x v="1"/>
    <x v="6"/>
    <x v="2"/>
    <x v="22"/>
    <x v="0"/>
    <x v="0"/>
    <n v="0"/>
    <n v="0"/>
    <n v="0"/>
    <x v="2"/>
  </r>
  <r>
    <x v="11"/>
    <x v="1"/>
    <x v="6"/>
    <x v="2"/>
    <x v="29"/>
    <x v="0"/>
    <x v="0"/>
    <n v="0"/>
    <n v="0"/>
    <n v="0"/>
    <x v="2"/>
  </r>
  <r>
    <x v="11"/>
    <x v="1"/>
    <x v="6"/>
    <x v="2"/>
    <x v="24"/>
    <x v="0"/>
    <x v="0"/>
    <n v="0"/>
    <n v="0"/>
    <n v="0"/>
    <x v="2"/>
  </r>
  <r>
    <x v="11"/>
    <x v="1"/>
    <x v="6"/>
    <x v="3"/>
    <x v="25"/>
    <x v="0"/>
    <x v="0"/>
    <n v="0"/>
    <n v="0"/>
    <n v="0"/>
    <x v="2"/>
  </r>
  <r>
    <x v="11"/>
    <x v="1"/>
    <x v="6"/>
    <x v="3"/>
    <x v="26"/>
    <x v="0"/>
    <x v="0"/>
    <n v="1.63"/>
    <n v="4328.09"/>
    <n v="15289.21"/>
    <x v="2"/>
  </r>
  <r>
    <x v="11"/>
    <x v="1"/>
    <x v="6"/>
    <x v="3"/>
    <x v="27"/>
    <x v="0"/>
    <x v="0"/>
    <n v="1.56"/>
    <n v="4142.22"/>
    <n v="14604.93"/>
    <x v="2"/>
  </r>
  <r>
    <x v="11"/>
    <x v="1"/>
    <x v="6"/>
    <x v="0"/>
    <x v="0"/>
    <x v="0"/>
    <x v="1"/>
    <n v="1.83"/>
    <n v="4859.1400000000003"/>
    <n v="17104.07"/>
    <x v="2"/>
  </r>
  <r>
    <x v="11"/>
    <x v="1"/>
    <x v="6"/>
    <x v="0"/>
    <x v="1"/>
    <x v="0"/>
    <x v="1"/>
    <n v="6.58"/>
    <n v="17471.68"/>
    <n v="61597.81"/>
    <x v="2"/>
  </r>
  <r>
    <x v="11"/>
    <x v="1"/>
    <x v="6"/>
    <x v="0"/>
    <x v="2"/>
    <x v="0"/>
    <x v="1"/>
    <n v="2.94"/>
    <n v="7806.49"/>
    <n v="27504.09"/>
    <x v="2"/>
  </r>
  <r>
    <x v="11"/>
    <x v="1"/>
    <x v="6"/>
    <x v="0"/>
    <x v="3"/>
    <x v="0"/>
    <x v="1"/>
    <n v="5.77"/>
    <n v="15320.91"/>
    <n v="54094.59"/>
    <x v="2"/>
  </r>
  <r>
    <x v="11"/>
    <x v="1"/>
    <x v="6"/>
    <x v="0"/>
    <x v="4"/>
    <x v="0"/>
    <x v="1"/>
    <n v="2.21"/>
    <n v="5868.15"/>
    <n v="20701.29"/>
    <x v="2"/>
  </r>
  <r>
    <x v="11"/>
    <x v="1"/>
    <x v="6"/>
    <x v="0"/>
    <x v="5"/>
    <x v="0"/>
    <x v="1"/>
    <n v="3.5"/>
    <n v="9293.4500000000007"/>
    <n v="32779.85"/>
    <x v="2"/>
  </r>
  <r>
    <x v="11"/>
    <x v="1"/>
    <x v="6"/>
    <x v="0"/>
    <x v="6"/>
    <x v="0"/>
    <x v="1"/>
    <n v="1.81"/>
    <n v="4806.04"/>
    <n v="16917.07"/>
    <x v="2"/>
  </r>
  <r>
    <x v="11"/>
    <x v="1"/>
    <x v="6"/>
    <x v="0"/>
    <x v="8"/>
    <x v="0"/>
    <x v="1"/>
    <n v="3.74"/>
    <n v="9930.7099999999991"/>
    <n v="35029.97"/>
    <x v="2"/>
  </r>
  <r>
    <x v="11"/>
    <x v="1"/>
    <x v="6"/>
    <x v="1"/>
    <x v="10"/>
    <x v="0"/>
    <x v="1"/>
    <n v="3.67"/>
    <n v="9744.84"/>
    <n v="34345.5"/>
    <x v="2"/>
  </r>
  <r>
    <x v="11"/>
    <x v="1"/>
    <x v="6"/>
    <x v="1"/>
    <x v="11"/>
    <x v="0"/>
    <x v="1"/>
    <n v="10.1"/>
    <n v="26818.23"/>
    <n v="94623.17"/>
    <x v="2"/>
  </r>
  <r>
    <x v="11"/>
    <x v="1"/>
    <x v="6"/>
    <x v="1"/>
    <x v="13"/>
    <x v="0"/>
    <x v="1"/>
    <n v="3.69"/>
    <n v="9797.9500000000007"/>
    <n v="34581.18"/>
    <x v="2"/>
  </r>
  <r>
    <x v="11"/>
    <x v="1"/>
    <x v="6"/>
    <x v="1"/>
    <x v="14"/>
    <x v="0"/>
    <x v="1"/>
    <n v="0.88"/>
    <n v="2336.64"/>
    <n v="8221.77"/>
    <x v="2"/>
  </r>
  <r>
    <x v="11"/>
    <x v="1"/>
    <x v="6"/>
    <x v="1"/>
    <x v="16"/>
    <x v="0"/>
    <x v="1"/>
    <n v="1.68"/>
    <n v="4460.8500000000004"/>
    <n v="15735.98"/>
    <x v="2"/>
  </r>
  <r>
    <x v="11"/>
    <x v="1"/>
    <x v="6"/>
    <x v="1"/>
    <x v="17"/>
    <x v="0"/>
    <x v="1"/>
    <n v="1.0900000000000001"/>
    <n v="2894.24"/>
    <n v="10178.15"/>
    <x v="2"/>
  </r>
  <r>
    <x v="11"/>
    <x v="1"/>
    <x v="6"/>
    <x v="1"/>
    <x v="18"/>
    <x v="0"/>
    <x v="1"/>
    <n v="9.75"/>
    <n v="25888.880000000001"/>
    <n v="91337.5"/>
    <x v="2"/>
  </r>
  <r>
    <x v="11"/>
    <x v="1"/>
    <x v="6"/>
    <x v="1"/>
    <x v="19"/>
    <x v="0"/>
    <x v="1"/>
    <n v="3.66"/>
    <n v="9718.2900000000009"/>
    <n v="34264.980000000003"/>
    <x v="2"/>
  </r>
  <r>
    <x v="11"/>
    <x v="1"/>
    <x v="6"/>
    <x v="1"/>
    <x v="20"/>
    <x v="0"/>
    <x v="1"/>
    <n v="8.2100000000000009"/>
    <n v="21799.77"/>
    <n v="76915.25"/>
    <x v="2"/>
  </r>
  <r>
    <x v="11"/>
    <x v="1"/>
    <x v="6"/>
    <x v="2"/>
    <x v="21"/>
    <x v="0"/>
    <x v="1"/>
    <n v="0"/>
    <n v="0"/>
    <n v="0"/>
    <x v="2"/>
  </r>
  <r>
    <x v="11"/>
    <x v="1"/>
    <x v="6"/>
    <x v="2"/>
    <x v="22"/>
    <x v="0"/>
    <x v="1"/>
    <n v="2.41"/>
    <n v="6399.2"/>
    <n v="22614"/>
    <x v="2"/>
  </r>
  <r>
    <x v="11"/>
    <x v="1"/>
    <x v="6"/>
    <x v="2"/>
    <x v="29"/>
    <x v="0"/>
    <x v="1"/>
    <n v="1.36"/>
    <n v="3611.17"/>
    <n v="12747.1"/>
    <x v="2"/>
  </r>
  <r>
    <x v="11"/>
    <x v="1"/>
    <x v="6"/>
    <x v="2"/>
    <x v="24"/>
    <x v="0"/>
    <x v="1"/>
    <n v="1.24"/>
    <n v="3292.53"/>
    <n v="11589.88"/>
    <x v="2"/>
  </r>
  <r>
    <x v="11"/>
    <x v="1"/>
    <x v="6"/>
    <x v="3"/>
    <x v="25"/>
    <x v="0"/>
    <x v="1"/>
    <n v="1.47"/>
    <n v="3903.25"/>
    <n v="13725.75"/>
    <x v="2"/>
  </r>
  <r>
    <x v="11"/>
    <x v="1"/>
    <x v="6"/>
    <x v="3"/>
    <x v="26"/>
    <x v="0"/>
    <x v="1"/>
    <n v="1.1200000000000001"/>
    <n v="2973.9"/>
    <n v="10511.33"/>
    <x v="2"/>
  </r>
  <r>
    <x v="11"/>
    <x v="1"/>
    <x v="6"/>
    <x v="3"/>
    <x v="27"/>
    <x v="0"/>
    <x v="1"/>
    <n v="7.7"/>
    <n v="20445.580000000002"/>
    <n v="72111.839999999997"/>
    <x v="2"/>
  </r>
  <r>
    <x v="11"/>
    <x v="1"/>
    <x v="6"/>
    <x v="0"/>
    <x v="0"/>
    <x v="1"/>
    <x v="0"/>
    <n v="7.16"/>
    <n v="19011.73"/>
    <n v="43866.43"/>
    <x v="2"/>
  </r>
  <r>
    <x v="11"/>
    <x v="1"/>
    <x v="6"/>
    <x v="0"/>
    <x v="1"/>
    <x v="1"/>
    <x v="0"/>
    <n v="11.91"/>
    <n v="31624.27"/>
    <n v="71741.33"/>
    <x v="2"/>
  </r>
  <r>
    <x v="11"/>
    <x v="1"/>
    <x v="6"/>
    <x v="0"/>
    <x v="2"/>
    <x v="1"/>
    <x v="0"/>
    <n v="2.89"/>
    <n v="7673.73"/>
    <n v="16804.919999999998"/>
    <x v="2"/>
  </r>
  <r>
    <x v="11"/>
    <x v="1"/>
    <x v="6"/>
    <x v="0"/>
    <x v="3"/>
    <x v="1"/>
    <x v="0"/>
    <n v="10.47"/>
    <n v="27800.68"/>
    <n v="63327.28"/>
    <x v="2"/>
  </r>
  <r>
    <x v="11"/>
    <x v="1"/>
    <x v="6"/>
    <x v="0"/>
    <x v="28"/>
    <x v="1"/>
    <x v="0"/>
    <n v="0"/>
    <n v="0"/>
    <n v="0"/>
    <x v="2"/>
  </r>
  <r>
    <x v="11"/>
    <x v="1"/>
    <x v="6"/>
    <x v="0"/>
    <x v="4"/>
    <x v="1"/>
    <x v="0"/>
    <n v="5.65"/>
    <n v="15002.28"/>
    <n v="33845.35"/>
    <x v="2"/>
  </r>
  <r>
    <x v="11"/>
    <x v="1"/>
    <x v="6"/>
    <x v="0"/>
    <x v="5"/>
    <x v="1"/>
    <x v="0"/>
    <n v="2.68"/>
    <n v="7116.12"/>
    <n v="16521.060000000001"/>
    <x v="2"/>
  </r>
  <r>
    <x v="11"/>
    <x v="1"/>
    <x v="6"/>
    <x v="0"/>
    <x v="6"/>
    <x v="1"/>
    <x v="0"/>
    <n v="0"/>
    <n v="0"/>
    <n v="0"/>
    <x v="2"/>
  </r>
  <r>
    <x v="11"/>
    <x v="1"/>
    <x v="6"/>
    <x v="0"/>
    <x v="7"/>
    <x v="1"/>
    <x v="0"/>
    <n v="0"/>
    <n v="0"/>
    <n v="0"/>
    <x v="2"/>
  </r>
  <r>
    <x v="11"/>
    <x v="1"/>
    <x v="6"/>
    <x v="0"/>
    <x v="8"/>
    <x v="1"/>
    <x v="0"/>
    <n v="0"/>
    <n v="0"/>
    <n v="0"/>
    <x v="2"/>
  </r>
  <r>
    <x v="11"/>
    <x v="1"/>
    <x v="6"/>
    <x v="1"/>
    <x v="30"/>
    <x v="1"/>
    <x v="0"/>
    <n v="1.24"/>
    <n v="3292.53"/>
    <n v="7982.03"/>
    <x v="2"/>
  </r>
  <r>
    <x v="11"/>
    <x v="1"/>
    <x v="6"/>
    <x v="1"/>
    <x v="9"/>
    <x v="1"/>
    <x v="0"/>
    <n v="0"/>
    <n v="0"/>
    <n v="0"/>
    <x v="2"/>
  </r>
  <r>
    <x v="11"/>
    <x v="1"/>
    <x v="6"/>
    <x v="1"/>
    <x v="31"/>
    <x v="1"/>
    <x v="0"/>
    <n v="0.62"/>
    <n v="1646.27"/>
    <n v="4050.65"/>
    <x v="2"/>
  </r>
  <r>
    <x v="11"/>
    <x v="1"/>
    <x v="6"/>
    <x v="1"/>
    <x v="10"/>
    <x v="1"/>
    <x v="0"/>
    <n v="9.9600000000000009"/>
    <n v="26446.49"/>
    <n v="63650.26"/>
    <x v="2"/>
  </r>
  <r>
    <x v="11"/>
    <x v="1"/>
    <x v="6"/>
    <x v="1"/>
    <x v="11"/>
    <x v="1"/>
    <x v="0"/>
    <n v="7.14"/>
    <n v="18958.63"/>
    <n v="43470.91"/>
    <x v="2"/>
  </r>
  <r>
    <x v="11"/>
    <x v="1"/>
    <x v="6"/>
    <x v="1"/>
    <x v="12"/>
    <x v="1"/>
    <x v="0"/>
    <n v="1.38"/>
    <n v="3664.27"/>
    <n v="8823.18"/>
    <x v="2"/>
  </r>
  <r>
    <x v="11"/>
    <x v="1"/>
    <x v="6"/>
    <x v="1"/>
    <x v="13"/>
    <x v="1"/>
    <x v="0"/>
    <n v="1.54"/>
    <n v="4089.12"/>
    <n v="9828.24"/>
    <x v="2"/>
  </r>
  <r>
    <x v="11"/>
    <x v="1"/>
    <x v="6"/>
    <x v="1"/>
    <x v="14"/>
    <x v="1"/>
    <x v="0"/>
    <n v="10.47"/>
    <n v="27800.68"/>
    <n v="65544.7"/>
    <x v="2"/>
  </r>
  <r>
    <x v="11"/>
    <x v="1"/>
    <x v="6"/>
    <x v="1"/>
    <x v="15"/>
    <x v="1"/>
    <x v="0"/>
    <n v="2.19"/>
    <n v="5815.04"/>
    <n v="14161.27"/>
    <x v="2"/>
  </r>
  <r>
    <x v="11"/>
    <x v="1"/>
    <x v="6"/>
    <x v="1"/>
    <x v="16"/>
    <x v="1"/>
    <x v="0"/>
    <n v="4.2300000000000004"/>
    <n v="11231.79"/>
    <n v="26094.07"/>
    <x v="2"/>
  </r>
  <r>
    <x v="11"/>
    <x v="1"/>
    <x v="6"/>
    <x v="1"/>
    <x v="17"/>
    <x v="1"/>
    <x v="0"/>
    <n v="4.1100000000000003"/>
    <n v="10913.16"/>
    <n v="25557.1"/>
    <x v="2"/>
  </r>
  <r>
    <x v="11"/>
    <x v="1"/>
    <x v="6"/>
    <x v="1"/>
    <x v="18"/>
    <x v="1"/>
    <x v="0"/>
    <n v="4.99"/>
    <n v="13249.8"/>
    <n v="32468.080000000002"/>
    <x v="2"/>
  </r>
  <r>
    <x v="11"/>
    <x v="1"/>
    <x v="6"/>
    <x v="1"/>
    <x v="19"/>
    <x v="1"/>
    <x v="0"/>
    <n v="9.18"/>
    <n v="24375.38"/>
    <n v="57946.13"/>
    <x v="2"/>
  </r>
  <r>
    <x v="11"/>
    <x v="1"/>
    <x v="6"/>
    <x v="1"/>
    <x v="20"/>
    <x v="1"/>
    <x v="0"/>
    <n v="10.44"/>
    <n v="27721.02"/>
    <n v="64861.02"/>
    <x v="2"/>
  </r>
  <r>
    <x v="11"/>
    <x v="1"/>
    <x v="6"/>
    <x v="2"/>
    <x v="21"/>
    <x v="1"/>
    <x v="0"/>
    <n v="0"/>
    <n v="0"/>
    <n v="0"/>
    <x v="2"/>
  </r>
  <r>
    <x v="11"/>
    <x v="1"/>
    <x v="6"/>
    <x v="2"/>
    <x v="22"/>
    <x v="1"/>
    <x v="0"/>
    <n v="3.6"/>
    <n v="9558.9699999999993"/>
    <n v="20523.009999999998"/>
    <x v="2"/>
  </r>
  <r>
    <x v="11"/>
    <x v="1"/>
    <x v="6"/>
    <x v="2"/>
    <x v="29"/>
    <x v="1"/>
    <x v="0"/>
    <n v="0"/>
    <n v="0"/>
    <n v="0"/>
    <x v="2"/>
  </r>
  <r>
    <x v="11"/>
    <x v="1"/>
    <x v="6"/>
    <x v="2"/>
    <x v="23"/>
    <x v="1"/>
    <x v="0"/>
    <n v="0"/>
    <n v="0"/>
    <n v="0"/>
    <x v="2"/>
  </r>
  <r>
    <x v="11"/>
    <x v="1"/>
    <x v="6"/>
    <x v="2"/>
    <x v="24"/>
    <x v="1"/>
    <x v="0"/>
    <n v="2.11"/>
    <n v="5602.62"/>
    <n v="12257.73"/>
    <x v="2"/>
  </r>
  <r>
    <x v="11"/>
    <x v="1"/>
    <x v="6"/>
    <x v="3"/>
    <x v="25"/>
    <x v="1"/>
    <x v="0"/>
    <n v="3.79"/>
    <n v="10063.469999999999"/>
    <n v="24340.54"/>
    <x v="2"/>
  </r>
  <r>
    <x v="11"/>
    <x v="1"/>
    <x v="6"/>
    <x v="3"/>
    <x v="26"/>
    <x v="1"/>
    <x v="0"/>
    <n v="2.63"/>
    <n v="6983.36"/>
    <n v="17006.810000000001"/>
    <x v="2"/>
  </r>
  <r>
    <x v="11"/>
    <x v="1"/>
    <x v="6"/>
    <x v="3"/>
    <x v="27"/>
    <x v="1"/>
    <x v="0"/>
    <n v="9.09"/>
    <n v="24136.400000000001"/>
    <n v="57625.65"/>
    <x v="2"/>
  </r>
  <r>
    <x v="11"/>
    <x v="1"/>
    <x v="6"/>
    <x v="0"/>
    <x v="0"/>
    <x v="1"/>
    <x v="1"/>
    <n v="10.29"/>
    <n v="27322.73"/>
    <n v="63058"/>
    <x v="2"/>
  </r>
  <r>
    <x v="11"/>
    <x v="1"/>
    <x v="6"/>
    <x v="0"/>
    <x v="1"/>
    <x v="1"/>
    <x v="1"/>
    <n v="21.28"/>
    <n v="56504.15"/>
    <n v="128184.87"/>
    <x v="2"/>
  </r>
  <r>
    <x v="11"/>
    <x v="1"/>
    <x v="6"/>
    <x v="0"/>
    <x v="2"/>
    <x v="1"/>
    <x v="1"/>
    <n v="11.82"/>
    <n v="31385.29"/>
    <n v="68747.39"/>
    <x v="2"/>
  </r>
  <r>
    <x v="11"/>
    <x v="1"/>
    <x v="6"/>
    <x v="0"/>
    <x v="3"/>
    <x v="1"/>
    <x v="1"/>
    <n v="23.1"/>
    <n v="61336.74"/>
    <n v="139756.76"/>
    <x v="2"/>
  </r>
  <r>
    <x v="11"/>
    <x v="1"/>
    <x v="6"/>
    <x v="0"/>
    <x v="28"/>
    <x v="1"/>
    <x v="1"/>
    <n v="2.09"/>
    <n v="5549.51"/>
    <n v="12777.73"/>
    <x v="2"/>
  </r>
  <r>
    <x v="11"/>
    <x v="1"/>
    <x v="6"/>
    <x v="0"/>
    <x v="4"/>
    <x v="1"/>
    <x v="1"/>
    <n v="11.08"/>
    <n v="29420.39"/>
    <n v="66437.16"/>
    <x v="2"/>
  </r>
  <r>
    <x v="11"/>
    <x v="1"/>
    <x v="6"/>
    <x v="0"/>
    <x v="5"/>
    <x v="1"/>
    <x v="1"/>
    <n v="14.59"/>
    <n v="38740.39"/>
    <n v="90066.41"/>
    <x v="2"/>
  </r>
  <r>
    <x v="11"/>
    <x v="1"/>
    <x v="6"/>
    <x v="0"/>
    <x v="6"/>
    <x v="1"/>
    <x v="1"/>
    <n v="2.12"/>
    <n v="5629.17"/>
    <n v="13037.94"/>
    <x v="2"/>
  </r>
  <r>
    <x v="11"/>
    <x v="1"/>
    <x v="6"/>
    <x v="0"/>
    <x v="7"/>
    <x v="1"/>
    <x v="1"/>
    <n v="1.82"/>
    <n v="4832.59"/>
    <n v="11390.57"/>
    <x v="2"/>
  </r>
  <r>
    <x v="11"/>
    <x v="1"/>
    <x v="6"/>
    <x v="0"/>
    <x v="8"/>
    <x v="1"/>
    <x v="1"/>
    <n v="4.07"/>
    <n v="10806.95"/>
    <n v="24294.33"/>
    <x v="2"/>
  </r>
  <r>
    <x v="11"/>
    <x v="1"/>
    <x v="6"/>
    <x v="1"/>
    <x v="30"/>
    <x v="1"/>
    <x v="1"/>
    <n v="0"/>
    <n v="0"/>
    <n v="0"/>
    <x v="2"/>
  </r>
  <r>
    <x v="11"/>
    <x v="1"/>
    <x v="6"/>
    <x v="1"/>
    <x v="9"/>
    <x v="1"/>
    <x v="1"/>
    <n v="4.8099999999999996"/>
    <n v="12771.85"/>
    <n v="31008.81"/>
    <x v="2"/>
  </r>
  <r>
    <x v="11"/>
    <x v="1"/>
    <x v="6"/>
    <x v="1"/>
    <x v="31"/>
    <x v="1"/>
    <x v="1"/>
    <n v="0"/>
    <n v="0"/>
    <n v="0"/>
    <x v="2"/>
  </r>
  <r>
    <x v="11"/>
    <x v="1"/>
    <x v="6"/>
    <x v="1"/>
    <x v="10"/>
    <x v="1"/>
    <x v="1"/>
    <n v="24.86"/>
    <n v="66010.009999999995"/>
    <n v="158833.68"/>
    <x v="2"/>
  </r>
  <r>
    <x v="11"/>
    <x v="1"/>
    <x v="6"/>
    <x v="1"/>
    <x v="11"/>
    <x v="1"/>
    <x v="1"/>
    <n v="24.33"/>
    <n v="64602.720000000001"/>
    <n v="148123.09"/>
    <x v="2"/>
  </r>
  <r>
    <x v="11"/>
    <x v="1"/>
    <x v="6"/>
    <x v="1"/>
    <x v="12"/>
    <x v="1"/>
    <x v="1"/>
    <n v="1.3"/>
    <n v="3451.85"/>
    <n v="8358.7999999999993"/>
    <x v="2"/>
  </r>
  <r>
    <x v="11"/>
    <x v="1"/>
    <x v="6"/>
    <x v="1"/>
    <x v="13"/>
    <x v="1"/>
    <x v="1"/>
    <n v="12.87"/>
    <n v="34173.32"/>
    <n v="82094.69"/>
    <x v="2"/>
  </r>
  <r>
    <x v="11"/>
    <x v="1"/>
    <x v="6"/>
    <x v="1"/>
    <x v="14"/>
    <x v="1"/>
    <x v="1"/>
    <n v="8.1300000000000008"/>
    <n v="21587.35"/>
    <n v="50853.64"/>
    <x v="2"/>
  </r>
  <r>
    <x v="11"/>
    <x v="1"/>
    <x v="6"/>
    <x v="1"/>
    <x v="15"/>
    <x v="1"/>
    <x v="1"/>
    <n v="1.73"/>
    <n v="4593.62"/>
    <n v="11211.01"/>
    <x v="2"/>
  </r>
  <r>
    <x v="11"/>
    <x v="1"/>
    <x v="6"/>
    <x v="1"/>
    <x v="16"/>
    <x v="1"/>
    <x v="1"/>
    <n v="9.11"/>
    <n v="24189.51"/>
    <n v="56158.97"/>
    <x v="2"/>
  </r>
  <r>
    <x v="11"/>
    <x v="1"/>
    <x v="6"/>
    <x v="1"/>
    <x v="17"/>
    <x v="1"/>
    <x v="1"/>
    <n v="3.5"/>
    <n v="9293.4500000000007"/>
    <n v="21750.720000000001"/>
    <x v="2"/>
  </r>
  <r>
    <x v="11"/>
    <x v="1"/>
    <x v="6"/>
    <x v="1"/>
    <x v="18"/>
    <x v="1"/>
    <x v="1"/>
    <n v="18.41"/>
    <n v="48883.519999999997"/>
    <n v="119845.42"/>
    <x v="2"/>
  </r>
  <r>
    <x v="11"/>
    <x v="1"/>
    <x v="6"/>
    <x v="1"/>
    <x v="19"/>
    <x v="1"/>
    <x v="1"/>
    <n v="14.99"/>
    <n v="39802.5"/>
    <n v="94664.47"/>
    <x v="2"/>
  </r>
  <r>
    <x v="11"/>
    <x v="1"/>
    <x v="6"/>
    <x v="1"/>
    <x v="20"/>
    <x v="1"/>
    <x v="1"/>
    <n v="22.67"/>
    <n v="60194.97"/>
    <n v="140809.4"/>
    <x v="2"/>
  </r>
  <r>
    <x v="11"/>
    <x v="1"/>
    <x v="6"/>
    <x v="2"/>
    <x v="21"/>
    <x v="1"/>
    <x v="1"/>
    <n v="2.2400000000000002"/>
    <n v="5947.8"/>
    <n v="12753.73"/>
    <x v="2"/>
  </r>
  <r>
    <x v="11"/>
    <x v="1"/>
    <x v="6"/>
    <x v="2"/>
    <x v="22"/>
    <x v="1"/>
    <x v="1"/>
    <n v="7.83"/>
    <n v="20790.759999999998"/>
    <n v="44667.74"/>
    <x v="2"/>
  </r>
  <r>
    <x v="11"/>
    <x v="1"/>
    <x v="6"/>
    <x v="2"/>
    <x v="29"/>
    <x v="1"/>
    <x v="1"/>
    <n v="2.5299999999999998"/>
    <n v="6717.83"/>
    <n v="15303.46"/>
    <x v="2"/>
  </r>
  <r>
    <x v="11"/>
    <x v="1"/>
    <x v="6"/>
    <x v="2"/>
    <x v="23"/>
    <x v="1"/>
    <x v="1"/>
    <n v="0"/>
    <n v="0"/>
    <n v="0"/>
    <x v="2"/>
  </r>
  <r>
    <x v="11"/>
    <x v="1"/>
    <x v="6"/>
    <x v="2"/>
    <x v="24"/>
    <x v="1"/>
    <x v="1"/>
    <n v="1.32"/>
    <n v="3504.96"/>
    <n v="7661.08"/>
    <x v="2"/>
  </r>
  <r>
    <x v="11"/>
    <x v="1"/>
    <x v="6"/>
    <x v="3"/>
    <x v="25"/>
    <x v="1"/>
    <x v="1"/>
    <n v="7.18"/>
    <n v="19064.84"/>
    <n v="46091.65"/>
    <x v="2"/>
  </r>
  <r>
    <x v="11"/>
    <x v="1"/>
    <x v="6"/>
    <x v="3"/>
    <x v="26"/>
    <x v="1"/>
    <x v="1"/>
    <n v="13.07"/>
    <n v="34704.379999999997"/>
    <n v="84485.42"/>
    <x v="2"/>
  </r>
  <r>
    <x v="11"/>
    <x v="1"/>
    <x v="6"/>
    <x v="3"/>
    <x v="27"/>
    <x v="1"/>
    <x v="1"/>
    <n v="26.83"/>
    <n v="71240.89"/>
    <n v="170158.76"/>
    <x v="2"/>
  </r>
  <r>
    <x v="11"/>
    <x v="1"/>
    <x v="7"/>
    <x v="0"/>
    <x v="0"/>
    <x v="0"/>
    <x v="0"/>
    <n v="1.67"/>
    <n v="7930.4"/>
    <n v="30926.65"/>
    <x v="2"/>
  </r>
  <r>
    <x v="11"/>
    <x v="1"/>
    <x v="7"/>
    <x v="0"/>
    <x v="1"/>
    <x v="0"/>
    <x v="0"/>
    <n v="3.39"/>
    <n v="16098.23"/>
    <n v="62875.82"/>
    <x v="2"/>
  </r>
  <r>
    <x v="11"/>
    <x v="1"/>
    <x v="7"/>
    <x v="0"/>
    <x v="2"/>
    <x v="0"/>
    <x v="0"/>
    <n v="0"/>
    <n v="0"/>
    <n v="0"/>
    <x v="2"/>
  </r>
  <r>
    <x v="11"/>
    <x v="1"/>
    <x v="7"/>
    <x v="0"/>
    <x v="3"/>
    <x v="0"/>
    <x v="0"/>
    <n v="2.64"/>
    <n v="12536.67"/>
    <n v="49001.88"/>
    <x v="2"/>
  </r>
  <r>
    <x v="11"/>
    <x v="1"/>
    <x v="7"/>
    <x v="0"/>
    <x v="4"/>
    <x v="0"/>
    <x v="0"/>
    <n v="0"/>
    <n v="0"/>
    <n v="0"/>
    <x v="2"/>
  </r>
  <r>
    <x v="11"/>
    <x v="1"/>
    <x v="7"/>
    <x v="0"/>
    <x v="5"/>
    <x v="0"/>
    <x v="0"/>
    <n v="0"/>
    <n v="0"/>
    <n v="0"/>
    <x v="2"/>
  </r>
  <r>
    <x v="11"/>
    <x v="1"/>
    <x v="7"/>
    <x v="0"/>
    <x v="6"/>
    <x v="0"/>
    <x v="0"/>
    <n v="0"/>
    <n v="0"/>
    <n v="0"/>
    <x v="2"/>
  </r>
  <r>
    <x v="11"/>
    <x v="1"/>
    <x v="7"/>
    <x v="0"/>
    <x v="8"/>
    <x v="0"/>
    <x v="0"/>
    <n v="0"/>
    <n v="0"/>
    <n v="0"/>
    <x v="2"/>
  </r>
  <r>
    <x v="11"/>
    <x v="1"/>
    <x v="7"/>
    <x v="1"/>
    <x v="10"/>
    <x v="0"/>
    <x v="0"/>
    <n v="0.95"/>
    <n v="4511.3"/>
    <n v="17629.93"/>
    <x v="2"/>
  </r>
  <r>
    <x v="11"/>
    <x v="1"/>
    <x v="7"/>
    <x v="1"/>
    <x v="11"/>
    <x v="0"/>
    <x v="0"/>
    <n v="0"/>
    <n v="0"/>
    <n v="0"/>
    <x v="2"/>
  </r>
  <r>
    <x v="11"/>
    <x v="1"/>
    <x v="7"/>
    <x v="1"/>
    <x v="13"/>
    <x v="0"/>
    <x v="0"/>
    <n v="0"/>
    <n v="0"/>
    <n v="0"/>
    <x v="2"/>
  </r>
  <r>
    <x v="11"/>
    <x v="1"/>
    <x v="7"/>
    <x v="1"/>
    <x v="14"/>
    <x v="0"/>
    <x v="0"/>
    <n v="0"/>
    <n v="0"/>
    <n v="0"/>
    <x v="2"/>
  </r>
  <r>
    <x v="11"/>
    <x v="1"/>
    <x v="7"/>
    <x v="1"/>
    <x v="16"/>
    <x v="0"/>
    <x v="0"/>
    <n v="0"/>
    <n v="0"/>
    <n v="0"/>
    <x v="2"/>
  </r>
  <r>
    <x v="11"/>
    <x v="1"/>
    <x v="7"/>
    <x v="1"/>
    <x v="17"/>
    <x v="0"/>
    <x v="0"/>
    <n v="0"/>
    <n v="0"/>
    <n v="0"/>
    <x v="2"/>
  </r>
  <r>
    <x v="11"/>
    <x v="1"/>
    <x v="7"/>
    <x v="1"/>
    <x v="18"/>
    <x v="0"/>
    <x v="0"/>
    <n v="0"/>
    <n v="0"/>
    <n v="0"/>
    <x v="2"/>
  </r>
  <r>
    <x v="11"/>
    <x v="1"/>
    <x v="7"/>
    <x v="1"/>
    <x v="19"/>
    <x v="0"/>
    <x v="0"/>
    <n v="0"/>
    <n v="0"/>
    <n v="0"/>
    <x v="2"/>
  </r>
  <r>
    <x v="11"/>
    <x v="1"/>
    <x v="7"/>
    <x v="1"/>
    <x v="20"/>
    <x v="0"/>
    <x v="0"/>
    <n v="1.45"/>
    <n v="6885.67"/>
    <n v="26954.89"/>
    <x v="2"/>
  </r>
  <r>
    <x v="11"/>
    <x v="1"/>
    <x v="7"/>
    <x v="2"/>
    <x v="21"/>
    <x v="0"/>
    <x v="0"/>
    <n v="1.33"/>
    <n v="6315.82"/>
    <n v="24698.01"/>
    <x v="2"/>
  </r>
  <r>
    <x v="11"/>
    <x v="1"/>
    <x v="7"/>
    <x v="2"/>
    <x v="22"/>
    <x v="0"/>
    <x v="0"/>
    <n v="0"/>
    <n v="0"/>
    <n v="0"/>
    <x v="2"/>
  </r>
  <r>
    <x v="11"/>
    <x v="1"/>
    <x v="7"/>
    <x v="2"/>
    <x v="29"/>
    <x v="0"/>
    <x v="0"/>
    <n v="0"/>
    <n v="0"/>
    <n v="0"/>
    <x v="2"/>
  </r>
  <r>
    <x v="11"/>
    <x v="1"/>
    <x v="7"/>
    <x v="2"/>
    <x v="24"/>
    <x v="0"/>
    <x v="0"/>
    <n v="0"/>
    <n v="0"/>
    <n v="0"/>
    <x v="2"/>
  </r>
  <r>
    <x v="11"/>
    <x v="1"/>
    <x v="7"/>
    <x v="3"/>
    <x v="25"/>
    <x v="0"/>
    <x v="0"/>
    <n v="0"/>
    <n v="0"/>
    <n v="0"/>
    <x v="2"/>
  </r>
  <r>
    <x v="11"/>
    <x v="1"/>
    <x v="7"/>
    <x v="3"/>
    <x v="26"/>
    <x v="0"/>
    <x v="0"/>
    <n v="1.93"/>
    <n v="9165.07"/>
    <n v="35840.65"/>
    <x v="2"/>
  </r>
  <r>
    <x v="11"/>
    <x v="1"/>
    <x v="7"/>
    <x v="3"/>
    <x v="27"/>
    <x v="0"/>
    <x v="0"/>
    <n v="2.44"/>
    <n v="11586.93"/>
    <n v="45295.67"/>
    <x v="2"/>
  </r>
  <r>
    <x v="11"/>
    <x v="1"/>
    <x v="7"/>
    <x v="0"/>
    <x v="0"/>
    <x v="0"/>
    <x v="1"/>
    <n v="1.67"/>
    <n v="7930.4"/>
    <n v="30926.65"/>
    <x v="2"/>
  </r>
  <r>
    <x v="11"/>
    <x v="1"/>
    <x v="7"/>
    <x v="0"/>
    <x v="1"/>
    <x v="0"/>
    <x v="1"/>
    <n v="5.28"/>
    <n v="25073.35"/>
    <n v="97859.36"/>
    <x v="2"/>
  </r>
  <r>
    <x v="11"/>
    <x v="1"/>
    <x v="7"/>
    <x v="0"/>
    <x v="2"/>
    <x v="0"/>
    <x v="1"/>
    <n v="4.54"/>
    <n v="21559.279999999999"/>
    <n v="84245.84"/>
    <x v="2"/>
  </r>
  <r>
    <x v="11"/>
    <x v="1"/>
    <x v="7"/>
    <x v="0"/>
    <x v="3"/>
    <x v="0"/>
    <x v="1"/>
    <n v="7.14"/>
    <n v="33906"/>
    <n v="132305.07"/>
    <x v="2"/>
  </r>
  <r>
    <x v="11"/>
    <x v="1"/>
    <x v="7"/>
    <x v="0"/>
    <x v="4"/>
    <x v="0"/>
    <x v="1"/>
    <n v="2.85"/>
    <n v="13533.91"/>
    <n v="52741.34"/>
    <x v="2"/>
  </r>
  <r>
    <x v="11"/>
    <x v="1"/>
    <x v="7"/>
    <x v="0"/>
    <x v="5"/>
    <x v="0"/>
    <x v="1"/>
    <n v="2.91"/>
    <n v="13818.83"/>
    <n v="53925.43"/>
    <x v="2"/>
  </r>
  <r>
    <x v="11"/>
    <x v="1"/>
    <x v="7"/>
    <x v="0"/>
    <x v="6"/>
    <x v="0"/>
    <x v="1"/>
    <n v="1.8"/>
    <n v="8547.73"/>
    <n v="33286.230000000003"/>
    <x v="2"/>
  </r>
  <r>
    <x v="11"/>
    <x v="1"/>
    <x v="7"/>
    <x v="0"/>
    <x v="8"/>
    <x v="0"/>
    <x v="1"/>
    <n v="2.54"/>
    <n v="12061.8"/>
    <n v="47146.45"/>
    <x v="2"/>
  </r>
  <r>
    <x v="11"/>
    <x v="1"/>
    <x v="7"/>
    <x v="1"/>
    <x v="10"/>
    <x v="0"/>
    <x v="1"/>
    <n v="4.09"/>
    <n v="19422.349999999999"/>
    <n v="75808.710000000006"/>
    <x v="2"/>
  </r>
  <r>
    <x v="11"/>
    <x v="1"/>
    <x v="7"/>
    <x v="1"/>
    <x v="11"/>
    <x v="0"/>
    <x v="1"/>
    <n v="8.93"/>
    <n v="42406.25"/>
    <n v="165506.48000000001"/>
    <x v="2"/>
  </r>
  <r>
    <x v="11"/>
    <x v="1"/>
    <x v="7"/>
    <x v="1"/>
    <x v="13"/>
    <x v="0"/>
    <x v="1"/>
    <n v="3.86"/>
    <n v="18330.14"/>
    <n v="71489.67"/>
    <x v="2"/>
  </r>
  <r>
    <x v="11"/>
    <x v="1"/>
    <x v="7"/>
    <x v="1"/>
    <x v="14"/>
    <x v="0"/>
    <x v="1"/>
    <n v="1.05"/>
    <n v="4986.18"/>
    <n v="19553.73"/>
    <x v="2"/>
  </r>
  <r>
    <x v="11"/>
    <x v="1"/>
    <x v="7"/>
    <x v="1"/>
    <x v="16"/>
    <x v="0"/>
    <x v="1"/>
    <n v="2.77"/>
    <n v="13154.01"/>
    <n v="51286.23"/>
    <x v="2"/>
  </r>
  <r>
    <x v="11"/>
    <x v="1"/>
    <x v="7"/>
    <x v="1"/>
    <x v="17"/>
    <x v="0"/>
    <x v="1"/>
    <n v="2.14"/>
    <n v="10162.299999999999"/>
    <n v="39704.120000000003"/>
    <x v="2"/>
  </r>
  <r>
    <x v="11"/>
    <x v="1"/>
    <x v="7"/>
    <x v="1"/>
    <x v="18"/>
    <x v="0"/>
    <x v="1"/>
    <n v="9.85"/>
    <n v="46775.09"/>
    <n v="182549.15"/>
    <x v="2"/>
  </r>
  <r>
    <x v="11"/>
    <x v="1"/>
    <x v="7"/>
    <x v="1"/>
    <x v="19"/>
    <x v="0"/>
    <x v="1"/>
    <n v="3.41"/>
    <n v="16193.2"/>
    <n v="63224.24"/>
    <x v="2"/>
  </r>
  <r>
    <x v="11"/>
    <x v="1"/>
    <x v="7"/>
    <x v="1"/>
    <x v="20"/>
    <x v="0"/>
    <x v="1"/>
    <n v="9"/>
    <n v="42738.66"/>
    <n v="166783.35999999999"/>
    <x v="2"/>
  </r>
  <r>
    <x v="11"/>
    <x v="1"/>
    <x v="7"/>
    <x v="2"/>
    <x v="21"/>
    <x v="0"/>
    <x v="1"/>
    <n v="0"/>
    <n v="0"/>
    <n v="0"/>
    <x v="2"/>
  </r>
  <r>
    <x v="11"/>
    <x v="1"/>
    <x v="7"/>
    <x v="2"/>
    <x v="22"/>
    <x v="0"/>
    <x v="1"/>
    <n v="4.24"/>
    <n v="20134.66"/>
    <n v="78680.2"/>
    <x v="2"/>
  </r>
  <r>
    <x v="11"/>
    <x v="1"/>
    <x v="7"/>
    <x v="2"/>
    <x v="29"/>
    <x v="0"/>
    <x v="1"/>
    <n v="1.55"/>
    <n v="7360.55"/>
    <n v="28707.5"/>
    <x v="2"/>
  </r>
  <r>
    <x v="11"/>
    <x v="1"/>
    <x v="7"/>
    <x v="2"/>
    <x v="24"/>
    <x v="0"/>
    <x v="1"/>
    <n v="1.9"/>
    <n v="9022.61"/>
    <n v="35165.96"/>
    <x v="2"/>
  </r>
  <r>
    <x v="11"/>
    <x v="1"/>
    <x v="7"/>
    <x v="3"/>
    <x v="25"/>
    <x v="0"/>
    <x v="1"/>
    <n v="2.4900000000000002"/>
    <n v="11824.36"/>
    <n v="46168.66"/>
    <x v="2"/>
  </r>
  <r>
    <x v="11"/>
    <x v="1"/>
    <x v="7"/>
    <x v="3"/>
    <x v="26"/>
    <x v="0"/>
    <x v="1"/>
    <n v="2.04"/>
    <n v="9687.43"/>
    <n v="37727"/>
    <x v="2"/>
  </r>
  <r>
    <x v="11"/>
    <x v="1"/>
    <x v="7"/>
    <x v="3"/>
    <x v="27"/>
    <x v="0"/>
    <x v="1"/>
    <n v="6.02"/>
    <n v="28587.41"/>
    <n v="111497.04"/>
    <x v="2"/>
  </r>
  <r>
    <x v="11"/>
    <x v="1"/>
    <x v="7"/>
    <x v="0"/>
    <x v="0"/>
    <x v="1"/>
    <x v="0"/>
    <n v="6.56"/>
    <n v="31151.73"/>
    <n v="79534.84"/>
    <x v="2"/>
  </r>
  <r>
    <x v="11"/>
    <x v="1"/>
    <x v="7"/>
    <x v="0"/>
    <x v="1"/>
    <x v="1"/>
    <x v="0"/>
    <n v="12.09"/>
    <n v="57412.27"/>
    <n v="144130.73000000001"/>
    <x v="2"/>
  </r>
  <r>
    <x v="11"/>
    <x v="1"/>
    <x v="7"/>
    <x v="0"/>
    <x v="2"/>
    <x v="1"/>
    <x v="0"/>
    <n v="3.31"/>
    <n v="15718.33"/>
    <n v="38073.67"/>
    <x v="2"/>
  </r>
  <r>
    <x v="11"/>
    <x v="1"/>
    <x v="7"/>
    <x v="0"/>
    <x v="3"/>
    <x v="1"/>
    <x v="0"/>
    <n v="12.51"/>
    <n v="59406.74"/>
    <n v="149807.82999999999"/>
    <x v="2"/>
  </r>
  <r>
    <x v="11"/>
    <x v="1"/>
    <x v="7"/>
    <x v="0"/>
    <x v="28"/>
    <x v="1"/>
    <x v="0"/>
    <n v="0"/>
    <n v="0"/>
    <n v="0"/>
    <x v="2"/>
  </r>
  <r>
    <x v="11"/>
    <x v="1"/>
    <x v="7"/>
    <x v="0"/>
    <x v="4"/>
    <x v="1"/>
    <x v="0"/>
    <n v="7.76"/>
    <n v="36850.22"/>
    <n v="92043.24"/>
    <x v="2"/>
  </r>
  <r>
    <x v="11"/>
    <x v="1"/>
    <x v="7"/>
    <x v="0"/>
    <x v="5"/>
    <x v="1"/>
    <x v="0"/>
    <n v="1.81"/>
    <n v="8595.2199999999993"/>
    <n v="22071.57"/>
    <x v="2"/>
  </r>
  <r>
    <x v="11"/>
    <x v="1"/>
    <x v="7"/>
    <x v="0"/>
    <x v="6"/>
    <x v="1"/>
    <x v="0"/>
    <n v="0"/>
    <n v="0"/>
    <n v="0"/>
    <x v="2"/>
  </r>
  <r>
    <x v="11"/>
    <x v="1"/>
    <x v="7"/>
    <x v="0"/>
    <x v="7"/>
    <x v="1"/>
    <x v="0"/>
    <n v="0"/>
    <n v="0"/>
    <n v="0"/>
    <x v="2"/>
  </r>
  <r>
    <x v="11"/>
    <x v="1"/>
    <x v="7"/>
    <x v="0"/>
    <x v="8"/>
    <x v="1"/>
    <x v="0"/>
    <n v="0"/>
    <n v="0"/>
    <n v="0"/>
    <x v="2"/>
  </r>
  <r>
    <x v="11"/>
    <x v="1"/>
    <x v="7"/>
    <x v="1"/>
    <x v="30"/>
    <x v="1"/>
    <x v="0"/>
    <n v="1.17"/>
    <n v="5556.03"/>
    <n v="14966.44"/>
    <x v="2"/>
  </r>
  <r>
    <x v="11"/>
    <x v="1"/>
    <x v="7"/>
    <x v="1"/>
    <x v="9"/>
    <x v="1"/>
    <x v="0"/>
    <n v="0"/>
    <n v="0"/>
    <n v="0"/>
    <x v="2"/>
  </r>
  <r>
    <x v="11"/>
    <x v="1"/>
    <x v="7"/>
    <x v="1"/>
    <x v="31"/>
    <x v="1"/>
    <x v="0"/>
    <n v="1.69"/>
    <n v="8025.37"/>
    <n v="21722.43"/>
    <x v="2"/>
  </r>
  <r>
    <x v="11"/>
    <x v="1"/>
    <x v="7"/>
    <x v="1"/>
    <x v="10"/>
    <x v="1"/>
    <x v="0"/>
    <n v="5.2"/>
    <n v="24693.45"/>
    <n v="65751.69"/>
    <x v="2"/>
  </r>
  <r>
    <x v="11"/>
    <x v="1"/>
    <x v="7"/>
    <x v="1"/>
    <x v="11"/>
    <x v="1"/>
    <x v="0"/>
    <n v="8.49"/>
    <n v="40316.800000000003"/>
    <n v="102350.64"/>
    <x v="2"/>
  </r>
  <r>
    <x v="11"/>
    <x v="1"/>
    <x v="7"/>
    <x v="1"/>
    <x v="12"/>
    <x v="1"/>
    <x v="0"/>
    <n v="2.5"/>
    <n v="11871.85"/>
    <n v="31724.78"/>
    <x v="2"/>
  </r>
  <r>
    <x v="11"/>
    <x v="1"/>
    <x v="7"/>
    <x v="1"/>
    <x v="13"/>
    <x v="1"/>
    <x v="0"/>
    <n v="1.23"/>
    <n v="5840.95"/>
    <n v="15477.5"/>
    <x v="2"/>
  </r>
  <r>
    <x v="11"/>
    <x v="1"/>
    <x v="7"/>
    <x v="1"/>
    <x v="14"/>
    <x v="1"/>
    <x v="0"/>
    <n v="11.35"/>
    <n v="53898.2"/>
    <n v="140553.45000000001"/>
    <x v="2"/>
  </r>
  <r>
    <x v="11"/>
    <x v="1"/>
    <x v="7"/>
    <x v="1"/>
    <x v="15"/>
    <x v="1"/>
    <x v="0"/>
    <n v="4.8099999999999996"/>
    <n v="22841.439999999999"/>
    <n v="61636.83"/>
    <x v="2"/>
  </r>
  <r>
    <x v="11"/>
    <x v="1"/>
    <x v="7"/>
    <x v="1"/>
    <x v="16"/>
    <x v="1"/>
    <x v="0"/>
    <n v="1.86"/>
    <n v="8832.66"/>
    <n v="22714.74"/>
    <x v="2"/>
  </r>
  <r>
    <x v="11"/>
    <x v="1"/>
    <x v="7"/>
    <x v="1"/>
    <x v="17"/>
    <x v="1"/>
    <x v="0"/>
    <n v="7.96"/>
    <n v="37799.97"/>
    <n v="97964.58"/>
    <x v="2"/>
  </r>
  <r>
    <x v="11"/>
    <x v="1"/>
    <x v="7"/>
    <x v="1"/>
    <x v="18"/>
    <x v="1"/>
    <x v="0"/>
    <n v="8.4"/>
    <n v="39889.42"/>
    <n v="108246.77"/>
    <x v="2"/>
  </r>
  <r>
    <x v="11"/>
    <x v="1"/>
    <x v="7"/>
    <x v="1"/>
    <x v="19"/>
    <x v="1"/>
    <x v="0"/>
    <n v="7.58"/>
    <n v="35995.449999999997"/>
    <n v="94707.12"/>
    <x v="2"/>
  </r>
  <r>
    <x v="11"/>
    <x v="1"/>
    <x v="7"/>
    <x v="1"/>
    <x v="20"/>
    <x v="1"/>
    <x v="0"/>
    <n v="16.899999999999999"/>
    <n v="80253.710000000006"/>
    <n v="207646.86"/>
    <x v="2"/>
  </r>
  <r>
    <x v="11"/>
    <x v="1"/>
    <x v="7"/>
    <x v="2"/>
    <x v="21"/>
    <x v="1"/>
    <x v="0"/>
    <n v="0"/>
    <n v="0"/>
    <n v="0"/>
    <x v="2"/>
  </r>
  <r>
    <x v="11"/>
    <x v="1"/>
    <x v="7"/>
    <x v="2"/>
    <x v="22"/>
    <x v="1"/>
    <x v="0"/>
    <n v="9.58"/>
    <n v="45492.93"/>
    <n v="108174.36"/>
    <x v="2"/>
  </r>
  <r>
    <x v="11"/>
    <x v="1"/>
    <x v="7"/>
    <x v="2"/>
    <x v="29"/>
    <x v="1"/>
    <x v="0"/>
    <n v="0"/>
    <n v="0"/>
    <n v="0"/>
    <x v="2"/>
  </r>
  <r>
    <x v="11"/>
    <x v="1"/>
    <x v="7"/>
    <x v="2"/>
    <x v="23"/>
    <x v="1"/>
    <x v="0"/>
    <n v="0"/>
    <n v="0"/>
    <n v="0"/>
    <x v="2"/>
  </r>
  <r>
    <x v="11"/>
    <x v="1"/>
    <x v="7"/>
    <x v="2"/>
    <x v="24"/>
    <x v="1"/>
    <x v="0"/>
    <n v="2.15"/>
    <n v="10209.790000000001"/>
    <n v="24672.58"/>
    <x v="2"/>
  </r>
  <r>
    <x v="11"/>
    <x v="1"/>
    <x v="7"/>
    <x v="3"/>
    <x v="25"/>
    <x v="1"/>
    <x v="0"/>
    <n v="6.39"/>
    <n v="30344.45"/>
    <n v="81109.81"/>
    <x v="2"/>
  </r>
  <r>
    <x v="11"/>
    <x v="1"/>
    <x v="7"/>
    <x v="3"/>
    <x v="26"/>
    <x v="1"/>
    <x v="0"/>
    <n v="5.49"/>
    <n v="26070.58"/>
    <n v="70220.320000000007"/>
    <x v="2"/>
  </r>
  <r>
    <x v="11"/>
    <x v="1"/>
    <x v="7"/>
    <x v="3"/>
    <x v="27"/>
    <x v="1"/>
    <x v="0"/>
    <n v="9.8699999999999992"/>
    <n v="46870.06"/>
    <n v="123894.09"/>
    <x v="2"/>
  </r>
  <r>
    <x v="11"/>
    <x v="1"/>
    <x v="7"/>
    <x v="0"/>
    <x v="0"/>
    <x v="1"/>
    <x v="1"/>
    <n v="11.15"/>
    <n v="52948.45"/>
    <n v="135209.23000000001"/>
    <x v="2"/>
  </r>
  <r>
    <x v="11"/>
    <x v="1"/>
    <x v="7"/>
    <x v="0"/>
    <x v="1"/>
    <x v="1"/>
    <x v="1"/>
    <n v="21.71"/>
    <n v="103095.15"/>
    <n v="258780.17"/>
    <x v="2"/>
  </r>
  <r>
    <x v="11"/>
    <x v="1"/>
    <x v="7"/>
    <x v="0"/>
    <x v="2"/>
    <x v="1"/>
    <x v="1"/>
    <n v="8.4"/>
    <n v="39889.42"/>
    <n v="96648.54"/>
    <x v="2"/>
  </r>
  <r>
    <x v="11"/>
    <x v="1"/>
    <x v="7"/>
    <x v="0"/>
    <x v="3"/>
    <x v="1"/>
    <x v="1"/>
    <n v="22.11"/>
    <n v="104994.64"/>
    <n v="264801.17"/>
    <x v="2"/>
  </r>
  <r>
    <x v="11"/>
    <x v="1"/>
    <x v="7"/>
    <x v="0"/>
    <x v="28"/>
    <x v="1"/>
    <x v="1"/>
    <n v="2.83"/>
    <n v="13438.93"/>
    <n v="34273.56"/>
    <x v="2"/>
  </r>
  <r>
    <x v="11"/>
    <x v="1"/>
    <x v="7"/>
    <x v="0"/>
    <x v="4"/>
    <x v="1"/>
    <x v="1"/>
    <n v="8.3800000000000008"/>
    <n v="39794.44"/>
    <n v="99466.08"/>
    <x v="2"/>
  </r>
  <r>
    <x v="11"/>
    <x v="1"/>
    <x v="7"/>
    <x v="0"/>
    <x v="5"/>
    <x v="1"/>
    <x v="1"/>
    <n v="13.68"/>
    <n v="64962.76"/>
    <n v="167113.29999999999"/>
    <x v="2"/>
  </r>
  <r>
    <x v="11"/>
    <x v="1"/>
    <x v="7"/>
    <x v="0"/>
    <x v="6"/>
    <x v="1"/>
    <x v="1"/>
    <n v="1.81"/>
    <n v="8595.2199999999993"/>
    <n v="22066.34"/>
    <x v="2"/>
  </r>
  <r>
    <x v="11"/>
    <x v="1"/>
    <x v="7"/>
    <x v="0"/>
    <x v="7"/>
    <x v="1"/>
    <x v="1"/>
    <n v="5.21"/>
    <n v="24740.94"/>
    <n v="64560.12"/>
    <x v="2"/>
  </r>
  <r>
    <x v="11"/>
    <x v="1"/>
    <x v="7"/>
    <x v="0"/>
    <x v="8"/>
    <x v="1"/>
    <x v="1"/>
    <n v="3.12"/>
    <n v="14816.07"/>
    <n v="36811.94"/>
    <x v="2"/>
  </r>
  <r>
    <x v="11"/>
    <x v="1"/>
    <x v="7"/>
    <x v="1"/>
    <x v="30"/>
    <x v="1"/>
    <x v="1"/>
    <n v="0"/>
    <n v="0"/>
    <n v="0"/>
    <x v="2"/>
  </r>
  <r>
    <x v="11"/>
    <x v="1"/>
    <x v="7"/>
    <x v="1"/>
    <x v="9"/>
    <x v="1"/>
    <x v="1"/>
    <n v="3.23"/>
    <n v="15338.43"/>
    <n v="41168.68"/>
    <x v="2"/>
  </r>
  <r>
    <x v="11"/>
    <x v="1"/>
    <x v="7"/>
    <x v="1"/>
    <x v="31"/>
    <x v="1"/>
    <x v="1"/>
    <n v="0"/>
    <n v="0"/>
    <n v="0"/>
    <x v="2"/>
  </r>
  <r>
    <x v="11"/>
    <x v="1"/>
    <x v="7"/>
    <x v="1"/>
    <x v="10"/>
    <x v="1"/>
    <x v="1"/>
    <n v="30.02"/>
    <n v="142557.17000000001"/>
    <n v="379514.13"/>
    <x v="2"/>
  </r>
  <r>
    <x v="11"/>
    <x v="1"/>
    <x v="7"/>
    <x v="1"/>
    <x v="11"/>
    <x v="1"/>
    <x v="1"/>
    <n v="27.45"/>
    <n v="130352.91"/>
    <n v="330671.31"/>
    <x v="2"/>
  </r>
  <r>
    <x v="11"/>
    <x v="1"/>
    <x v="7"/>
    <x v="1"/>
    <x v="12"/>
    <x v="1"/>
    <x v="1"/>
    <n v="2.78"/>
    <n v="13201.5"/>
    <n v="35249.75"/>
    <x v="2"/>
  </r>
  <r>
    <x v="11"/>
    <x v="1"/>
    <x v="7"/>
    <x v="1"/>
    <x v="13"/>
    <x v="1"/>
    <x v="1"/>
    <n v="10.25"/>
    <n v="48674.59"/>
    <n v="129347.72"/>
    <x v="2"/>
  </r>
  <r>
    <x v="11"/>
    <x v="1"/>
    <x v="7"/>
    <x v="1"/>
    <x v="14"/>
    <x v="1"/>
    <x v="1"/>
    <n v="7.68"/>
    <n v="36470.32"/>
    <n v="95111.360000000001"/>
    <x v="2"/>
  </r>
  <r>
    <x v="11"/>
    <x v="1"/>
    <x v="7"/>
    <x v="1"/>
    <x v="15"/>
    <x v="1"/>
    <x v="1"/>
    <n v="2.41"/>
    <n v="11444.46"/>
    <n v="30818.42"/>
    <x v="2"/>
  </r>
  <r>
    <x v="11"/>
    <x v="1"/>
    <x v="7"/>
    <x v="1"/>
    <x v="16"/>
    <x v="1"/>
    <x v="1"/>
    <n v="6.32"/>
    <n v="30012.04"/>
    <n v="77067.87"/>
    <x v="2"/>
  </r>
  <r>
    <x v="11"/>
    <x v="1"/>
    <x v="7"/>
    <x v="1"/>
    <x v="17"/>
    <x v="1"/>
    <x v="1"/>
    <n v="6.57"/>
    <n v="31199.22"/>
    <n v="80877.740000000005"/>
    <x v="2"/>
  </r>
  <r>
    <x v="11"/>
    <x v="1"/>
    <x v="7"/>
    <x v="1"/>
    <x v="18"/>
    <x v="1"/>
    <x v="1"/>
    <n v="28.08"/>
    <n v="133344.62"/>
    <n v="361736.05"/>
    <x v="2"/>
  </r>
  <r>
    <x v="11"/>
    <x v="1"/>
    <x v="7"/>
    <x v="1"/>
    <x v="19"/>
    <x v="1"/>
    <x v="1"/>
    <n v="13.99"/>
    <n v="66434.87"/>
    <n v="174757.19"/>
    <x v="2"/>
  </r>
  <r>
    <x v="11"/>
    <x v="1"/>
    <x v="7"/>
    <x v="1"/>
    <x v="20"/>
    <x v="1"/>
    <x v="1"/>
    <n v="25.15"/>
    <n v="119430.81"/>
    <n v="309017.77"/>
    <x v="2"/>
  </r>
  <r>
    <x v="11"/>
    <x v="1"/>
    <x v="7"/>
    <x v="2"/>
    <x v="21"/>
    <x v="1"/>
    <x v="1"/>
    <n v="0.63"/>
    <n v="2991.71"/>
    <n v="7076.89"/>
    <x v="2"/>
  </r>
  <r>
    <x v="11"/>
    <x v="1"/>
    <x v="7"/>
    <x v="2"/>
    <x v="22"/>
    <x v="1"/>
    <x v="1"/>
    <n v="22.73"/>
    <n v="107938.86"/>
    <n v="256567.39"/>
    <x v="2"/>
  </r>
  <r>
    <x v="11"/>
    <x v="1"/>
    <x v="7"/>
    <x v="2"/>
    <x v="29"/>
    <x v="1"/>
    <x v="1"/>
    <n v="0.67"/>
    <n v="3181.66"/>
    <n v="8009.53"/>
    <x v="2"/>
  </r>
  <r>
    <x v="11"/>
    <x v="1"/>
    <x v="7"/>
    <x v="2"/>
    <x v="23"/>
    <x v="1"/>
    <x v="1"/>
    <n v="3.18"/>
    <n v="15100.99"/>
    <n v="37356.589999999997"/>
    <x v="2"/>
  </r>
  <r>
    <x v="11"/>
    <x v="1"/>
    <x v="7"/>
    <x v="2"/>
    <x v="24"/>
    <x v="1"/>
    <x v="1"/>
    <n v="4.03"/>
    <n v="19137.419999999998"/>
    <n v="46261.09"/>
    <x v="2"/>
  </r>
  <r>
    <x v="11"/>
    <x v="1"/>
    <x v="7"/>
    <x v="3"/>
    <x v="25"/>
    <x v="1"/>
    <x v="1"/>
    <n v="5.76"/>
    <n v="27352.74"/>
    <n v="73098.960000000006"/>
    <x v="2"/>
  </r>
  <r>
    <x v="11"/>
    <x v="1"/>
    <x v="7"/>
    <x v="3"/>
    <x v="26"/>
    <x v="1"/>
    <x v="1"/>
    <n v="17.09"/>
    <n v="81155.97"/>
    <n v="218589.06"/>
    <x v="2"/>
  </r>
  <r>
    <x v="11"/>
    <x v="1"/>
    <x v="7"/>
    <x v="3"/>
    <x v="27"/>
    <x v="1"/>
    <x v="1"/>
    <n v="28.31"/>
    <n v="134436.82999999999"/>
    <n v="355236.14"/>
    <x v="2"/>
  </r>
  <r>
    <x v="11"/>
    <x v="1"/>
    <x v="8"/>
    <x v="0"/>
    <x v="0"/>
    <x v="0"/>
    <x v="0"/>
    <n v="2.59"/>
    <n v="8718.35"/>
    <n v="31296.38"/>
    <x v="2"/>
  </r>
  <r>
    <x v="11"/>
    <x v="1"/>
    <x v="8"/>
    <x v="0"/>
    <x v="1"/>
    <x v="0"/>
    <x v="0"/>
    <n v="10.17"/>
    <n v="34233.85"/>
    <n v="122797.44"/>
    <x v="2"/>
  </r>
  <r>
    <x v="11"/>
    <x v="1"/>
    <x v="8"/>
    <x v="0"/>
    <x v="2"/>
    <x v="0"/>
    <x v="0"/>
    <n v="0"/>
    <n v="0"/>
    <n v="0"/>
    <x v="2"/>
  </r>
  <r>
    <x v="11"/>
    <x v="1"/>
    <x v="8"/>
    <x v="0"/>
    <x v="3"/>
    <x v="0"/>
    <x v="0"/>
    <n v="3.02"/>
    <n v="10165.799999999999"/>
    <n v="36496.04"/>
    <x v="2"/>
  </r>
  <r>
    <x v="11"/>
    <x v="1"/>
    <x v="8"/>
    <x v="0"/>
    <x v="4"/>
    <x v="0"/>
    <x v="0"/>
    <n v="0"/>
    <n v="0"/>
    <n v="0"/>
    <x v="2"/>
  </r>
  <r>
    <x v="11"/>
    <x v="1"/>
    <x v="8"/>
    <x v="0"/>
    <x v="5"/>
    <x v="0"/>
    <x v="0"/>
    <n v="0"/>
    <n v="0"/>
    <n v="0"/>
    <x v="2"/>
  </r>
  <r>
    <x v="11"/>
    <x v="1"/>
    <x v="8"/>
    <x v="0"/>
    <x v="6"/>
    <x v="0"/>
    <x v="0"/>
    <n v="0"/>
    <n v="0"/>
    <n v="0"/>
    <x v="2"/>
  </r>
  <r>
    <x v="11"/>
    <x v="1"/>
    <x v="8"/>
    <x v="0"/>
    <x v="8"/>
    <x v="0"/>
    <x v="0"/>
    <n v="0"/>
    <n v="0"/>
    <n v="0"/>
    <x v="2"/>
  </r>
  <r>
    <x v="11"/>
    <x v="1"/>
    <x v="8"/>
    <x v="1"/>
    <x v="10"/>
    <x v="0"/>
    <x v="0"/>
    <n v="1.71"/>
    <n v="5756.13"/>
    <n v="20611.22"/>
    <x v="2"/>
  </r>
  <r>
    <x v="11"/>
    <x v="1"/>
    <x v="8"/>
    <x v="1"/>
    <x v="11"/>
    <x v="0"/>
    <x v="0"/>
    <n v="0"/>
    <n v="0"/>
    <n v="0"/>
    <x v="2"/>
  </r>
  <r>
    <x v="11"/>
    <x v="1"/>
    <x v="8"/>
    <x v="1"/>
    <x v="13"/>
    <x v="0"/>
    <x v="0"/>
    <n v="0"/>
    <n v="0"/>
    <n v="0"/>
    <x v="2"/>
  </r>
  <r>
    <x v="11"/>
    <x v="1"/>
    <x v="8"/>
    <x v="1"/>
    <x v="14"/>
    <x v="0"/>
    <x v="0"/>
    <n v="0"/>
    <n v="0"/>
    <n v="0"/>
    <x v="2"/>
  </r>
  <r>
    <x v="11"/>
    <x v="1"/>
    <x v="8"/>
    <x v="1"/>
    <x v="16"/>
    <x v="0"/>
    <x v="0"/>
    <n v="0"/>
    <n v="0"/>
    <n v="0"/>
    <x v="2"/>
  </r>
  <r>
    <x v="11"/>
    <x v="1"/>
    <x v="8"/>
    <x v="1"/>
    <x v="17"/>
    <x v="0"/>
    <x v="0"/>
    <n v="0"/>
    <n v="0"/>
    <n v="0"/>
    <x v="2"/>
  </r>
  <r>
    <x v="11"/>
    <x v="1"/>
    <x v="8"/>
    <x v="1"/>
    <x v="18"/>
    <x v="0"/>
    <x v="0"/>
    <n v="0"/>
    <n v="0"/>
    <n v="0"/>
    <x v="2"/>
  </r>
  <r>
    <x v="11"/>
    <x v="1"/>
    <x v="8"/>
    <x v="1"/>
    <x v="19"/>
    <x v="0"/>
    <x v="0"/>
    <n v="0"/>
    <n v="0"/>
    <n v="0"/>
    <x v="2"/>
  </r>
  <r>
    <x v="11"/>
    <x v="1"/>
    <x v="8"/>
    <x v="1"/>
    <x v="20"/>
    <x v="0"/>
    <x v="0"/>
    <n v="3.54"/>
    <n v="11916.21"/>
    <n v="42805.96"/>
    <x v="2"/>
  </r>
  <r>
    <x v="11"/>
    <x v="1"/>
    <x v="8"/>
    <x v="2"/>
    <x v="21"/>
    <x v="0"/>
    <x v="0"/>
    <n v="3.47"/>
    <n v="11680.58"/>
    <n v="41902.51"/>
    <x v="2"/>
  </r>
  <r>
    <x v="11"/>
    <x v="1"/>
    <x v="8"/>
    <x v="2"/>
    <x v="22"/>
    <x v="0"/>
    <x v="0"/>
    <n v="0"/>
    <n v="0"/>
    <n v="0"/>
    <x v="2"/>
  </r>
  <r>
    <x v="11"/>
    <x v="1"/>
    <x v="8"/>
    <x v="2"/>
    <x v="29"/>
    <x v="0"/>
    <x v="0"/>
    <n v="0"/>
    <n v="0"/>
    <n v="0"/>
    <x v="2"/>
  </r>
  <r>
    <x v="11"/>
    <x v="1"/>
    <x v="8"/>
    <x v="2"/>
    <x v="24"/>
    <x v="0"/>
    <x v="0"/>
    <n v="0"/>
    <n v="0"/>
    <n v="0"/>
    <x v="2"/>
  </r>
  <r>
    <x v="11"/>
    <x v="1"/>
    <x v="8"/>
    <x v="3"/>
    <x v="25"/>
    <x v="0"/>
    <x v="0"/>
    <n v="0"/>
    <n v="0"/>
    <n v="0"/>
    <x v="2"/>
  </r>
  <r>
    <x v="11"/>
    <x v="1"/>
    <x v="8"/>
    <x v="3"/>
    <x v="26"/>
    <x v="0"/>
    <x v="0"/>
    <n v="2.96"/>
    <n v="9963.83"/>
    <n v="35729.71"/>
    <x v="2"/>
  </r>
  <r>
    <x v="11"/>
    <x v="1"/>
    <x v="8"/>
    <x v="3"/>
    <x v="27"/>
    <x v="0"/>
    <x v="0"/>
    <n v="2.97"/>
    <n v="9997.5"/>
    <n v="35864.82"/>
    <x v="2"/>
  </r>
  <r>
    <x v="11"/>
    <x v="1"/>
    <x v="8"/>
    <x v="0"/>
    <x v="0"/>
    <x v="0"/>
    <x v="1"/>
    <n v="2.29"/>
    <n v="7708.51"/>
    <n v="27685.26"/>
    <x v="2"/>
  </r>
  <r>
    <x v="11"/>
    <x v="1"/>
    <x v="8"/>
    <x v="0"/>
    <x v="1"/>
    <x v="0"/>
    <x v="1"/>
    <n v="11.75"/>
    <n v="39552.379999999997"/>
    <n v="141915.60999999999"/>
    <x v="2"/>
  </r>
  <r>
    <x v="11"/>
    <x v="1"/>
    <x v="8"/>
    <x v="0"/>
    <x v="2"/>
    <x v="0"/>
    <x v="1"/>
    <n v="5.25"/>
    <n v="17672.34"/>
    <n v="63416.14"/>
    <x v="2"/>
  </r>
  <r>
    <x v="11"/>
    <x v="1"/>
    <x v="8"/>
    <x v="0"/>
    <x v="3"/>
    <x v="0"/>
    <x v="1"/>
    <n v="9.75"/>
    <n v="32820.06"/>
    <n v="117729.18"/>
    <x v="2"/>
  </r>
  <r>
    <x v="11"/>
    <x v="1"/>
    <x v="8"/>
    <x v="0"/>
    <x v="4"/>
    <x v="0"/>
    <x v="1"/>
    <n v="3.01"/>
    <n v="10132.14"/>
    <n v="36404.53"/>
    <x v="2"/>
  </r>
  <r>
    <x v="11"/>
    <x v="1"/>
    <x v="8"/>
    <x v="0"/>
    <x v="5"/>
    <x v="0"/>
    <x v="1"/>
    <n v="4.83"/>
    <n v="16258.55"/>
    <n v="58363.88"/>
    <x v="2"/>
  </r>
  <r>
    <x v="11"/>
    <x v="1"/>
    <x v="8"/>
    <x v="0"/>
    <x v="6"/>
    <x v="0"/>
    <x v="1"/>
    <n v="0.96"/>
    <n v="3231.51"/>
    <n v="11637.17"/>
    <x v="2"/>
  </r>
  <r>
    <x v="11"/>
    <x v="1"/>
    <x v="8"/>
    <x v="0"/>
    <x v="8"/>
    <x v="0"/>
    <x v="1"/>
    <n v="3.69"/>
    <n v="12421.13"/>
    <n v="44571.96"/>
    <x v="2"/>
  </r>
  <r>
    <x v="11"/>
    <x v="1"/>
    <x v="8"/>
    <x v="1"/>
    <x v="10"/>
    <x v="0"/>
    <x v="1"/>
    <n v="5.78"/>
    <n v="19456.400000000001"/>
    <n v="69849.119999999995"/>
    <x v="2"/>
  </r>
  <r>
    <x v="11"/>
    <x v="1"/>
    <x v="8"/>
    <x v="1"/>
    <x v="11"/>
    <x v="0"/>
    <x v="1"/>
    <n v="14.77"/>
    <n v="49718.18"/>
    <n v="178398.17"/>
    <x v="2"/>
  </r>
  <r>
    <x v="11"/>
    <x v="1"/>
    <x v="8"/>
    <x v="1"/>
    <x v="13"/>
    <x v="0"/>
    <x v="1"/>
    <n v="6.33"/>
    <n v="21307.79"/>
    <n v="76502.55"/>
    <x v="2"/>
  </r>
  <r>
    <x v="11"/>
    <x v="1"/>
    <x v="8"/>
    <x v="1"/>
    <x v="14"/>
    <x v="0"/>
    <x v="1"/>
    <n v="2.8"/>
    <n v="9425.25"/>
    <n v="33771.99"/>
    <x v="2"/>
  </r>
  <r>
    <x v="11"/>
    <x v="1"/>
    <x v="8"/>
    <x v="1"/>
    <x v="16"/>
    <x v="0"/>
    <x v="1"/>
    <n v="2.87"/>
    <n v="9660.8799999999992"/>
    <n v="34610.14"/>
    <x v="2"/>
  </r>
  <r>
    <x v="11"/>
    <x v="1"/>
    <x v="8"/>
    <x v="1"/>
    <x v="17"/>
    <x v="0"/>
    <x v="1"/>
    <n v="2.6"/>
    <n v="8752.02"/>
    <n v="31422.12"/>
    <x v="2"/>
  </r>
  <r>
    <x v="11"/>
    <x v="1"/>
    <x v="8"/>
    <x v="1"/>
    <x v="18"/>
    <x v="0"/>
    <x v="1"/>
    <n v="17.47"/>
    <n v="58806.82"/>
    <n v="210990.07"/>
    <x v="2"/>
  </r>
  <r>
    <x v="11"/>
    <x v="1"/>
    <x v="8"/>
    <x v="1"/>
    <x v="19"/>
    <x v="0"/>
    <x v="1"/>
    <n v="4.8099999999999996"/>
    <n v="16191.23"/>
    <n v="58129.91"/>
    <x v="2"/>
  </r>
  <r>
    <x v="11"/>
    <x v="1"/>
    <x v="8"/>
    <x v="1"/>
    <x v="20"/>
    <x v="0"/>
    <x v="1"/>
    <n v="15.52"/>
    <n v="52242.8"/>
    <n v="187420.67"/>
    <x v="2"/>
  </r>
  <r>
    <x v="11"/>
    <x v="1"/>
    <x v="8"/>
    <x v="2"/>
    <x v="21"/>
    <x v="0"/>
    <x v="1"/>
    <n v="0"/>
    <n v="0"/>
    <n v="0"/>
    <x v="2"/>
  </r>
  <r>
    <x v="11"/>
    <x v="1"/>
    <x v="8"/>
    <x v="2"/>
    <x v="22"/>
    <x v="0"/>
    <x v="1"/>
    <n v="5.95"/>
    <n v="20028.650000000001"/>
    <n v="71817.210000000006"/>
    <x v="2"/>
  </r>
  <r>
    <x v="11"/>
    <x v="1"/>
    <x v="8"/>
    <x v="2"/>
    <x v="29"/>
    <x v="0"/>
    <x v="1"/>
    <n v="2.82"/>
    <n v="9492.57"/>
    <n v="34066.49"/>
    <x v="2"/>
  </r>
  <r>
    <x v="11"/>
    <x v="1"/>
    <x v="8"/>
    <x v="2"/>
    <x v="24"/>
    <x v="0"/>
    <x v="1"/>
    <n v="4.18"/>
    <n v="14070.55"/>
    <n v="50440.41"/>
    <x v="2"/>
  </r>
  <r>
    <x v="11"/>
    <x v="1"/>
    <x v="8"/>
    <x v="3"/>
    <x v="25"/>
    <x v="0"/>
    <x v="1"/>
    <n v="3.9"/>
    <n v="13128.02"/>
    <n v="47102.78"/>
    <x v="2"/>
  </r>
  <r>
    <x v="11"/>
    <x v="1"/>
    <x v="8"/>
    <x v="3"/>
    <x v="26"/>
    <x v="0"/>
    <x v="1"/>
    <n v="2.87"/>
    <n v="9660.8799999999992"/>
    <n v="34678.839999999997"/>
    <x v="2"/>
  </r>
  <r>
    <x v="11"/>
    <x v="1"/>
    <x v="8"/>
    <x v="3"/>
    <x v="27"/>
    <x v="0"/>
    <x v="1"/>
    <n v="10.63"/>
    <n v="35782.28"/>
    <n v="128419.2"/>
    <x v="2"/>
  </r>
  <r>
    <x v="11"/>
    <x v="1"/>
    <x v="8"/>
    <x v="0"/>
    <x v="0"/>
    <x v="1"/>
    <x v="0"/>
    <n v="5.6"/>
    <n v="18850.5"/>
    <n v="44258.59"/>
    <x v="2"/>
  </r>
  <r>
    <x v="11"/>
    <x v="1"/>
    <x v="8"/>
    <x v="0"/>
    <x v="1"/>
    <x v="1"/>
    <x v="0"/>
    <n v="20.51"/>
    <n v="69039.94"/>
    <n v="159292.54"/>
    <x v="2"/>
  </r>
  <r>
    <x v="11"/>
    <x v="1"/>
    <x v="8"/>
    <x v="0"/>
    <x v="2"/>
    <x v="1"/>
    <x v="0"/>
    <n v="7.73"/>
    <n v="26020.42"/>
    <n v="57945.25"/>
    <x v="2"/>
  </r>
  <r>
    <x v="11"/>
    <x v="1"/>
    <x v="8"/>
    <x v="0"/>
    <x v="3"/>
    <x v="1"/>
    <x v="0"/>
    <n v="16.03"/>
    <n v="53959.54"/>
    <n v="125068.5"/>
    <x v="2"/>
  </r>
  <r>
    <x v="11"/>
    <x v="1"/>
    <x v="8"/>
    <x v="0"/>
    <x v="28"/>
    <x v="1"/>
    <x v="0"/>
    <n v="0"/>
    <n v="0"/>
    <n v="0"/>
    <x v="2"/>
  </r>
  <r>
    <x v="11"/>
    <x v="1"/>
    <x v="8"/>
    <x v="0"/>
    <x v="4"/>
    <x v="1"/>
    <x v="0"/>
    <n v="11.66"/>
    <n v="39249.43"/>
    <n v="90126.82"/>
    <x v="2"/>
  </r>
  <r>
    <x v="11"/>
    <x v="1"/>
    <x v="8"/>
    <x v="0"/>
    <x v="5"/>
    <x v="1"/>
    <x v="0"/>
    <n v="2.46"/>
    <n v="8280.75"/>
    <n v="19611.87"/>
    <x v="2"/>
  </r>
  <r>
    <x v="11"/>
    <x v="1"/>
    <x v="8"/>
    <x v="0"/>
    <x v="6"/>
    <x v="1"/>
    <x v="0"/>
    <n v="0"/>
    <n v="0"/>
    <n v="0"/>
    <x v="2"/>
  </r>
  <r>
    <x v="11"/>
    <x v="1"/>
    <x v="8"/>
    <x v="0"/>
    <x v="7"/>
    <x v="1"/>
    <x v="0"/>
    <n v="0"/>
    <n v="0"/>
    <n v="0"/>
    <x v="2"/>
  </r>
  <r>
    <x v="11"/>
    <x v="1"/>
    <x v="8"/>
    <x v="0"/>
    <x v="8"/>
    <x v="1"/>
    <x v="0"/>
    <n v="0"/>
    <n v="0"/>
    <n v="0"/>
    <x v="2"/>
  </r>
  <r>
    <x v="11"/>
    <x v="1"/>
    <x v="8"/>
    <x v="1"/>
    <x v="30"/>
    <x v="1"/>
    <x v="0"/>
    <n v="3.81"/>
    <n v="12825.07"/>
    <n v="31671.43"/>
    <x v="2"/>
  </r>
  <r>
    <x v="11"/>
    <x v="1"/>
    <x v="8"/>
    <x v="1"/>
    <x v="9"/>
    <x v="1"/>
    <x v="0"/>
    <n v="0"/>
    <n v="0"/>
    <n v="0"/>
    <x v="2"/>
  </r>
  <r>
    <x v="11"/>
    <x v="1"/>
    <x v="8"/>
    <x v="1"/>
    <x v="31"/>
    <x v="1"/>
    <x v="0"/>
    <n v="3.43"/>
    <n v="11545.93"/>
    <n v="28754.74"/>
    <x v="2"/>
  </r>
  <r>
    <x v="11"/>
    <x v="1"/>
    <x v="8"/>
    <x v="1"/>
    <x v="10"/>
    <x v="1"/>
    <x v="0"/>
    <n v="19.71"/>
    <n v="66347.009999999995"/>
    <n v="162322.1"/>
    <x v="2"/>
  </r>
  <r>
    <x v="11"/>
    <x v="1"/>
    <x v="8"/>
    <x v="1"/>
    <x v="11"/>
    <x v="1"/>
    <x v="0"/>
    <n v="7.83"/>
    <n v="26357.03"/>
    <n v="61500.94"/>
    <x v="2"/>
  </r>
  <r>
    <x v="11"/>
    <x v="1"/>
    <x v="8"/>
    <x v="1"/>
    <x v="12"/>
    <x v="1"/>
    <x v="0"/>
    <n v="2.25"/>
    <n v="7573.86"/>
    <n v="18548.18"/>
    <x v="2"/>
  </r>
  <r>
    <x v="11"/>
    <x v="1"/>
    <x v="8"/>
    <x v="1"/>
    <x v="13"/>
    <x v="1"/>
    <x v="0"/>
    <n v="4.21"/>
    <n v="14171.53"/>
    <n v="34651.49"/>
    <x v="2"/>
  </r>
  <r>
    <x v="11"/>
    <x v="1"/>
    <x v="8"/>
    <x v="1"/>
    <x v="14"/>
    <x v="1"/>
    <x v="0"/>
    <n v="20.93"/>
    <n v="70453.73"/>
    <n v="168807.92"/>
    <x v="2"/>
  </r>
  <r>
    <x v="11"/>
    <x v="1"/>
    <x v="8"/>
    <x v="1"/>
    <x v="15"/>
    <x v="1"/>
    <x v="0"/>
    <n v="2.16"/>
    <n v="7270.91"/>
    <n v="18020"/>
    <x v="2"/>
  </r>
  <r>
    <x v="11"/>
    <x v="1"/>
    <x v="8"/>
    <x v="1"/>
    <x v="16"/>
    <x v="1"/>
    <x v="0"/>
    <n v="9.1300000000000008"/>
    <n v="30733.040000000001"/>
    <n v="72560.56"/>
    <x v="2"/>
  </r>
  <r>
    <x v="11"/>
    <x v="1"/>
    <x v="8"/>
    <x v="1"/>
    <x v="17"/>
    <x v="1"/>
    <x v="0"/>
    <n v="8.8000000000000007"/>
    <n v="29622.21"/>
    <n v="70594.990000000005"/>
    <x v="2"/>
  </r>
  <r>
    <x v="11"/>
    <x v="1"/>
    <x v="8"/>
    <x v="1"/>
    <x v="18"/>
    <x v="1"/>
    <x v="0"/>
    <n v="13.11"/>
    <n v="44130.36"/>
    <n v="110037.95"/>
    <x v="2"/>
  </r>
  <r>
    <x v="11"/>
    <x v="1"/>
    <x v="8"/>
    <x v="1"/>
    <x v="19"/>
    <x v="1"/>
    <x v="0"/>
    <n v="10.27"/>
    <n v="34570.46"/>
    <n v="83567.199999999997"/>
    <x v="2"/>
  </r>
  <r>
    <x v="11"/>
    <x v="1"/>
    <x v="8"/>
    <x v="1"/>
    <x v="20"/>
    <x v="1"/>
    <x v="0"/>
    <n v="14.5"/>
    <n v="48809.32"/>
    <n v="116074.47"/>
    <x v="2"/>
  </r>
  <r>
    <x v="11"/>
    <x v="1"/>
    <x v="8"/>
    <x v="2"/>
    <x v="21"/>
    <x v="1"/>
    <x v="0"/>
    <n v="0"/>
    <n v="0"/>
    <n v="0"/>
    <x v="2"/>
  </r>
  <r>
    <x v="11"/>
    <x v="1"/>
    <x v="8"/>
    <x v="2"/>
    <x v="22"/>
    <x v="1"/>
    <x v="0"/>
    <n v="15.99"/>
    <n v="53824.9"/>
    <n v="117570.4"/>
    <x v="2"/>
  </r>
  <r>
    <x v="11"/>
    <x v="1"/>
    <x v="8"/>
    <x v="2"/>
    <x v="29"/>
    <x v="1"/>
    <x v="0"/>
    <n v="0"/>
    <n v="0"/>
    <n v="0"/>
    <x v="2"/>
  </r>
  <r>
    <x v="11"/>
    <x v="1"/>
    <x v="8"/>
    <x v="2"/>
    <x v="23"/>
    <x v="1"/>
    <x v="0"/>
    <n v="0"/>
    <n v="0"/>
    <n v="0"/>
    <x v="2"/>
  </r>
  <r>
    <x v="11"/>
    <x v="1"/>
    <x v="8"/>
    <x v="2"/>
    <x v="24"/>
    <x v="1"/>
    <x v="0"/>
    <n v="2.23"/>
    <n v="7506.54"/>
    <n v="16666.88"/>
    <x v="2"/>
  </r>
  <r>
    <x v="11"/>
    <x v="1"/>
    <x v="8"/>
    <x v="3"/>
    <x v="25"/>
    <x v="1"/>
    <x v="0"/>
    <n v="10.28"/>
    <n v="34604.120000000003"/>
    <n v="85010.29"/>
    <x v="2"/>
  </r>
  <r>
    <x v="11"/>
    <x v="1"/>
    <x v="8"/>
    <x v="3"/>
    <x v="26"/>
    <x v="1"/>
    <x v="0"/>
    <n v="12.2"/>
    <n v="41067.15"/>
    <n v="101688.49"/>
    <x v="2"/>
  </r>
  <r>
    <x v="11"/>
    <x v="1"/>
    <x v="8"/>
    <x v="3"/>
    <x v="27"/>
    <x v="1"/>
    <x v="0"/>
    <n v="14.31"/>
    <n v="48169.75"/>
    <n v="116990.77"/>
    <x v="2"/>
  </r>
  <r>
    <x v="11"/>
    <x v="1"/>
    <x v="8"/>
    <x v="0"/>
    <x v="0"/>
    <x v="1"/>
    <x v="1"/>
    <n v="9.31"/>
    <n v="31338.95"/>
    <n v="73537.350000000006"/>
    <x v="2"/>
  </r>
  <r>
    <x v="11"/>
    <x v="1"/>
    <x v="8"/>
    <x v="0"/>
    <x v="1"/>
    <x v="1"/>
    <x v="1"/>
    <n v="27.29"/>
    <n v="91862.51"/>
    <n v="211874.54"/>
    <x v="2"/>
  </r>
  <r>
    <x v="11"/>
    <x v="1"/>
    <x v="8"/>
    <x v="0"/>
    <x v="2"/>
    <x v="1"/>
    <x v="1"/>
    <n v="15.28"/>
    <n v="51434.92"/>
    <n v="114602.82"/>
    <x v="2"/>
  </r>
  <r>
    <x v="11"/>
    <x v="1"/>
    <x v="8"/>
    <x v="0"/>
    <x v="3"/>
    <x v="1"/>
    <x v="1"/>
    <n v="38.26"/>
    <n v="128789.28"/>
    <n v="298458.93"/>
    <x v="2"/>
  </r>
  <r>
    <x v="11"/>
    <x v="1"/>
    <x v="8"/>
    <x v="0"/>
    <x v="28"/>
    <x v="1"/>
    <x v="1"/>
    <n v="1.94"/>
    <n v="6530.35"/>
    <n v="15298.67"/>
    <x v="2"/>
  </r>
  <r>
    <x v="11"/>
    <x v="1"/>
    <x v="8"/>
    <x v="0"/>
    <x v="4"/>
    <x v="1"/>
    <x v="1"/>
    <n v="11.66"/>
    <n v="39249.43"/>
    <n v="90126.82"/>
    <x v="2"/>
  </r>
  <r>
    <x v="11"/>
    <x v="1"/>
    <x v="8"/>
    <x v="0"/>
    <x v="5"/>
    <x v="1"/>
    <x v="1"/>
    <n v="26.77"/>
    <n v="90112.1"/>
    <n v="213025.45"/>
    <x v="2"/>
  </r>
  <r>
    <x v="11"/>
    <x v="1"/>
    <x v="8"/>
    <x v="0"/>
    <x v="6"/>
    <x v="1"/>
    <x v="1"/>
    <n v="3.29"/>
    <n v="11074.67"/>
    <n v="26102.35"/>
    <x v="2"/>
  </r>
  <r>
    <x v="11"/>
    <x v="1"/>
    <x v="8"/>
    <x v="0"/>
    <x v="7"/>
    <x v="1"/>
    <x v="1"/>
    <n v="3.7"/>
    <n v="12454.79"/>
    <n v="29820.12"/>
    <x v="2"/>
  </r>
  <r>
    <x v="11"/>
    <x v="1"/>
    <x v="8"/>
    <x v="0"/>
    <x v="8"/>
    <x v="1"/>
    <x v="1"/>
    <n v="5.88"/>
    <n v="19793.02"/>
    <n v="45262.07"/>
    <x v="2"/>
  </r>
  <r>
    <x v="11"/>
    <x v="1"/>
    <x v="8"/>
    <x v="1"/>
    <x v="30"/>
    <x v="1"/>
    <x v="1"/>
    <n v="0"/>
    <n v="0"/>
    <n v="0"/>
    <x v="2"/>
  </r>
  <r>
    <x v="11"/>
    <x v="1"/>
    <x v="8"/>
    <x v="1"/>
    <x v="9"/>
    <x v="1"/>
    <x v="1"/>
    <n v="7.41"/>
    <n v="24943.25"/>
    <n v="61563.54"/>
    <x v="2"/>
  </r>
  <r>
    <x v="11"/>
    <x v="1"/>
    <x v="8"/>
    <x v="1"/>
    <x v="31"/>
    <x v="1"/>
    <x v="1"/>
    <n v="0"/>
    <n v="0"/>
    <n v="0"/>
    <x v="2"/>
  </r>
  <r>
    <x v="11"/>
    <x v="1"/>
    <x v="8"/>
    <x v="1"/>
    <x v="10"/>
    <x v="1"/>
    <x v="1"/>
    <n v="43.86"/>
    <n v="147639.78"/>
    <n v="361211.26"/>
    <x v="2"/>
  </r>
  <r>
    <x v="11"/>
    <x v="1"/>
    <x v="8"/>
    <x v="1"/>
    <x v="11"/>
    <x v="1"/>
    <x v="1"/>
    <n v="33.17"/>
    <n v="111655.53"/>
    <n v="260353.96"/>
    <x v="2"/>
  </r>
  <r>
    <x v="11"/>
    <x v="1"/>
    <x v="8"/>
    <x v="1"/>
    <x v="12"/>
    <x v="1"/>
    <x v="1"/>
    <n v="4.04"/>
    <n v="13599.29"/>
    <n v="33386.720000000001"/>
    <x v="2"/>
  </r>
  <r>
    <x v="11"/>
    <x v="1"/>
    <x v="8"/>
    <x v="1"/>
    <x v="13"/>
    <x v="1"/>
    <x v="1"/>
    <n v="18.96"/>
    <n v="63822.39"/>
    <n v="155931.71"/>
    <x v="2"/>
  </r>
  <r>
    <x v="11"/>
    <x v="1"/>
    <x v="8"/>
    <x v="1"/>
    <x v="14"/>
    <x v="1"/>
    <x v="1"/>
    <n v="11.71"/>
    <n v="39417.730000000003"/>
    <n v="94495.74"/>
    <x v="2"/>
  </r>
  <r>
    <x v="11"/>
    <x v="1"/>
    <x v="8"/>
    <x v="1"/>
    <x v="15"/>
    <x v="1"/>
    <x v="1"/>
    <n v="2.08"/>
    <n v="7001.61"/>
    <n v="17376.419999999998"/>
    <x v="2"/>
  </r>
  <r>
    <x v="11"/>
    <x v="1"/>
    <x v="8"/>
    <x v="1"/>
    <x v="16"/>
    <x v="1"/>
    <x v="1"/>
    <n v="10.92"/>
    <n v="36758.47"/>
    <n v="86788.12"/>
    <x v="2"/>
  </r>
  <r>
    <x v="11"/>
    <x v="1"/>
    <x v="8"/>
    <x v="1"/>
    <x v="17"/>
    <x v="1"/>
    <x v="1"/>
    <n v="7.81"/>
    <n v="26289.71"/>
    <n v="62589.38"/>
    <x v="2"/>
  </r>
  <r>
    <x v="11"/>
    <x v="1"/>
    <x v="8"/>
    <x v="1"/>
    <x v="18"/>
    <x v="1"/>
    <x v="1"/>
    <n v="50.65"/>
    <n v="170496"/>
    <n v="425093.97"/>
    <x v="2"/>
  </r>
  <r>
    <x v="11"/>
    <x v="1"/>
    <x v="8"/>
    <x v="1"/>
    <x v="19"/>
    <x v="1"/>
    <x v="1"/>
    <n v="16.34"/>
    <n v="55003.05"/>
    <n v="132980.85"/>
    <x v="2"/>
  </r>
  <r>
    <x v="11"/>
    <x v="1"/>
    <x v="8"/>
    <x v="1"/>
    <x v="20"/>
    <x v="1"/>
    <x v="1"/>
    <n v="26.99"/>
    <n v="90852.66"/>
    <n v="216066.33"/>
    <x v="2"/>
  </r>
  <r>
    <x v="11"/>
    <x v="1"/>
    <x v="8"/>
    <x v="2"/>
    <x v="21"/>
    <x v="1"/>
    <x v="1"/>
    <n v="3.38"/>
    <n v="11377.62"/>
    <n v="24871.52"/>
    <x v="2"/>
  </r>
  <r>
    <x v="11"/>
    <x v="1"/>
    <x v="8"/>
    <x v="2"/>
    <x v="22"/>
    <x v="1"/>
    <x v="1"/>
    <n v="32.119999999999997"/>
    <n v="108121.06"/>
    <n v="236199.98"/>
    <x v="2"/>
  </r>
  <r>
    <x v="11"/>
    <x v="1"/>
    <x v="8"/>
    <x v="2"/>
    <x v="29"/>
    <x v="1"/>
    <x v="1"/>
    <n v="3.98"/>
    <n v="13397.32"/>
    <n v="31131.71"/>
    <x v="2"/>
  </r>
  <r>
    <x v="11"/>
    <x v="1"/>
    <x v="8"/>
    <x v="2"/>
    <x v="23"/>
    <x v="1"/>
    <x v="1"/>
    <n v="2.06"/>
    <n v="6934.29"/>
    <n v="15744.9"/>
    <x v="2"/>
  </r>
  <r>
    <x v="11"/>
    <x v="1"/>
    <x v="8"/>
    <x v="2"/>
    <x v="24"/>
    <x v="1"/>
    <x v="1"/>
    <n v="3.6"/>
    <n v="12118.18"/>
    <n v="26923.42"/>
    <x v="2"/>
  </r>
  <r>
    <x v="11"/>
    <x v="1"/>
    <x v="8"/>
    <x v="3"/>
    <x v="25"/>
    <x v="1"/>
    <x v="1"/>
    <n v="10.46"/>
    <n v="35210.03"/>
    <n v="86514.9"/>
    <x v="2"/>
  </r>
  <r>
    <x v="11"/>
    <x v="1"/>
    <x v="8"/>
    <x v="3"/>
    <x v="26"/>
    <x v="1"/>
    <x v="1"/>
    <n v="31.5"/>
    <n v="106034.04"/>
    <n v="262453.15000000002"/>
    <x v="2"/>
  </r>
  <r>
    <x v="11"/>
    <x v="1"/>
    <x v="8"/>
    <x v="3"/>
    <x v="27"/>
    <x v="1"/>
    <x v="1"/>
    <n v="45.51"/>
    <n v="153193.94"/>
    <n v="372045.18"/>
    <x v="2"/>
  </r>
  <r>
    <x v="11"/>
    <x v="1"/>
    <x v="9"/>
    <x v="0"/>
    <x v="0"/>
    <x v="0"/>
    <x v="0"/>
    <n v="1.32"/>
    <n v="3563.75"/>
    <n v="12370.69"/>
    <x v="2"/>
  </r>
  <r>
    <x v="11"/>
    <x v="1"/>
    <x v="9"/>
    <x v="0"/>
    <x v="1"/>
    <x v="0"/>
    <x v="0"/>
    <n v="3.99"/>
    <n v="10772.24"/>
    <n v="37437.32"/>
    <x v="2"/>
  </r>
  <r>
    <x v="11"/>
    <x v="1"/>
    <x v="9"/>
    <x v="0"/>
    <x v="2"/>
    <x v="0"/>
    <x v="0"/>
    <n v="0"/>
    <n v="0"/>
    <n v="0"/>
    <x v="2"/>
  </r>
  <r>
    <x v="11"/>
    <x v="1"/>
    <x v="9"/>
    <x v="0"/>
    <x v="3"/>
    <x v="0"/>
    <x v="0"/>
    <n v="2.92"/>
    <n v="7883.45"/>
    <n v="27360.240000000002"/>
    <x v="2"/>
  </r>
  <r>
    <x v="11"/>
    <x v="1"/>
    <x v="9"/>
    <x v="0"/>
    <x v="4"/>
    <x v="0"/>
    <x v="0"/>
    <n v="0"/>
    <n v="0"/>
    <n v="0"/>
    <x v="2"/>
  </r>
  <r>
    <x v="11"/>
    <x v="1"/>
    <x v="9"/>
    <x v="0"/>
    <x v="5"/>
    <x v="0"/>
    <x v="0"/>
    <n v="0"/>
    <n v="0"/>
    <n v="0"/>
    <x v="2"/>
  </r>
  <r>
    <x v="11"/>
    <x v="1"/>
    <x v="9"/>
    <x v="0"/>
    <x v="6"/>
    <x v="0"/>
    <x v="0"/>
    <n v="0"/>
    <n v="0"/>
    <n v="0"/>
    <x v="2"/>
  </r>
  <r>
    <x v="11"/>
    <x v="1"/>
    <x v="9"/>
    <x v="0"/>
    <x v="8"/>
    <x v="0"/>
    <x v="0"/>
    <n v="0"/>
    <n v="0"/>
    <n v="0"/>
    <x v="2"/>
  </r>
  <r>
    <x v="11"/>
    <x v="1"/>
    <x v="9"/>
    <x v="1"/>
    <x v="10"/>
    <x v="0"/>
    <x v="0"/>
    <n v="1.78"/>
    <n v="4805.66"/>
    <n v="16699.71"/>
    <x v="2"/>
  </r>
  <r>
    <x v="11"/>
    <x v="1"/>
    <x v="9"/>
    <x v="1"/>
    <x v="11"/>
    <x v="0"/>
    <x v="0"/>
    <n v="0"/>
    <n v="0"/>
    <n v="0"/>
    <x v="2"/>
  </r>
  <r>
    <x v="11"/>
    <x v="1"/>
    <x v="9"/>
    <x v="1"/>
    <x v="13"/>
    <x v="0"/>
    <x v="0"/>
    <n v="0"/>
    <n v="0"/>
    <n v="0"/>
    <x v="2"/>
  </r>
  <r>
    <x v="11"/>
    <x v="1"/>
    <x v="9"/>
    <x v="1"/>
    <x v="14"/>
    <x v="0"/>
    <x v="0"/>
    <n v="0"/>
    <n v="0"/>
    <n v="0"/>
    <x v="2"/>
  </r>
  <r>
    <x v="11"/>
    <x v="1"/>
    <x v="9"/>
    <x v="1"/>
    <x v="16"/>
    <x v="0"/>
    <x v="0"/>
    <n v="0"/>
    <n v="0"/>
    <n v="0"/>
    <x v="2"/>
  </r>
  <r>
    <x v="11"/>
    <x v="1"/>
    <x v="9"/>
    <x v="1"/>
    <x v="17"/>
    <x v="0"/>
    <x v="0"/>
    <n v="0"/>
    <n v="0"/>
    <n v="0"/>
    <x v="2"/>
  </r>
  <r>
    <x v="11"/>
    <x v="1"/>
    <x v="9"/>
    <x v="1"/>
    <x v="18"/>
    <x v="0"/>
    <x v="0"/>
    <n v="0"/>
    <n v="0"/>
    <n v="0"/>
    <x v="2"/>
  </r>
  <r>
    <x v="11"/>
    <x v="1"/>
    <x v="9"/>
    <x v="1"/>
    <x v="19"/>
    <x v="0"/>
    <x v="0"/>
    <n v="0"/>
    <n v="0"/>
    <n v="0"/>
    <x v="2"/>
  </r>
  <r>
    <x v="11"/>
    <x v="1"/>
    <x v="9"/>
    <x v="1"/>
    <x v="20"/>
    <x v="0"/>
    <x v="0"/>
    <n v="1.94"/>
    <n v="5237.63"/>
    <n v="18171.03"/>
    <x v="2"/>
  </r>
  <r>
    <x v="11"/>
    <x v="1"/>
    <x v="9"/>
    <x v="2"/>
    <x v="21"/>
    <x v="0"/>
    <x v="0"/>
    <n v="2.85"/>
    <n v="7694.46"/>
    <n v="26727.13"/>
    <x v="2"/>
  </r>
  <r>
    <x v="11"/>
    <x v="1"/>
    <x v="9"/>
    <x v="2"/>
    <x v="22"/>
    <x v="0"/>
    <x v="0"/>
    <n v="0"/>
    <n v="0"/>
    <n v="0"/>
    <x v="2"/>
  </r>
  <r>
    <x v="11"/>
    <x v="1"/>
    <x v="9"/>
    <x v="2"/>
    <x v="29"/>
    <x v="0"/>
    <x v="0"/>
    <n v="0"/>
    <n v="0"/>
    <n v="0"/>
    <x v="2"/>
  </r>
  <r>
    <x v="11"/>
    <x v="1"/>
    <x v="9"/>
    <x v="2"/>
    <x v="24"/>
    <x v="0"/>
    <x v="0"/>
    <n v="0"/>
    <n v="0"/>
    <n v="0"/>
    <x v="2"/>
  </r>
  <r>
    <x v="11"/>
    <x v="1"/>
    <x v="9"/>
    <x v="3"/>
    <x v="25"/>
    <x v="0"/>
    <x v="0"/>
    <n v="0"/>
    <n v="0"/>
    <n v="0"/>
    <x v="2"/>
  </r>
  <r>
    <x v="11"/>
    <x v="1"/>
    <x v="9"/>
    <x v="3"/>
    <x v="26"/>
    <x v="0"/>
    <x v="0"/>
    <n v="1.48"/>
    <n v="3995.72"/>
    <n v="13927.41"/>
    <x v="2"/>
  </r>
  <r>
    <x v="11"/>
    <x v="1"/>
    <x v="9"/>
    <x v="3"/>
    <x v="27"/>
    <x v="0"/>
    <x v="0"/>
    <n v="3.06"/>
    <n v="8261.42"/>
    <n v="28742.92"/>
    <x v="2"/>
  </r>
  <r>
    <x v="11"/>
    <x v="1"/>
    <x v="9"/>
    <x v="0"/>
    <x v="0"/>
    <x v="0"/>
    <x v="1"/>
    <n v="1.79"/>
    <n v="4832.66"/>
    <n v="16788.8"/>
    <x v="2"/>
  </r>
  <r>
    <x v="11"/>
    <x v="1"/>
    <x v="9"/>
    <x v="0"/>
    <x v="1"/>
    <x v="0"/>
    <x v="1"/>
    <n v="8.2899999999999991"/>
    <n v="22381.42"/>
    <n v="77754.44"/>
    <x v="2"/>
  </r>
  <r>
    <x v="11"/>
    <x v="1"/>
    <x v="9"/>
    <x v="0"/>
    <x v="2"/>
    <x v="0"/>
    <x v="1"/>
    <n v="3.45"/>
    <n v="9314.34"/>
    <n v="32370.61"/>
    <x v="2"/>
  </r>
  <r>
    <x v="11"/>
    <x v="1"/>
    <x v="9"/>
    <x v="0"/>
    <x v="3"/>
    <x v="0"/>
    <x v="1"/>
    <n v="9.41"/>
    <n v="25405.21"/>
    <n v="88298.96"/>
    <x v="2"/>
  </r>
  <r>
    <x v="11"/>
    <x v="1"/>
    <x v="9"/>
    <x v="0"/>
    <x v="4"/>
    <x v="0"/>
    <x v="1"/>
    <n v="1.87"/>
    <n v="5048.6400000000003"/>
    <n v="17558.98"/>
    <x v="2"/>
  </r>
  <r>
    <x v="11"/>
    <x v="1"/>
    <x v="9"/>
    <x v="0"/>
    <x v="5"/>
    <x v="0"/>
    <x v="1"/>
    <n v="7.93"/>
    <n v="21409.49"/>
    <n v="74414.59"/>
    <x v="2"/>
  </r>
  <r>
    <x v="11"/>
    <x v="1"/>
    <x v="9"/>
    <x v="0"/>
    <x v="6"/>
    <x v="0"/>
    <x v="1"/>
    <n v="2.09"/>
    <n v="5642.6"/>
    <n v="19561.97"/>
    <x v="2"/>
  </r>
  <r>
    <x v="11"/>
    <x v="1"/>
    <x v="9"/>
    <x v="0"/>
    <x v="8"/>
    <x v="0"/>
    <x v="1"/>
    <n v="3.64"/>
    <n v="9827.31"/>
    <n v="34126.080000000002"/>
    <x v="2"/>
  </r>
  <r>
    <x v="11"/>
    <x v="1"/>
    <x v="9"/>
    <x v="1"/>
    <x v="10"/>
    <x v="0"/>
    <x v="1"/>
    <n v="5.34"/>
    <n v="14416.99"/>
    <n v="50099.14"/>
    <x v="2"/>
  </r>
  <r>
    <x v="11"/>
    <x v="1"/>
    <x v="9"/>
    <x v="1"/>
    <x v="11"/>
    <x v="0"/>
    <x v="1"/>
    <n v="10.86"/>
    <n v="29319.94"/>
    <n v="101906.96"/>
    <x v="2"/>
  </r>
  <r>
    <x v="11"/>
    <x v="1"/>
    <x v="9"/>
    <x v="1"/>
    <x v="13"/>
    <x v="0"/>
    <x v="1"/>
    <n v="5.75"/>
    <n v="15523.91"/>
    <n v="53962.19"/>
    <x v="2"/>
  </r>
  <r>
    <x v="11"/>
    <x v="1"/>
    <x v="9"/>
    <x v="1"/>
    <x v="14"/>
    <x v="0"/>
    <x v="1"/>
    <n v="2.06"/>
    <n v="5561.61"/>
    <n v="19285.400000000001"/>
    <x v="2"/>
  </r>
  <r>
    <x v="11"/>
    <x v="1"/>
    <x v="9"/>
    <x v="1"/>
    <x v="16"/>
    <x v="0"/>
    <x v="1"/>
    <n v="1.37"/>
    <n v="3698.74"/>
    <n v="12882.26"/>
    <x v="2"/>
  </r>
  <r>
    <x v="11"/>
    <x v="1"/>
    <x v="9"/>
    <x v="1"/>
    <x v="17"/>
    <x v="0"/>
    <x v="1"/>
    <n v="2.09"/>
    <n v="5642.6"/>
    <n v="19560.939999999999"/>
    <x v="2"/>
  </r>
  <r>
    <x v="11"/>
    <x v="1"/>
    <x v="9"/>
    <x v="1"/>
    <x v="18"/>
    <x v="0"/>
    <x v="1"/>
    <n v="11.19"/>
    <n v="30210.87"/>
    <n v="104999.11"/>
    <x v="2"/>
  </r>
  <r>
    <x v="11"/>
    <x v="1"/>
    <x v="9"/>
    <x v="1"/>
    <x v="19"/>
    <x v="0"/>
    <x v="1"/>
    <n v="4.16"/>
    <n v="11231.21"/>
    <n v="39020.92"/>
    <x v="2"/>
  </r>
  <r>
    <x v="11"/>
    <x v="1"/>
    <x v="9"/>
    <x v="1"/>
    <x v="20"/>
    <x v="0"/>
    <x v="1"/>
    <n v="10.95"/>
    <n v="29562.92"/>
    <n v="102666.3"/>
    <x v="2"/>
  </r>
  <r>
    <x v="11"/>
    <x v="1"/>
    <x v="9"/>
    <x v="2"/>
    <x v="21"/>
    <x v="0"/>
    <x v="1"/>
    <n v="0"/>
    <n v="0"/>
    <n v="0"/>
    <x v="2"/>
  </r>
  <r>
    <x v="11"/>
    <x v="1"/>
    <x v="9"/>
    <x v="2"/>
    <x v="22"/>
    <x v="0"/>
    <x v="1"/>
    <n v="3.47"/>
    <n v="9368.34"/>
    <n v="32508.84"/>
    <x v="2"/>
  </r>
  <r>
    <x v="11"/>
    <x v="1"/>
    <x v="9"/>
    <x v="2"/>
    <x v="29"/>
    <x v="0"/>
    <x v="1"/>
    <n v="2.71"/>
    <n v="7316.49"/>
    <n v="25379.87"/>
    <x v="2"/>
  </r>
  <r>
    <x v="11"/>
    <x v="1"/>
    <x v="9"/>
    <x v="2"/>
    <x v="24"/>
    <x v="0"/>
    <x v="1"/>
    <n v="2.27"/>
    <n v="6128.57"/>
    <n v="21294.74"/>
    <x v="2"/>
  </r>
  <r>
    <x v="11"/>
    <x v="1"/>
    <x v="9"/>
    <x v="3"/>
    <x v="25"/>
    <x v="0"/>
    <x v="1"/>
    <n v="1.93"/>
    <n v="5210.63"/>
    <n v="18108.11"/>
    <x v="2"/>
  </r>
  <r>
    <x v="11"/>
    <x v="1"/>
    <x v="9"/>
    <x v="3"/>
    <x v="26"/>
    <x v="0"/>
    <x v="1"/>
    <n v="1.19"/>
    <n v="3212.77"/>
    <n v="11141.93"/>
    <x v="2"/>
  </r>
  <r>
    <x v="11"/>
    <x v="1"/>
    <x v="9"/>
    <x v="3"/>
    <x v="27"/>
    <x v="0"/>
    <x v="1"/>
    <n v="8.43"/>
    <n v="22759.4"/>
    <n v="79043.039999999994"/>
    <x v="2"/>
  </r>
  <r>
    <x v="11"/>
    <x v="1"/>
    <x v="9"/>
    <x v="0"/>
    <x v="0"/>
    <x v="1"/>
    <x v="0"/>
    <n v="4.3"/>
    <n v="11609.18"/>
    <n v="26371.919999999998"/>
    <x v="2"/>
  </r>
  <r>
    <x v="11"/>
    <x v="1"/>
    <x v="9"/>
    <x v="0"/>
    <x v="1"/>
    <x v="1"/>
    <x v="0"/>
    <n v="10.68"/>
    <n v="28833.97"/>
    <n v="64385.19"/>
    <x v="2"/>
  </r>
  <r>
    <x v="11"/>
    <x v="1"/>
    <x v="9"/>
    <x v="0"/>
    <x v="2"/>
    <x v="1"/>
    <x v="0"/>
    <n v="7.34"/>
    <n v="19816.61"/>
    <n v="42749.68"/>
    <x v="2"/>
  </r>
  <r>
    <x v="11"/>
    <x v="1"/>
    <x v="9"/>
    <x v="0"/>
    <x v="3"/>
    <x v="1"/>
    <x v="0"/>
    <n v="12.81"/>
    <n v="34584.57"/>
    <n v="77645.429999999993"/>
    <x v="2"/>
  </r>
  <r>
    <x v="11"/>
    <x v="1"/>
    <x v="9"/>
    <x v="0"/>
    <x v="28"/>
    <x v="1"/>
    <x v="0"/>
    <n v="0"/>
    <n v="0"/>
    <n v="0"/>
    <x v="2"/>
  </r>
  <r>
    <x v="11"/>
    <x v="1"/>
    <x v="9"/>
    <x v="0"/>
    <x v="4"/>
    <x v="1"/>
    <x v="0"/>
    <n v="9.25"/>
    <n v="24973.24"/>
    <n v="55524.52"/>
    <x v="2"/>
  </r>
  <r>
    <x v="11"/>
    <x v="1"/>
    <x v="9"/>
    <x v="0"/>
    <x v="5"/>
    <x v="1"/>
    <x v="0"/>
    <n v="2.77"/>
    <n v="7478.47"/>
    <n v="17107.87"/>
    <x v="2"/>
  </r>
  <r>
    <x v="11"/>
    <x v="1"/>
    <x v="9"/>
    <x v="0"/>
    <x v="6"/>
    <x v="1"/>
    <x v="0"/>
    <n v="0"/>
    <n v="0"/>
    <n v="0"/>
    <x v="2"/>
  </r>
  <r>
    <x v="11"/>
    <x v="1"/>
    <x v="9"/>
    <x v="0"/>
    <x v="7"/>
    <x v="1"/>
    <x v="0"/>
    <n v="0"/>
    <n v="0"/>
    <n v="0"/>
    <x v="2"/>
  </r>
  <r>
    <x v="11"/>
    <x v="1"/>
    <x v="9"/>
    <x v="0"/>
    <x v="8"/>
    <x v="1"/>
    <x v="0"/>
    <n v="0"/>
    <n v="0"/>
    <n v="0"/>
    <x v="2"/>
  </r>
  <r>
    <x v="11"/>
    <x v="1"/>
    <x v="9"/>
    <x v="1"/>
    <x v="30"/>
    <x v="1"/>
    <x v="0"/>
    <n v="0.87"/>
    <n v="2348.83"/>
    <n v="5653.62"/>
    <x v="2"/>
  </r>
  <r>
    <x v="11"/>
    <x v="1"/>
    <x v="9"/>
    <x v="1"/>
    <x v="9"/>
    <x v="1"/>
    <x v="0"/>
    <n v="0"/>
    <n v="0"/>
    <n v="0"/>
    <x v="2"/>
  </r>
  <r>
    <x v="11"/>
    <x v="1"/>
    <x v="9"/>
    <x v="1"/>
    <x v="31"/>
    <x v="1"/>
    <x v="0"/>
    <n v="1.64"/>
    <n v="4427.6899999999996"/>
    <n v="10711.31"/>
    <x v="2"/>
  </r>
  <r>
    <x v="11"/>
    <x v="1"/>
    <x v="9"/>
    <x v="1"/>
    <x v="10"/>
    <x v="1"/>
    <x v="0"/>
    <n v="6.13"/>
    <n v="16549.84"/>
    <n v="39214.879999999997"/>
    <x v="2"/>
  </r>
  <r>
    <x v="11"/>
    <x v="1"/>
    <x v="9"/>
    <x v="1"/>
    <x v="11"/>
    <x v="1"/>
    <x v="0"/>
    <n v="8.01"/>
    <n v="21625.48"/>
    <n v="48854.76"/>
    <x v="2"/>
  </r>
  <r>
    <x v="11"/>
    <x v="1"/>
    <x v="9"/>
    <x v="1"/>
    <x v="12"/>
    <x v="1"/>
    <x v="0"/>
    <n v="2.16"/>
    <n v="5831.59"/>
    <n v="13857.53"/>
    <x v="2"/>
  </r>
  <r>
    <x v="11"/>
    <x v="1"/>
    <x v="9"/>
    <x v="1"/>
    <x v="13"/>
    <x v="1"/>
    <x v="0"/>
    <n v="2.99"/>
    <n v="8072.43"/>
    <n v="19082.29"/>
    <x v="2"/>
  </r>
  <r>
    <x v="11"/>
    <x v="1"/>
    <x v="9"/>
    <x v="1"/>
    <x v="14"/>
    <x v="1"/>
    <x v="0"/>
    <n v="12.98"/>
    <n v="35043.53"/>
    <n v="81356.11"/>
    <x v="2"/>
  </r>
  <r>
    <x v="11"/>
    <x v="1"/>
    <x v="9"/>
    <x v="1"/>
    <x v="15"/>
    <x v="1"/>
    <x v="0"/>
    <n v="1.91"/>
    <n v="5156.6400000000003"/>
    <n v="12397.46"/>
    <x v="2"/>
  </r>
  <r>
    <x v="11"/>
    <x v="1"/>
    <x v="9"/>
    <x v="1"/>
    <x v="16"/>
    <x v="1"/>
    <x v="0"/>
    <n v="6.78"/>
    <n v="18304.71"/>
    <n v="41817.42"/>
    <x v="2"/>
  </r>
  <r>
    <x v="11"/>
    <x v="1"/>
    <x v="9"/>
    <x v="1"/>
    <x v="17"/>
    <x v="1"/>
    <x v="0"/>
    <n v="6.08"/>
    <n v="16414.84"/>
    <n v="37857.69"/>
    <x v="2"/>
  </r>
  <r>
    <x v="11"/>
    <x v="1"/>
    <x v="9"/>
    <x v="1"/>
    <x v="18"/>
    <x v="1"/>
    <x v="0"/>
    <n v="8.1300000000000008"/>
    <n v="21949.46"/>
    <n v="53019.73"/>
    <x v="2"/>
  </r>
  <r>
    <x v="11"/>
    <x v="1"/>
    <x v="9"/>
    <x v="1"/>
    <x v="19"/>
    <x v="1"/>
    <x v="0"/>
    <n v="13.17"/>
    <n v="35556.5"/>
    <n v="83248.399999999994"/>
    <x v="2"/>
  </r>
  <r>
    <x v="11"/>
    <x v="1"/>
    <x v="9"/>
    <x v="1"/>
    <x v="20"/>
    <x v="1"/>
    <x v="0"/>
    <n v="12.6"/>
    <n v="34017.61"/>
    <n v="78382.149999999994"/>
    <x v="2"/>
  </r>
  <r>
    <x v="11"/>
    <x v="1"/>
    <x v="9"/>
    <x v="2"/>
    <x v="21"/>
    <x v="1"/>
    <x v="0"/>
    <n v="0"/>
    <n v="0"/>
    <n v="0"/>
    <x v="2"/>
  </r>
  <r>
    <x v="11"/>
    <x v="1"/>
    <x v="9"/>
    <x v="2"/>
    <x v="22"/>
    <x v="1"/>
    <x v="0"/>
    <n v="7.88"/>
    <n v="21274.5"/>
    <n v="45009.89"/>
    <x v="2"/>
  </r>
  <r>
    <x v="11"/>
    <x v="1"/>
    <x v="9"/>
    <x v="2"/>
    <x v="29"/>
    <x v="1"/>
    <x v="0"/>
    <n v="0"/>
    <n v="0"/>
    <n v="0"/>
    <x v="2"/>
  </r>
  <r>
    <x v="11"/>
    <x v="1"/>
    <x v="9"/>
    <x v="2"/>
    <x v="23"/>
    <x v="1"/>
    <x v="0"/>
    <n v="0"/>
    <n v="0"/>
    <n v="0"/>
    <x v="2"/>
  </r>
  <r>
    <x v="11"/>
    <x v="1"/>
    <x v="9"/>
    <x v="2"/>
    <x v="24"/>
    <x v="1"/>
    <x v="0"/>
    <n v="1.1000000000000001"/>
    <n v="2969.79"/>
    <n v="6379.65"/>
    <x v="2"/>
  </r>
  <r>
    <x v="11"/>
    <x v="1"/>
    <x v="9"/>
    <x v="3"/>
    <x v="25"/>
    <x v="1"/>
    <x v="0"/>
    <n v="5.19"/>
    <n v="14012.01"/>
    <n v="33326.22"/>
    <x v="2"/>
  </r>
  <r>
    <x v="11"/>
    <x v="1"/>
    <x v="9"/>
    <x v="3"/>
    <x v="26"/>
    <x v="1"/>
    <x v="0"/>
    <n v="5.41"/>
    <n v="14605.97"/>
    <n v="35034.400000000001"/>
    <x v="2"/>
  </r>
  <r>
    <x v="11"/>
    <x v="1"/>
    <x v="9"/>
    <x v="3"/>
    <x v="27"/>
    <x v="1"/>
    <x v="0"/>
    <n v="14.41"/>
    <n v="38904.26"/>
    <n v="91511.19"/>
    <x v="2"/>
  </r>
  <r>
    <x v="11"/>
    <x v="1"/>
    <x v="9"/>
    <x v="0"/>
    <x v="0"/>
    <x v="1"/>
    <x v="1"/>
    <n v="11.23"/>
    <n v="30318.87"/>
    <n v="68889.899999999994"/>
    <x v="2"/>
  </r>
  <r>
    <x v="11"/>
    <x v="1"/>
    <x v="9"/>
    <x v="0"/>
    <x v="1"/>
    <x v="1"/>
    <x v="1"/>
    <n v="18.829999999999998"/>
    <n v="50837.42"/>
    <n v="113544.16"/>
    <x v="2"/>
  </r>
  <r>
    <x v="11"/>
    <x v="1"/>
    <x v="9"/>
    <x v="0"/>
    <x v="2"/>
    <x v="1"/>
    <x v="1"/>
    <n v="13.76"/>
    <n v="37149.39"/>
    <n v="80155.649999999994"/>
    <x v="2"/>
  </r>
  <r>
    <x v="11"/>
    <x v="1"/>
    <x v="9"/>
    <x v="0"/>
    <x v="3"/>
    <x v="1"/>
    <x v="1"/>
    <n v="26.07"/>
    <n v="70384.05"/>
    <n v="157968.29"/>
    <x v="2"/>
  </r>
  <r>
    <x v="11"/>
    <x v="1"/>
    <x v="9"/>
    <x v="0"/>
    <x v="28"/>
    <x v="1"/>
    <x v="1"/>
    <n v="1.19"/>
    <n v="3212.77"/>
    <n v="7311.77"/>
    <x v="2"/>
  </r>
  <r>
    <x v="11"/>
    <x v="1"/>
    <x v="9"/>
    <x v="0"/>
    <x v="4"/>
    <x v="1"/>
    <x v="1"/>
    <n v="8.7799999999999994"/>
    <n v="23704.33"/>
    <n v="52720.25"/>
    <x v="2"/>
  </r>
  <r>
    <x v="11"/>
    <x v="1"/>
    <x v="9"/>
    <x v="0"/>
    <x v="5"/>
    <x v="1"/>
    <x v="1"/>
    <n v="21.52"/>
    <n v="58099.91"/>
    <n v="132999.93"/>
    <x v="2"/>
  </r>
  <r>
    <x v="11"/>
    <x v="1"/>
    <x v="9"/>
    <x v="0"/>
    <x v="6"/>
    <x v="1"/>
    <x v="1"/>
    <n v="2.06"/>
    <n v="5561.61"/>
    <n v="12687.55"/>
    <x v="2"/>
  </r>
  <r>
    <x v="11"/>
    <x v="1"/>
    <x v="9"/>
    <x v="0"/>
    <x v="7"/>
    <x v="1"/>
    <x v="1"/>
    <n v="4.4400000000000004"/>
    <n v="11987.16"/>
    <n v="27850.36"/>
    <x v="2"/>
  </r>
  <r>
    <x v="11"/>
    <x v="1"/>
    <x v="9"/>
    <x v="0"/>
    <x v="8"/>
    <x v="1"/>
    <x v="1"/>
    <n v="2.84"/>
    <n v="7667.46"/>
    <n v="16985.14"/>
    <x v="2"/>
  </r>
  <r>
    <x v="11"/>
    <x v="1"/>
    <x v="9"/>
    <x v="1"/>
    <x v="30"/>
    <x v="1"/>
    <x v="1"/>
    <n v="0"/>
    <n v="0"/>
    <n v="0"/>
    <x v="2"/>
  </r>
  <r>
    <x v="11"/>
    <x v="1"/>
    <x v="9"/>
    <x v="1"/>
    <x v="9"/>
    <x v="1"/>
    <x v="1"/>
    <n v="3.88"/>
    <n v="10475.26"/>
    <n v="25023.59"/>
    <x v="2"/>
  </r>
  <r>
    <x v="11"/>
    <x v="1"/>
    <x v="9"/>
    <x v="1"/>
    <x v="31"/>
    <x v="1"/>
    <x v="1"/>
    <n v="0"/>
    <n v="0"/>
    <n v="0"/>
    <x v="2"/>
  </r>
  <r>
    <x v="11"/>
    <x v="1"/>
    <x v="9"/>
    <x v="1"/>
    <x v="10"/>
    <x v="1"/>
    <x v="1"/>
    <n v="35.53"/>
    <n v="95924.25"/>
    <n v="227313.39"/>
    <x v="2"/>
  </r>
  <r>
    <x v="11"/>
    <x v="1"/>
    <x v="9"/>
    <x v="1"/>
    <x v="11"/>
    <x v="1"/>
    <x v="1"/>
    <n v="31.96"/>
    <n v="86285.93"/>
    <n v="194870.13"/>
    <x v="2"/>
  </r>
  <r>
    <x v="11"/>
    <x v="1"/>
    <x v="9"/>
    <x v="1"/>
    <x v="12"/>
    <x v="1"/>
    <x v="1"/>
    <n v="3.29"/>
    <n v="8882.3700000000008"/>
    <n v="21087.54"/>
    <x v="2"/>
  </r>
  <r>
    <x v="11"/>
    <x v="1"/>
    <x v="9"/>
    <x v="1"/>
    <x v="13"/>
    <x v="1"/>
    <x v="1"/>
    <n v="11.68"/>
    <n v="31533.78"/>
    <n v="74594.41"/>
    <x v="2"/>
  </r>
  <r>
    <x v="11"/>
    <x v="1"/>
    <x v="9"/>
    <x v="1"/>
    <x v="14"/>
    <x v="1"/>
    <x v="1"/>
    <n v="5.6"/>
    <n v="15118.94"/>
    <n v="35105.72"/>
    <x v="2"/>
  </r>
  <r>
    <x v="11"/>
    <x v="1"/>
    <x v="9"/>
    <x v="1"/>
    <x v="15"/>
    <x v="1"/>
    <x v="1"/>
    <n v="2.35"/>
    <n v="6344.55"/>
    <n v="15215.07"/>
    <x v="2"/>
  </r>
  <r>
    <x v="11"/>
    <x v="1"/>
    <x v="9"/>
    <x v="1"/>
    <x v="16"/>
    <x v="1"/>
    <x v="1"/>
    <n v="10.119999999999999"/>
    <n v="27322.080000000002"/>
    <n v="62439.7"/>
    <x v="2"/>
  </r>
  <r>
    <x v="11"/>
    <x v="1"/>
    <x v="9"/>
    <x v="1"/>
    <x v="17"/>
    <x v="1"/>
    <x v="1"/>
    <n v="4"/>
    <n v="10799.24"/>
    <n v="24892.73"/>
    <x v="2"/>
  </r>
  <r>
    <x v="11"/>
    <x v="1"/>
    <x v="9"/>
    <x v="1"/>
    <x v="18"/>
    <x v="1"/>
    <x v="1"/>
    <n v="27.8"/>
    <n v="75054.720000000001"/>
    <n v="181199.31"/>
    <x v="2"/>
  </r>
  <r>
    <x v="11"/>
    <x v="1"/>
    <x v="9"/>
    <x v="1"/>
    <x v="19"/>
    <x v="1"/>
    <x v="1"/>
    <n v="18.440000000000001"/>
    <n v="49784.5"/>
    <n v="116547.75"/>
    <x v="2"/>
  </r>
  <r>
    <x v="11"/>
    <x v="1"/>
    <x v="9"/>
    <x v="1"/>
    <x v="20"/>
    <x v="1"/>
    <x v="1"/>
    <n v="20.85"/>
    <n v="56291.040000000001"/>
    <n v="129632.02"/>
    <x v="2"/>
  </r>
  <r>
    <x v="11"/>
    <x v="1"/>
    <x v="9"/>
    <x v="2"/>
    <x v="21"/>
    <x v="1"/>
    <x v="1"/>
    <n v="1.83"/>
    <n v="4940.6499999999996"/>
    <n v="10479.799999999999"/>
    <x v="2"/>
  </r>
  <r>
    <x v="11"/>
    <x v="1"/>
    <x v="9"/>
    <x v="2"/>
    <x v="22"/>
    <x v="1"/>
    <x v="1"/>
    <n v="10.62"/>
    <n v="28671.98"/>
    <n v="60644.9"/>
    <x v="2"/>
  </r>
  <r>
    <x v="11"/>
    <x v="1"/>
    <x v="9"/>
    <x v="2"/>
    <x v="29"/>
    <x v="1"/>
    <x v="1"/>
    <n v="2.85"/>
    <n v="7694.46"/>
    <n v="17307.38"/>
    <x v="2"/>
  </r>
  <r>
    <x v="11"/>
    <x v="1"/>
    <x v="9"/>
    <x v="2"/>
    <x v="23"/>
    <x v="1"/>
    <x v="1"/>
    <n v="0"/>
    <n v="0"/>
    <n v="0"/>
    <x v="2"/>
  </r>
  <r>
    <x v="11"/>
    <x v="1"/>
    <x v="9"/>
    <x v="2"/>
    <x v="24"/>
    <x v="1"/>
    <x v="1"/>
    <n v="2.04"/>
    <n v="5507.61"/>
    <n v="11847.91"/>
    <x v="2"/>
  </r>
  <r>
    <x v="11"/>
    <x v="1"/>
    <x v="9"/>
    <x v="3"/>
    <x v="25"/>
    <x v="1"/>
    <x v="1"/>
    <n v="8.76"/>
    <n v="23650.34"/>
    <n v="56309.82"/>
    <x v="2"/>
  </r>
  <r>
    <x v="11"/>
    <x v="1"/>
    <x v="9"/>
    <x v="3"/>
    <x v="26"/>
    <x v="1"/>
    <x v="1"/>
    <n v="17.32"/>
    <n v="46760.71"/>
    <n v="112110.08"/>
    <x v="2"/>
  </r>
  <r>
    <x v="11"/>
    <x v="1"/>
    <x v="9"/>
    <x v="3"/>
    <x v="27"/>
    <x v="1"/>
    <x v="1"/>
    <n v="49.75"/>
    <n v="134315.54999999999"/>
    <n v="315889.5900000000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77BCCA-15B6-467B-B0C4-0C600C8CCD30}" name="PivotTable10"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fieldListSortAscending="1">
  <location ref="E233:O284" firstHeaderRow="1" firstDataRow="3" firstDataCol="2"/>
  <pivotFields count="11">
    <pivotField axis="axisRow" compact="0" outline="0" multipleItemSelectionAllowed="1"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m="1" x="3"/>
        <item m="1" x="4"/>
        <item x="0"/>
        <item x="1"/>
        <item x="2"/>
      </items>
      <extLst>
        <ext xmlns:x14="http://schemas.microsoft.com/office/spreadsheetml/2009/9/main" uri="{2946ED86-A175-432a-8AC1-64E0C546D7DE}">
          <x14:pivotField fillDownLabels="1"/>
        </ext>
      </extLst>
    </pivotField>
  </pivotFields>
  <rowFields count="2">
    <field x="3"/>
    <field x="0"/>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19">
    <format dxfId="25">
      <pivotArea outline="0" collapsedLevelsAreSubtotals="1" fieldPosition="0"/>
    </format>
    <format dxfId="24">
      <pivotArea type="all" dataOnly="0" outline="0" fieldPosition="0"/>
    </format>
    <format dxfId="23">
      <pivotArea outline="0" collapsedLevelsAreSubtotals="1" fieldPosition="0"/>
    </format>
    <format dxfId="22">
      <pivotArea type="origin" dataOnly="0" labelOnly="1" outline="0" fieldPosition="0"/>
    </format>
    <format dxfId="21">
      <pivotArea field="-2" type="button" dataOnly="0" labelOnly="1" outline="0" axis="axisCol" fieldPosition="0"/>
    </format>
    <format dxfId="20">
      <pivotArea field="10" type="button" dataOnly="0" labelOnly="1" outline="0" axis="axisCol" fieldPosition="1"/>
    </format>
    <format dxfId="19">
      <pivotArea type="topRight" dataOnly="0" labelOnly="1" outline="0" fieldPosition="0"/>
    </format>
    <format dxfId="18">
      <pivotArea field="3" type="button" dataOnly="0" labelOnly="1" outline="0" axis="axisRow" fieldPosition="0"/>
    </format>
    <format dxfId="17">
      <pivotArea field="0" type="button" dataOnly="0" labelOnly="1" outline="0" axis="axisRow" fieldPosition="1"/>
    </format>
    <format dxfId="16">
      <pivotArea dataOnly="0" labelOnly="1" outline="0" fieldPosition="0">
        <references count="1">
          <reference field="3" count="0"/>
        </references>
      </pivotArea>
    </format>
    <format dxfId="15">
      <pivotArea dataOnly="0" labelOnly="1" grandRow="1" outline="0" fieldPosition="0"/>
    </format>
    <format dxfId="14">
      <pivotArea dataOnly="0" labelOnly="1" outline="0" fieldPosition="0">
        <references count="2">
          <reference field="0" count="0"/>
          <reference field="3" count="1" selected="0">
            <x v="0"/>
          </reference>
        </references>
      </pivotArea>
    </format>
    <format dxfId="13">
      <pivotArea dataOnly="0" labelOnly="1" outline="0" fieldPosition="0">
        <references count="2">
          <reference field="0" count="0"/>
          <reference field="3" count="1" selected="0">
            <x v="1"/>
          </reference>
        </references>
      </pivotArea>
    </format>
    <format dxfId="12">
      <pivotArea dataOnly="0" labelOnly="1" outline="0" fieldPosition="0">
        <references count="2">
          <reference field="0" count="0"/>
          <reference field="3" count="1" selected="0">
            <x v="2"/>
          </reference>
        </references>
      </pivotArea>
    </format>
    <format dxfId="11">
      <pivotArea dataOnly="0" labelOnly="1" outline="0" fieldPosition="0">
        <references count="2">
          <reference field="0" count="0"/>
          <reference field="3" count="1" selected="0">
            <x v="3"/>
          </reference>
        </references>
      </pivotArea>
    </format>
    <format dxfId="10">
      <pivotArea dataOnly="0" labelOnly="1" outline="0" fieldPosition="0">
        <references count="1">
          <reference field="4294967294" count="3">
            <x v="0"/>
            <x v="1"/>
            <x v="2"/>
          </reference>
        </references>
      </pivotArea>
    </format>
    <format dxfId="9">
      <pivotArea dataOnly="0" labelOnly="1" outline="0" fieldPosition="0">
        <references count="2">
          <reference field="4294967294" count="1" selected="0">
            <x v="0"/>
          </reference>
          <reference field="10" count="0"/>
        </references>
      </pivotArea>
    </format>
    <format dxfId="8">
      <pivotArea dataOnly="0" labelOnly="1" outline="0" fieldPosition="0">
        <references count="2">
          <reference field="4294967294" count="1" selected="0">
            <x v="1"/>
          </reference>
          <reference field="10" count="0"/>
        </references>
      </pivotArea>
    </format>
    <format dxfId="7">
      <pivotArea dataOnly="0" labelOnly="1" outline="0"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708C5C-3D5B-429A-8BDF-73E09DF396A0}" name="PivotTable9"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fieldListSortAscending="1">
  <location ref="E94:O217" firstHeaderRow="1" firstDataRow="3" firstDataCol="2"/>
  <pivotFields count="11">
    <pivotField axis="axisRow" compact="0" outline="0" multipleItemSelectionAllowed="1"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m="1" x="3"/>
        <item m="1" x="4"/>
        <item x="0"/>
        <item x="1"/>
        <item x="2"/>
      </items>
      <extLst>
        <ext xmlns:x14="http://schemas.microsoft.com/office/spreadsheetml/2009/9/main" uri="{2946ED86-A175-432a-8AC1-64E0C546D7DE}">
          <x14:pivotField fillDownLabels="1"/>
        </ext>
      </extLst>
    </pivotField>
  </pivotFields>
  <rowFields count="2">
    <field x="2"/>
    <field x="0"/>
  </rowFields>
  <rowItems count="121">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t="grand">
      <x/>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25">
    <format dxfId="50">
      <pivotArea outline="0" collapsedLevelsAreSubtotals="1"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2" type="button" dataOnly="0" labelOnly="1" outline="0" axis="axisCol" fieldPosition="0"/>
    </format>
    <format dxfId="45">
      <pivotArea field="10" type="button" dataOnly="0" labelOnly="1" outline="0" axis="axisCol" fieldPosition="1"/>
    </format>
    <format dxfId="44">
      <pivotArea type="topRight" dataOnly="0" labelOnly="1" outline="0" fieldPosition="0"/>
    </format>
    <format dxfId="43">
      <pivotArea field="2" type="button" dataOnly="0" labelOnly="1" outline="0" axis="axisRow" fieldPosition="0"/>
    </format>
    <format dxfId="42">
      <pivotArea field="0" type="button" dataOnly="0" labelOnly="1" outline="0" axis="axisRow" fieldPosition="1"/>
    </format>
    <format dxfId="41">
      <pivotArea dataOnly="0" labelOnly="1" outline="0" fieldPosition="0">
        <references count="1">
          <reference field="2" count="0"/>
        </references>
      </pivotArea>
    </format>
    <format dxfId="40">
      <pivotArea dataOnly="0" labelOnly="1" grandRow="1" outline="0" fieldPosition="0"/>
    </format>
    <format dxfId="39">
      <pivotArea dataOnly="0" labelOnly="1" outline="0" fieldPosition="0">
        <references count="2">
          <reference field="0" count="0"/>
          <reference field="2" count="1" selected="0">
            <x v="0"/>
          </reference>
        </references>
      </pivotArea>
    </format>
    <format dxfId="38">
      <pivotArea dataOnly="0" labelOnly="1" outline="0" fieldPosition="0">
        <references count="2">
          <reference field="0" count="0"/>
          <reference field="2" count="1" selected="0">
            <x v="1"/>
          </reference>
        </references>
      </pivotArea>
    </format>
    <format dxfId="37">
      <pivotArea dataOnly="0" labelOnly="1" outline="0" fieldPosition="0">
        <references count="2">
          <reference field="0" count="0"/>
          <reference field="2" count="1" selected="0">
            <x v="2"/>
          </reference>
        </references>
      </pivotArea>
    </format>
    <format dxfId="36">
      <pivotArea dataOnly="0" labelOnly="1" outline="0" fieldPosition="0">
        <references count="2">
          <reference field="0" count="0"/>
          <reference field="2" count="1" selected="0">
            <x v="3"/>
          </reference>
        </references>
      </pivotArea>
    </format>
    <format dxfId="35">
      <pivotArea dataOnly="0" labelOnly="1" outline="0" fieldPosition="0">
        <references count="2">
          <reference field="0" count="0"/>
          <reference field="2" count="1" selected="0">
            <x v="4"/>
          </reference>
        </references>
      </pivotArea>
    </format>
    <format dxfId="34">
      <pivotArea dataOnly="0" labelOnly="1" outline="0" fieldPosition="0">
        <references count="2">
          <reference field="0" count="0"/>
          <reference field="2" count="1" selected="0">
            <x v="5"/>
          </reference>
        </references>
      </pivotArea>
    </format>
    <format dxfId="33">
      <pivotArea dataOnly="0" labelOnly="1" outline="0" fieldPosition="0">
        <references count="2">
          <reference field="0" count="0"/>
          <reference field="2" count="1" selected="0">
            <x v="6"/>
          </reference>
        </references>
      </pivotArea>
    </format>
    <format dxfId="32">
      <pivotArea dataOnly="0" labelOnly="1" outline="0" fieldPosition="0">
        <references count="2">
          <reference field="0" count="0"/>
          <reference field="2" count="1" selected="0">
            <x v="7"/>
          </reference>
        </references>
      </pivotArea>
    </format>
    <format dxfId="31">
      <pivotArea dataOnly="0" labelOnly="1" outline="0" fieldPosition="0">
        <references count="2">
          <reference field="0" count="0"/>
          <reference field="2" count="1" selected="0">
            <x v="8"/>
          </reference>
        </references>
      </pivotArea>
    </format>
    <format dxfId="30">
      <pivotArea dataOnly="0" labelOnly="1" outline="0" fieldPosition="0">
        <references count="2">
          <reference field="0" count="0"/>
          <reference field="2" count="1" selected="0">
            <x v="9"/>
          </reference>
        </references>
      </pivotArea>
    </format>
    <format dxfId="29">
      <pivotArea dataOnly="0" labelOnly="1" outline="0" fieldPosition="0">
        <references count="1">
          <reference field="4294967294" count="3">
            <x v="0"/>
            <x v="1"/>
            <x v="2"/>
          </reference>
        </references>
      </pivotArea>
    </format>
    <format dxfId="28">
      <pivotArea dataOnly="0" labelOnly="1" outline="0" fieldPosition="0">
        <references count="2">
          <reference field="4294967294" count="1" selected="0">
            <x v="0"/>
          </reference>
          <reference field="10" count="0"/>
        </references>
      </pivotArea>
    </format>
    <format dxfId="27">
      <pivotArea dataOnly="0" labelOnly="1" outline="0" fieldPosition="0">
        <references count="2">
          <reference field="4294967294" count="1" selected="0">
            <x v="1"/>
          </reference>
          <reference field="10" count="0"/>
        </references>
      </pivotArea>
    </format>
    <format dxfId="26">
      <pivotArea dataOnly="0" labelOnly="1" outline="0"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C3BC77-3BC1-4C0D-88C5-3F12A24D8371}" name="PivotTable8"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fieldListSortAscending="1">
  <location ref="E61:O88" firstHeaderRow="1" firstDataRow="3" firstDataCol="2"/>
  <pivotFields count="11">
    <pivotField axis="axisRow" compact="0" outline="0" multipleItemSelectionAllowed="1"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m="1" x="3"/>
        <item m="1" x="4"/>
        <item x="0"/>
        <item x="1"/>
        <item x="2"/>
      </items>
      <extLst>
        <ext xmlns:x14="http://schemas.microsoft.com/office/spreadsheetml/2009/9/main" uri="{2946ED86-A175-432a-8AC1-64E0C546D7DE}">
          <x14:pivotField fillDownLabels="1"/>
        </ext>
      </extLst>
    </pivotField>
  </pivotFields>
  <rowFields count="2">
    <field x="5"/>
    <field x="0"/>
  </rowFields>
  <rowItems count="2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t="grand">
      <x/>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17">
    <format dxfId="67">
      <pivotArea outline="0" collapsedLevelsAreSubtotals="1"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2" type="button" dataOnly="0" labelOnly="1" outline="0" axis="axisCol" fieldPosition="0"/>
    </format>
    <format dxfId="62">
      <pivotArea field="10" type="button" dataOnly="0" labelOnly="1" outline="0" axis="axisCol" fieldPosition="1"/>
    </format>
    <format dxfId="61">
      <pivotArea type="topRight" dataOnly="0" labelOnly="1" outline="0" fieldPosition="0"/>
    </format>
    <format dxfId="60">
      <pivotArea field="5" type="button" dataOnly="0" labelOnly="1" outline="0" axis="axisRow" fieldPosition="0"/>
    </format>
    <format dxfId="59">
      <pivotArea field="0" type="button" dataOnly="0" labelOnly="1" outline="0" axis="axisRow" fieldPosition="1"/>
    </format>
    <format dxfId="58">
      <pivotArea dataOnly="0" labelOnly="1" outline="0" fieldPosition="0">
        <references count="1">
          <reference field="5" count="0"/>
        </references>
      </pivotArea>
    </format>
    <format dxfId="57">
      <pivotArea dataOnly="0" labelOnly="1" grandRow="1" outline="0" fieldPosition="0"/>
    </format>
    <format dxfId="56">
      <pivotArea dataOnly="0" labelOnly="1" outline="0" fieldPosition="0">
        <references count="2">
          <reference field="0" count="0"/>
          <reference field="5" count="1" selected="0">
            <x v="0"/>
          </reference>
        </references>
      </pivotArea>
    </format>
    <format dxfId="55">
      <pivotArea dataOnly="0" labelOnly="1" outline="0" fieldPosition="0">
        <references count="2">
          <reference field="0" count="0"/>
          <reference field="5" count="1" selected="0">
            <x v="1"/>
          </reference>
        </references>
      </pivotArea>
    </format>
    <format dxfId="54">
      <pivotArea dataOnly="0" labelOnly="1" outline="0" fieldPosition="0">
        <references count="1">
          <reference field="4294967294" count="3">
            <x v="0"/>
            <x v="1"/>
            <x v="2"/>
          </reference>
        </references>
      </pivotArea>
    </format>
    <format dxfId="53">
      <pivotArea dataOnly="0" labelOnly="1" outline="0" fieldPosition="0">
        <references count="2">
          <reference field="4294967294" count="1" selected="0">
            <x v="0"/>
          </reference>
          <reference field="10" count="0"/>
        </references>
      </pivotArea>
    </format>
    <format dxfId="52">
      <pivotArea dataOnly="0" labelOnly="1" outline="0" fieldPosition="0">
        <references count="2">
          <reference field="4294967294" count="1" selected="0">
            <x v="1"/>
          </reference>
          <reference field="10" count="0"/>
        </references>
      </pivotArea>
    </format>
    <format dxfId="51">
      <pivotArea dataOnly="0" labelOnly="1" outline="0"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87517-6349-43BB-8A77-F38E6E1F84F9}" name="PivotTable7"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fieldListSortAscending="1">
  <location ref="E28:O55" firstHeaderRow="1" firstDataRow="3" firstDataCol="2"/>
  <pivotFields count="11">
    <pivotField axis="axisRow" compact="0" outline="0" multipleItemSelectionAllowed="1"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m="1" x="3"/>
        <item m="1" x="4"/>
        <item x="0"/>
        <item x="1"/>
        <item x="2"/>
      </items>
      <extLst>
        <ext xmlns:x14="http://schemas.microsoft.com/office/spreadsheetml/2009/9/main" uri="{2946ED86-A175-432a-8AC1-64E0C546D7DE}">
          <x14:pivotField fillDownLabels="1"/>
        </ext>
      </extLst>
    </pivotField>
  </pivotFields>
  <rowFields count="2">
    <field x="6"/>
    <field x="0"/>
  </rowFields>
  <rowItems count="2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t="grand">
      <x/>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17">
    <format dxfId="84">
      <pivotArea outline="0" collapsedLevelsAreSubtotals="1" fieldPosition="0"/>
    </format>
    <format dxfId="83">
      <pivotArea type="all" dataOnly="0" outline="0" fieldPosition="0"/>
    </format>
    <format dxfId="82">
      <pivotArea outline="0" collapsedLevelsAreSubtotals="1" fieldPosition="0"/>
    </format>
    <format dxfId="81">
      <pivotArea type="origin" dataOnly="0" labelOnly="1" outline="0" fieldPosition="0"/>
    </format>
    <format dxfId="80">
      <pivotArea field="-2" type="button" dataOnly="0" labelOnly="1" outline="0" axis="axisCol" fieldPosition="0"/>
    </format>
    <format dxfId="79">
      <pivotArea field="10" type="button" dataOnly="0" labelOnly="1" outline="0" axis="axisCol" fieldPosition="1"/>
    </format>
    <format dxfId="78">
      <pivotArea type="topRight" dataOnly="0" labelOnly="1" outline="0" fieldPosition="0"/>
    </format>
    <format dxfId="77">
      <pivotArea field="6" type="button" dataOnly="0" labelOnly="1" outline="0" axis="axisRow" fieldPosition="0"/>
    </format>
    <format dxfId="76">
      <pivotArea field="0" type="button" dataOnly="0" labelOnly="1" outline="0" axis="axisRow" fieldPosition="1"/>
    </format>
    <format dxfId="75">
      <pivotArea dataOnly="0" labelOnly="1" outline="0" fieldPosition="0">
        <references count="1">
          <reference field="6" count="0"/>
        </references>
      </pivotArea>
    </format>
    <format dxfId="74">
      <pivotArea dataOnly="0" labelOnly="1" grandRow="1" outline="0" fieldPosition="0"/>
    </format>
    <format dxfId="73">
      <pivotArea dataOnly="0" labelOnly="1" outline="0" fieldPosition="0">
        <references count="2">
          <reference field="0" count="0"/>
          <reference field="6" count="1" selected="0">
            <x v="0"/>
          </reference>
        </references>
      </pivotArea>
    </format>
    <format dxfId="72">
      <pivotArea dataOnly="0" labelOnly="1" outline="0" fieldPosition="0">
        <references count="2">
          <reference field="0" count="0"/>
          <reference field="6" count="1" selected="0">
            <x v="1"/>
          </reference>
        </references>
      </pivotArea>
    </format>
    <format dxfId="71">
      <pivotArea dataOnly="0" labelOnly="1" outline="0" fieldPosition="0">
        <references count="1">
          <reference field="4294967294" count="3">
            <x v="0"/>
            <x v="1"/>
            <x v="2"/>
          </reference>
        </references>
      </pivotArea>
    </format>
    <format dxfId="70">
      <pivotArea dataOnly="0" labelOnly="1" outline="0" fieldPosition="0">
        <references count="2">
          <reference field="4294967294" count="1" selected="0">
            <x v="0"/>
          </reference>
          <reference field="10" count="0"/>
        </references>
      </pivotArea>
    </format>
    <format dxfId="69">
      <pivotArea dataOnly="0" labelOnly="1" outline="0" fieldPosition="0">
        <references count="2">
          <reference field="4294967294" count="1" selected="0">
            <x v="1"/>
          </reference>
          <reference field="10" count="0"/>
        </references>
      </pivotArea>
    </format>
    <format dxfId="68">
      <pivotArea dataOnly="0" labelOnly="1" outline="0"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CC7F62-B95D-4205-BE2D-BD88B10A4741}"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fieldListSortAscending="1">
  <location ref="F10:O24" firstHeaderRow="1" firstDataRow="3" firstDataCol="1"/>
  <pivotFields count="11">
    <pivotField axis="axisRow" multipleItemSelectionAllowed="1"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showAll="0"/>
    <pivotField showAll="0"/>
    <pivotField showAll="0"/>
    <pivotField dataField="1" showAll="0"/>
    <pivotField dataField="1" showAll="0"/>
    <pivotField dataField="1" showAll="0"/>
    <pivotField axis="axisCol" showAll="0">
      <items count="6">
        <item m="1" x="3"/>
        <item m="1" x="4"/>
        <item x="0"/>
        <item x="1"/>
        <item x="2"/>
        <item t="default"/>
      </items>
    </pivotField>
  </pivotFields>
  <rowFields count="1">
    <field x="0"/>
  </rowFields>
  <rowItems count="12">
    <i>
      <x/>
    </i>
    <i>
      <x v="1"/>
    </i>
    <i>
      <x v="2"/>
    </i>
    <i>
      <x v="3"/>
    </i>
    <i>
      <x v="4"/>
    </i>
    <i>
      <x v="5"/>
    </i>
    <i>
      <x v="6"/>
    </i>
    <i>
      <x v="7"/>
    </i>
    <i>
      <x v="8"/>
    </i>
    <i>
      <x v="9"/>
    </i>
    <i>
      <x v="10"/>
    </i>
    <i>
      <x v="11"/>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13">
    <format dxfId="97">
      <pivotArea outline="0" collapsedLevelsAreSubtotals="1"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2" type="button" dataOnly="0" labelOnly="1" outline="0" axis="axisCol" fieldPosition="0"/>
    </format>
    <format dxfId="92">
      <pivotArea field="10" type="button" dataOnly="0" labelOnly="1" outline="0" axis="axisCol" fieldPosition="1"/>
    </format>
    <format dxfId="91">
      <pivotArea type="topRight" dataOnly="0" labelOnly="1" outline="0"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outline="0" fieldPosition="0">
        <references count="1">
          <reference field="4294967294" count="3">
            <x v="0"/>
            <x v="1"/>
            <x v="2"/>
          </reference>
        </references>
      </pivotArea>
    </format>
    <format dxfId="87">
      <pivotArea dataOnly="0" labelOnly="1" fieldPosition="0">
        <references count="2">
          <reference field="4294967294" count="1" selected="0">
            <x v="0"/>
          </reference>
          <reference field="10" count="0"/>
        </references>
      </pivotArea>
    </format>
    <format dxfId="86">
      <pivotArea dataOnly="0" labelOnly="1" fieldPosition="0">
        <references count="2">
          <reference field="4294967294" count="1" selected="0">
            <x v="1"/>
          </reference>
          <reference field="10" count="0"/>
        </references>
      </pivotArea>
    </format>
    <format dxfId="85">
      <pivotArea dataOnly="0" labelOnly="1"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94AB1-385A-45D8-9187-8F34A3A45342}" name="PivotTable11" cacheId="0" applyNumberFormats="0" applyBorderFormats="0" applyFontFormats="0" applyPatternFormats="0" applyAlignmentFormats="0" applyWidthHeightFormats="1" dataCaption="Values" updatedVersion="8" minRefreshableVersion="3" colGrandTotals="0" itemPrintTitles="1" createdVersion="8" indent="0" compact="0" compactData="0" multipleFieldFilters="0" fieldListSortAscending="1">
  <location ref="E292:O679" firstHeaderRow="1" firstDataRow="3" firstDataCol="2"/>
  <pivotFields count="11">
    <pivotField axis="axisRow" compact="0" outline="0" multipleItemSelectionAllowed="1"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32">
        <item x="21"/>
        <item x="0"/>
        <item x="30"/>
        <item x="9"/>
        <item x="22"/>
        <item x="25"/>
        <item x="29"/>
        <item x="1"/>
        <item x="23"/>
        <item x="31"/>
        <item x="10"/>
        <item x="11"/>
        <item x="12"/>
        <item x="2"/>
        <item x="13"/>
        <item x="3"/>
        <item x="28"/>
        <item x="26"/>
        <item x="14"/>
        <item x="24"/>
        <item x="15"/>
        <item x="16"/>
        <item x="4"/>
        <item x="5"/>
        <item x="17"/>
        <item x="18"/>
        <item x="6"/>
        <item x="7"/>
        <item x="19"/>
        <item x="20"/>
        <item x="27"/>
        <item x="8"/>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m="1" x="3"/>
        <item m="1" x="4"/>
        <item x="0"/>
        <item x="1"/>
        <item x="2"/>
      </items>
      <extLst>
        <ext xmlns:x14="http://schemas.microsoft.com/office/spreadsheetml/2009/9/main" uri="{2946ED86-A175-432a-8AC1-64E0C546D7DE}">
          <x14:pivotField fillDownLabels="1"/>
        </ext>
      </extLst>
    </pivotField>
  </pivotFields>
  <rowFields count="2">
    <field x="4"/>
    <field x="0"/>
  </rowFields>
  <rowItems count="38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i r="1">
      <x v="5"/>
    </i>
    <i r="1">
      <x v="6"/>
    </i>
    <i r="1">
      <x v="7"/>
    </i>
    <i r="1">
      <x v="8"/>
    </i>
    <i r="1">
      <x v="9"/>
    </i>
    <i r="1">
      <x v="10"/>
    </i>
    <i r="1">
      <x v="11"/>
    </i>
    <i>
      <x v="11"/>
      <x/>
    </i>
    <i r="1">
      <x v="1"/>
    </i>
    <i r="1">
      <x v="2"/>
    </i>
    <i r="1">
      <x v="3"/>
    </i>
    <i r="1">
      <x v="4"/>
    </i>
    <i r="1">
      <x v="5"/>
    </i>
    <i r="1">
      <x v="6"/>
    </i>
    <i r="1">
      <x v="7"/>
    </i>
    <i r="1">
      <x v="8"/>
    </i>
    <i r="1">
      <x v="9"/>
    </i>
    <i r="1">
      <x v="10"/>
    </i>
    <i r="1">
      <x v="11"/>
    </i>
    <i>
      <x v="12"/>
      <x/>
    </i>
    <i r="1">
      <x v="1"/>
    </i>
    <i r="1">
      <x v="2"/>
    </i>
    <i r="1">
      <x v="3"/>
    </i>
    <i r="1">
      <x v="4"/>
    </i>
    <i r="1">
      <x v="5"/>
    </i>
    <i r="1">
      <x v="6"/>
    </i>
    <i r="1">
      <x v="7"/>
    </i>
    <i r="1">
      <x v="8"/>
    </i>
    <i r="1">
      <x v="9"/>
    </i>
    <i r="1">
      <x v="10"/>
    </i>
    <i r="1">
      <x v="11"/>
    </i>
    <i>
      <x v="13"/>
      <x/>
    </i>
    <i r="1">
      <x v="1"/>
    </i>
    <i r="1">
      <x v="2"/>
    </i>
    <i r="1">
      <x v="3"/>
    </i>
    <i r="1">
      <x v="4"/>
    </i>
    <i r="1">
      <x v="5"/>
    </i>
    <i r="1">
      <x v="6"/>
    </i>
    <i r="1">
      <x v="7"/>
    </i>
    <i r="1">
      <x v="8"/>
    </i>
    <i r="1">
      <x v="9"/>
    </i>
    <i r="1">
      <x v="10"/>
    </i>
    <i r="1">
      <x v="11"/>
    </i>
    <i>
      <x v="14"/>
      <x/>
    </i>
    <i r="1">
      <x v="1"/>
    </i>
    <i r="1">
      <x v="2"/>
    </i>
    <i r="1">
      <x v="3"/>
    </i>
    <i r="1">
      <x v="4"/>
    </i>
    <i r="1">
      <x v="5"/>
    </i>
    <i r="1">
      <x v="6"/>
    </i>
    <i r="1">
      <x v="7"/>
    </i>
    <i r="1">
      <x v="8"/>
    </i>
    <i r="1">
      <x v="9"/>
    </i>
    <i r="1">
      <x v="10"/>
    </i>
    <i r="1">
      <x v="11"/>
    </i>
    <i>
      <x v="15"/>
      <x/>
    </i>
    <i r="1">
      <x v="1"/>
    </i>
    <i r="1">
      <x v="2"/>
    </i>
    <i r="1">
      <x v="3"/>
    </i>
    <i r="1">
      <x v="4"/>
    </i>
    <i r="1">
      <x v="5"/>
    </i>
    <i r="1">
      <x v="6"/>
    </i>
    <i r="1">
      <x v="7"/>
    </i>
    <i r="1">
      <x v="8"/>
    </i>
    <i r="1">
      <x v="9"/>
    </i>
    <i r="1">
      <x v="10"/>
    </i>
    <i r="1">
      <x v="11"/>
    </i>
    <i>
      <x v="16"/>
      <x/>
    </i>
    <i r="1">
      <x v="1"/>
    </i>
    <i r="1">
      <x v="2"/>
    </i>
    <i r="1">
      <x v="3"/>
    </i>
    <i r="1">
      <x v="4"/>
    </i>
    <i r="1">
      <x v="5"/>
    </i>
    <i r="1">
      <x v="6"/>
    </i>
    <i r="1">
      <x v="7"/>
    </i>
    <i r="1">
      <x v="8"/>
    </i>
    <i r="1">
      <x v="9"/>
    </i>
    <i r="1">
      <x v="10"/>
    </i>
    <i r="1">
      <x v="11"/>
    </i>
    <i>
      <x v="17"/>
      <x/>
    </i>
    <i r="1">
      <x v="1"/>
    </i>
    <i r="1">
      <x v="2"/>
    </i>
    <i r="1">
      <x v="3"/>
    </i>
    <i r="1">
      <x v="4"/>
    </i>
    <i r="1">
      <x v="5"/>
    </i>
    <i r="1">
      <x v="6"/>
    </i>
    <i r="1">
      <x v="7"/>
    </i>
    <i r="1">
      <x v="8"/>
    </i>
    <i r="1">
      <x v="9"/>
    </i>
    <i r="1">
      <x v="10"/>
    </i>
    <i r="1">
      <x v="11"/>
    </i>
    <i>
      <x v="18"/>
      <x/>
    </i>
    <i r="1">
      <x v="1"/>
    </i>
    <i r="1">
      <x v="2"/>
    </i>
    <i r="1">
      <x v="3"/>
    </i>
    <i r="1">
      <x v="4"/>
    </i>
    <i r="1">
      <x v="5"/>
    </i>
    <i r="1">
      <x v="6"/>
    </i>
    <i r="1">
      <x v="7"/>
    </i>
    <i r="1">
      <x v="8"/>
    </i>
    <i r="1">
      <x v="9"/>
    </i>
    <i r="1">
      <x v="10"/>
    </i>
    <i r="1">
      <x v="11"/>
    </i>
    <i>
      <x v="19"/>
      <x/>
    </i>
    <i r="1">
      <x v="1"/>
    </i>
    <i r="1">
      <x v="2"/>
    </i>
    <i r="1">
      <x v="3"/>
    </i>
    <i r="1">
      <x v="4"/>
    </i>
    <i r="1">
      <x v="5"/>
    </i>
    <i r="1">
      <x v="6"/>
    </i>
    <i r="1">
      <x v="7"/>
    </i>
    <i r="1">
      <x v="8"/>
    </i>
    <i r="1">
      <x v="9"/>
    </i>
    <i r="1">
      <x v="10"/>
    </i>
    <i r="1">
      <x v="11"/>
    </i>
    <i>
      <x v="20"/>
      <x/>
    </i>
    <i r="1">
      <x v="1"/>
    </i>
    <i r="1">
      <x v="2"/>
    </i>
    <i r="1">
      <x v="3"/>
    </i>
    <i r="1">
      <x v="4"/>
    </i>
    <i r="1">
      <x v="5"/>
    </i>
    <i r="1">
      <x v="6"/>
    </i>
    <i r="1">
      <x v="7"/>
    </i>
    <i r="1">
      <x v="8"/>
    </i>
    <i r="1">
      <x v="9"/>
    </i>
    <i r="1">
      <x v="10"/>
    </i>
    <i r="1">
      <x v="11"/>
    </i>
    <i>
      <x v="21"/>
      <x/>
    </i>
    <i r="1">
      <x v="1"/>
    </i>
    <i r="1">
      <x v="2"/>
    </i>
    <i r="1">
      <x v="3"/>
    </i>
    <i r="1">
      <x v="4"/>
    </i>
    <i r="1">
      <x v="5"/>
    </i>
    <i r="1">
      <x v="6"/>
    </i>
    <i r="1">
      <x v="7"/>
    </i>
    <i r="1">
      <x v="8"/>
    </i>
    <i r="1">
      <x v="9"/>
    </i>
    <i r="1">
      <x v="10"/>
    </i>
    <i r="1">
      <x v="11"/>
    </i>
    <i>
      <x v="22"/>
      <x/>
    </i>
    <i r="1">
      <x v="1"/>
    </i>
    <i r="1">
      <x v="2"/>
    </i>
    <i r="1">
      <x v="3"/>
    </i>
    <i r="1">
      <x v="4"/>
    </i>
    <i r="1">
      <x v="5"/>
    </i>
    <i r="1">
      <x v="6"/>
    </i>
    <i r="1">
      <x v="7"/>
    </i>
    <i r="1">
      <x v="8"/>
    </i>
    <i r="1">
      <x v="9"/>
    </i>
    <i r="1">
      <x v="10"/>
    </i>
    <i r="1">
      <x v="11"/>
    </i>
    <i>
      <x v="23"/>
      <x/>
    </i>
    <i r="1">
      <x v="1"/>
    </i>
    <i r="1">
      <x v="2"/>
    </i>
    <i r="1">
      <x v="3"/>
    </i>
    <i r="1">
      <x v="4"/>
    </i>
    <i r="1">
      <x v="5"/>
    </i>
    <i r="1">
      <x v="6"/>
    </i>
    <i r="1">
      <x v="7"/>
    </i>
    <i r="1">
      <x v="8"/>
    </i>
    <i r="1">
      <x v="9"/>
    </i>
    <i r="1">
      <x v="10"/>
    </i>
    <i r="1">
      <x v="11"/>
    </i>
    <i>
      <x v="24"/>
      <x/>
    </i>
    <i r="1">
      <x v="1"/>
    </i>
    <i r="1">
      <x v="2"/>
    </i>
    <i r="1">
      <x v="3"/>
    </i>
    <i r="1">
      <x v="4"/>
    </i>
    <i r="1">
      <x v="5"/>
    </i>
    <i r="1">
      <x v="6"/>
    </i>
    <i r="1">
      <x v="7"/>
    </i>
    <i r="1">
      <x v="8"/>
    </i>
    <i r="1">
      <x v="9"/>
    </i>
    <i r="1">
      <x v="10"/>
    </i>
    <i r="1">
      <x v="11"/>
    </i>
    <i>
      <x v="25"/>
      <x/>
    </i>
    <i r="1">
      <x v="1"/>
    </i>
    <i r="1">
      <x v="2"/>
    </i>
    <i r="1">
      <x v="3"/>
    </i>
    <i r="1">
      <x v="4"/>
    </i>
    <i r="1">
      <x v="5"/>
    </i>
    <i r="1">
      <x v="6"/>
    </i>
    <i r="1">
      <x v="7"/>
    </i>
    <i r="1">
      <x v="8"/>
    </i>
    <i r="1">
      <x v="9"/>
    </i>
    <i r="1">
      <x v="10"/>
    </i>
    <i r="1">
      <x v="11"/>
    </i>
    <i>
      <x v="26"/>
      <x/>
    </i>
    <i r="1">
      <x v="1"/>
    </i>
    <i r="1">
      <x v="2"/>
    </i>
    <i r="1">
      <x v="3"/>
    </i>
    <i r="1">
      <x v="4"/>
    </i>
    <i r="1">
      <x v="5"/>
    </i>
    <i r="1">
      <x v="6"/>
    </i>
    <i r="1">
      <x v="7"/>
    </i>
    <i r="1">
      <x v="8"/>
    </i>
    <i r="1">
      <x v="9"/>
    </i>
    <i r="1">
      <x v="10"/>
    </i>
    <i r="1">
      <x v="11"/>
    </i>
    <i>
      <x v="27"/>
      <x/>
    </i>
    <i r="1">
      <x v="1"/>
    </i>
    <i r="1">
      <x v="2"/>
    </i>
    <i r="1">
      <x v="3"/>
    </i>
    <i r="1">
      <x v="4"/>
    </i>
    <i r="1">
      <x v="5"/>
    </i>
    <i r="1">
      <x v="6"/>
    </i>
    <i r="1">
      <x v="7"/>
    </i>
    <i r="1">
      <x v="8"/>
    </i>
    <i r="1">
      <x v="9"/>
    </i>
    <i r="1">
      <x v="10"/>
    </i>
    <i r="1">
      <x v="11"/>
    </i>
    <i>
      <x v="28"/>
      <x/>
    </i>
    <i r="1">
      <x v="1"/>
    </i>
    <i r="1">
      <x v="2"/>
    </i>
    <i r="1">
      <x v="3"/>
    </i>
    <i r="1">
      <x v="4"/>
    </i>
    <i r="1">
      <x v="5"/>
    </i>
    <i r="1">
      <x v="6"/>
    </i>
    <i r="1">
      <x v="7"/>
    </i>
    <i r="1">
      <x v="8"/>
    </i>
    <i r="1">
      <x v="9"/>
    </i>
    <i r="1">
      <x v="10"/>
    </i>
    <i r="1">
      <x v="11"/>
    </i>
    <i>
      <x v="29"/>
      <x/>
    </i>
    <i r="1">
      <x v="1"/>
    </i>
    <i r="1">
      <x v="2"/>
    </i>
    <i r="1">
      <x v="3"/>
    </i>
    <i r="1">
      <x v="4"/>
    </i>
    <i r="1">
      <x v="5"/>
    </i>
    <i r="1">
      <x v="6"/>
    </i>
    <i r="1">
      <x v="7"/>
    </i>
    <i r="1">
      <x v="8"/>
    </i>
    <i r="1">
      <x v="9"/>
    </i>
    <i r="1">
      <x v="10"/>
    </i>
    <i r="1">
      <x v="11"/>
    </i>
    <i>
      <x v="30"/>
      <x/>
    </i>
    <i r="1">
      <x v="1"/>
    </i>
    <i r="1">
      <x v="2"/>
    </i>
    <i r="1">
      <x v="3"/>
    </i>
    <i r="1">
      <x v="4"/>
    </i>
    <i r="1">
      <x v="5"/>
    </i>
    <i r="1">
      <x v="6"/>
    </i>
    <i r="1">
      <x v="7"/>
    </i>
    <i r="1">
      <x v="8"/>
    </i>
    <i r="1">
      <x v="9"/>
    </i>
    <i r="1">
      <x v="10"/>
    </i>
    <i r="1">
      <x v="11"/>
    </i>
    <i>
      <x v="31"/>
      <x/>
    </i>
    <i r="1">
      <x v="1"/>
    </i>
    <i r="1">
      <x v="2"/>
    </i>
    <i r="1">
      <x v="3"/>
    </i>
    <i r="1">
      <x v="4"/>
    </i>
    <i r="1">
      <x v="5"/>
    </i>
    <i r="1">
      <x v="6"/>
    </i>
    <i r="1">
      <x v="7"/>
    </i>
    <i r="1">
      <x v="8"/>
    </i>
    <i r="1">
      <x v="9"/>
    </i>
    <i r="1">
      <x v="10"/>
    </i>
    <i r="1">
      <x v="11"/>
    </i>
    <i t="grand">
      <x/>
    </i>
  </rowItems>
  <colFields count="2">
    <field x="-2"/>
    <field x="10"/>
  </colFields>
  <colItems count="9">
    <i>
      <x/>
      <x v="2"/>
    </i>
    <i r="1">
      <x v="3"/>
    </i>
    <i r="1">
      <x v="4"/>
    </i>
    <i i="1">
      <x v="1"/>
      <x v="2"/>
    </i>
    <i r="1" i="1">
      <x v="3"/>
    </i>
    <i r="1" i="1">
      <x v="4"/>
    </i>
    <i i="2">
      <x v="2"/>
      <x v="2"/>
    </i>
    <i r="1" i="2">
      <x v="3"/>
    </i>
    <i r="1" i="2">
      <x v="4"/>
    </i>
  </colItems>
  <dataFields count="3">
    <dataField name="Sum of units" fld="7" baseField="0" baseItem="0" numFmtId="164"/>
    <dataField name="Sum of cogs" fld="8" baseField="0" baseItem="0"/>
    <dataField name="Sum of revenue" fld="9" baseField="0" baseItem="0"/>
  </dataFields>
  <formats count="47">
    <format dxfId="144">
      <pivotArea outline="0" collapsedLevelsAreSubtotals="1"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2" type="button" dataOnly="0" labelOnly="1" outline="0" axis="axisCol" fieldPosition="0"/>
    </format>
    <format dxfId="139">
      <pivotArea field="10" type="button" dataOnly="0" labelOnly="1" outline="0" axis="axisCol" fieldPosition="1"/>
    </format>
    <format dxfId="138">
      <pivotArea type="topRight" dataOnly="0" labelOnly="1" outline="0" fieldPosition="0"/>
    </format>
    <format dxfId="137">
      <pivotArea field="4" type="button" dataOnly="0" labelOnly="1" outline="0" axis="axisRow" fieldPosition="0"/>
    </format>
    <format dxfId="136">
      <pivotArea field="0" type="button" dataOnly="0" labelOnly="1" outline="0" axis="axisRow" fieldPosition="1"/>
    </format>
    <format dxfId="135">
      <pivotArea dataOnly="0" labelOnly="1" outline="0" fieldPosition="0">
        <references count="1">
          <reference field="4" count="0"/>
        </references>
      </pivotArea>
    </format>
    <format dxfId="134">
      <pivotArea dataOnly="0" labelOnly="1" grandRow="1" outline="0" fieldPosition="0"/>
    </format>
    <format dxfId="133">
      <pivotArea dataOnly="0" labelOnly="1" outline="0" fieldPosition="0">
        <references count="2">
          <reference field="0" count="0"/>
          <reference field="4" count="1" selected="0">
            <x v="0"/>
          </reference>
        </references>
      </pivotArea>
    </format>
    <format dxfId="132">
      <pivotArea dataOnly="0" labelOnly="1" outline="0" fieldPosition="0">
        <references count="2">
          <reference field="0" count="0"/>
          <reference field="4" count="1" selected="0">
            <x v="1"/>
          </reference>
        </references>
      </pivotArea>
    </format>
    <format dxfId="131">
      <pivotArea dataOnly="0" labelOnly="1" outline="0" fieldPosition="0">
        <references count="2">
          <reference field="0" count="0"/>
          <reference field="4" count="1" selected="0">
            <x v="2"/>
          </reference>
        </references>
      </pivotArea>
    </format>
    <format dxfId="130">
      <pivotArea dataOnly="0" labelOnly="1" outline="0" fieldPosition="0">
        <references count="2">
          <reference field="0" count="0"/>
          <reference field="4" count="1" selected="0">
            <x v="3"/>
          </reference>
        </references>
      </pivotArea>
    </format>
    <format dxfId="129">
      <pivotArea dataOnly="0" labelOnly="1" outline="0" fieldPosition="0">
        <references count="2">
          <reference field="0" count="0"/>
          <reference field="4" count="1" selected="0">
            <x v="4"/>
          </reference>
        </references>
      </pivotArea>
    </format>
    <format dxfId="128">
      <pivotArea dataOnly="0" labelOnly="1" outline="0" fieldPosition="0">
        <references count="2">
          <reference field="0" count="0"/>
          <reference field="4" count="1" selected="0">
            <x v="5"/>
          </reference>
        </references>
      </pivotArea>
    </format>
    <format dxfId="127">
      <pivotArea dataOnly="0" labelOnly="1" outline="0" fieldPosition="0">
        <references count="2">
          <reference field="0" count="0"/>
          <reference field="4" count="1" selected="0">
            <x v="6"/>
          </reference>
        </references>
      </pivotArea>
    </format>
    <format dxfId="126">
      <pivotArea dataOnly="0" labelOnly="1" outline="0" fieldPosition="0">
        <references count="2">
          <reference field="0" count="0"/>
          <reference field="4" count="1" selected="0">
            <x v="7"/>
          </reference>
        </references>
      </pivotArea>
    </format>
    <format dxfId="125">
      <pivotArea dataOnly="0" labelOnly="1" outline="0" fieldPosition="0">
        <references count="2">
          <reference field="0" count="0"/>
          <reference field="4" count="1" selected="0">
            <x v="8"/>
          </reference>
        </references>
      </pivotArea>
    </format>
    <format dxfId="124">
      <pivotArea dataOnly="0" labelOnly="1" outline="0" fieldPosition="0">
        <references count="2">
          <reference field="0" count="0"/>
          <reference field="4" count="1" selected="0">
            <x v="9"/>
          </reference>
        </references>
      </pivotArea>
    </format>
    <format dxfId="123">
      <pivotArea dataOnly="0" labelOnly="1" outline="0" fieldPosition="0">
        <references count="2">
          <reference field="0" count="0"/>
          <reference field="4" count="1" selected="0">
            <x v="10"/>
          </reference>
        </references>
      </pivotArea>
    </format>
    <format dxfId="122">
      <pivotArea dataOnly="0" labelOnly="1" outline="0" fieldPosition="0">
        <references count="2">
          <reference field="0" count="0"/>
          <reference field="4" count="1" selected="0">
            <x v="11"/>
          </reference>
        </references>
      </pivotArea>
    </format>
    <format dxfId="121">
      <pivotArea dataOnly="0" labelOnly="1" outline="0" fieldPosition="0">
        <references count="2">
          <reference field="0" count="0"/>
          <reference field="4" count="1" selected="0">
            <x v="12"/>
          </reference>
        </references>
      </pivotArea>
    </format>
    <format dxfId="120">
      <pivotArea dataOnly="0" labelOnly="1" outline="0" fieldPosition="0">
        <references count="2">
          <reference field="0" count="0"/>
          <reference field="4" count="1" selected="0">
            <x v="13"/>
          </reference>
        </references>
      </pivotArea>
    </format>
    <format dxfId="119">
      <pivotArea dataOnly="0" labelOnly="1" outline="0" fieldPosition="0">
        <references count="2">
          <reference field="0" count="0"/>
          <reference field="4" count="1" selected="0">
            <x v="14"/>
          </reference>
        </references>
      </pivotArea>
    </format>
    <format dxfId="118">
      <pivotArea dataOnly="0" labelOnly="1" outline="0" fieldPosition="0">
        <references count="2">
          <reference field="0" count="0"/>
          <reference field="4" count="1" selected="0">
            <x v="15"/>
          </reference>
        </references>
      </pivotArea>
    </format>
    <format dxfId="117">
      <pivotArea dataOnly="0" labelOnly="1" outline="0" fieldPosition="0">
        <references count="2">
          <reference field="0" count="0"/>
          <reference field="4" count="1" selected="0">
            <x v="16"/>
          </reference>
        </references>
      </pivotArea>
    </format>
    <format dxfId="116">
      <pivotArea dataOnly="0" labelOnly="1" outline="0" fieldPosition="0">
        <references count="2">
          <reference field="0" count="0"/>
          <reference field="4" count="1" selected="0">
            <x v="17"/>
          </reference>
        </references>
      </pivotArea>
    </format>
    <format dxfId="115">
      <pivotArea dataOnly="0" labelOnly="1" outline="0" fieldPosition="0">
        <references count="2">
          <reference field="0" count="0"/>
          <reference field="4" count="1" selected="0">
            <x v="18"/>
          </reference>
        </references>
      </pivotArea>
    </format>
    <format dxfId="114">
      <pivotArea dataOnly="0" labelOnly="1" outline="0" fieldPosition="0">
        <references count="2">
          <reference field="0" count="0"/>
          <reference field="4" count="1" selected="0">
            <x v="19"/>
          </reference>
        </references>
      </pivotArea>
    </format>
    <format dxfId="113">
      <pivotArea dataOnly="0" labelOnly="1" outline="0" fieldPosition="0">
        <references count="2">
          <reference field="0" count="0"/>
          <reference field="4" count="1" selected="0">
            <x v="20"/>
          </reference>
        </references>
      </pivotArea>
    </format>
    <format dxfId="112">
      <pivotArea dataOnly="0" labelOnly="1" outline="0" fieldPosition="0">
        <references count="2">
          <reference field="0" count="0"/>
          <reference field="4" count="1" selected="0">
            <x v="21"/>
          </reference>
        </references>
      </pivotArea>
    </format>
    <format dxfId="111">
      <pivotArea dataOnly="0" labelOnly="1" outline="0" fieldPosition="0">
        <references count="2">
          <reference field="0" count="0"/>
          <reference field="4" count="1" selected="0">
            <x v="22"/>
          </reference>
        </references>
      </pivotArea>
    </format>
    <format dxfId="110">
      <pivotArea dataOnly="0" labelOnly="1" outline="0" fieldPosition="0">
        <references count="2">
          <reference field="0" count="0"/>
          <reference field="4" count="1" selected="0">
            <x v="23"/>
          </reference>
        </references>
      </pivotArea>
    </format>
    <format dxfId="109">
      <pivotArea dataOnly="0" labelOnly="1" outline="0" fieldPosition="0">
        <references count="2">
          <reference field="0" count="0"/>
          <reference field="4" count="1" selected="0">
            <x v="24"/>
          </reference>
        </references>
      </pivotArea>
    </format>
    <format dxfId="108">
      <pivotArea dataOnly="0" labelOnly="1" outline="0" fieldPosition="0">
        <references count="2">
          <reference field="0" count="0"/>
          <reference field="4" count="1" selected="0">
            <x v="25"/>
          </reference>
        </references>
      </pivotArea>
    </format>
    <format dxfId="107">
      <pivotArea dataOnly="0" labelOnly="1" outline="0" fieldPosition="0">
        <references count="2">
          <reference field="0" count="0"/>
          <reference field="4" count="1" selected="0">
            <x v="26"/>
          </reference>
        </references>
      </pivotArea>
    </format>
    <format dxfId="106">
      <pivotArea dataOnly="0" labelOnly="1" outline="0" fieldPosition="0">
        <references count="2">
          <reference field="0" count="0"/>
          <reference field="4" count="1" selected="0">
            <x v="27"/>
          </reference>
        </references>
      </pivotArea>
    </format>
    <format dxfId="105">
      <pivotArea dataOnly="0" labelOnly="1" outline="0" fieldPosition="0">
        <references count="2">
          <reference field="0" count="0"/>
          <reference field="4" count="1" selected="0">
            <x v="28"/>
          </reference>
        </references>
      </pivotArea>
    </format>
    <format dxfId="104">
      <pivotArea dataOnly="0" labelOnly="1" outline="0" fieldPosition="0">
        <references count="2">
          <reference field="0" count="0"/>
          <reference field="4" count="1" selected="0">
            <x v="29"/>
          </reference>
        </references>
      </pivotArea>
    </format>
    <format dxfId="103">
      <pivotArea dataOnly="0" labelOnly="1" outline="0" fieldPosition="0">
        <references count="2">
          <reference field="0" count="0"/>
          <reference field="4" count="1" selected="0">
            <x v="30"/>
          </reference>
        </references>
      </pivotArea>
    </format>
    <format dxfId="102">
      <pivotArea dataOnly="0" labelOnly="1" outline="0" fieldPosition="0">
        <references count="2">
          <reference field="0" count="0"/>
          <reference field="4" count="1" selected="0">
            <x v="31"/>
          </reference>
        </references>
      </pivotArea>
    </format>
    <format dxfId="101">
      <pivotArea dataOnly="0" labelOnly="1" outline="0" fieldPosition="0">
        <references count="1">
          <reference field="4294967294" count="3">
            <x v="0"/>
            <x v="1"/>
            <x v="2"/>
          </reference>
        </references>
      </pivotArea>
    </format>
    <format dxfId="100">
      <pivotArea dataOnly="0" labelOnly="1" outline="0" fieldPosition="0">
        <references count="2">
          <reference field="4294967294" count="1" selected="0">
            <x v="0"/>
          </reference>
          <reference field="10" count="0"/>
        </references>
      </pivotArea>
    </format>
    <format dxfId="99">
      <pivotArea dataOnly="0" labelOnly="1" outline="0" fieldPosition="0">
        <references count="2">
          <reference field="4294967294" count="1" selected="0">
            <x v="1"/>
          </reference>
          <reference field="10" count="0"/>
        </references>
      </pivotArea>
    </format>
    <format dxfId="98">
      <pivotArea dataOnly="0" labelOnly="1" outline="0" fieldPosition="0">
        <references count="2">
          <reference field="4294967294" count="1" selected="0">
            <x v="2"/>
          </reference>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2E78EF-2AFB-4BC2-9643-164499713C72}" sourceName="month">
  <pivotTables>
    <pivotTable tabId="1" name="PivotTable1"/>
    <pivotTable tabId="1" name="PivotTable10"/>
    <pivotTable tabId="1" name="PivotTable11"/>
    <pivotTable tabId="1" name="PivotTable7"/>
    <pivotTable tabId="1" name="PivotTable8"/>
    <pivotTable tabId="1" name="PivotTable9"/>
  </pivotTables>
  <data>
    <tabular pivotCacheId="135880465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D057185-130A-4299-9261-0BB75AA5CB37}" cache="Slicer_month" caption="Months Selection" columnCoun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E30051B-6E7D-4202-8FE6-09F1EB0ABA60}" cache="Slicer_month" caption="Months Selection" columnCount="6" rowHeight="257175"/>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EC8C6A-924F-4F1C-B7E4-3A2966BD57A1}">
  <we:reference id="wa200010725" version="1.0.0.1" store="en-US" storeType="OMEX"/>
  <we:alternateReferences>
    <we:reference id="wa200010725" version="1.0.0.1" store="en-US" storeType="OMEX"/>
  </we:alternateReferences>
  <we:properties>
    <we:property name="claude.fileId" value="&quot;efa59126-2ae2-41ad-954f-550d46fce38d&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D70C-0B7C-4009-9034-BA8F1E748483}">
  <sheetPr>
    <tabColor theme="0"/>
  </sheetPr>
  <dimension ref="B2:M22"/>
  <sheetViews>
    <sheetView showGridLines="0" tabSelected="1" workbookViewId="0">
      <selection activeCell="I28" sqref="I28"/>
    </sheetView>
  </sheetViews>
  <sheetFormatPr defaultRowHeight="15" x14ac:dyDescent="0.25"/>
  <cols>
    <col min="1" max="1" width="3.140625" style="4" customWidth="1"/>
    <col min="2" max="2" width="20.42578125" style="4" customWidth="1"/>
    <col min="3" max="16384" width="9.140625" style="4"/>
  </cols>
  <sheetData>
    <row r="2" spans="2:13" ht="21" x14ac:dyDescent="0.35">
      <c r="B2" s="1" t="s">
        <v>108</v>
      </c>
      <c r="C2" s="2"/>
      <c r="D2" s="2"/>
      <c r="E2" s="2"/>
      <c r="F2" s="2"/>
      <c r="G2" s="2"/>
      <c r="H2" s="2"/>
      <c r="I2" s="2"/>
      <c r="J2" s="2"/>
      <c r="K2" s="2"/>
      <c r="L2" s="2"/>
      <c r="M2" s="3"/>
    </row>
    <row r="4" spans="2:13" ht="15" customHeight="1" x14ac:dyDescent="0.25">
      <c r="B4" s="148" t="s">
        <v>105</v>
      </c>
      <c r="C4" s="149"/>
      <c r="D4" s="149"/>
      <c r="E4" s="149"/>
      <c r="F4" s="149"/>
      <c r="G4" s="149"/>
      <c r="H4" s="149"/>
      <c r="I4" s="149"/>
      <c r="J4" s="149"/>
      <c r="K4" s="149"/>
      <c r="L4" s="149"/>
      <c r="M4" s="150"/>
    </row>
    <row r="5" spans="2:13" x14ac:dyDescent="0.25">
      <c r="B5" s="151"/>
      <c r="C5" s="152"/>
      <c r="D5" s="152"/>
      <c r="E5" s="152"/>
      <c r="F5" s="152"/>
      <c r="G5" s="152"/>
      <c r="H5" s="152"/>
      <c r="I5" s="152"/>
      <c r="J5" s="152"/>
      <c r="K5" s="152"/>
      <c r="L5" s="152"/>
      <c r="M5" s="153"/>
    </row>
    <row r="6" spans="2:13" ht="15" customHeight="1" x14ac:dyDescent="0.25">
      <c r="B6" s="5" t="s">
        <v>106</v>
      </c>
      <c r="C6" s="6"/>
      <c r="D6" s="6"/>
      <c r="E6" s="6"/>
      <c r="F6" s="7"/>
      <c r="G6" s="7"/>
      <c r="H6" s="7"/>
      <c r="I6" s="7"/>
      <c r="J6" s="7"/>
      <c r="K6" s="7"/>
      <c r="L6" s="7"/>
      <c r="M6" s="8"/>
    </row>
    <row r="7" spans="2:13" ht="15" customHeight="1" x14ac:dyDescent="0.25">
      <c r="B7" s="151" t="s">
        <v>109</v>
      </c>
      <c r="C7" s="152"/>
      <c r="D7" s="152"/>
      <c r="E7" s="152"/>
      <c r="F7" s="152"/>
      <c r="G7" s="152"/>
      <c r="H7" s="152"/>
      <c r="I7" s="152"/>
      <c r="J7" s="152"/>
      <c r="K7" s="152"/>
      <c r="L7" s="152"/>
      <c r="M7" s="153"/>
    </row>
    <row r="8" spans="2:13" x14ac:dyDescent="0.25">
      <c r="B8" s="151"/>
      <c r="C8" s="152"/>
      <c r="D8" s="152"/>
      <c r="E8" s="152"/>
      <c r="F8" s="152"/>
      <c r="G8" s="152"/>
      <c r="H8" s="152"/>
      <c r="I8" s="152"/>
      <c r="J8" s="152"/>
      <c r="K8" s="152"/>
      <c r="L8" s="152"/>
      <c r="M8" s="153"/>
    </row>
    <row r="9" spans="2:13" x14ac:dyDescent="0.25">
      <c r="B9" s="151"/>
      <c r="C9" s="152"/>
      <c r="D9" s="152"/>
      <c r="E9" s="152"/>
      <c r="F9" s="152"/>
      <c r="G9" s="152"/>
      <c r="H9" s="152"/>
      <c r="I9" s="152"/>
      <c r="J9" s="152"/>
      <c r="K9" s="152"/>
      <c r="L9" s="152"/>
      <c r="M9" s="153"/>
    </row>
    <row r="10" spans="2:13" x14ac:dyDescent="0.25">
      <c r="B10" s="151"/>
      <c r="C10" s="152"/>
      <c r="D10" s="152"/>
      <c r="E10" s="152"/>
      <c r="F10" s="152"/>
      <c r="G10" s="152"/>
      <c r="H10" s="152"/>
      <c r="I10" s="152"/>
      <c r="J10" s="152"/>
      <c r="K10" s="152"/>
      <c r="L10" s="152"/>
      <c r="M10" s="153"/>
    </row>
    <row r="11" spans="2:13" ht="15" customHeight="1" x14ac:dyDescent="0.25">
      <c r="B11" s="5" t="s">
        <v>107</v>
      </c>
      <c r="C11" s="6"/>
      <c r="D11" s="6"/>
      <c r="E11" s="6"/>
      <c r="F11" s="9"/>
      <c r="G11" s="9"/>
      <c r="H11" s="9"/>
      <c r="I11" s="9"/>
      <c r="J11" s="9"/>
      <c r="K11" s="9"/>
      <c r="L11" s="9"/>
      <c r="M11" s="10"/>
    </row>
    <row r="12" spans="2:13" ht="15" customHeight="1" x14ac:dyDescent="0.25">
      <c r="B12" s="144"/>
      <c r="C12" s="142" t="s">
        <v>110</v>
      </c>
      <c r="D12" s="142"/>
      <c r="E12" s="142"/>
      <c r="F12" s="142"/>
      <c r="G12" s="142"/>
      <c r="H12" s="142"/>
      <c r="I12" s="142"/>
      <c r="J12" s="142"/>
      <c r="K12" s="142"/>
      <c r="L12" s="142"/>
      <c r="M12" s="143"/>
    </row>
    <row r="13" spans="2:13" x14ac:dyDescent="0.25">
      <c r="B13" s="144"/>
      <c r="C13" s="142"/>
      <c r="D13" s="142"/>
      <c r="E13" s="142"/>
      <c r="F13" s="142"/>
      <c r="G13" s="142"/>
      <c r="H13" s="142"/>
      <c r="I13" s="142"/>
      <c r="J13" s="142"/>
      <c r="K13" s="142"/>
      <c r="L13" s="142"/>
      <c r="M13" s="143"/>
    </row>
    <row r="14" spans="2:13" x14ac:dyDescent="0.25">
      <c r="B14" s="144"/>
      <c r="C14" s="142"/>
      <c r="D14" s="142"/>
      <c r="E14" s="142"/>
      <c r="F14" s="142"/>
      <c r="G14" s="142"/>
      <c r="H14" s="142"/>
      <c r="I14" s="142"/>
      <c r="J14" s="142"/>
      <c r="K14" s="142"/>
      <c r="L14" s="142"/>
      <c r="M14" s="143"/>
    </row>
    <row r="15" spans="2:13" x14ac:dyDescent="0.25">
      <c r="B15" s="144"/>
      <c r="C15" s="142" t="s">
        <v>111</v>
      </c>
      <c r="D15" s="142"/>
      <c r="E15" s="142"/>
      <c r="F15" s="142"/>
      <c r="G15" s="142"/>
      <c r="H15" s="142"/>
      <c r="I15" s="142"/>
      <c r="J15" s="142"/>
      <c r="K15" s="142"/>
      <c r="L15" s="142"/>
      <c r="M15" s="143"/>
    </row>
    <row r="16" spans="2:13" x14ac:dyDescent="0.25">
      <c r="B16" s="144"/>
      <c r="C16" s="142"/>
      <c r="D16" s="142"/>
      <c r="E16" s="142"/>
      <c r="F16" s="142"/>
      <c r="G16" s="142"/>
      <c r="H16" s="142"/>
      <c r="I16" s="142"/>
      <c r="J16" s="142"/>
      <c r="K16" s="142"/>
      <c r="L16" s="142"/>
      <c r="M16" s="143"/>
    </row>
    <row r="17" spans="2:13" x14ac:dyDescent="0.25">
      <c r="B17" s="144"/>
      <c r="C17" s="142"/>
      <c r="D17" s="142"/>
      <c r="E17" s="142"/>
      <c r="F17" s="142"/>
      <c r="G17" s="142"/>
      <c r="H17" s="142"/>
      <c r="I17" s="142"/>
      <c r="J17" s="142"/>
      <c r="K17" s="142"/>
      <c r="L17" s="142"/>
      <c r="M17" s="143"/>
    </row>
    <row r="18" spans="2:13" x14ac:dyDescent="0.25">
      <c r="B18" s="11"/>
      <c r="C18" s="142" t="s">
        <v>112</v>
      </c>
      <c r="D18" s="142"/>
      <c r="E18" s="142"/>
      <c r="F18" s="142"/>
      <c r="G18" s="142"/>
      <c r="H18" s="142"/>
      <c r="I18" s="142"/>
      <c r="J18" s="142"/>
      <c r="K18" s="142"/>
      <c r="L18" s="142"/>
      <c r="M18" s="143"/>
    </row>
    <row r="19" spans="2:13" x14ac:dyDescent="0.25">
      <c r="B19" s="11"/>
      <c r="C19" s="142" t="s">
        <v>113</v>
      </c>
      <c r="D19" s="142"/>
      <c r="E19" s="142"/>
      <c r="F19" s="142"/>
      <c r="G19" s="142"/>
      <c r="H19" s="142"/>
      <c r="I19" s="142"/>
      <c r="J19" s="142"/>
      <c r="K19" s="142"/>
      <c r="L19" s="142"/>
      <c r="M19" s="143"/>
    </row>
    <row r="20" spans="2:13" x14ac:dyDescent="0.25">
      <c r="B20" s="144"/>
      <c r="C20" s="142" t="s">
        <v>114</v>
      </c>
      <c r="D20" s="142"/>
      <c r="E20" s="142"/>
      <c r="F20" s="142"/>
      <c r="G20" s="142"/>
      <c r="H20" s="142"/>
      <c r="I20" s="142"/>
      <c r="J20" s="142"/>
      <c r="K20" s="142"/>
      <c r="L20" s="142"/>
      <c r="M20" s="143"/>
    </row>
    <row r="21" spans="2:13" x14ac:dyDescent="0.25">
      <c r="B21" s="144"/>
      <c r="C21" s="142"/>
      <c r="D21" s="142"/>
      <c r="E21" s="142"/>
      <c r="F21" s="142"/>
      <c r="G21" s="142"/>
      <c r="H21" s="142"/>
      <c r="I21" s="142"/>
      <c r="J21" s="142"/>
      <c r="K21" s="142"/>
      <c r="L21" s="142"/>
      <c r="M21" s="143"/>
    </row>
    <row r="22" spans="2:13" x14ac:dyDescent="0.25">
      <c r="B22" s="145"/>
      <c r="C22" s="146"/>
      <c r="D22" s="146"/>
      <c r="E22" s="146"/>
      <c r="F22" s="146"/>
      <c r="G22" s="146"/>
      <c r="H22" s="146"/>
      <c r="I22" s="146"/>
      <c r="J22" s="146"/>
      <c r="K22" s="146"/>
      <c r="L22" s="146"/>
      <c r="M22" s="147"/>
    </row>
  </sheetData>
  <mergeCells count="10">
    <mergeCell ref="C18:M18"/>
    <mergeCell ref="C19:M19"/>
    <mergeCell ref="B20:B22"/>
    <mergeCell ref="C20:M22"/>
    <mergeCell ref="B4:M5"/>
    <mergeCell ref="B7:M10"/>
    <mergeCell ref="B12:B14"/>
    <mergeCell ref="C12:M14"/>
    <mergeCell ref="B15:B17"/>
    <mergeCell ref="C15:M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9902-BEF6-42AF-B3EF-5A1D2373040D}">
  <sheetPr>
    <tabColor rgb="FF002060"/>
  </sheetPr>
  <dimension ref="B2:V74"/>
  <sheetViews>
    <sheetView showGridLines="0" workbookViewId="0">
      <selection activeCell="H4" sqref="H4"/>
    </sheetView>
  </sheetViews>
  <sheetFormatPr defaultRowHeight="15" x14ac:dyDescent="0.25"/>
  <cols>
    <col min="1" max="1" width="1.7109375" style="34" customWidth="1"/>
    <col min="2" max="2" width="6.140625" style="38" customWidth="1"/>
    <col min="3" max="3" width="1.7109375" style="34" customWidth="1"/>
    <col min="4" max="4" width="20.140625" style="35" bestFit="1" customWidth="1"/>
    <col min="5" max="5" width="21.28515625" style="34" bestFit="1" customWidth="1"/>
    <col min="6" max="6" width="18.85546875" style="34" bestFit="1" customWidth="1"/>
    <col min="7" max="7" width="12.28515625" style="34" customWidth="1"/>
    <col min="8" max="8" width="14.28515625" style="34" customWidth="1"/>
    <col min="9" max="9" width="9.42578125" style="42" bestFit="1" customWidth="1"/>
    <col min="10" max="10" width="10.42578125" style="42" bestFit="1" customWidth="1"/>
    <col min="11" max="11" width="1.7109375" style="34" customWidth="1"/>
    <col min="12" max="12" width="6.140625" style="38" customWidth="1"/>
    <col min="13" max="13" width="2.28515625" style="34" customWidth="1"/>
    <col min="14" max="14" width="17.5703125" style="34" customWidth="1"/>
    <col min="15" max="16" width="13.7109375" style="34" bestFit="1" customWidth="1"/>
    <col min="17" max="17" width="8.85546875" style="34" bestFit="1" customWidth="1"/>
    <col min="18" max="18" width="13.28515625" style="34" bestFit="1" customWidth="1"/>
    <col min="19" max="19" width="9.42578125" style="34" bestFit="1" customWidth="1"/>
    <col min="20" max="20" width="10.42578125" style="34" bestFit="1" customWidth="1"/>
    <col min="21" max="21" width="1.7109375" style="34" customWidth="1"/>
    <col min="22" max="22" width="6.140625" style="38" customWidth="1"/>
    <col min="23" max="16384" width="9.140625" style="34"/>
  </cols>
  <sheetData>
    <row r="2" spans="2:22" ht="93" customHeight="1" x14ac:dyDescent="0.3">
      <c r="B2" s="33"/>
      <c r="D2" s="79" t="s">
        <v>115</v>
      </c>
      <c r="E2" s="79"/>
      <c r="F2" s="79"/>
      <c r="G2" s="79"/>
      <c r="H2" s="79"/>
      <c r="I2" s="96"/>
      <c r="J2" s="96"/>
      <c r="L2" s="33"/>
      <c r="N2" s="79" t="s">
        <v>124</v>
      </c>
      <c r="O2" s="100"/>
      <c r="P2" s="100"/>
      <c r="Q2" s="100"/>
      <c r="R2" s="100"/>
      <c r="S2" s="100"/>
      <c r="T2" s="100"/>
      <c r="V2" s="33"/>
    </row>
    <row r="3" spans="2:22" s="35" customFormat="1" ht="30.75" customHeight="1" x14ac:dyDescent="0.25">
      <c r="B3" s="36"/>
      <c r="E3" s="80" t="s">
        <v>119</v>
      </c>
      <c r="F3" s="80" t="s">
        <v>96</v>
      </c>
      <c r="G3" s="80" t="s">
        <v>120</v>
      </c>
      <c r="H3" s="80" t="s">
        <v>121</v>
      </c>
      <c r="I3" s="85" t="s">
        <v>122</v>
      </c>
      <c r="J3" s="85" t="s">
        <v>123</v>
      </c>
      <c r="L3" s="36"/>
      <c r="O3" s="80" t="s">
        <v>119</v>
      </c>
      <c r="P3" s="80" t="s">
        <v>96</v>
      </c>
      <c r="Q3" s="80" t="s">
        <v>120</v>
      </c>
      <c r="R3" s="80" t="s">
        <v>121</v>
      </c>
      <c r="S3" s="85" t="s">
        <v>122</v>
      </c>
      <c r="T3" s="85" t="s">
        <v>123</v>
      </c>
      <c r="V3" s="36"/>
    </row>
    <row r="4" spans="2:22" s="90" customFormat="1" ht="20.25" x14ac:dyDescent="0.3">
      <c r="B4" s="89"/>
      <c r="D4" s="91" t="s">
        <v>118</v>
      </c>
      <c r="E4" s="92">
        <f>IFERROR(_xlfn.XLOOKUP($D4,'Detailed Forecast'!$D:$D,'Detailed Forecast'!AB:AB,""),"")</f>
        <v>1044312160.7700001</v>
      </c>
      <c r="F4" s="92">
        <f>IFERROR(_xlfn.XLOOKUP($D4,'Detailed Forecast'!$D:$D,'Detailed Forecast'!AC:AC,""),"")</f>
        <v>960956498.30313683</v>
      </c>
      <c r="G4" s="93">
        <f>F4/E4-1</f>
        <v>-7.9818722407103637E-2</v>
      </c>
      <c r="H4" s="94">
        <f>IFERROR((((_xlfn.XLOOKUP(D4,'Detailed Forecast'!D:D,'Detailed Forecast'!AC:AC)-_xlfn.XLOOKUP(D4,'Detailed Forecast'!D:D,'Detailed Forecast'!S:S))/F4)-((_xlfn.XLOOKUP(D4,'Detailed Forecast'!D:D,'Detailed Forecast'!AB:AB)-_xlfn.XLOOKUP(D4,'Detailed Forecast'!D:D,'Detailed Forecast'!R:R))/E4))*100,"")</f>
        <v>-0.69939207109902535</v>
      </c>
      <c r="I4" s="93">
        <f>E4/E$4</f>
        <v>1</v>
      </c>
      <c r="J4" s="97">
        <f>F4/F$4</f>
        <v>1</v>
      </c>
      <c r="L4" s="89"/>
      <c r="N4" s="86" t="s">
        <v>39</v>
      </c>
      <c r="O4" s="45">
        <f>IFERROR(_xlfn.XLOOKUP($N4,'Detailed Forecast'!$D:$D,'Detailed Forecast'!AB:AB,""),"")</f>
        <v>494862858.92999995</v>
      </c>
      <c r="P4" s="45">
        <f>IFERROR(_xlfn.XLOOKUP($N4,'Detailed Forecast'!$D:$D,'Detailed Forecast'!AC:AC,""),"")</f>
        <v>455599872.03863937</v>
      </c>
      <c r="Q4" s="46">
        <f t="shared" ref="Q4:Q7" si="0">P4/O4-1</f>
        <v>-7.9341147113476285E-2</v>
      </c>
      <c r="R4" s="82">
        <f>IFERROR((((_xlfn.XLOOKUP(N4,'Detailed Forecast'!D:D,'Detailed Forecast'!AC:AC)-_xlfn.XLOOKUP(N4,'Detailed Forecast'!D:D,'Detailed Forecast'!S:S))/P4)-((_xlfn.XLOOKUP(N4,'Detailed Forecast'!D:D,'Detailed Forecast'!AB:AB)-_xlfn.XLOOKUP(N4,'Detailed Forecast'!D:D,'Detailed Forecast'!R:R))/O4))*100,"")</f>
        <v>-0.45313548717670349</v>
      </c>
      <c r="S4" s="46">
        <f t="shared" ref="S4:T7" si="1">O4/E$4</f>
        <v>0.47386488209150407</v>
      </c>
      <c r="T4" s="47">
        <f t="shared" si="1"/>
        <v>0.47411081858870879</v>
      </c>
      <c r="V4" s="89"/>
    </row>
    <row r="5" spans="2:22" x14ac:dyDescent="0.25">
      <c r="H5" s="81"/>
      <c r="N5" s="87" t="s">
        <v>38</v>
      </c>
      <c r="O5" s="52">
        <f>IFERROR(_xlfn.XLOOKUP($N5,'Detailed Forecast'!$D:$D,'Detailed Forecast'!AB:AB,""),"")</f>
        <v>309785297.75</v>
      </c>
      <c r="P5" s="52">
        <f>IFERROR(_xlfn.XLOOKUP($N5,'Detailed Forecast'!$D:$D,'Detailed Forecast'!AC:AC,""),"")</f>
        <v>286135271.88185585</v>
      </c>
      <c r="Q5" s="53">
        <f t="shared" si="0"/>
        <v>-7.6343280458809781E-2</v>
      </c>
      <c r="R5" s="84">
        <f>IFERROR((((_xlfn.XLOOKUP(N5,'Detailed Forecast'!D:D,'Detailed Forecast'!AC:AC)-_xlfn.XLOOKUP(N5,'Detailed Forecast'!D:D,'Detailed Forecast'!S:S))/P5)-((_xlfn.XLOOKUP(N5,'Detailed Forecast'!D:D,'Detailed Forecast'!AB:AB)-_xlfn.XLOOKUP(N5,'Detailed Forecast'!D:D,'Detailed Forecast'!R:R))/O5))*100,"")</f>
        <v>-0.98947799323935159</v>
      </c>
      <c r="S5" s="53">
        <f t="shared" si="1"/>
        <v>0.29664051553472937</v>
      </c>
      <c r="T5" s="98">
        <f t="shared" si="1"/>
        <v>0.2977609000897703</v>
      </c>
    </row>
    <row r="6" spans="2:22" x14ac:dyDescent="0.25">
      <c r="D6" s="86" t="s">
        <v>32</v>
      </c>
      <c r="E6" s="45">
        <f>IFERROR(_xlfn.XLOOKUP($D6,'Detailed Forecast'!$D:$D,'Detailed Forecast'!AB:AB,""),"")</f>
        <v>269832891.57999992</v>
      </c>
      <c r="F6" s="45">
        <f>IFERROR(_xlfn.XLOOKUP($D6,'Detailed Forecast'!$D:$D,'Detailed Forecast'!AC:AC,""),"")</f>
        <v>253781554.71706891</v>
      </c>
      <c r="G6" s="46">
        <f>F6/E6-1</f>
        <v>-5.9486212999989685E-2</v>
      </c>
      <c r="H6" s="82">
        <f>IFERROR((((_xlfn.XLOOKUP(D6,'Detailed Forecast'!D:D,'Detailed Forecast'!AC:AC)-_xlfn.XLOOKUP(D6,'Detailed Forecast'!D:D,'Detailed Forecast'!S:S))/F6)-((_xlfn.XLOOKUP(D6,'Detailed Forecast'!D:D,'Detailed Forecast'!AB:AB)-_xlfn.XLOOKUP(D6,'Detailed Forecast'!D:D,'Detailed Forecast'!R:R))/E6))*100,"")</f>
        <v>-0.46730470097446908</v>
      </c>
      <c r="I6" s="46">
        <f>E6/E$4</f>
        <v>0.25838336631170195</v>
      </c>
      <c r="J6" s="47">
        <f>F6/F$4</f>
        <v>0.26409265681141447</v>
      </c>
      <c r="N6" s="87" t="s">
        <v>41</v>
      </c>
      <c r="O6" s="52">
        <f>IFERROR(_xlfn.XLOOKUP($N6,'Detailed Forecast'!$D:$D,'Detailed Forecast'!AB:AB,""),"")</f>
        <v>168425587.81999999</v>
      </c>
      <c r="P6" s="52">
        <f>IFERROR(_xlfn.XLOOKUP($N6,'Detailed Forecast'!$D:$D,'Detailed Forecast'!AC:AC,""),"")</f>
        <v>155923778.50141817</v>
      </c>
      <c r="Q6" s="53">
        <f t="shared" si="0"/>
        <v>-7.4227494054779686E-2</v>
      </c>
      <c r="R6" s="84">
        <f>IFERROR((((_xlfn.XLOOKUP(N6,'Detailed Forecast'!D:D,'Detailed Forecast'!AC:AC)-_xlfn.XLOOKUP(N6,'Detailed Forecast'!D:D,'Detailed Forecast'!S:S))/P6)-((_xlfn.XLOOKUP(N6,'Detailed Forecast'!D:D,'Detailed Forecast'!AB:AB)-_xlfn.XLOOKUP(N6,'Detailed Forecast'!D:D,'Detailed Forecast'!R:R))/O6))*100,"")</f>
        <v>-0.74113365534378417</v>
      </c>
      <c r="S6" s="53">
        <f t="shared" si="1"/>
        <v>0.16127896825008259</v>
      </c>
      <c r="T6" s="98">
        <f t="shared" si="1"/>
        <v>0.1622589355259571</v>
      </c>
    </row>
    <row r="7" spans="2:22" x14ac:dyDescent="0.25">
      <c r="D7" s="88" t="s">
        <v>33</v>
      </c>
      <c r="E7" s="49">
        <f>IFERROR(_xlfn.XLOOKUP($D7,'Detailed Forecast'!$D:$D,'Detailed Forecast'!AB:AB,""),"")</f>
        <v>774479269.19000006</v>
      </c>
      <c r="F7" s="49">
        <f>IFERROR(_xlfn.XLOOKUP($D7,'Detailed Forecast'!$D:$D,'Detailed Forecast'!AC:AC,""),"")</f>
        <v>707120269.0222162</v>
      </c>
      <c r="G7" s="50">
        <f>F7/E7-1</f>
        <v>-8.6973277203703847E-2</v>
      </c>
      <c r="H7" s="83">
        <f>IFERROR((((_xlfn.XLOOKUP(D7,'Detailed Forecast'!D:D,'Detailed Forecast'!AC:AC)-_xlfn.XLOOKUP(D7,'Detailed Forecast'!D:D,'Detailed Forecast'!S:S))/F7)-((_xlfn.XLOOKUP(D7,'Detailed Forecast'!D:D,'Detailed Forecast'!AB:AB)-_xlfn.XLOOKUP(D7,'Detailed Forecast'!D:D,'Detailed Forecast'!R:R))/E7))*100,"")</f>
        <v>-0.87796980720525886</v>
      </c>
      <c r="I7" s="50">
        <f>E7/E$4</f>
        <v>0.74161663368829789</v>
      </c>
      <c r="J7" s="51">
        <f>F7/F$4</f>
        <v>0.73585044720635506</v>
      </c>
      <c r="N7" s="88" t="s">
        <v>40</v>
      </c>
      <c r="O7" s="49">
        <f>IFERROR(_xlfn.XLOOKUP($N7,'Detailed Forecast'!$D:$D,'Detailed Forecast'!AB:AB,""),"")</f>
        <v>71238416.270000011</v>
      </c>
      <c r="P7" s="49">
        <f>IFERROR(_xlfn.XLOOKUP($N7,'Detailed Forecast'!$D:$D,'Detailed Forecast'!AC:AC,""),"")</f>
        <v>63260771.266343437</v>
      </c>
      <c r="Q7" s="50">
        <f t="shared" si="0"/>
        <v>-0.11198515381673535</v>
      </c>
      <c r="R7" s="83">
        <f>IFERROR((((_xlfn.XLOOKUP(N7,'Detailed Forecast'!D:D,'Detailed Forecast'!AC:AC)-_xlfn.XLOOKUP(N7,'Detailed Forecast'!D:D,'Detailed Forecast'!S:S))/P7)-((_xlfn.XLOOKUP(N7,'Detailed Forecast'!D:D,'Detailed Forecast'!AB:AB)-_xlfn.XLOOKUP(N7,'Detailed Forecast'!D:D,'Detailed Forecast'!R:R))/O7))*100,"")</f>
        <v>-1.0964387686186461</v>
      </c>
      <c r="S7" s="50">
        <f t="shared" si="1"/>
        <v>6.8215634123683824E-2</v>
      </c>
      <c r="T7" s="99">
        <f t="shared" si="1"/>
        <v>6.583104581534098E-2</v>
      </c>
    </row>
    <row r="8" spans="2:22" x14ac:dyDescent="0.25">
      <c r="H8" s="81"/>
      <c r="N8" s="35"/>
      <c r="Q8" s="42" t="str">
        <f>IFERROR(#REF!/O8-1,"")</f>
        <v/>
      </c>
      <c r="R8" s="81"/>
      <c r="S8" s="42" t="str">
        <f>IFERROR(#REF!/Q8-1,"")</f>
        <v/>
      </c>
      <c r="T8" s="42"/>
    </row>
    <row r="9" spans="2:22" x14ac:dyDescent="0.25">
      <c r="D9" s="86" t="s">
        <v>20</v>
      </c>
      <c r="E9" s="45">
        <f>IFERROR(_xlfn.XLOOKUP($D9,'Detailed Forecast'!$D:$D,'Detailed Forecast'!AB:AB,""),"")</f>
        <v>279632185</v>
      </c>
      <c r="F9" s="45">
        <f>IFERROR(_xlfn.XLOOKUP($D9,'Detailed Forecast'!$D:$D,'Detailed Forecast'!AC:AC,""),"")</f>
        <v>261695734.02824306</v>
      </c>
      <c r="G9" s="46">
        <f t="shared" ref="G9:G10" si="2">F9/E9-1</f>
        <v>-6.4143013336454557E-2</v>
      </c>
      <c r="H9" s="82">
        <f>IFERROR((((_xlfn.XLOOKUP(D9,'Detailed Forecast'!D:D,'Detailed Forecast'!AC:AC)-_xlfn.XLOOKUP(D9,'Detailed Forecast'!D:D,'Detailed Forecast'!S:S))/F9)-((_xlfn.XLOOKUP(D9,'Detailed Forecast'!D:D,'Detailed Forecast'!AB:AB)-_xlfn.XLOOKUP(D9,'Detailed Forecast'!D:D,'Detailed Forecast'!R:R))/E9))*100,"")</f>
        <v>-0.66097818380557172</v>
      </c>
      <c r="I9" s="46">
        <f>E9/E$4</f>
        <v>0.26776685698442837</v>
      </c>
      <c r="J9" s="47">
        <f>F9/F$4</f>
        <v>0.27232838790345565</v>
      </c>
      <c r="N9" s="86" t="s">
        <v>73</v>
      </c>
      <c r="O9" s="45">
        <f>IFERROR(_xlfn.XLOOKUP($N9,'Detailed Forecast'!$D:$D,'Detailed Forecast'!AB:AB,""),"")</f>
        <v>92133695.719999984</v>
      </c>
      <c r="P9" s="45">
        <f>IFERROR(_xlfn.XLOOKUP($N9,'Detailed Forecast'!$D:$D,'Detailed Forecast'!AC:AC,""),"")</f>
        <v>84835010.87965548</v>
      </c>
      <c r="Q9" s="46">
        <f t="shared" ref="Q9:Q40" si="3">P9/O9-1</f>
        <v>-7.9218409543948654E-2</v>
      </c>
      <c r="R9" s="82">
        <f>IFERROR((((_xlfn.XLOOKUP(N9,'Detailed Forecast'!D:D,'Detailed Forecast'!AC:AC)-_xlfn.XLOOKUP(N9,'Detailed Forecast'!D:D,'Detailed Forecast'!S:S))/P9)-((_xlfn.XLOOKUP(N9,'Detailed Forecast'!D:D,'Detailed Forecast'!AB:AB)-_xlfn.XLOOKUP(N9,'Detailed Forecast'!D:D,'Detailed Forecast'!R:R))/O9))*100,"")</f>
        <v>-0.68471784506772826</v>
      </c>
      <c r="S9" s="46">
        <f>O9/E$4</f>
        <v>8.8224286933580545E-2</v>
      </c>
      <c r="T9" s="47">
        <f>P9/F$4</f>
        <v>8.8281843173398267E-2</v>
      </c>
    </row>
    <row r="10" spans="2:22" x14ac:dyDescent="0.25">
      <c r="D10" s="88" t="s">
        <v>21</v>
      </c>
      <c r="E10" s="49">
        <f>IFERROR(_xlfn.XLOOKUP($D10,'Detailed Forecast'!$D:$D,'Detailed Forecast'!AB:AB,""),"")</f>
        <v>764679975.7700001</v>
      </c>
      <c r="F10" s="49">
        <f>IFERROR(_xlfn.XLOOKUP($D10,'Detailed Forecast'!$D:$D,'Detailed Forecast'!AC:AC,""),"")</f>
        <v>699230213.94640815</v>
      </c>
      <c r="G10" s="50">
        <f t="shared" si="2"/>
        <v>-8.5591049716826739E-2</v>
      </c>
      <c r="H10" s="83">
        <f>IFERROR((((_xlfn.XLOOKUP(D10,'Detailed Forecast'!D:D,'Detailed Forecast'!AC:AC)-_xlfn.XLOOKUP(D10,'Detailed Forecast'!D:D,'Detailed Forecast'!S:S))/F10)-((_xlfn.XLOOKUP(D10,'Detailed Forecast'!D:D,'Detailed Forecast'!AB:AB)-_xlfn.XLOOKUP(D10,'Detailed Forecast'!D:D,'Detailed Forecast'!R:R))/E10))*100,"")</f>
        <v>-0.7027409598416412</v>
      </c>
      <c r="I10" s="50">
        <f>E10/E$4</f>
        <v>0.73223314301557163</v>
      </c>
      <c r="J10" s="51">
        <f>F10/F$4</f>
        <v>0.72763982051332543</v>
      </c>
      <c r="N10" s="87" t="s">
        <v>68</v>
      </c>
      <c r="O10" s="52">
        <f>IFERROR(_xlfn.XLOOKUP($N10,'Detailed Forecast'!$D:$D,'Detailed Forecast'!AB:AB,""),"")</f>
        <v>79478848.429999992</v>
      </c>
      <c r="P10" s="52">
        <f>IFERROR(_xlfn.XLOOKUP($N10,'Detailed Forecast'!$D:$D,'Detailed Forecast'!AC:AC,""),"")</f>
        <v>73968231.393120781</v>
      </c>
      <c r="Q10" s="53">
        <f t="shared" si="3"/>
        <v>-6.9334384502722335E-2</v>
      </c>
      <c r="R10" s="84">
        <f>IFERROR((((_xlfn.XLOOKUP(N10,'Detailed Forecast'!D:D,'Detailed Forecast'!AC:AC)-_xlfn.XLOOKUP(N10,'Detailed Forecast'!D:D,'Detailed Forecast'!S:S))/P10)-((_xlfn.XLOOKUP(N10,'Detailed Forecast'!D:D,'Detailed Forecast'!AB:AB)-_xlfn.XLOOKUP(N10,'Detailed Forecast'!D:D,'Detailed Forecast'!R:R))/O10))*100,"")</f>
        <v>-1.0532419452986219</v>
      </c>
      <c r="S10" s="53">
        <f>O10/E$4</f>
        <v>7.6106408998817029E-2</v>
      </c>
      <c r="T10" s="98">
        <f>P10/F$4</f>
        <v>7.6973548255029611E-2</v>
      </c>
    </row>
    <row r="11" spans="2:22" x14ac:dyDescent="0.25">
      <c r="H11" s="81"/>
      <c r="N11" s="87" t="s">
        <v>72</v>
      </c>
      <c r="O11" s="52">
        <f>IFERROR(_xlfn.XLOOKUP($N11,'Detailed Forecast'!$D:$D,'Detailed Forecast'!AB:AB,""),"")</f>
        <v>79547549.13000001</v>
      </c>
      <c r="P11" s="52">
        <f>IFERROR(_xlfn.XLOOKUP($N11,'Detailed Forecast'!$D:$D,'Detailed Forecast'!AC:AC,""),"")</f>
        <v>74448961.822247252</v>
      </c>
      <c r="Q11" s="53">
        <f t="shared" si="3"/>
        <v>-6.4094838414448518E-2</v>
      </c>
      <c r="R11" s="84">
        <f>IFERROR((((_xlfn.XLOOKUP(N11,'Detailed Forecast'!D:D,'Detailed Forecast'!AC:AC)-_xlfn.XLOOKUP(N11,'Detailed Forecast'!D:D,'Detailed Forecast'!S:S))/P11)-((_xlfn.XLOOKUP(N11,'Detailed Forecast'!D:D,'Detailed Forecast'!AB:AB)-_xlfn.XLOOKUP(N11,'Detailed Forecast'!D:D,'Detailed Forecast'!R:R))/O11))*100,"")</f>
        <v>0.24504495732675657</v>
      </c>
      <c r="S11" s="53">
        <f>O11/E$4</f>
        <v>7.617219459682191E-2</v>
      </c>
      <c r="T11" s="98">
        <f>P11/F$4</f>
        <v>7.7473810681034691E-2</v>
      </c>
    </row>
    <row r="12" spans="2:22" x14ac:dyDescent="0.25">
      <c r="D12" s="86" t="s">
        <v>3</v>
      </c>
      <c r="E12" s="45">
        <f>IFERROR(_xlfn.XLOOKUP($D12,'Detailed Forecast'!$D:$D,'Detailed Forecast'!AB:AB,""),"")</f>
        <v>188256741.18000001</v>
      </c>
      <c r="F12" s="45">
        <f>IFERROR(_xlfn.XLOOKUP($D12,'Detailed Forecast'!$D:$D,'Detailed Forecast'!AC:AC,""),"")</f>
        <v>172550588.78850916</v>
      </c>
      <c r="G12" s="46">
        <f t="shared" ref="G12:G21" si="4">F12/E12-1</f>
        <v>-8.3429428837682673E-2</v>
      </c>
      <c r="H12" s="82">
        <f>IFERROR((((_xlfn.XLOOKUP(D12,'Detailed Forecast'!D:D,'Detailed Forecast'!AC:AC)-_xlfn.XLOOKUP(D12,'Detailed Forecast'!D:D,'Detailed Forecast'!S:S))/F12)-((_xlfn.XLOOKUP(D12,'Detailed Forecast'!D:D,'Detailed Forecast'!AB:AB)-_xlfn.XLOOKUP(D12,'Detailed Forecast'!D:D,'Detailed Forecast'!R:R))/E12))*100,"")</f>
        <v>-1.0359771121811967</v>
      </c>
      <c r="I12" s="46">
        <f>E12/E$4</f>
        <v>0.18026864787363303</v>
      </c>
      <c r="J12" s="47">
        <f>F12/F$4</f>
        <v>0.17956129033228882</v>
      </c>
      <c r="N12" s="87" t="s">
        <v>54</v>
      </c>
      <c r="O12" s="52">
        <f>IFERROR(_xlfn.XLOOKUP($N12,'Detailed Forecast'!$D:$D,'Detailed Forecast'!AB:AB,""),"")</f>
        <v>75904893.959999993</v>
      </c>
      <c r="P12" s="52">
        <f>IFERROR(_xlfn.XLOOKUP($N12,'Detailed Forecast'!$D:$D,'Detailed Forecast'!AC:AC,""),"")</f>
        <v>67001146.856779374</v>
      </c>
      <c r="Q12" s="53">
        <f t="shared" si="3"/>
        <v>-0.11730135751079074</v>
      </c>
      <c r="R12" s="84">
        <f>IFERROR((((_xlfn.XLOOKUP(N12,'Detailed Forecast'!D:D,'Detailed Forecast'!AC:AC)-_xlfn.XLOOKUP(N12,'Detailed Forecast'!D:D,'Detailed Forecast'!S:S))/P12)-((_xlfn.XLOOKUP(N12,'Detailed Forecast'!D:D,'Detailed Forecast'!AB:AB)-_xlfn.XLOOKUP(N12,'Detailed Forecast'!D:D,'Detailed Forecast'!R:R))/O12))*100,"")</f>
        <v>-0.53177849301551117</v>
      </c>
      <c r="S12" s="53">
        <f>O12/E$4</f>
        <v>7.2684104247175696E-2</v>
      </c>
      <c r="T12" s="98">
        <f>P12/F$4</f>
        <v>6.9723392240013393E-2</v>
      </c>
    </row>
    <row r="13" spans="2:22" x14ac:dyDescent="0.25">
      <c r="D13" s="87" t="s">
        <v>6</v>
      </c>
      <c r="E13" s="52">
        <f>IFERROR(_xlfn.XLOOKUP($D13,'Detailed Forecast'!$D:$D,'Detailed Forecast'!AB:AB,""),"")</f>
        <v>169835482.80999997</v>
      </c>
      <c r="F13" s="52">
        <f>IFERROR(_xlfn.XLOOKUP($D13,'Detailed Forecast'!$D:$D,'Detailed Forecast'!AC:AC,""),"")</f>
        <v>161439782.15493441</v>
      </c>
      <c r="G13" s="53">
        <f t="shared" si="4"/>
        <v>-4.9434314409186775E-2</v>
      </c>
      <c r="H13" s="84">
        <f>IFERROR((((_xlfn.XLOOKUP(D13,'Detailed Forecast'!D:D,'Detailed Forecast'!AC:AC)-_xlfn.XLOOKUP(D13,'Detailed Forecast'!D:D,'Detailed Forecast'!S:S))/F13)-((_xlfn.XLOOKUP(D13,'Detailed Forecast'!D:D,'Detailed Forecast'!AB:AB)-_xlfn.XLOOKUP(D13,'Detailed Forecast'!D:D,'Detailed Forecast'!R:R))/E13))*100,"")</f>
        <v>-0.18612333994637575</v>
      </c>
      <c r="I13" s="53">
        <f t="shared" ref="I13:I21" si="5">E13/E$4</f>
        <v>0.16262903870120174</v>
      </c>
      <c r="J13" s="98">
        <f t="shared" ref="J13:J21" si="6">F13/F$4</f>
        <v>0.16799905348473715</v>
      </c>
      <c r="N13" s="87" t="s">
        <v>58</v>
      </c>
      <c r="O13" s="52">
        <f>IFERROR(_xlfn.XLOOKUP($N13,'Detailed Forecast'!$D:$D,'Detailed Forecast'!AB:AB,""),"")</f>
        <v>74351401.599999994</v>
      </c>
      <c r="P13" s="52">
        <f>IFERROR(_xlfn.XLOOKUP($N13,'Detailed Forecast'!$D:$D,'Detailed Forecast'!AC:AC,""),"")</f>
        <v>69655669.865581453</v>
      </c>
      <c r="Q13" s="53">
        <f t="shared" si="3"/>
        <v>-6.3155927573240844E-2</v>
      </c>
      <c r="R13" s="84">
        <f>IFERROR((((_xlfn.XLOOKUP(N13,'Detailed Forecast'!D:D,'Detailed Forecast'!AC:AC)-_xlfn.XLOOKUP(N13,'Detailed Forecast'!D:D,'Detailed Forecast'!S:S))/P13)-((_xlfn.XLOOKUP(N13,'Detailed Forecast'!D:D,'Detailed Forecast'!AB:AB)-_xlfn.XLOOKUP(N13,'Detailed Forecast'!D:D,'Detailed Forecast'!R:R))/O13))*100,"")</f>
        <v>-0.99668321719061925</v>
      </c>
      <c r="S13" s="53">
        <f>O13/E$4</f>
        <v>7.1196529536895037E-2</v>
      </c>
      <c r="T13" s="98">
        <f>P13/F$4</f>
        <v>7.2485768074392429E-2</v>
      </c>
    </row>
    <row r="14" spans="2:22" x14ac:dyDescent="0.25">
      <c r="D14" s="87" t="s">
        <v>5</v>
      </c>
      <c r="E14" s="52">
        <f>IFERROR(_xlfn.XLOOKUP($D14,'Detailed Forecast'!$D:$D,'Detailed Forecast'!AB:AB,""),"")</f>
        <v>150117446.91999999</v>
      </c>
      <c r="F14" s="52">
        <f>IFERROR(_xlfn.XLOOKUP($D14,'Detailed Forecast'!$D:$D,'Detailed Forecast'!AC:AC,""),"")</f>
        <v>136753197.7031247</v>
      </c>
      <c r="G14" s="53">
        <f t="shared" si="4"/>
        <v>-8.9025289805237051E-2</v>
      </c>
      <c r="H14" s="84">
        <f>IFERROR((((_xlfn.XLOOKUP(D14,'Detailed Forecast'!D:D,'Detailed Forecast'!AC:AC)-_xlfn.XLOOKUP(D14,'Detailed Forecast'!D:D,'Detailed Forecast'!S:S))/F14)-((_xlfn.XLOOKUP(D14,'Detailed Forecast'!D:D,'Detailed Forecast'!AB:AB)-_xlfn.XLOOKUP(D14,'Detailed Forecast'!D:D,'Detailed Forecast'!R:R))/E14))*100,"")</f>
        <v>-0.39945765098035046</v>
      </c>
      <c r="I14" s="53">
        <f t="shared" si="5"/>
        <v>0.14374767675722006</v>
      </c>
      <c r="J14" s="98">
        <f t="shared" si="6"/>
        <v>0.14230945723828745</v>
      </c>
      <c r="N14" s="87" t="s">
        <v>53</v>
      </c>
      <c r="O14" s="52">
        <f>IFERROR(_xlfn.XLOOKUP($N14,'Detailed Forecast'!$D:$D,'Detailed Forecast'!AB:AB,""),"")</f>
        <v>71167772.260000005</v>
      </c>
      <c r="P14" s="52">
        <f>IFERROR(_xlfn.XLOOKUP($N14,'Detailed Forecast'!$D:$D,'Detailed Forecast'!AC:AC,""),"")</f>
        <v>65700803.20494163</v>
      </c>
      <c r="Q14" s="53">
        <f t="shared" si="3"/>
        <v>-7.6818043918610801E-2</v>
      </c>
      <c r="R14" s="84">
        <f>IFERROR((((_xlfn.XLOOKUP(N14,'Detailed Forecast'!D:D,'Detailed Forecast'!AC:AC)-_xlfn.XLOOKUP(N14,'Detailed Forecast'!D:D,'Detailed Forecast'!S:S))/P14)-((_xlfn.XLOOKUP(N14,'Detailed Forecast'!D:D,'Detailed Forecast'!AB:AB)-_xlfn.XLOOKUP(N14,'Detailed Forecast'!D:D,'Detailed Forecast'!R:R))/O14))*100,"")</f>
        <v>-0.39141237187656497</v>
      </c>
      <c r="S14" s="53">
        <f>O14/E$4</f>
        <v>6.8147987674036126E-2</v>
      </c>
      <c r="T14" s="98">
        <f>P14/F$4</f>
        <v>6.8370215843231746E-2</v>
      </c>
    </row>
    <row r="15" spans="2:22" x14ac:dyDescent="0.25">
      <c r="D15" s="87" t="s">
        <v>7</v>
      </c>
      <c r="E15" s="52">
        <f>IFERROR(_xlfn.XLOOKUP($D15,'Detailed Forecast'!$D:$D,'Detailed Forecast'!AB:AB,""),"")</f>
        <v>133107875.15000001</v>
      </c>
      <c r="F15" s="52">
        <f>IFERROR(_xlfn.XLOOKUP($D15,'Detailed Forecast'!$D:$D,'Detailed Forecast'!AC:AC,""),"")</f>
        <v>126638277.48211174</v>
      </c>
      <c r="G15" s="53">
        <f t="shared" si="4"/>
        <v>-4.8604169066613356E-2</v>
      </c>
      <c r="H15" s="84">
        <f>IFERROR((((_xlfn.XLOOKUP(D15,'Detailed Forecast'!D:D,'Detailed Forecast'!AC:AC)-_xlfn.XLOOKUP(D15,'Detailed Forecast'!D:D,'Detailed Forecast'!S:S))/F15)-((_xlfn.XLOOKUP(D15,'Detailed Forecast'!D:D,'Detailed Forecast'!AB:AB)-_xlfn.XLOOKUP(D15,'Detailed Forecast'!D:D,'Detailed Forecast'!R:R))/E15))*100,"")</f>
        <v>-0.32150115840304805</v>
      </c>
      <c r="I15" s="53">
        <f t="shared" si="5"/>
        <v>0.12745985362447174</v>
      </c>
      <c r="J15" s="98">
        <f t="shared" si="6"/>
        <v>0.13178356950156478</v>
      </c>
      <c r="N15" s="87" t="s">
        <v>50</v>
      </c>
      <c r="O15" s="52">
        <f>IFERROR(_xlfn.XLOOKUP($N15,'Detailed Forecast'!$D:$D,'Detailed Forecast'!AB:AB,""),"")</f>
        <v>68853049.280000001</v>
      </c>
      <c r="P15" s="52">
        <f>IFERROR(_xlfn.XLOOKUP($N15,'Detailed Forecast'!$D:$D,'Detailed Forecast'!AC:AC,""),"")</f>
        <v>63340833.038602464</v>
      </c>
      <c r="Q15" s="53">
        <f t="shared" si="3"/>
        <v>-8.0057692419421844E-2</v>
      </c>
      <c r="R15" s="84">
        <f>IFERROR((((_xlfn.XLOOKUP(N15,'Detailed Forecast'!D:D,'Detailed Forecast'!AC:AC)-_xlfn.XLOOKUP(N15,'Detailed Forecast'!D:D,'Detailed Forecast'!S:S))/P15)-((_xlfn.XLOOKUP(N15,'Detailed Forecast'!D:D,'Detailed Forecast'!AB:AB)-_xlfn.XLOOKUP(N15,'Detailed Forecast'!D:D,'Detailed Forecast'!R:R))/O15))*100,"")</f>
        <v>-1.1957068298819262</v>
      </c>
      <c r="S15" s="53">
        <f>O15/E$4</f>
        <v>6.5931482813752496E-2</v>
      </c>
      <c r="T15" s="98">
        <f>P15/F$4</f>
        <v>6.5914360484007464E-2</v>
      </c>
    </row>
    <row r="16" spans="2:22" x14ac:dyDescent="0.25">
      <c r="D16" s="87" t="s">
        <v>8</v>
      </c>
      <c r="E16" s="52">
        <f>IFERROR(_xlfn.XLOOKUP($D16,'Detailed Forecast'!$D:$D,'Detailed Forecast'!AB:AB,""),"")</f>
        <v>102273660.19999999</v>
      </c>
      <c r="F16" s="52">
        <f>IFERROR(_xlfn.XLOOKUP($D16,'Detailed Forecast'!$D:$D,'Detailed Forecast'!AC:AC,""),"")</f>
        <v>91777144.675285891</v>
      </c>
      <c r="G16" s="53">
        <f t="shared" si="4"/>
        <v>-0.10263166004020752</v>
      </c>
      <c r="H16" s="84">
        <f>IFERROR((((_xlfn.XLOOKUP(D16,'Detailed Forecast'!D:D,'Detailed Forecast'!AC:AC)-_xlfn.XLOOKUP(D16,'Detailed Forecast'!D:D,'Detailed Forecast'!S:S))/F16)-((_xlfn.XLOOKUP(D16,'Detailed Forecast'!D:D,'Detailed Forecast'!AB:AB)-_xlfn.XLOOKUP(D16,'Detailed Forecast'!D:D,'Detailed Forecast'!R:R))/E16))*100,"")</f>
        <v>-0.87072182517474728</v>
      </c>
      <c r="I16" s="53">
        <f t="shared" si="5"/>
        <v>9.7933993342173481E-2</v>
      </c>
      <c r="J16" s="98">
        <f t="shared" si="6"/>
        <v>9.550603470328424E-2</v>
      </c>
      <c r="N16" s="87" t="s">
        <v>60</v>
      </c>
      <c r="O16" s="52">
        <f>IFERROR(_xlfn.XLOOKUP($N16,'Detailed Forecast'!$D:$D,'Detailed Forecast'!AB:AB,""),"")</f>
        <v>46863360.219999991</v>
      </c>
      <c r="P16" s="52">
        <f>IFERROR(_xlfn.XLOOKUP($N16,'Detailed Forecast'!$D:$D,'Detailed Forecast'!AC:AC,""),"")</f>
        <v>46356401.69915498</v>
      </c>
      <c r="Q16" s="53">
        <f t="shared" si="3"/>
        <v>-1.0817801337016708E-2</v>
      </c>
      <c r="R16" s="84">
        <f>IFERROR((((_xlfn.XLOOKUP(N16,'Detailed Forecast'!D:D,'Detailed Forecast'!AC:AC)-_xlfn.XLOOKUP(N16,'Detailed Forecast'!D:D,'Detailed Forecast'!S:S))/P16)-((_xlfn.XLOOKUP(N16,'Detailed Forecast'!D:D,'Detailed Forecast'!AB:AB)-_xlfn.XLOOKUP(N16,'Detailed Forecast'!D:D,'Detailed Forecast'!R:R))/O16))*100,"")</f>
        <v>-0.81222264157448931</v>
      </c>
      <c r="S16" s="53">
        <f>O16/E$4</f>
        <v>4.4874858285137986E-2</v>
      </c>
      <c r="T16" s="98">
        <f>P16/F$4</f>
        <v>4.8239854541814758E-2</v>
      </c>
    </row>
    <row r="17" spans="4:20" x14ac:dyDescent="0.25">
      <c r="D17" s="87" t="s">
        <v>10</v>
      </c>
      <c r="E17" s="52">
        <f>IFERROR(_xlfn.XLOOKUP($D17,'Detailed Forecast'!$D:$D,'Detailed Forecast'!AB:AB,""),"")</f>
        <v>87971573.609999999</v>
      </c>
      <c r="F17" s="52">
        <f>IFERROR(_xlfn.XLOOKUP($D17,'Detailed Forecast'!$D:$D,'Detailed Forecast'!AC:AC,""),"")</f>
        <v>77485072.622763515</v>
      </c>
      <c r="G17" s="53">
        <f t="shared" si="4"/>
        <v>-0.11920328984594242</v>
      </c>
      <c r="H17" s="84">
        <f>IFERROR((((_xlfn.XLOOKUP(D17,'Detailed Forecast'!D:D,'Detailed Forecast'!AC:AC)-_xlfn.XLOOKUP(D17,'Detailed Forecast'!D:D,'Detailed Forecast'!S:S))/F17)-((_xlfn.XLOOKUP(D17,'Detailed Forecast'!D:D,'Detailed Forecast'!AB:AB)-_xlfn.XLOOKUP(D17,'Detailed Forecast'!D:D,'Detailed Forecast'!R:R))/E17))*100,"")</f>
        <v>-1.2288681057608719</v>
      </c>
      <c r="I17" s="53">
        <f t="shared" si="5"/>
        <v>8.4238771618953601E-2</v>
      </c>
      <c r="J17" s="98">
        <f t="shared" si="6"/>
        <v>8.0633278155241322E-2</v>
      </c>
      <c r="N17" s="87" t="s">
        <v>71</v>
      </c>
      <c r="O17" s="52">
        <f>IFERROR(_xlfn.XLOOKUP($N17,'Detailed Forecast'!$D:$D,'Detailed Forecast'!AB:AB,""),"")</f>
        <v>45173303.43999999</v>
      </c>
      <c r="P17" s="52">
        <f>IFERROR(_xlfn.XLOOKUP($N17,'Detailed Forecast'!$D:$D,'Detailed Forecast'!AC:AC,""),"")</f>
        <v>39326181.491453998</v>
      </c>
      <c r="Q17" s="53">
        <f t="shared" si="3"/>
        <v>-0.12943755499998455</v>
      </c>
      <c r="R17" s="84">
        <f>IFERROR((((_xlfn.XLOOKUP(N17,'Detailed Forecast'!D:D,'Detailed Forecast'!AC:AC)-_xlfn.XLOOKUP(N17,'Detailed Forecast'!D:D,'Detailed Forecast'!S:S))/P17)-((_xlfn.XLOOKUP(N17,'Detailed Forecast'!D:D,'Detailed Forecast'!AB:AB)-_xlfn.XLOOKUP(N17,'Detailed Forecast'!D:D,'Detailed Forecast'!R:R))/O17))*100,"")</f>
        <v>-0.3406638639851689</v>
      </c>
      <c r="S17" s="53">
        <f>O17/E$4</f>
        <v>4.3256513844186655E-2</v>
      </c>
      <c r="T17" s="98">
        <f>P17/F$4</f>
        <v>4.0923997663678241E-2</v>
      </c>
    </row>
    <row r="18" spans="4:20" x14ac:dyDescent="0.25">
      <c r="D18" s="87" t="s">
        <v>11</v>
      </c>
      <c r="E18" s="52">
        <f>IFERROR(_xlfn.XLOOKUP($D18,'Detailed Forecast'!$D:$D,'Detailed Forecast'!AB:AB,""),"")</f>
        <v>86284486.340000004</v>
      </c>
      <c r="F18" s="52">
        <f>IFERROR(_xlfn.XLOOKUP($D18,'Detailed Forecast'!$D:$D,'Detailed Forecast'!AC:AC,""),"")</f>
        <v>78731597.91798678</v>
      </c>
      <c r="G18" s="53">
        <f t="shared" si="4"/>
        <v>-8.7534720810081845E-2</v>
      </c>
      <c r="H18" s="84">
        <f>IFERROR((((_xlfn.XLOOKUP(D18,'Detailed Forecast'!D:D,'Detailed Forecast'!AC:AC)-_xlfn.XLOOKUP(D18,'Detailed Forecast'!D:D,'Detailed Forecast'!S:S))/F18)-((_xlfn.XLOOKUP(D18,'Detailed Forecast'!D:D,'Detailed Forecast'!AB:AB)-_xlfn.XLOOKUP(D18,'Detailed Forecast'!D:D,'Detailed Forecast'!R:R))/E18))*100,"")</f>
        <v>-1.1829601402384649</v>
      </c>
      <c r="I18" s="53">
        <f t="shared" si="5"/>
        <v>8.2623270686017936E-2</v>
      </c>
      <c r="J18" s="98">
        <f t="shared" si="6"/>
        <v>8.1930449564586477E-2</v>
      </c>
      <c r="N18" s="87" t="s">
        <v>66</v>
      </c>
      <c r="O18" s="52">
        <f>IFERROR(_xlfn.XLOOKUP($N18,'Detailed Forecast'!$D:$D,'Detailed Forecast'!AB:AB,""),"")</f>
        <v>43348060.280000001</v>
      </c>
      <c r="P18" s="52">
        <f>IFERROR(_xlfn.XLOOKUP($N18,'Detailed Forecast'!$D:$D,'Detailed Forecast'!AC:AC,""),"")</f>
        <v>42499336.109807156</v>
      </c>
      <c r="Q18" s="53">
        <f t="shared" si="3"/>
        <v>-1.9579288316723842E-2</v>
      </c>
      <c r="R18" s="84">
        <f>IFERROR((((_xlfn.XLOOKUP(N18,'Detailed Forecast'!D:D,'Detailed Forecast'!AC:AC)-_xlfn.XLOOKUP(N18,'Detailed Forecast'!D:D,'Detailed Forecast'!S:S))/P18)-((_xlfn.XLOOKUP(N18,'Detailed Forecast'!D:D,'Detailed Forecast'!AB:AB)-_xlfn.XLOOKUP(N18,'Detailed Forecast'!D:D,'Detailed Forecast'!R:R))/O18))*100,"")</f>
        <v>-0.98157208469527024</v>
      </c>
      <c r="S18" s="53">
        <f>O18/E$4</f>
        <v>4.1508719239693889E-2</v>
      </c>
      <c r="T18" s="98">
        <f>P18/F$4</f>
        <v>4.4226077023104333E-2</v>
      </c>
    </row>
    <row r="19" spans="4:20" x14ac:dyDescent="0.25">
      <c r="D19" s="87" t="s">
        <v>12</v>
      </c>
      <c r="E19" s="52">
        <f>IFERROR(_xlfn.XLOOKUP($D19,'Detailed Forecast'!$D:$D,'Detailed Forecast'!AB:AB,""),"")</f>
        <v>50051301.950000003</v>
      </c>
      <c r="F19" s="52">
        <f>IFERROR(_xlfn.XLOOKUP($D19,'Detailed Forecast'!$D:$D,'Detailed Forecast'!AC:AC,""),"")</f>
        <v>45788310.129064895</v>
      </c>
      <c r="G19" s="53">
        <f t="shared" si="4"/>
        <v>-8.5172446167209204E-2</v>
      </c>
      <c r="H19" s="84">
        <f>IFERROR((((_xlfn.XLOOKUP(D19,'Detailed Forecast'!D:D,'Detailed Forecast'!AC:AC)-_xlfn.XLOOKUP(D19,'Detailed Forecast'!D:D,'Detailed Forecast'!S:S))/F19)-((_xlfn.XLOOKUP(D19,'Detailed Forecast'!D:D,'Detailed Forecast'!AB:AB)-_xlfn.XLOOKUP(D19,'Detailed Forecast'!D:D,'Detailed Forecast'!R:R))/E19))*100,"")</f>
        <v>-1.7754881799920796</v>
      </c>
      <c r="I19" s="53">
        <f t="shared" si="5"/>
        <v>4.7927529555047796E-2</v>
      </c>
      <c r="J19" s="98">
        <f t="shared" si="6"/>
        <v>4.7648681506309798E-2</v>
      </c>
      <c r="N19" s="87" t="s">
        <v>47</v>
      </c>
      <c r="O19" s="52">
        <f>IFERROR(_xlfn.XLOOKUP($N19,'Detailed Forecast'!$D:$D,'Detailed Forecast'!AB:AB,""),"")</f>
        <v>39604826.219999991</v>
      </c>
      <c r="P19" s="52">
        <f>IFERROR(_xlfn.XLOOKUP($N19,'Detailed Forecast'!$D:$D,'Detailed Forecast'!AC:AC,""),"")</f>
        <v>30673535.407317042</v>
      </c>
      <c r="Q19" s="53">
        <f t="shared" si="3"/>
        <v>-0.22551016290466008</v>
      </c>
      <c r="R19" s="84">
        <f>IFERROR((((_xlfn.XLOOKUP(N19,'Detailed Forecast'!D:D,'Detailed Forecast'!AC:AC)-_xlfn.XLOOKUP(N19,'Detailed Forecast'!D:D,'Detailed Forecast'!S:S))/P19)-((_xlfn.XLOOKUP(N19,'Detailed Forecast'!D:D,'Detailed Forecast'!AB:AB)-_xlfn.XLOOKUP(N19,'Detailed Forecast'!D:D,'Detailed Forecast'!R:R))/O19))*100,"")</f>
        <v>-2.5631570809470205</v>
      </c>
      <c r="S19" s="53">
        <f>O19/E$4</f>
        <v>3.7924317754567047E-2</v>
      </c>
      <c r="T19" s="98">
        <f>P19/F$4</f>
        <v>3.1919796017281288E-2</v>
      </c>
    </row>
    <row r="20" spans="4:20" x14ac:dyDescent="0.25">
      <c r="D20" s="87" t="s">
        <v>9</v>
      </c>
      <c r="E20" s="52">
        <f>IFERROR(_xlfn.XLOOKUP($D20,'Detailed Forecast'!$D:$D,'Detailed Forecast'!AB:AB,""),"")</f>
        <v>43126676.920000002</v>
      </c>
      <c r="F20" s="52">
        <f>IFERROR(_xlfn.XLOOKUP($D20,'Detailed Forecast'!$D:$D,'Detailed Forecast'!AC:AC,""),"")</f>
        <v>39351988.714880303</v>
      </c>
      <c r="G20" s="53">
        <f t="shared" si="4"/>
        <v>-8.7525598416074324E-2</v>
      </c>
      <c r="H20" s="84">
        <f>IFERROR((((_xlfn.XLOOKUP(D20,'Detailed Forecast'!D:D,'Detailed Forecast'!AC:AC)-_xlfn.XLOOKUP(D20,'Detailed Forecast'!D:D,'Detailed Forecast'!S:S))/F20)-((_xlfn.XLOOKUP(D20,'Detailed Forecast'!D:D,'Detailed Forecast'!AB:AB)-_xlfn.XLOOKUP(D20,'Detailed Forecast'!D:D,'Detailed Forecast'!R:R))/E20))*100,"")</f>
        <v>-0.77977084930557217</v>
      </c>
      <c r="I20" s="53">
        <f t="shared" si="5"/>
        <v>4.1296729598745183E-2</v>
      </c>
      <c r="J20" s="98">
        <f t="shared" si="6"/>
        <v>4.0950853430273167E-2</v>
      </c>
      <c r="N20" s="87" t="s">
        <v>56</v>
      </c>
      <c r="O20" s="52">
        <f>IFERROR(_xlfn.XLOOKUP($N20,'Detailed Forecast'!$D:$D,'Detailed Forecast'!AB:AB,""),"")</f>
        <v>37213203.890000001</v>
      </c>
      <c r="P20" s="52">
        <f>IFERROR(_xlfn.XLOOKUP($N20,'Detailed Forecast'!$D:$D,'Detailed Forecast'!AC:AC,""),"")</f>
        <v>31591595.180916343</v>
      </c>
      <c r="Q20" s="53">
        <f t="shared" si="3"/>
        <v>-0.15106489421606362</v>
      </c>
      <c r="R20" s="84">
        <f>IFERROR((((_xlfn.XLOOKUP(N20,'Detailed Forecast'!D:D,'Detailed Forecast'!AC:AC)-_xlfn.XLOOKUP(N20,'Detailed Forecast'!D:D,'Detailed Forecast'!S:S))/P20)-((_xlfn.XLOOKUP(N20,'Detailed Forecast'!D:D,'Detailed Forecast'!AB:AB)-_xlfn.XLOOKUP(N20,'Detailed Forecast'!D:D,'Detailed Forecast'!R:R))/O20))*100,"")</f>
        <v>-0.10985521246530405</v>
      </c>
      <c r="S20" s="53">
        <f>O20/E$4</f>
        <v>3.5634176530666542E-2</v>
      </c>
      <c r="T20" s="98">
        <f>P20/F$4</f>
        <v>3.2875156405832093E-2</v>
      </c>
    </row>
    <row r="21" spans="4:20" x14ac:dyDescent="0.25">
      <c r="D21" s="88" t="s">
        <v>4</v>
      </c>
      <c r="E21" s="49">
        <f>IFERROR(_xlfn.XLOOKUP($D21,'Detailed Forecast'!$D:$D,'Detailed Forecast'!AB:AB,""),"")</f>
        <v>33286915.689999998</v>
      </c>
      <c r="F21" s="49">
        <f>IFERROR(_xlfn.XLOOKUP($D21,'Detailed Forecast'!$D:$D,'Detailed Forecast'!AC:AC,""),"")</f>
        <v>30661390.125285</v>
      </c>
      <c r="G21" s="50">
        <f t="shared" si="4"/>
        <v>-7.8875603530421223E-2</v>
      </c>
      <c r="H21" s="83">
        <f>IFERROR((((_xlfn.XLOOKUP(D21,'Detailed Forecast'!D:D,'Detailed Forecast'!AC:AC)-_xlfn.XLOOKUP(D21,'Detailed Forecast'!D:D,'Detailed Forecast'!S:S))/F21)-((_xlfn.XLOOKUP(D21,'Detailed Forecast'!D:D,'Detailed Forecast'!AB:AB)-_xlfn.XLOOKUP(D21,'Detailed Forecast'!D:D,'Detailed Forecast'!R:R))/E21))*100,"")</f>
        <v>-0.81463366158204265</v>
      </c>
      <c r="I21" s="50">
        <f t="shared" si="5"/>
        <v>3.1874488242535297E-2</v>
      </c>
      <c r="J21" s="99">
        <f t="shared" si="6"/>
        <v>3.1907157274472964E-2</v>
      </c>
      <c r="N21" s="87" t="s">
        <v>61</v>
      </c>
      <c r="O21" s="52">
        <f>IFERROR(_xlfn.XLOOKUP($N21,'Detailed Forecast'!$D:$D,'Detailed Forecast'!AB:AB,""),"")</f>
        <v>35176260.730000004</v>
      </c>
      <c r="P21" s="52">
        <f>IFERROR(_xlfn.XLOOKUP($N21,'Detailed Forecast'!$D:$D,'Detailed Forecast'!AC:AC,""),"")</f>
        <v>31882422.45786069</v>
      </c>
      <c r="Q21" s="53">
        <f t="shared" si="3"/>
        <v>-9.3638101486158587E-2</v>
      </c>
      <c r="R21" s="84">
        <f>IFERROR((((_xlfn.XLOOKUP(N21,'Detailed Forecast'!D:D,'Detailed Forecast'!AC:AC)-_xlfn.XLOOKUP(N21,'Detailed Forecast'!D:D,'Detailed Forecast'!S:S))/P21)-((_xlfn.XLOOKUP(N21,'Detailed Forecast'!D:D,'Detailed Forecast'!AB:AB)-_xlfn.XLOOKUP(N21,'Detailed Forecast'!D:D,'Detailed Forecast'!R:R))/O21))*100,"")</f>
        <v>-0.35982830682487199</v>
      </c>
      <c r="S21" s="53">
        <f>O21/E$4</f>
        <v>3.3683664761754356E-2</v>
      </c>
      <c r="T21" s="98">
        <f>P21/F$4</f>
        <v>3.3177799946364772E-2</v>
      </c>
    </row>
    <row r="22" spans="4:20" x14ac:dyDescent="0.25">
      <c r="H22" s="81"/>
      <c r="N22" s="87" t="s">
        <v>57</v>
      </c>
      <c r="O22" s="52">
        <f>IFERROR(_xlfn.XLOOKUP($N22,'Detailed Forecast'!$D:$D,'Detailed Forecast'!AB:AB,""),"")</f>
        <v>32110358.539999999</v>
      </c>
      <c r="P22" s="52">
        <f>IFERROR(_xlfn.XLOOKUP($N22,'Detailed Forecast'!$D:$D,'Detailed Forecast'!AC:AC,""),"")</f>
        <v>30217286.677640248</v>
      </c>
      <c r="Q22" s="53">
        <f t="shared" si="3"/>
        <v>-5.8955176722849223E-2</v>
      </c>
      <c r="R22" s="84">
        <f>IFERROR((((_xlfn.XLOOKUP(N22,'Detailed Forecast'!D:D,'Detailed Forecast'!AC:AC)-_xlfn.XLOOKUP(N22,'Detailed Forecast'!D:D,'Detailed Forecast'!S:S))/P22)-((_xlfn.XLOOKUP(N22,'Detailed Forecast'!D:D,'Detailed Forecast'!AB:AB)-_xlfn.XLOOKUP(N22,'Detailed Forecast'!D:D,'Detailed Forecast'!R:R))/O22))*100,"")</f>
        <v>-0.56260832594555721</v>
      </c>
      <c r="S22" s="53">
        <f>O22/E$4</f>
        <v>3.0747854660932175E-2</v>
      </c>
      <c r="T22" s="98">
        <f>P22/F$4</f>
        <v>3.1445009978077185E-2</v>
      </c>
    </row>
    <row r="23" spans="4:20" x14ac:dyDescent="0.25">
      <c r="D23" s="86" t="s">
        <v>77</v>
      </c>
      <c r="E23" s="45">
        <f>IFERROR(_xlfn.XLOOKUP($D23,'Detailed Forecast'!$D:$D,'Detailed Forecast'!AB:AB,""),"")</f>
        <v>82382444.649999946</v>
      </c>
      <c r="F23" s="45">
        <f>IFERROR(_xlfn.XLOOKUP($D23,'Detailed Forecast'!$D:$D,'Detailed Forecast'!AC:AC,""),"")</f>
        <v>70958558.650000036</v>
      </c>
      <c r="G23" s="46">
        <f t="shared" ref="G23:G34" si="7">F23/E23-1</f>
        <v>-0.13866893667132663</v>
      </c>
      <c r="H23" s="82">
        <f>IFERROR((((_xlfn.XLOOKUP(D23,'Detailed Forecast'!D:D,'Detailed Forecast'!AC:AC)-_xlfn.XLOOKUP(D23,'Detailed Forecast'!D:D,'Detailed Forecast'!S:S))/F23)-((_xlfn.XLOOKUP(D23,'Detailed Forecast'!D:D,'Detailed Forecast'!AB:AB)-_xlfn.XLOOKUP(D23,'Detailed Forecast'!D:D,'Detailed Forecast'!R:R))/E23))*100,"")</f>
        <v>-0.45473568607200532</v>
      </c>
      <c r="I23" s="46">
        <f>E23/E$4</f>
        <v>7.8886800082129754E-2</v>
      </c>
      <c r="J23" s="47">
        <f>F23/F$4</f>
        <v>7.3841593012065707E-2</v>
      </c>
      <c r="N23" s="87" t="s">
        <v>44</v>
      </c>
      <c r="O23" s="52">
        <f>IFERROR(_xlfn.XLOOKUP($N23,'Detailed Forecast'!$D:$D,'Detailed Forecast'!AB:AB,""),"")</f>
        <v>30718394.490000002</v>
      </c>
      <c r="P23" s="52">
        <f>IFERROR(_xlfn.XLOOKUP($N23,'Detailed Forecast'!$D:$D,'Detailed Forecast'!AC:AC,""),"")</f>
        <v>30441847.226867065</v>
      </c>
      <c r="Q23" s="53">
        <f t="shared" si="3"/>
        <v>-9.0026600583882344E-3</v>
      </c>
      <c r="R23" s="84">
        <f>IFERROR((((_xlfn.XLOOKUP(N23,'Detailed Forecast'!D:D,'Detailed Forecast'!AC:AC)-_xlfn.XLOOKUP(N23,'Detailed Forecast'!D:D,'Detailed Forecast'!S:S))/P23)-((_xlfn.XLOOKUP(N23,'Detailed Forecast'!D:D,'Detailed Forecast'!AB:AB)-_xlfn.XLOOKUP(N23,'Detailed Forecast'!D:D,'Detailed Forecast'!R:R))/O23))*100,"")</f>
        <v>-1.3866293619284709</v>
      </c>
      <c r="S23" s="53">
        <f>O23/E$4</f>
        <v>2.9414954305760917E-2</v>
      </c>
      <c r="T23" s="98">
        <f>P23/F$4</f>
        <v>3.1678694384835809E-2</v>
      </c>
    </row>
    <row r="24" spans="4:20" x14ac:dyDescent="0.25">
      <c r="D24" s="87" t="s">
        <v>78</v>
      </c>
      <c r="E24" s="52">
        <f>IFERROR(_xlfn.XLOOKUP($D24,'Detailed Forecast'!$D:$D,'Detailed Forecast'!AB:AB,""),"")</f>
        <v>81554152.720000029</v>
      </c>
      <c r="F24" s="52">
        <f>IFERROR(_xlfn.XLOOKUP($D24,'Detailed Forecast'!$D:$D,'Detailed Forecast'!AC:AC,""),"")</f>
        <v>67748868.780000046</v>
      </c>
      <c r="G24" s="53">
        <f t="shared" si="7"/>
        <v>-0.16927751045857442</v>
      </c>
      <c r="H24" s="84">
        <f>IFERROR((((_xlfn.XLOOKUP(D24,'Detailed Forecast'!D:D,'Detailed Forecast'!AC:AC)-_xlfn.XLOOKUP(D24,'Detailed Forecast'!D:D,'Detailed Forecast'!S:S))/F24)-((_xlfn.XLOOKUP(D24,'Detailed Forecast'!D:D,'Detailed Forecast'!AB:AB)-_xlfn.XLOOKUP(D24,'Detailed Forecast'!D:D,'Detailed Forecast'!R:R))/E24))*100,"")</f>
        <v>-0.52965149630418429</v>
      </c>
      <c r="I24" s="53">
        <f t="shared" ref="I24" si="8">E24/E$4</f>
        <v>7.8093654161671258E-2</v>
      </c>
      <c r="J24" s="98">
        <f t="shared" ref="J24" si="9">F24/F$4</f>
        <v>7.0501493979833046E-2</v>
      </c>
      <c r="N24" s="87" t="s">
        <v>48</v>
      </c>
      <c r="O24" s="52">
        <f>IFERROR(_xlfn.XLOOKUP($N24,'Detailed Forecast'!$D:$D,'Detailed Forecast'!AB:AB,""),"")</f>
        <v>29428531.879999999</v>
      </c>
      <c r="P24" s="52">
        <f>IFERROR(_xlfn.XLOOKUP($N24,'Detailed Forecast'!$D:$D,'Detailed Forecast'!AC:AC,""),"")</f>
        <v>24824575.844415888</v>
      </c>
      <c r="Q24" s="53">
        <f t="shared" si="3"/>
        <v>-0.15644531824956642</v>
      </c>
      <c r="R24" s="84">
        <f>IFERROR((((_xlfn.XLOOKUP(N24,'Detailed Forecast'!D:D,'Detailed Forecast'!AC:AC)-_xlfn.XLOOKUP(N24,'Detailed Forecast'!D:D,'Detailed Forecast'!S:S))/P24)-((_xlfn.XLOOKUP(N24,'Detailed Forecast'!D:D,'Detailed Forecast'!AB:AB)-_xlfn.XLOOKUP(N24,'Detailed Forecast'!D:D,'Detailed Forecast'!R:R))/O24))*100,"")</f>
        <v>-0.83715245481954526</v>
      </c>
      <c r="S24" s="53">
        <f>O24/E$4</f>
        <v>2.8179823031364043E-2</v>
      </c>
      <c r="T24" s="98">
        <f>P24/F$4</f>
        <v>2.5833194206242721E-2</v>
      </c>
    </row>
    <row r="25" spans="4:20" x14ac:dyDescent="0.25">
      <c r="D25" s="87" t="s">
        <v>79</v>
      </c>
      <c r="E25" s="52">
        <f>IFERROR(_xlfn.XLOOKUP($D25,'Detailed Forecast'!$D:$D,'Detailed Forecast'!AB:AB,""),"")</f>
        <v>83697668.140000045</v>
      </c>
      <c r="F25" s="52">
        <f>IFERROR(_xlfn.XLOOKUP($D25,'Detailed Forecast'!$D:$D,'Detailed Forecast'!AC:AC,""),"")</f>
        <v>84591120.019999966</v>
      </c>
      <c r="G25" s="53">
        <f t="shared" si="7"/>
        <v>1.0674752353977857E-2</v>
      </c>
      <c r="H25" s="84">
        <f>IFERROR((((_xlfn.XLOOKUP(D25,'Detailed Forecast'!D:D,'Detailed Forecast'!AC:AC)-_xlfn.XLOOKUP(D25,'Detailed Forecast'!D:D,'Detailed Forecast'!S:S))/F25)-((_xlfn.XLOOKUP(D25,'Detailed Forecast'!D:D,'Detailed Forecast'!AB:AB)-_xlfn.XLOOKUP(D25,'Detailed Forecast'!D:D,'Detailed Forecast'!R:R))/E25))*100,"")</f>
        <v>-0.44111021828620034</v>
      </c>
      <c r="I25" s="53">
        <f t="shared" ref="I25:I33" si="10">E25/E$4</f>
        <v>8.0146216125921058E-2</v>
      </c>
      <c r="J25" s="98">
        <f t="shared" ref="J25:J33" si="11">F25/F$4</f>
        <v>8.8028043068933415E-2</v>
      </c>
      <c r="N25" s="87" t="s">
        <v>64</v>
      </c>
      <c r="O25" s="52">
        <f>IFERROR(_xlfn.XLOOKUP($N25,'Detailed Forecast'!$D:$D,'Detailed Forecast'!AB:AB,""),"")</f>
        <v>26604173.310000006</v>
      </c>
      <c r="P25" s="52">
        <f>IFERROR(_xlfn.XLOOKUP($N25,'Detailed Forecast'!$D:$D,'Detailed Forecast'!AC:AC,""),"")</f>
        <v>26882371.182412159</v>
      </c>
      <c r="Q25" s="53">
        <f t="shared" si="3"/>
        <v>1.045692603075854E-2</v>
      </c>
      <c r="R25" s="84">
        <f>IFERROR((((_xlfn.XLOOKUP(N25,'Detailed Forecast'!D:D,'Detailed Forecast'!AC:AC)-_xlfn.XLOOKUP(N25,'Detailed Forecast'!D:D,'Detailed Forecast'!S:S))/P25)-((_xlfn.XLOOKUP(N25,'Detailed Forecast'!D:D,'Detailed Forecast'!AB:AB)-_xlfn.XLOOKUP(N25,'Detailed Forecast'!D:D,'Detailed Forecast'!R:R))/O25))*100,"")</f>
        <v>-0.49088478533981794</v>
      </c>
      <c r="S25" s="53">
        <f>O25/E$4</f>
        <v>2.5475307393130437E-2</v>
      </c>
      <c r="T25" s="98">
        <f>P25/F$4</f>
        <v>2.797459742442163E-2</v>
      </c>
    </row>
    <row r="26" spans="4:20" x14ac:dyDescent="0.25">
      <c r="D26" s="87" t="s">
        <v>80</v>
      </c>
      <c r="E26" s="52">
        <f>IFERROR(_xlfn.XLOOKUP($D26,'Detailed Forecast'!$D:$D,'Detailed Forecast'!AB:AB,""),"")</f>
        <v>83185401.500000089</v>
      </c>
      <c r="F26" s="52">
        <f>IFERROR(_xlfn.XLOOKUP($D26,'Detailed Forecast'!$D:$D,'Detailed Forecast'!AC:AC,""),"")</f>
        <v>77673877.010000065</v>
      </c>
      <c r="G26" s="53">
        <f t="shared" si="7"/>
        <v>-6.6255910179143895E-2</v>
      </c>
      <c r="H26" s="84">
        <f>IFERROR((((_xlfn.XLOOKUP(D26,'Detailed Forecast'!D:D,'Detailed Forecast'!AC:AC)-_xlfn.XLOOKUP(D26,'Detailed Forecast'!D:D,'Detailed Forecast'!S:S))/F26)-((_xlfn.XLOOKUP(D26,'Detailed Forecast'!D:D,'Detailed Forecast'!AB:AB)-_xlfn.XLOOKUP(D26,'Detailed Forecast'!D:D,'Detailed Forecast'!R:R))/E26))*100,"")</f>
        <v>-0.81113204579007503</v>
      </c>
      <c r="I26" s="53">
        <f t="shared" si="10"/>
        <v>7.9655685938450821E-2</v>
      </c>
      <c r="J26" s="98">
        <f t="shared" si="11"/>
        <v>8.0829753633132301E-2</v>
      </c>
      <c r="N26" s="87" t="s">
        <v>65</v>
      </c>
      <c r="O26" s="52">
        <f>IFERROR(_xlfn.XLOOKUP($N26,'Detailed Forecast'!$D:$D,'Detailed Forecast'!AB:AB,""),"")</f>
        <v>25004397.660000004</v>
      </c>
      <c r="P26" s="52">
        <f>IFERROR(_xlfn.XLOOKUP($N26,'Detailed Forecast'!$D:$D,'Detailed Forecast'!AC:AC,""),"")</f>
        <v>21263202.156894833</v>
      </c>
      <c r="Q26" s="53">
        <f t="shared" si="3"/>
        <v>-0.14962150074464819</v>
      </c>
      <c r="R26" s="84">
        <f>IFERROR((((_xlfn.XLOOKUP(N26,'Detailed Forecast'!D:D,'Detailed Forecast'!AC:AC)-_xlfn.XLOOKUP(N26,'Detailed Forecast'!D:D,'Detailed Forecast'!S:S))/P26)-((_xlfn.XLOOKUP(N26,'Detailed Forecast'!D:D,'Detailed Forecast'!AB:AB)-_xlfn.XLOOKUP(N26,'Detailed Forecast'!D:D,'Detailed Forecast'!R:R))/O26))*100,"")</f>
        <v>-0.81900100107948903</v>
      </c>
      <c r="S26" s="53">
        <f>O26/E$4</f>
        <v>2.3943413281296632E-2</v>
      </c>
      <c r="T26" s="98">
        <f>P26/F$4</f>
        <v>2.2127122501842209E-2</v>
      </c>
    </row>
    <row r="27" spans="4:20" x14ac:dyDescent="0.25">
      <c r="D27" s="87" t="s">
        <v>81</v>
      </c>
      <c r="E27" s="52">
        <f>IFERROR(_xlfn.XLOOKUP($D27,'Detailed Forecast'!$D:$D,'Detailed Forecast'!AB:AB,""),"")</f>
        <v>86045415.730000094</v>
      </c>
      <c r="F27" s="52">
        <f>IFERROR(_xlfn.XLOOKUP($D27,'Detailed Forecast'!$D:$D,'Detailed Forecast'!AC:AC,""),"")</f>
        <v>82028725.580000058</v>
      </c>
      <c r="G27" s="53">
        <f t="shared" si="7"/>
        <v>-4.6681047629590355E-2</v>
      </c>
      <c r="H27" s="84">
        <f>IFERROR((((_xlfn.XLOOKUP(D27,'Detailed Forecast'!D:D,'Detailed Forecast'!AC:AC)-_xlfn.XLOOKUP(D27,'Detailed Forecast'!D:D,'Detailed Forecast'!S:S))/F27)-((_xlfn.XLOOKUP(D27,'Detailed Forecast'!D:D,'Detailed Forecast'!AB:AB)-_xlfn.XLOOKUP(D27,'Detailed Forecast'!D:D,'Detailed Forecast'!R:R))/E27))*100,"")</f>
        <v>-0.99937854633621592</v>
      </c>
      <c r="I27" s="53">
        <f t="shared" si="10"/>
        <v>8.2394344298888977E-2</v>
      </c>
      <c r="J27" s="98">
        <f t="shared" si="11"/>
        <v>8.5361538971688009E-2</v>
      </c>
      <c r="N27" s="87" t="s">
        <v>67</v>
      </c>
      <c r="O27" s="52">
        <f>IFERROR(_xlfn.XLOOKUP($N27,'Detailed Forecast'!$D:$D,'Detailed Forecast'!AB:AB,""),"")</f>
        <v>21095212.619999997</v>
      </c>
      <c r="P27" s="52">
        <f>IFERROR(_xlfn.XLOOKUP($N27,'Detailed Forecast'!$D:$D,'Detailed Forecast'!AC:AC,""),"")</f>
        <v>19524890.586996317</v>
      </c>
      <c r="Q27" s="53">
        <f t="shared" si="3"/>
        <v>-7.4439734801008184E-2</v>
      </c>
      <c r="R27" s="84">
        <f>IFERROR((((_xlfn.XLOOKUP(N27,'Detailed Forecast'!D:D,'Detailed Forecast'!AC:AC)-_xlfn.XLOOKUP(N27,'Detailed Forecast'!D:D,'Detailed Forecast'!S:S))/P27)-((_xlfn.XLOOKUP(N27,'Detailed Forecast'!D:D,'Detailed Forecast'!AB:AB)-_xlfn.XLOOKUP(N27,'Detailed Forecast'!D:D,'Detailed Forecast'!R:R))/O27))*100,"")</f>
        <v>-0.49914799939607679</v>
      </c>
      <c r="S27" s="53">
        <f>O27/E$4</f>
        <v>2.0200102433400677E-2</v>
      </c>
      <c r="T27" s="98">
        <f>P27/F$4</f>
        <v>2.0318183623788896E-2</v>
      </c>
    </row>
    <row r="28" spans="4:20" x14ac:dyDescent="0.25">
      <c r="D28" s="87" t="s">
        <v>82</v>
      </c>
      <c r="E28" s="52">
        <f>IFERROR(_xlfn.XLOOKUP($D28,'Detailed Forecast'!$D:$D,'Detailed Forecast'!AB:AB,""),"")</f>
        <v>86001317.430000111</v>
      </c>
      <c r="F28" s="52">
        <f>IFERROR(_xlfn.XLOOKUP($D28,'Detailed Forecast'!$D:$D,'Detailed Forecast'!AC:AC,""),"")</f>
        <v>79707905.199999958</v>
      </c>
      <c r="G28" s="53">
        <f t="shared" si="7"/>
        <v>-7.3178090964973963E-2</v>
      </c>
      <c r="H28" s="84">
        <f>IFERROR((((_xlfn.XLOOKUP(D28,'Detailed Forecast'!D:D,'Detailed Forecast'!AC:AC)-_xlfn.XLOOKUP(D28,'Detailed Forecast'!D:D,'Detailed Forecast'!S:S))/F28)-((_xlfn.XLOOKUP(D28,'Detailed Forecast'!D:D,'Detailed Forecast'!AB:AB)-_xlfn.XLOOKUP(D28,'Detailed Forecast'!D:D,'Detailed Forecast'!R:R))/E28))*100,"")</f>
        <v>-0.91906178447599407</v>
      </c>
      <c r="I28" s="53">
        <f t="shared" si="10"/>
        <v>8.2352117174034414E-2</v>
      </c>
      <c r="J28" s="98">
        <f t="shared" si="11"/>
        <v>8.2946424048069498E-2</v>
      </c>
      <c r="N28" s="87" t="s">
        <v>62</v>
      </c>
      <c r="O28" s="52">
        <f>IFERROR(_xlfn.XLOOKUP($N28,'Detailed Forecast'!$D:$D,'Detailed Forecast'!AB:AB,""),"")</f>
        <v>11872331.16</v>
      </c>
      <c r="P28" s="52">
        <f>IFERROR(_xlfn.XLOOKUP($N28,'Detailed Forecast'!$D:$D,'Detailed Forecast'!AC:AC,""),"")</f>
        <v>10638417.396715052</v>
      </c>
      <c r="Q28" s="53">
        <f t="shared" si="3"/>
        <v>-0.10393188554596788</v>
      </c>
      <c r="R28" s="84">
        <f>IFERROR((((_xlfn.XLOOKUP(N28,'Detailed Forecast'!D:D,'Detailed Forecast'!AC:AC)-_xlfn.XLOOKUP(N28,'Detailed Forecast'!D:D,'Detailed Forecast'!S:S))/P28)-((_xlfn.XLOOKUP(N28,'Detailed Forecast'!D:D,'Detailed Forecast'!AB:AB)-_xlfn.XLOOKUP(N28,'Detailed Forecast'!D:D,'Detailed Forecast'!R:R))/O28))*100,"")</f>
        <v>-0.39646980464723702</v>
      </c>
      <c r="S28" s="53">
        <f>O28/E$4</f>
        <v>1.1368565459628664E-2</v>
      </c>
      <c r="T28" s="98">
        <f>P28/F$4</f>
        <v>1.1070654515059151E-2</v>
      </c>
    </row>
    <row r="29" spans="4:20" x14ac:dyDescent="0.25">
      <c r="D29" s="87" t="s">
        <v>83</v>
      </c>
      <c r="E29" s="52">
        <f>IFERROR(_xlfn.XLOOKUP($D29,'Detailed Forecast'!$D:$D,'Detailed Forecast'!AB:AB,""),"")</f>
        <v>84448323.459999934</v>
      </c>
      <c r="F29" s="52">
        <f>IFERROR(_xlfn.XLOOKUP($D29,'Detailed Forecast'!$D:$D,'Detailed Forecast'!AC:AC,""),"")</f>
        <v>77704543.297322527</v>
      </c>
      <c r="G29" s="53">
        <f t="shared" si="7"/>
        <v>-7.9856886275210481E-2</v>
      </c>
      <c r="H29" s="84">
        <f>IFERROR((((_xlfn.XLOOKUP(D29,'Detailed Forecast'!D:D,'Detailed Forecast'!AC:AC)-_xlfn.XLOOKUP(D29,'Detailed Forecast'!D:D,'Detailed Forecast'!S:S))/F29)-((_xlfn.XLOOKUP(D29,'Detailed Forecast'!D:D,'Detailed Forecast'!AB:AB)-_xlfn.XLOOKUP(D29,'Detailed Forecast'!D:D,'Detailed Forecast'!R:R))/E29))*100,"")</f>
        <v>-0.69798759226072926</v>
      </c>
      <c r="I29" s="53">
        <f t="shared" si="10"/>
        <v>8.0865019706113414E-2</v>
      </c>
      <c r="J29" s="98">
        <f t="shared" si="11"/>
        <v>8.0861665886576256E-2</v>
      </c>
      <c r="N29" s="87" t="s">
        <v>74</v>
      </c>
      <c r="O29" s="52">
        <f>IFERROR(_xlfn.XLOOKUP($N29,'Detailed Forecast'!$D:$D,'Detailed Forecast'!AB:AB,""),"")</f>
        <v>12312228.34</v>
      </c>
      <c r="P29" s="52">
        <f>IFERROR(_xlfn.XLOOKUP($N29,'Detailed Forecast'!$D:$D,'Detailed Forecast'!AC:AC,""),"")</f>
        <v>10223461.493044173</v>
      </c>
      <c r="Q29" s="53">
        <f t="shared" si="3"/>
        <v>-0.16964978144287945</v>
      </c>
      <c r="R29" s="84">
        <f>IFERROR((((_xlfn.XLOOKUP(N29,'Detailed Forecast'!D:D,'Detailed Forecast'!AC:AC)-_xlfn.XLOOKUP(N29,'Detailed Forecast'!D:D,'Detailed Forecast'!S:S))/P29)-((_xlfn.XLOOKUP(N29,'Detailed Forecast'!D:D,'Detailed Forecast'!AB:AB)-_xlfn.XLOOKUP(N29,'Detailed Forecast'!D:D,'Detailed Forecast'!R:R))/O29))*100,"")</f>
        <v>-2.7652270925242028</v>
      </c>
      <c r="S29" s="53">
        <f>O29/E$4</f>
        <v>1.1789796961592264E-2</v>
      </c>
      <c r="T29" s="98">
        <f>P29/F$4</f>
        <v>1.0638839022470661E-2</v>
      </c>
    </row>
    <row r="30" spans="4:20" x14ac:dyDescent="0.25">
      <c r="D30" s="87" t="s">
        <v>84</v>
      </c>
      <c r="E30" s="52">
        <f>IFERROR(_xlfn.XLOOKUP($D30,'Detailed Forecast'!$D:$D,'Detailed Forecast'!AB:AB,""),"")</f>
        <v>85293961.059999928</v>
      </c>
      <c r="F30" s="52">
        <f>IFERROR(_xlfn.XLOOKUP($D30,'Detailed Forecast'!$D:$D,'Detailed Forecast'!AC:AC,""),"")</f>
        <v>78482650.911669284</v>
      </c>
      <c r="G30" s="53">
        <f t="shared" si="7"/>
        <v>-7.9856886275210481E-2</v>
      </c>
      <c r="H30" s="84">
        <f>IFERROR((((_xlfn.XLOOKUP(D30,'Detailed Forecast'!D:D,'Detailed Forecast'!AC:AC)-_xlfn.XLOOKUP(D30,'Detailed Forecast'!D:D,'Detailed Forecast'!S:S))/F30)-((_xlfn.XLOOKUP(D30,'Detailed Forecast'!D:D,'Detailed Forecast'!AB:AB)-_xlfn.XLOOKUP(D30,'Detailed Forecast'!D:D,'Detailed Forecast'!R:R))/E30))*100,"")</f>
        <v>-0.69939151315149273</v>
      </c>
      <c r="I30" s="53">
        <f t="shared" si="10"/>
        <v>8.1674775286644505E-2</v>
      </c>
      <c r="J30" s="98">
        <f t="shared" si="11"/>
        <v>8.1671387883066979E-2</v>
      </c>
      <c r="N30" s="87" t="s">
        <v>49</v>
      </c>
      <c r="O30" s="52">
        <f>IFERROR(_xlfn.XLOOKUP($N30,'Detailed Forecast'!$D:$D,'Detailed Forecast'!AB:AB,""),"")</f>
        <v>8954264.8300000001</v>
      </c>
      <c r="P30" s="52">
        <f>IFERROR(_xlfn.XLOOKUP($N30,'Detailed Forecast'!$D:$D,'Detailed Forecast'!AC:AC,""),"")</f>
        <v>10048555.862248667</v>
      </c>
      <c r="Q30" s="53">
        <f t="shared" si="3"/>
        <v>0.12220891977445203</v>
      </c>
      <c r="R30" s="84">
        <f>IFERROR((((_xlfn.XLOOKUP(N30,'Detailed Forecast'!D:D,'Detailed Forecast'!AC:AC)-_xlfn.XLOOKUP(N30,'Detailed Forecast'!D:D,'Detailed Forecast'!S:S))/P30)-((_xlfn.XLOOKUP(N30,'Detailed Forecast'!D:D,'Detailed Forecast'!AB:AB)-_xlfn.XLOOKUP(N30,'Detailed Forecast'!D:D,'Detailed Forecast'!R:R))/O30))*100,"")</f>
        <v>-0.80324475579408583</v>
      </c>
      <c r="S30" s="53">
        <f>O30/E$4</f>
        <v>8.5743182607370717E-3</v>
      </c>
      <c r="T30" s="98">
        <f>P30/F$4</f>
        <v>1.0456827005168779E-2</v>
      </c>
    </row>
    <row r="31" spans="4:20" x14ac:dyDescent="0.25">
      <c r="D31" s="87" t="s">
        <v>85</v>
      </c>
      <c r="E31" s="52">
        <f>IFERROR(_xlfn.XLOOKUP($D31,'Detailed Forecast'!$D:$D,'Detailed Forecast'!AB:AB,""),"")</f>
        <v>87377353.290000021</v>
      </c>
      <c r="F31" s="52">
        <f>IFERROR(_xlfn.XLOOKUP($D31,'Detailed Forecast'!$D:$D,'Detailed Forecast'!AC:AC,""),"")</f>
        <v>80399669.925291598</v>
      </c>
      <c r="G31" s="53">
        <f t="shared" si="7"/>
        <v>-7.9856886275210481E-2</v>
      </c>
      <c r="H31" s="84">
        <f>IFERROR((((_xlfn.XLOOKUP(D31,'Detailed Forecast'!D:D,'Detailed Forecast'!AC:AC)-_xlfn.XLOOKUP(D31,'Detailed Forecast'!D:D,'Detailed Forecast'!S:S))/F31)-((_xlfn.XLOOKUP(D31,'Detailed Forecast'!D:D,'Detailed Forecast'!AB:AB)-_xlfn.XLOOKUP(D31,'Detailed Forecast'!D:D,'Detailed Forecast'!R:R))/E31))*100,"")</f>
        <v>-0.69840649182156822</v>
      </c>
      <c r="I31" s="53">
        <f t="shared" si="10"/>
        <v>8.3669765202747701E-2</v>
      </c>
      <c r="J31" s="98">
        <f t="shared" si="11"/>
        <v>8.366629505837346E-2</v>
      </c>
      <c r="N31" s="87" t="s">
        <v>69</v>
      </c>
      <c r="O31" s="52">
        <f>IFERROR(_xlfn.XLOOKUP($N31,'Detailed Forecast'!$D:$D,'Detailed Forecast'!AB:AB,""),"")</f>
        <v>8349498.7299999995</v>
      </c>
      <c r="P31" s="52">
        <f>IFERROR(_xlfn.XLOOKUP($N31,'Detailed Forecast'!$D:$D,'Detailed Forecast'!AC:AC,""),"")</f>
        <v>8144660.031730311</v>
      </c>
      <c r="Q31" s="53">
        <f t="shared" si="3"/>
        <v>-2.4533053407589267E-2</v>
      </c>
      <c r="R31" s="84">
        <f>IFERROR((((_xlfn.XLOOKUP(N31,'Detailed Forecast'!D:D,'Detailed Forecast'!AC:AC)-_xlfn.XLOOKUP(N31,'Detailed Forecast'!D:D,'Detailed Forecast'!S:S))/P31)-((_xlfn.XLOOKUP(N31,'Detailed Forecast'!D:D,'Detailed Forecast'!AB:AB)-_xlfn.XLOOKUP(N31,'Detailed Forecast'!D:D,'Detailed Forecast'!R:R))/O31))*100,"")</f>
        <v>-0.15503899054873926</v>
      </c>
      <c r="S31" s="53">
        <f>O31/E$4</f>
        <v>7.9952135421306261E-3</v>
      </c>
      <c r="T31" s="98">
        <f>P31/F$4</f>
        <v>8.47557620569943E-3</v>
      </c>
    </row>
    <row r="32" spans="4:20" x14ac:dyDescent="0.25">
      <c r="D32" s="87" t="s">
        <v>86</v>
      </c>
      <c r="E32" s="52">
        <f>IFERROR(_xlfn.XLOOKUP($D32,'Detailed Forecast'!$D:$D,'Detailed Forecast'!AB:AB,""),"")</f>
        <v>90973952.259999886</v>
      </c>
      <c r="F32" s="52">
        <f>IFERROR(_xlfn.XLOOKUP($D32,'Detailed Forecast'!$D:$D,'Detailed Forecast'!AC:AC,""),"")</f>
        <v>83709055.700366646</v>
      </c>
      <c r="G32" s="53">
        <f t="shared" si="7"/>
        <v>-7.9856886275210481E-2</v>
      </c>
      <c r="H32" s="84">
        <f>IFERROR((((_xlfn.XLOOKUP(D32,'Detailed Forecast'!D:D,'Detailed Forecast'!AC:AC)-_xlfn.XLOOKUP(D32,'Detailed Forecast'!D:D,'Detailed Forecast'!S:S))/F32)-((_xlfn.XLOOKUP(D32,'Detailed Forecast'!D:D,'Detailed Forecast'!AB:AB)-_xlfn.XLOOKUP(D32,'Detailed Forecast'!D:D,'Detailed Forecast'!R:R))/E32))*100,"")</f>
        <v>-0.69918899026996106</v>
      </c>
      <c r="I32" s="53">
        <f t="shared" si="10"/>
        <v>8.7113753604977931E-2</v>
      </c>
      <c r="J32" s="98">
        <f t="shared" si="11"/>
        <v>8.7110140623618895E-2</v>
      </c>
      <c r="N32" s="87" t="s">
        <v>43</v>
      </c>
      <c r="O32" s="52">
        <f>IFERROR(_xlfn.XLOOKUP($N32,'Detailed Forecast'!$D:$D,'Detailed Forecast'!AB:AB,""),"")</f>
        <v>7486142.6700000018</v>
      </c>
      <c r="P32" s="52">
        <f>IFERROR(_xlfn.XLOOKUP($N32,'Detailed Forecast'!$D:$D,'Detailed Forecast'!AC:AC,""),"")</f>
        <v>8755372.877946509</v>
      </c>
      <c r="Q32" s="53">
        <f t="shared" si="3"/>
        <v>0.16954395125714417</v>
      </c>
      <c r="R32" s="84">
        <f>IFERROR((((_xlfn.XLOOKUP(N32,'Detailed Forecast'!D:D,'Detailed Forecast'!AC:AC)-_xlfn.XLOOKUP(N32,'Detailed Forecast'!D:D,'Detailed Forecast'!S:S))/P32)-((_xlfn.XLOOKUP(N32,'Detailed Forecast'!D:D,'Detailed Forecast'!AB:AB)-_xlfn.XLOOKUP(N32,'Detailed Forecast'!D:D,'Detailed Forecast'!R:R))/O32))*100,"")</f>
        <v>0.30696892401413933</v>
      </c>
      <c r="S32" s="53">
        <f>O32/E$4</f>
        <v>7.1684913297191356E-3</v>
      </c>
      <c r="T32" s="98">
        <f>P32/F$4</f>
        <v>9.1111022126462576E-3</v>
      </c>
    </row>
    <row r="33" spans="4:20" x14ac:dyDescent="0.25">
      <c r="D33" s="87" t="s">
        <v>87</v>
      </c>
      <c r="E33" s="52">
        <f>IFERROR(_xlfn.XLOOKUP($D33,'Detailed Forecast'!$D:$D,'Detailed Forecast'!AB:AB,""),"")</f>
        <v>96279578.559999943</v>
      </c>
      <c r="F33" s="52">
        <f>IFERROR(_xlfn.XLOOKUP($D33,'Detailed Forecast'!$D:$D,'Detailed Forecast'!AC:AC,""),"")</f>
        <v>88590991.204308838</v>
      </c>
      <c r="G33" s="53">
        <f t="shared" si="7"/>
        <v>-7.9856886275210481E-2</v>
      </c>
      <c r="H33" s="84">
        <f>IFERROR((((_xlfn.XLOOKUP(D33,'Detailed Forecast'!D:D,'Detailed Forecast'!AC:AC)-_xlfn.XLOOKUP(D33,'Detailed Forecast'!D:D,'Detailed Forecast'!S:S))/F33)-((_xlfn.XLOOKUP(D33,'Detailed Forecast'!D:D,'Detailed Forecast'!AB:AB)-_xlfn.XLOOKUP(D33,'Detailed Forecast'!D:D,'Detailed Forecast'!R:R))/E33))*100,"")</f>
        <v>-0.69957537934205449</v>
      </c>
      <c r="I33" s="53">
        <f t="shared" si="10"/>
        <v>9.2194252041468486E-2</v>
      </c>
      <c r="J33" s="98">
        <f t="shared" si="11"/>
        <v>9.2190428350027692E-2</v>
      </c>
      <c r="N33" s="87" t="s">
        <v>55</v>
      </c>
      <c r="O33" s="52">
        <f>IFERROR(_xlfn.XLOOKUP($N33,'Detailed Forecast'!$D:$D,'Detailed Forecast'!AB:AB,""),"")</f>
        <v>7250288.3600000003</v>
      </c>
      <c r="P33" s="52">
        <f>IFERROR(_xlfn.XLOOKUP($N33,'Detailed Forecast'!$D:$D,'Detailed Forecast'!AC:AC,""),"")</f>
        <v>6155204.4691986106</v>
      </c>
      <c r="Q33" s="53">
        <f t="shared" si="3"/>
        <v>-0.15104004646808145</v>
      </c>
      <c r="R33" s="84">
        <f>IFERROR((((_xlfn.XLOOKUP(N33,'Detailed Forecast'!D:D,'Detailed Forecast'!AC:AC)-_xlfn.XLOOKUP(N33,'Detailed Forecast'!D:D,'Detailed Forecast'!S:S))/P33)-((_xlfn.XLOOKUP(N33,'Detailed Forecast'!D:D,'Detailed Forecast'!AB:AB)-_xlfn.XLOOKUP(N33,'Detailed Forecast'!D:D,'Detailed Forecast'!R:R))/O33))*100,"")</f>
        <v>-0.49372531615450299</v>
      </c>
      <c r="S33" s="53">
        <f>O33/E$4</f>
        <v>6.9426447688344098E-3</v>
      </c>
      <c r="T33" s="98">
        <f>P33/F$4</f>
        <v>6.4052893966246235E-3</v>
      </c>
    </row>
    <row r="34" spans="4:20" x14ac:dyDescent="0.25">
      <c r="D34" s="88" t="s">
        <v>88</v>
      </c>
      <c r="E34" s="49">
        <f>IFERROR(_xlfn.XLOOKUP($D34,'Detailed Forecast'!$D:$D,'Detailed Forecast'!AB:AB,""),"")</f>
        <v>97072591.970000029</v>
      </c>
      <c r="F34" s="49">
        <f>IFERROR(_xlfn.XLOOKUP($D34,'Detailed Forecast'!$D:$D,'Detailed Forecast'!AC:AC,""),"")</f>
        <v>89320677.032611832</v>
      </c>
      <c r="G34" s="50">
        <f t="shared" si="7"/>
        <v>-7.985688627521037E-2</v>
      </c>
      <c r="H34" s="83">
        <f>IFERROR((((_xlfn.XLOOKUP(D34,'Detailed Forecast'!D:D,'Detailed Forecast'!AC:AC)-_xlfn.XLOOKUP(D34,'Detailed Forecast'!D:D,'Detailed Forecast'!S:S))/F34)-((_xlfn.XLOOKUP(D34,'Detailed Forecast'!D:D,'Detailed Forecast'!AB:AB)-_xlfn.XLOOKUP(D34,'Detailed Forecast'!D:D,'Detailed Forecast'!R:R))/E34))*100,"")</f>
        <v>-0.69960100650640067</v>
      </c>
      <c r="I34" s="50">
        <f t="shared" ref="I34" si="12">E34/E$4</f>
        <v>9.2953616376951639E-2</v>
      </c>
      <c r="J34" s="99">
        <f t="shared" ref="J34" si="13">F34/F$4</f>
        <v>9.2949761191411739E-2</v>
      </c>
      <c r="N34" s="87" t="s">
        <v>46</v>
      </c>
      <c r="O34" s="52">
        <f>IFERROR(_xlfn.XLOOKUP($N34,'Detailed Forecast'!$D:$D,'Detailed Forecast'!AB:AB,""),"")</f>
        <v>7101675.1199999992</v>
      </c>
      <c r="P34" s="52">
        <f>IFERROR(_xlfn.XLOOKUP($N34,'Detailed Forecast'!$D:$D,'Detailed Forecast'!AC:AC,""),"")</f>
        <v>6195889.5227830233</v>
      </c>
      <c r="Q34" s="53">
        <f t="shared" si="3"/>
        <v>-0.12754534414930774</v>
      </c>
      <c r="R34" s="84">
        <f>IFERROR((((_xlfn.XLOOKUP(N34,'Detailed Forecast'!D:D,'Detailed Forecast'!AC:AC)-_xlfn.XLOOKUP(N34,'Detailed Forecast'!D:D,'Detailed Forecast'!S:S))/P34)-((_xlfn.XLOOKUP(N34,'Detailed Forecast'!D:D,'Detailed Forecast'!AB:AB)-_xlfn.XLOOKUP(N34,'Detailed Forecast'!D:D,'Detailed Forecast'!R:R))/O34))*100,"")</f>
        <v>-0.99190416800656322</v>
      </c>
      <c r="S34" s="53">
        <f>O34/E$4</f>
        <v>6.8003374726228784E-3</v>
      </c>
      <c r="T34" s="98">
        <f>P34/F$4</f>
        <v>6.4476274771269717E-3</v>
      </c>
    </row>
    <row r="35" spans="4:20" x14ac:dyDescent="0.25">
      <c r="H35" s="81"/>
      <c r="N35" s="87" t="s">
        <v>63</v>
      </c>
      <c r="O35" s="52">
        <f>IFERROR(_xlfn.XLOOKUP($N35,'Detailed Forecast'!$D:$D,'Detailed Forecast'!AB:AB,""),"")</f>
        <v>6598666.1799999997</v>
      </c>
      <c r="P35" s="52">
        <f>IFERROR(_xlfn.XLOOKUP($N35,'Detailed Forecast'!$D:$D,'Detailed Forecast'!AC:AC,""),"")</f>
        <v>8155816.5702132387</v>
      </c>
      <c r="Q35" s="53">
        <f t="shared" si="3"/>
        <v>0.23597956734541747</v>
      </c>
      <c r="R35" s="84">
        <f>IFERROR((((_xlfn.XLOOKUP(N35,'Detailed Forecast'!D:D,'Detailed Forecast'!AC:AC)-_xlfn.XLOOKUP(N35,'Detailed Forecast'!D:D,'Detailed Forecast'!S:S))/P35)-((_xlfn.XLOOKUP(N35,'Detailed Forecast'!D:D,'Detailed Forecast'!AB:AB)-_xlfn.XLOOKUP(N35,'Detailed Forecast'!D:D,'Detailed Forecast'!R:R))/O35))*100,"")</f>
        <v>-0.63818547195814146</v>
      </c>
      <c r="S35" s="53">
        <f>O35/E$4</f>
        <v>6.3186721632491781E-3</v>
      </c>
      <c r="T35" s="98">
        <f>P35/F$4</f>
        <v>8.4871860324737206E-3</v>
      </c>
    </row>
    <row r="36" spans="4:20" x14ac:dyDescent="0.25">
      <c r="H36" s="81"/>
      <c r="N36" s="87" t="s">
        <v>70</v>
      </c>
      <c r="O36" s="52">
        <f>IFERROR(_xlfn.XLOOKUP($N36,'Detailed Forecast'!$D:$D,'Detailed Forecast'!AB:AB,""),"")</f>
        <v>5800820.7000000002</v>
      </c>
      <c r="P36" s="52">
        <f>IFERROR(_xlfn.XLOOKUP($N36,'Detailed Forecast'!$D:$D,'Detailed Forecast'!AC:AC,""),"")</f>
        <v>4956554.7531755054</v>
      </c>
      <c r="Q36" s="53">
        <f t="shared" si="3"/>
        <v>-0.14554250001633295</v>
      </c>
      <c r="R36" s="84">
        <f>IFERROR((((_xlfn.XLOOKUP(N36,'Detailed Forecast'!D:D,'Detailed Forecast'!AC:AC)-_xlfn.XLOOKUP(N36,'Detailed Forecast'!D:D,'Detailed Forecast'!S:S))/P36)-((_xlfn.XLOOKUP(N36,'Detailed Forecast'!D:D,'Detailed Forecast'!AB:AB)-_xlfn.XLOOKUP(N36,'Detailed Forecast'!D:D,'Detailed Forecast'!R:R))/O36))*100,"")</f>
        <v>-0.21147053475943922</v>
      </c>
      <c r="S36" s="53">
        <f>O36/E$4</f>
        <v>5.554680791730794E-3</v>
      </c>
      <c r="T36" s="98">
        <f>P36/F$4</f>
        <v>5.1579387432498991E-3</v>
      </c>
    </row>
    <row r="37" spans="4:20" x14ac:dyDescent="0.25">
      <c r="D37" s="34"/>
      <c r="I37" s="34"/>
      <c r="J37" s="34"/>
      <c r="N37" s="87" t="s">
        <v>45</v>
      </c>
      <c r="O37" s="52">
        <f>IFERROR(_xlfn.XLOOKUP($N37,'Detailed Forecast'!$D:$D,'Detailed Forecast'!AB:AB,""),"")</f>
        <v>3991680.5200000005</v>
      </c>
      <c r="P37" s="52">
        <f>IFERROR(_xlfn.XLOOKUP($N37,'Detailed Forecast'!$D:$D,'Detailed Forecast'!AC:AC,""),"")</f>
        <v>2467948.5740585281</v>
      </c>
      <c r="Q37" s="53">
        <f t="shared" si="3"/>
        <v>-0.38172692887292303</v>
      </c>
      <c r="R37" s="84">
        <f>IFERROR((((_xlfn.XLOOKUP(N37,'Detailed Forecast'!D:D,'Detailed Forecast'!AC:AC)-_xlfn.XLOOKUP(N37,'Detailed Forecast'!D:D,'Detailed Forecast'!S:S))/P37)-((_xlfn.XLOOKUP(N37,'Detailed Forecast'!D:D,'Detailed Forecast'!AB:AB)-_xlfn.XLOOKUP(N37,'Detailed Forecast'!D:D,'Detailed Forecast'!R:R))/O37))*100,"")</f>
        <v>-0.55776235223951032</v>
      </c>
      <c r="S37" s="53">
        <f>O37/E$4</f>
        <v>3.8223058870221569E-3</v>
      </c>
      <c r="T37" s="98">
        <f>P37/F$4</f>
        <v>2.5682209115776289E-3</v>
      </c>
    </row>
    <row r="38" spans="4:20" x14ac:dyDescent="0.25">
      <c r="D38" s="34"/>
      <c r="I38" s="34"/>
      <c r="J38" s="34"/>
      <c r="N38" s="87" t="s">
        <v>59</v>
      </c>
      <c r="O38" s="52">
        <f>IFERROR(_xlfn.XLOOKUP($N38,'Detailed Forecast'!$D:$D,'Detailed Forecast'!AB:AB,""),"")</f>
        <v>3834242.78</v>
      </c>
      <c r="P38" s="52">
        <f>IFERROR(_xlfn.XLOOKUP($N38,'Detailed Forecast'!$D:$D,'Detailed Forecast'!AC:AC,""),"")</f>
        <v>4090033.1036555157</v>
      </c>
      <c r="Q38" s="53">
        <f t="shared" si="3"/>
        <v>6.6712083280108914E-2</v>
      </c>
      <c r="R38" s="84">
        <f>IFERROR((((_xlfn.XLOOKUP(N38,'Detailed Forecast'!D:D,'Detailed Forecast'!AC:AC)-_xlfn.XLOOKUP(N38,'Detailed Forecast'!D:D,'Detailed Forecast'!S:S))/P38)-((_xlfn.XLOOKUP(N38,'Detailed Forecast'!D:D,'Detailed Forecast'!AB:AB)-_xlfn.XLOOKUP(N38,'Detailed Forecast'!D:D,'Detailed Forecast'!R:R))/O38))*100,"")</f>
        <v>-1.1649871411705814</v>
      </c>
      <c r="S38" s="53">
        <f>O38/E$4</f>
        <v>3.6715485312101576E-3</v>
      </c>
      <c r="T38" s="98">
        <f>P38/F$4</f>
        <v>4.2562104641341442E-3</v>
      </c>
    </row>
    <row r="39" spans="4:20" x14ac:dyDescent="0.25">
      <c r="D39" s="34"/>
      <c r="I39" s="34"/>
      <c r="J39" s="34"/>
      <c r="N39" s="87" t="s">
        <v>52</v>
      </c>
      <c r="O39" s="52">
        <f>IFERROR(_xlfn.XLOOKUP($N39,'Detailed Forecast'!$D:$D,'Detailed Forecast'!AB:AB,""),"")</f>
        <v>3662176.33</v>
      </c>
      <c r="P39" s="52">
        <f>IFERROR(_xlfn.XLOOKUP($N39,'Detailed Forecast'!$D:$D,'Detailed Forecast'!AC:AC,""),"")</f>
        <v>3439988.6936600194</v>
      </c>
      <c r="Q39" s="53">
        <f t="shared" si="3"/>
        <v>-6.0670927972488076E-2</v>
      </c>
      <c r="R39" s="84">
        <f>IFERROR((((_xlfn.XLOOKUP(N39,'Detailed Forecast'!D:D,'Detailed Forecast'!AC:AC)-_xlfn.XLOOKUP(N39,'Detailed Forecast'!D:D,'Detailed Forecast'!S:S))/P39)-((_xlfn.XLOOKUP(N39,'Detailed Forecast'!D:D,'Detailed Forecast'!AB:AB)-_xlfn.XLOOKUP(N39,'Detailed Forecast'!D:D,'Detailed Forecast'!R:R))/O39))*100,"")</f>
        <v>-1.6801555602668716</v>
      </c>
      <c r="S39" s="53">
        <f>O39/E$4</f>
        <v>3.506783189520437E-3</v>
      </c>
      <c r="T39" s="98">
        <f>P39/F$4</f>
        <v>3.5797548585543401E-3</v>
      </c>
    </row>
    <row r="40" spans="4:20" x14ac:dyDescent="0.25">
      <c r="D40" s="34"/>
      <c r="I40" s="34"/>
      <c r="J40" s="34"/>
      <c r="N40" s="88" t="s">
        <v>51</v>
      </c>
      <c r="O40" s="49">
        <f>IFERROR(_xlfn.XLOOKUP($N40,'Detailed Forecast'!$D:$D,'Detailed Forecast'!AB:AB,""),"")</f>
        <v>3320851.3900000006</v>
      </c>
      <c r="P40" s="49">
        <f>IFERROR(_xlfn.XLOOKUP($N40,'Detailed Forecast'!$D:$D,'Detailed Forecast'!AC:AC,""),"")</f>
        <v>3191324.3600165541</v>
      </c>
      <c r="Q40" s="50">
        <f t="shared" si="3"/>
        <v>-3.9004163321938456E-2</v>
      </c>
      <c r="R40" s="83">
        <f>IFERROR((((_xlfn.XLOOKUP(N40,'Detailed Forecast'!D:D,'Detailed Forecast'!AC:AC)-_xlfn.XLOOKUP(N40,'Detailed Forecast'!D:D,'Detailed Forecast'!S:S))/P40)-((_xlfn.XLOOKUP(N40,'Detailed Forecast'!D:D,'Detailed Forecast'!AB:AB)-_xlfn.XLOOKUP(N40,'Detailed Forecast'!D:D,'Detailed Forecast'!R:R))/O40))*100,"")</f>
        <v>-1.3334718855909533</v>
      </c>
      <c r="S40" s="50">
        <f>O40/E$4</f>
        <v>3.1799413190318933E-3</v>
      </c>
      <c r="T40" s="99">
        <f>P40/F$4</f>
        <v>3.3209873346523129E-3</v>
      </c>
    </row>
    <row r="41" spans="4:20" x14ac:dyDescent="0.25">
      <c r="D41" s="34"/>
      <c r="I41" s="34"/>
      <c r="J41" s="34"/>
    </row>
    <row r="42" spans="4:20" x14ac:dyDescent="0.25">
      <c r="D42" s="34"/>
      <c r="I42" s="34"/>
      <c r="J42" s="34"/>
    </row>
    <row r="43" spans="4:20" x14ac:dyDescent="0.25">
      <c r="D43" s="34"/>
      <c r="I43" s="34"/>
      <c r="J43" s="34"/>
    </row>
    <row r="44" spans="4:20" x14ac:dyDescent="0.25">
      <c r="D44" s="34"/>
      <c r="I44" s="34"/>
      <c r="J44" s="34"/>
    </row>
    <row r="45" spans="4:20" x14ac:dyDescent="0.25">
      <c r="D45" s="34"/>
      <c r="I45" s="34"/>
      <c r="J45" s="34"/>
    </row>
    <row r="46" spans="4:20" x14ac:dyDescent="0.25">
      <c r="D46" s="34"/>
      <c r="I46" s="34"/>
      <c r="J46" s="34"/>
    </row>
    <row r="47" spans="4:20" x14ac:dyDescent="0.25">
      <c r="D47" s="34"/>
      <c r="I47" s="34"/>
      <c r="J47" s="34"/>
    </row>
    <row r="48" spans="4:20" x14ac:dyDescent="0.25">
      <c r="D48" s="34"/>
      <c r="I48" s="34"/>
      <c r="J48" s="34"/>
    </row>
    <row r="49" spans="4:10" x14ac:dyDescent="0.25">
      <c r="D49" s="34"/>
      <c r="I49" s="34"/>
      <c r="J49" s="34"/>
    </row>
    <row r="50" spans="4:10" x14ac:dyDescent="0.25">
      <c r="D50" s="34"/>
      <c r="I50" s="34"/>
      <c r="J50" s="34"/>
    </row>
    <row r="51" spans="4:10" x14ac:dyDescent="0.25">
      <c r="D51" s="34"/>
      <c r="I51" s="34"/>
      <c r="J51" s="34"/>
    </row>
    <row r="52" spans="4:10" x14ac:dyDescent="0.25">
      <c r="D52" s="34"/>
      <c r="I52" s="34"/>
      <c r="J52" s="34"/>
    </row>
    <row r="53" spans="4:10" x14ac:dyDescent="0.25">
      <c r="D53" s="34"/>
      <c r="I53" s="34"/>
      <c r="J53" s="34"/>
    </row>
    <row r="54" spans="4:10" x14ac:dyDescent="0.25">
      <c r="D54" s="34"/>
      <c r="I54" s="34"/>
      <c r="J54" s="34"/>
    </row>
    <row r="55" spans="4:10" x14ac:dyDescent="0.25">
      <c r="D55" s="34"/>
      <c r="I55" s="34"/>
      <c r="J55" s="34"/>
    </row>
    <row r="56" spans="4:10" x14ac:dyDescent="0.25">
      <c r="D56" s="34"/>
      <c r="I56" s="34"/>
      <c r="J56" s="34"/>
    </row>
    <row r="57" spans="4:10" x14ac:dyDescent="0.25">
      <c r="D57" s="34"/>
      <c r="I57" s="34"/>
      <c r="J57" s="34"/>
    </row>
    <row r="58" spans="4:10" x14ac:dyDescent="0.25">
      <c r="D58" s="34"/>
      <c r="I58" s="34"/>
      <c r="J58" s="34"/>
    </row>
    <row r="59" spans="4:10" x14ac:dyDescent="0.25">
      <c r="D59" s="34"/>
      <c r="I59" s="34"/>
      <c r="J59" s="34"/>
    </row>
    <row r="60" spans="4:10" x14ac:dyDescent="0.25">
      <c r="D60" s="34"/>
      <c r="I60" s="34"/>
      <c r="J60" s="34"/>
    </row>
    <row r="61" spans="4:10" x14ac:dyDescent="0.25">
      <c r="D61" s="34"/>
      <c r="I61" s="34"/>
      <c r="J61" s="34"/>
    </row>
    <row r="62" spans="4:10" x14ac:dyDescent="0.25">
      <c r="D62" s="34"/>
      <c r="I62" s="34"/>
      <c r="J62" s="34"/>
    </row>
    <row r="63" spans="4:10" x14ac:dyDescent="0.25">
      <c r="D63" s="34"/>
      <c r="I63" s="34"/>
      <c r="J63" s="34"/>
    </row>
    <row r="64" spans="4:10" x14ac:dyDescent="0.25">
      <c r="D64" s="34"/>
      <c r="I64" s="34"/>
      <c r="J64" s="34"/>
    </row>
    <row r="65" spans="4:10" x14ac:dyDescent="0.25">
      <c r="D65" s="34"/>
      <c r="I65" s="34"/>
      <c r="J65" s="34"/>
    </row>
    <row r="66" spans="4:10" x14ac:dyDescent="0.25">
      <c r="D66" s="34"/>
      <c r="I66" s="34"/>
      <c r="J66" s="34"/>
    </row>
    <row r="67" spans="4:10" x14ac:dyDescent="0.25">
      <c r="D67" s="34"/>
      <c r="I67" s="34"/>
      <c r="J67" s="34"/>
    </row>
    <row r="68" spans="4:10" x14ac:dyDescent="0.25">
      <c r="D68" s="34"/>
      <c r="I68" s="34"/>
      <c r="J68" s="34"/>
    </row>
    <row r="69" spans="4:10" x14ac:dyDescent="0.25">
      <c r="D69" s="34"/>
      <c r="I69" s="34"/>
      <c r="J69" s="34"/>
    </row>
    <row r="70" spans="4:10" x14ac:dyDescent="0.25">
      <c r="D70" s="34"/>
      <c r="I70" s="34"/>
      <c r="J70" s="34"/>
    </row>
    <row r="71" spans="4:10" x14ac:dyDescent="0.25">
      <c r="D71" s="34"/>
      <c r="I71" s="34"/>
      <c r="J71" s="34"/>
    </row>
    <row r="72" spans="4:10" x14ac:dyDescent="0.25">
      <c r="D72" s="34"/>
      <c r="I72" s="34"/>
      <c r="J72" s="34"/>
    </row>
    <row r="73" spans="4:10" x14ac:dyDescent="0.25">
      <c r="D73" s="34"/>
      <c r="I73" s="34"/>
      <c r="J73" s="34"/>
    </row>
    <row r="74" spans="4:10" x14ac:dyDescent="0.25">
      <c r="D74" s="34"/>
      <c r="I74" s="34"/>
      <c r="J74" s="34"/>
    </row>
  </sheetData>
  <conditionalFormatting sqref="B2">
    <cfRule type="containsText" dxfId="6" priority="29" operator="containsText" text="INPUTS">
      <formula>NOT(ISERROR(SEARCH("INPUTS",B2)))</formula>
    </cfRule>
  </conditionalFormatting>
  <conditionalFormatting sqref="L2">
    <cfRule type="containsText" dxfId="5" priority="2" operator="containsText" text="INPUTS">
      <formula>NOT(ISERROR(SEARCH("INPUTS",L2)))</formula>
    </cfRule>
  </conditionalFormatting>
  <conditionalFormatting sqref="S9:T40 S4:T7 I4:J4 I6:J7 I9:J10 I12:J21 I23:J34">
    <cfRule type="dataBar" priority="3">
      <dataBar>
        <cfvo type="min"/>
        <cfvo type="max"/>
        <color rgb="FF638EC6"/>
      </dataBar>
      <extLst>
        <ext xmlns:x14="http://schemas.microsoft.com/office/spreadsheetml/2009/9/main" uri="{B025F937-C7B1-47D3-B67F-A62EFF666E3E}">
          <x14:id>{A222224E-E474-47F2-8A76-320D18519A85}</x14:id>
        </ext>
      </extLst>
    </cfRule>
  </conditionalFormatting>
  <conditionalFormatting sqref="V2">
    <cfRule type="containsText" dxfId="4" priority="1" operator="containsText" text="INPUTS">
      <formula>NOT(ISERROR(SEARCH("INPUTS",V2)))</formula>
    </cfRule>
  </conditionalFormatting>
  <conditionalFormatting sqref="G4:G36 Q4:Q40">
    <cfRule type="iconSet" priority="37">
      <iconSet>
        <cfvo type="percent" val="0"/>
        <cfvo type="num" val="-5.0000000000000001E-3"/>
        <cfvo type="num" val="5.0000000000000001E-3" gte="0"/>
      </iconSet>
    </cfRule>
  </conditionalFormatting>
  <conditionalFormatting sqref="H4:H36 R4:R40">
    <cfRule type="iconSet" priority="41">
      <iconSet>
        <cfvo type="percent" val="0"/>
        <cfvo type="num" val="-0.5"/>
        <cfvo type="num" val="0.5" gte="0"/>
      </iconSet>
    </cfRule>
  </conditionalFormatting>
  <conditionalFormatting sqref="S8 I5 I35:I36 I22 I11 I8">
    <cfRule type="iconSet" priority="45">
      <iconSet>
        <cfvo type="percent" val="0"/>
        <cfvo type="num" val="-5.0000000000000001E-3"/>
        <cfvo type="num" val="5.0000000000000001E-3" gte="0"/>
      </iconSet>
    </cfRule>
  </conditionalFormatting>
  <conditionalFormatting sqref="T8 J5 J8 J11 J22 J35:J36">
    <cfRule type="iconSet" priority="57">
      <iconSet>
        <cfvo type="percent" val="0"/>
        <cfvo type="num" val="-0.5"/>
        <cfvo type="num" val="0.5" gte="0"/>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222224E-E474-47F2-8A76-320D18519A85}">
            <x14:dataBar minLength="0" maxLength="100" gradient="0">
              <x14:cfvo type="autoMin"/>
              <x14:cfvo type="autoMax"/>
              <x14:negativeFillColor rgb="FFFF0000"/>
              <x14:axisColor rgb="FF000000"/>
            </x14:dataBar>
          </x14:cfRule>
          <xm:sqref>S9:T40 S4:T7 I4:J4 I6:J7 I9:J10 I12:J21 I23:J34</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A471-0508-44D5-9357-2C3C0EF717D8}">
  <sheetPr>
    <tabColor rgb="FF002060"/>
  </sheetPr>
  <dimension ref="B1:X40"/>
  <sheetViews>
    <sheetView showGridLines="0" workbookViewId="0">
      <selection activeCell="U4" sqref="U4"/>
    </sheetView>
  </sheetViews>
  <sheetFormatPr defaultRowHeight="15" outlineLevelCol="1" x14ac:dyDescent="0.25"/>
  <cols>
    <col min="1" max="1" width="2.140625" customWidth="1"/>
    <col min="2" max="2" width="27.140625" customWidth="1"/>
    <col min="3" max="4" width="15.85546875" customWidth="1"/>
    <col min="5" max="5" width="6" customWidth="1"/>
    <col min="6" max="6" width="2" customWidth="1"/>
    <col min="7" max="7" width="17.7109375" customWidth="1"/>
    <col min="8" max="19" width="11" customWidth="1" outlineLevel="1"/>
    <col min="20" max="20" width="2.140625" customWidth="1"/>
    <col min="21" max="24" width="11" customWidth="1"/>
  </cols>
  <sheetData>
    <row r="1" spans="2:24" ht="10.5" customHeight="1" x14ac:dyDescent="0.25"/>
    <row r="2" spans="2:24" ht="21" x14ac:dyDescent="0.35">
      <c r="B2" s="101" t="s">
        <v>127</v>
      </c>
      <c r="C2" s="102"/>
      <c r="D2" s="102"/>
      <c r="E2" s="102"/>
      <c r="F2" s="102"/>
      <c r="G2" s="102"/>
      <c r="H2" s="102"/>
      <c r="I2" s="102"/>
      <c r="J2" s="102"/>
      <c r="K2" s="102"/>
      <c r="L2" s="102"/>
      <c r="M2" s="102"/>
      <c r="N2" s="102"/>
      <c r="O2" s="102"/>
      <c r="P2" s="102"/>
      <c r="Q2" s="102"/>
      <c r="R2" s="102"/>
      <c r="S2" s="102"/>
      <c r="T2" s="102"/>
      <c r="U2" s="102"/>
      <c r="V2" s="102"/>
      <c r="W2" s="102"/>
      <c r="X2" s="103"/>
    </row>
    <row r="3" spans="2:24" ht="10.5" customHeight="1" x14ac:dyDescent="0.25"/>
    <row r="4" spans="2:24" ht="15" customHeight="1" x14ac:dyDescent="0.25">
      <c r="B4" s="126" t="s">
        <v>156</v>
      </c>
      <c r="C4" s="127"/>
      <c r="D4" s="127"/>
      <c r="E4" s="127"/>
      <c r="F4" s="127"/>
      <c r="G4" s="127"/>
      <c r="H4" s="127"/>
      <c r="I4" s="128"/>
      <c r="K4" s="156" t="s">
        <v>163</v>
      </c>
      <c r="L4" s="157"/>
      <c r="M4" s="162" t="s">
        <v>164</v>
      </c>
      <c r="N4" s="163"/>
      <c r="O4" s="163"/>
      <c r="P4" s="163"/>
      <c r="Q4" s="163"/>
      <c r="R4" s="163"/>
      <c r="S4" s="164"/>
    </row>
    <row r="5" spans="2:24" x14ac:dyDescent="0.25">
      <c r="B5" s="129" t="s">
        <v>157</v>
      </c>
      <c r="C5" s="130" t="s">
        <v>162</v>
      </c>
      <c r="D5" s="131"/>
      <c r="E5" s="4"/>
      <c r="F5" s="4"/>
      <c r="G5" s="4"/>
      <c r="H5" s="4"/>
      <c r="I5" s="132"/>
      <c r="K5" s="158"/>
      <c r="L5" s="159"/>
      <c r="M5" s="165"/>
      <c r="N5" s="166"/>
      <c r="O5" s="166"/>
      <c r="P5" s="166"/>
      <c r="Q5" s="166"/>
      <c r="R5" s="166"/>
      <c r="S5" s="167"/>
    </row>
    <row r="6" spans="2:24" x14ac:dyDescent="0.25">
      <c r="B6" s="133" t="s">
        <v>158</v>
      </c>
      <c r="C6" s="134" t="s">
        <v>160</v>
      </c>
      <c r="D6" s="4"/>
      <c r="E6" s="4"/>
      <c r="F6" s="4"/>
      <c r="G6" s="4"/>
      <c r="H6" s="4"/>
      <c r="I6" s="132"/>
      <c r="K6" s="158"/>
      <c r="L6" s="159"/>
      <c r="M6" s="165"/>
      <c r="N6" s="166"/>
      <c r="O6" s="166"/>
      <c r="P6" s="166"/>
      <c r="Q6" s="166"/>
      <c r="R6" s="166"/>
      <c r="S6" s="167"/>
    </row>
    <row r="7" spans="2:24" x14ac:dyDescent="0.25">
      <c r="B7" s="135" t="s">
        <v>159</v>
      </c>
      <c r="C7" s="136" t="s">
        <v>161</v>
      </c>
      <c r="D7" s="137"/>
      <c r="E7" s="137"/>
      <c r="F7" s="137"/>
      <c r="G7" s="137"/>
      <c r="H7" s="137"/>
      <c r="I7" s="138"/>
      <c r="K7" s="160"/>
      <c r="L7" s="161"/>
      <c r="M7" s="168"/>
      <c r="N7" s="169"/>
      <c r="O7" s="169"/>
      <c r="P7" s="169"/>
      <c r="Q7" s="169"/>
      <c r="R7" s="169"/>
      <c r="S7" s="170"/>
    </row>
    <row r="8" spans="2:24" ht="10.5" customHeight="1" x14ac:dyDescent="0.25"/>
    <row r="9" spans="2:24" x14ac:dyDescent="0.25">
      <c r="C9" s="104" t="s">
        <v>128</v>
      </c>
      <c r="D9" s="105" t="s">
        <v>155</v>
      </c>
      <c r="E9" s="105" t="s">
        <v>129</v>
      </c>
      <c r="G9" s="141" t="s">
        <v>163</v>
      </c>
      <c r="H9" s="106" t="s">
        <v>77</v>
      </c>
      <c r="I9" s="106" t="s">
        <v>78</v>
      </c>
      <c r="J9" s="106" t="s">
        <v>79</v>
      </c>
      <c r="K9" s="106" t="s">
        <v>80</v>
      </c>
      <c r="L9" s="106" t="s">
        <v>81</v>
      </c>
      <c r="M9" s="106" t="s">
        <v>82</v>
      </c>
      <c r="N9" s="106" t="s">
        <v>83</v>
      </c>
      <c r="O9" s="106" t="s">
        <v>84</v>
      </c>
      <c r="P9" s="106" t="s">
        <v>85</v>
      </c>
      <c r="Q9" s="106" t="s">
        <v>86</v>
      </c>
      <c r="R9" s="106" t="s">
        <v>87</v>
      </c>
      <c r="S9" s="106" t="s">
        <v>88</v>
      </c>
      <c r="U9" s="105" t="s">
        <v>130</v>
      </c>
      <c r="V9" s="105" t="s">
        <v>131</v>
      </c>
      <c r="W9" s="105" t="s">
        <v>132</v>
      </c>
      <c r="X9" s="105" t="s">
        <v>133</v>
      </c>
    </row>
    <row r="10" spans="2:24" x14ac:dyDescent="0.25">
      <c r="B10" s="107" t="s">
        <v>100</v>
      </c>
      <c r="C10" s="108"/>
      <c r="D10" s="108"/>
      <c r="E10" s="108"/>
      <c r="G10" s="108"/>
      <c r="H10" s="108"/>
      <c r="I10" s="108"/>
      <c r="J10" s="108"/>
      <c r="K10" s="108"/>
      <c r="L10" s="108"/>
      <c r="M10" s="108"/>
      <c r="N10" s="108"/>
      <c r="O10" s="108"/>
      <c r="P10" s="108"/>
      <c r="Q10" s="108"/>
      <c r="R10" s="108"/>
      <c r="S10" s="108"/>
      <c r="U10" s="108"/>
      <c r="V10" s="108"/>
      <c r="W10" s="108"/>
      <c r="X10" s="108"/>
    </row>
    <row r="11" spans="2:24" x14ac:dyDescent="0.25">
      <c r="B11" s="109" t="s">
        <v>134</v>
      </c>
      <c r="C11" s="125">
        <f>IFERROR(_xlfn.XLOOKUP(_xlfn.TEXTBEFORE(B11," "),'Detailed Forecast'!$D$7:$D$8,'Detailed Forecast'!$AB$10:$AB$11,0),0)</f>
        <v>279632185</v>
      </c>
      <c r="D11" s="110">
        <f>SUM(U11,V11,W11,X11)</f>
        <v>253781554.71706897</v>
      </c>
      <c r="E11" s="111">
        <f>D11/C11-1</f>
        <v>-9.2445117799766274E-2</v>
      </c>
      <c r="G11" s="112"/>
      <c r="H11" s="112">
        <f>IFERROR(_xlfn.XLOOKUP(_xlfn.CONCAT(_xlfn.TEXTBEFORE($B11," ")," - ",H$9),Model!$D$64:$D$87,Model!$AA$64:$AA$87,0),0)</f>
        <v>18523463.830000006</v>
      </c>
      <c r="I11" s="112">
        <f>IFERROR(_xlfn.XLOOKUP(_xlfn.CONCAT(_xlfn.TEXTBEFORE($B11," ")," - ",I$9),Model!$D$64:$D$87,Model!$AA$64:$AA$87,0),0)</f>
        <v>17268733.600000005</v>
      </c>
      <c r="J11" s="112">
        <f>IFERROR(_xlfn.XLOOKUP(_xlfn.CONCAT(_xlfn.TEXTBEFORE($B11," ")," - ",J$9),Model!$D$64:$D$87,Model!$AA$64:$AA$87,0),0)</f>
        <v>22083620.530000001</v>
      </c>
      <c r="K11" s="112">
        <f>IFERROR(_xlfn.XLOOKUP(_xlfn.CONCAT(_xlfn.TEXTBEFORE($B11," ")," - ",K$9),Model!$D$64:$D$87,Model!$AA$64:$AA$87,0),0)</f>
        <v>21179107.999999993</v>
      </c>
      <c r="L11" s="112">
        <f>IFERROR(_xlfn.XLOOKUP(_xlfn.CONCAT(_xlfn.TEXTBEFORE($B11," ")," - ",L$9),Model!$D$64:$D$87,Model!$AA$64:$AA$87,0),0)</f>
        <v>23141212.459999982</v>
      </c>
      <c r="M11" s="112">
        <f>IFERROR(_xlfn.XLOOKUP(_xlfn.CONCAT(_xlfn.TEXTBEFORE($B11," ")," - ",M$9),Model!$D$64:$D$87,Model!$AA$64:$AA$87,0),0)</f>
        <v>20251164.980000015</v>
      </c>
      <c r="N11" s="112">
        <f>IFERROR(_xlfn.XLOOKUP(_xlfn.CONCAT(_xlfn.TEXTBEFORE($B11," ")," - ",N$9),Model!$D$64:$D$87,Model!$AA$64:$AA$87,0),0)</f>
        <v>20877025.499333382</v>
      </c>
      <c r="O11" s="112">
        <f>IFERROR(_xlfn.XLOOKUP(_xlfn.CONCAT(_xlfn.TEXTBEFORE($B11," ")," - ",O$9),Model!$D$64:$D$87,Model!$AA$64:$AA$87,0),0)</f>
        <v>20896814.257401984</v>
      </c>
      <c r="P11" s="112">
        <f>IFERROR(_xlfn.XLOOKUP(_xlfn.CONCAT(_xlfn.TEXTBEFORE($B11," ")," - ",P$9),Model!$D$64:$D$87,Model!$AA$64:$AA$87,0),0)</f>
        <v>21680168.406912461</v>
      </c>
      <c r="Q11" s="112">
        <f>IFERROR(_xlfn.XLOOKUP(_xlfn.CONCAT(_xlfn.TEXTBEFORE($B11," ")," - ",Q$9),Model!$D$64:$D$87,Model!$AA$64:$AA$87,0),0)</f>
        <v>21777149.062827762</v>
      </c>
      <c r="R11" s="112">
        <f>IFERROR(_xlfn.XLOOKUP(_xlfn.CONCAT(_xlfn.TEXTBEFORE($B11," ")," - ",R$9),Model!$D$64:$D$87,Model!$AA$64:$AA$87,0),0)</f>
        <v>22856045.72208352</v>
      </c>
      <c r="S11" s="112">
        <f>IFERROR(_xlfn.XLOOKUP(_xlfn.CONCAT(_xlfn.TEXTBEFORE($B11," ")," - ",S$9),Model!$D$64:$D$87,Model!$AA$64:$AA$87,0),0)</f>
        <v>23247048.368509844</v>
      </c>
      <c r="U11" s="110">
        <f>SUM(H11:J11)</f>
        <v>57875817.960000008</v>
      </c>
      <c r="V11" s="110">
        <f>SUM(K11:M11)</f>
        <v>64571485.439999998</v>
      </c>
      <c r="W11" s="110">
        <f>SUM(N11:P11)</f>
        <v>63454008.16364783</v>
      </c>
      <c r="X11" s="110">
        <f>SUM(Q11:S11)</f>
        <v>67880243.153421134</v>
      </c>
    </row>
    <row r="12" spans="2:24" x14ac:dyDescent="0.25">
      <c r="B12" s="109" t="s">
        <v>135</v>
      </c>
      <c r="C12" s="125">
        <f>IFERROR(_xlfn.XLOOKUP(_xlfn.TEXTBEFORE(B12," "),'Detailed Forecast'!$D$7:$D$8,'Detailed Forecast'!$AB$10:$AB$11,0),0)</f>
        <v>764679975.7700001</v>
      </c>
      <c r="D12" s="110">
        <f>SUM(U12,V12,W12,X12)</f>
        <v>707120269.0222162</v>
      </c>
      <c r="E12" s="111">
        <f t="shared" ref="E12:E13" si="0">D12/C12-1</f>
        <v>-7.5272935831520504E-2</v>
      </c>
      <c r="G12" s="112"/>
      <c r="H12" s="112">
        <f>IFERROR(_xlfn.XLOOKUP(_xlfn.CONCAT(_xlfn.TEXTBEFORE($B12," ")," - ",H$9),Model!$D$64:$D$87,Model!$AA$64:$AA$87,0),0)</f>
        <v>52435094.820000067</v>
      </c>
      <c r="I12" s="112">
        <f>IFERROR(_xlfn.XLOOKUP(_xlfn.CONCAT(_xlfn.TEXTBEFORE($B12," ")," - ",I$9),Model!$D$64:$D$87,Model!$AA$64:$AA$87,0),0)</f>
        <v>50480135.180000044</v>
      </c>
      <c r="J12" s="112">
        <f>IFERROR(_xlfn.XLOOKUP(_xlfn.CONCAT(_xlfn.TEXTBEFORE($B12," ")," - ",J$9),Model!$D$64:$D$87,Model!$AA$64:$AA$87,0),0)</f>
        <v>62507499.489999995</v>
      </c>
      <c r="K12" s="112">
        <f>IFERROR(_xlfn.XLOOKUP(_xlfn.CONCAT(_xlfn.TEXTBEFORE($B12," ")," - ",K$9),Model!$D$64:$D$87,Model!$AA$64:$AA$87,0),0)</f>
        <v>56494769.00999999</v>
      </c>
      <c r="L12" s="112">
        <f>IFERROR(_xlfn.XLOOKUP(_xlfn.CONCAT(_xlfn.TEXTBEFORE($B12," ")," - ",L$9),Model!$D$64:$D$87,Model!$AA$64:$AA$87,0),0)</f>
        <v>58887513.120000027</v>
      </c>
      <c r="M12" s="112">
        <f>IFERROR(_xlfn.XLOOKUP(_xlfn.CONCAT(_xlfn.TEXTBEFORE($B12," ")," - ",M$9),Model!$D$64:$D$87,Model!$AA$64:$AA$87,0),0)</f>
        <v>59456740.219999999</v>
      </c>
      <c r="N12" s="112">
        <f>IFERROR(_xlfn.XLOOKUP(_xlfn.CONCAT(_xlfn.TEXTBEFORE($B12," ")," - ",N$9),Model!$D$64:$D$87,Model!$AA$64:$AA$87,0),0)</f>
        <v>56836693.766706765</v>
      </c>
      <c r="O12" s="112">
        <f>IFERROR(_xlfn.XLOOKUP(_xlfn.CONCAT(_xlfn.TEXTBEFORE($B12," ")," - ",O$9),Model!$D$64:$D$87,Model!$AA$64:$AA$87,0),0)</f>
        <v>57589573.073240481</v>
      </c>
      <c r="P12" s="112">
        <f>IFERROR(_xlfn.XLOOKUP(_xlfn.CONCAT(_xlfn.TEXTBEFORE($B12," ")," - ",P$9),Model!$D$64:$D$87,Model!$AA$64:$AA$87,0),0)</f>
        <v>58731305.685883477</v>
      </c>
      <c r="Q12" s="112">
        <f>IFERROR(_xlfn.XLOOKUP(_xlfn.CONCAT(_xlfn.TEXTBEFORE($B12," ")," - ",Q$9),Model!$D$64:$D$87,Model!$AA$64:$AA$87,0),0)</f>
        <v>61920950.31701602</v>
      </c>
      <c r="R12" s="112">
        <f>IFERROR(_xlfn.XLOOKUP(_xlfn.CONCAT(_xlfn.TEXTBEFORE($B12," ")," - ",R$9),Model!$D$64:$D$87,Model!$AA$64:$AA$87,0),0)</f>
        <v>65717763.635221258</v>
      </c>
      <c r="S12" s="112">
        <f>IFERROR(_xlfn.XLOOKUP(_xlfn.CONCAT(_xlfn.TEXTBEFORE($B12," ")," - ",S$9),Model!$D$64:$D$87,Model!$AA$64:$AA$87,0),0)</f>
        <v>66062230.704148062</v>
      </c>
      <c r="U12" s="110">
        <f>SUM(H12:J12)</f>
        <v>165422729.49000013</v>
      </c>
      <c r="V12" s="110">
        <f>SUM(K12:M12)</f>
        <v>174839022.35000002</v>
      </c>
      <c r="W12" s="110">
        <f>SUM(N12:P12)</f>
        <v>173157572.52583075</v>
      </c>
      <c r="X12" s="110">
        <f>SUM(Q12:S12)</f>
        <v>193700944.65638533</v>
      </c>
    </row>
    <row r="13" spans="2:24" x14ac:dyDescent="0.25">
      <c r="B13" s="113" t="s">
        <v>136</v>
      </c>
      <c r="C13" s="124">
        <f>SUM(C11:C12)</f>
        <v>1044312160.7700001</v>
      </c>
      <c r="D13" s="140">
        <f>Model!AA7</f>
        <v>960956498.30313683</v>
      </c>
      <c r="E13" s="115">
        <f t="shared" si="0"/>
        <v>-7.9818722407103637E-2</v>
      </c>
      <c r="G13" s="114"/>
      <c r="H13" s="114">
        <f t="shared" ref="H13:S13" si="1">H11+H12</f>
        <v>70958558.650000066</v>
      </c>
      <c r="I13" s="114">
        <f t="shared" si="1"/>
        <v>67748868.780000046</v>
      </c>
      <c r="J13" s="114">
        <f t="shared" si="1"/>
        <v>84591120.019999996</v>
      </c>
      <c r="K13" s="114">
        <f t="shared" si="1"/>
        <v>77673877.00999999</v>
      </c>
      <c r="L13" s="114">
        <f t="shared" si="1"/>
        <v>82028725.580000013</v>
      </c>
      <c r="M13" s="114">
        <f t="shared" si="1"/>
        <v>79707905.200000018</v>
      </c>
      <c r="N13" s="114">
        <f t="shared" si="1"/>
        <v>77713719.266040146</v>
      </c>
      <c r="O13" s="114">
        <f t="shared" si="1"/>
        <v>78486387.330642462</v>
      </c>
      <c r="P13" s="114">
        <f t="shared" si="1"/>
        <v>80411474.092795938</v>
      </c>
      <c r="Q13" s="114">
        <f t="shared" si="1"/>
        <v>83698099.379843786</v>
      </c>
      <c r="R13" s="114">
        <f t="shared" si="1"/>
        <v>88573809.357304782</v>
      </c>
      <c r="S13" s="114">
        <f t="shared" si="1"/>
        <v>89309279.072657913</v>
      </c>
      <c r="U13" s="114">
        <f>SUM(H13:J13)</f>
        <v>223298547.45000011</v>
      </c>
      <c r="V13" s="114">
        <f>SUM(K13:M13)</f>
        <v>239410507.79000002</v>
      </c>
      <c r="W13" s="114">
        <f>SUM(N13:P13)</f>
        <v>236611580.68947855</v>
      </c>
      <c r="X13" s="114">
        <f>SUM(Q13:S13)</f>
        <v>261581187.8098065</v>
      </c>
    </row>
    <row r="15" spans="2:24" x14ac:dyDescent="0.25">
      <c r="B15" s="107" t="s">
        <v>137</v>
      </c>
      <c r="C15" s="108"/>
      <c r="D15" s="108"/>
      <c r="E15" s="108"/>
      <c r="G15" s="108"/>
      <c r="H15" s="108"/>
      <c r="I15" s="108"/>
      <c r="J15" s="108"/>
      <c r="K15" s="108"/>
      <c r="L15" s="108"/>
      <c r="M15" s="108"/>
      <c r="N15" s="108"/>
      <c r="O15" s="108"/>
      <c r="P15" s="108"/>
      <c r="Q15" s="108"/>
      <c r="R15" s="108"/>
      <c r="S15" s="108"/>
      <c r="U15" s="108"/>
      <c r="V15" s="108"/>
      <c r="W15" s="108"/>
      <c r="X15" s="108"/>
    </row>
    <row r="16" spans="2:24" x14ac:dyDescent="0.25">
      <c r="B16" s="109" t="s">
        <v>138</v>
      </c>
      <c r="C16" s="125">
        <f>IFERROR(_xlfn.XLOOKUP(_xlfn.TEXTBEFORE(B16," "),'Detailed Forecast'!$D$7:$D$8,'Detailed Forecast'!$R$10:$R$11,0),0)</f>
        <v>96280929.560000017</v>
      </c>
      <c r="D16" s="110">
        <f>SUM(U16,V16,W16,X16)</f>
        <v>62394551.789996929</v>
      </c>
      <c r="E16" s="111">
        <f>D16/C16-1</f>
        <v>-0.35195316377669461</v>
      </c>
      <c r="G16" s="112"/>
      <c r="H16" s="112">
        <f>IFERROR(_xlfn.XLOOKUP(_xlfn.CONCAT(_xlfn.TEXTBEFORE($B16," ")," - ",H$9),Model!$D$64:$D$87,Model!$Z$64:$Z$87,0),0)</f>
        <v>4507909.4599999972</v>
      </c>
      <c r="I16" s="112">
        <f>IFERROR(_xlfn.XLOOKUP(_xlfn.CONCAT(_xlfn.TEXTBEFORE($B16," ")," - ",I$9),Model!$D$64:$D$87,Model!$Z$64:$Z$87,0),0)</f>
        <v>4216923.2699999996</v>
      </c>
      <c r="J16" s="112">
        <f>IFERROR(_xlfn.XLOOKUP(_xlfn.CONCAT(_xlfn.TEXTBEFORE($B16," ")," - ",J$9),Model!$D$64:$D$87,Model!$Z$64:$Z$87,0),0)</f>
        <v>5415470.0300000031</v>
      </c>
      <c r="K16" s="112">
        <f>IFERROR(_xlfn.XLOOKUP(_xlfn.CONCAT(_xlfn.TEXTBEFORE($B16," ")," - ",K$9),Model!$D$64:$D$87,Model!$Z$64:$Z$87,0),0)</f>
        <v>5221563.0600000052</v>
      </c>
      <c r="L16" s="112">
        <f>IFERROR(_xlfn.XLOOKUP(_xlfn.CONCAT(_xlfn.TEXTBEFORE($B16," ")," - ",L$9),Model!$D$64:$D$87,Model!$Z$64:$Z$87,0),0)</f>
        <v>5739560.9399999985</v>
      </c>
      <c r="M16" s="112">
        <f>IFERROR(_xlfn.XLOOKUP(_xlfn.CONCAT(_xlfn.TEXTBEFORE($B16," ")," - ",M$9),Model!$D$64:$D$87,Model!$Z$64:$Z$87,0),0)</f>
        <v>5013162.82</v>
      </c>
      <c r="N16" s="112">
        <f>IFERROR(_xlfn.XLOOKUP(_xlfn.CONCAT(_xlfn.TEXTBEFORE($B16," ")," - ",N$9),Model!$D$64:$D$87,Model!$Z$64:$Z$87,0),0)</f>
        <v>5129376.6196748037</v>
      </c>
      <c r="O16" s="112">
        <f>IFERROR(_xlfn.XLOOKUP(_xlfn.CONCAT(_xlfn.TEXTBEFORE($B16," ")," - ",O$9),Model!$D$64:$D$87,Model!$Z$64:$Z$87,0),0)</f>
        <v>5133526.3475855393</v>
      </c>
      <c r="P16" s="112">
        <f>IFERROR(_xlfn.XLOOKUP(_xlfn.CONCAT(_xlfn.TEXTBEFORE($B16," ")," - ",P$9),Model!$D$64:$D$87,Model!$Z$64:$Z$87,0),0)</f>
        <v>5331623.0025774315</v>
      </c>
      <c r="Q16" s="112">
        <f>IFERROR(_xlfn.XLOOKUP(_xlfn.CONCAT(_xlfn.TEXTBEFORE($B16," ")," - ",Q$9),Model!$D$64:$D$87,Model!$Z$64:$Z$87,0),0)</f>
        <v>5355181.3536374876</v>
      </c>
      <c r="R16" s="112">
        <f>IFERROR(_xlfn.XLOOKUP(_xlfn.CONCAT(_xlfn.TEXTBEFORE($B16," ")," - ",R$9),Model!$D$64:$D$87,Model!$Z$64:$Z$87,0),0)</f>
        <v>5617081.3180191452</v>
      </c>
      <c r="S16" s="112">
        <f>IFERROR(_xlfn.XLOOKUP(_xlfn.CONCAT(_xlfn.TEXTBEFORE($B16," ")," - ",S$9),Model!$D$64:$D$87,Model!$Z$64:$Z$87,0),0)</f>
        <v>5713173.5685025137</v>
      </c>
      <c r="U16" s="110">
        <f>SUM(H16:J16)</f>
        <v>14140302.76</v>
      </c>
      <c r="V16" s="110">
        <f>SUM(K16:M16)</f>
        <v>15974286.820000004</v>
      </c>
      <c r="W16" s="110">
        <f>SUM(N16:P16)</f>
        <v>15594525.969837774</v>
      </c>
      <c r="X16" s="110">
        <f>SUM(Q16:S16)</f>
        <v>16685436.240159146</v>
      </c>
    </row>
    <row r="17" spans="2:24" x14ac:dyDescent="0.25">
      <c r="B17" s="109" t="s">
        <v>139</v>
      </c>
      <c r="C17" s="125">
        <f>IFERROR(_xlfn.XLOOKUP(_xlfn.TEXTBEFORE(B17," "),'Detailed Forecast'!$D$7:$D$8,'Detailed Forecast'!$R$10:$R$11,0),0)</f>
        <v>249571060.51000005</v>
      </c>
      <c r="D17" s="110">
        <f>SUM(U17,V17,W17,X17)</f>
        <v>262560650.46891859</v>
      </c>
      <c r="E17" s="111">
        <f t="shared" ref="E17:E18" si="2">D17/C17-1</f>
        <v>5.204766102437608E-2</v>
      </c>
      <c r="G17" s="112"/>
      <c r="H17" s="112">
        <f>IFERROR(_xlfn.XLOOKUP(_xlfn.CONCAT(_xlfn.TEXTBEFORE($B17," ")," - ",H$9),Model!$D$64:$D$87,Model!$Z$64:$Z$87,0),0)</f>
        <v>19345014.920000013</v>
      </c>
      <c r="I17" s="112">
        <f>IFERROR(_xlfn.XLOOKUP(_xlfn.CONCAT(_xlfn.TEXTBEFORE($B17," ")," - ",I$9),Model!$D$64:$D$87,Model!$Z$64:$Z$87,0),0)</f>
        <v>18585004.740000006</v>
      </c>
      <c r="J17" s="112">
        <f>IFERROR(_xlfn.XLOOKUP(_xlfn.CONCAT(_xlfn.TEXTBEFORE($B17," ")," - ",J$9),Model!$D$64:$D$87,Model!$Z$64:$Z$87,0),0)</f>
        <v>23042673.800000012</v>
      </c>
      <c r="K17" s="112">
        <f>IFERROR(_xlfn.XLOOKUP(_xlfn.CONCAT(_xlfn.TEXTBEFORE($B17," ")," - ",K$9),Model!$D$64:$D$87,Model!$Z$64:$Z$87,0),0)</f>
        <v>21128744.109999996</v>
      </c>
      <c r="L17" s="112">
        <f>IFERROR(_xlfn.XLOOKUP(_xlfn.CONCAT(_xlfn.TEXTBEFORE($B17," ")," - ",L$9),Model!$D$64:$D$87,Model!$Z$64:$Z$87,0),0)</f>
        <v>22251307.249999993</v>
      </c>
      <c r="M17" s="112">
        <f>IFERROR(_xlfn.XLOOKUP(_xlfn.CONCAT(_xlfn.TEXTBEFORE($B17," ")," - ",M$9),Model!$D$64:$D$87,Model!$Z$64:$Z$87,0),0)</f>
        <v>22172927.070000004</v>
      </c>
      <c r="N17" s="112">
        <f>IFERROR(_xlfn.XLOOKUP(_xlfn.CONCAT(_xlfn.TEXTBEFORE($B17," ")," - ",N$9),Model!$D$64:$D$87,Model!$Z$64:$Z$87,0),0)</f>
        <v>21085032.477570646</v>
      </c>
      <c r="O17" s="112">
        <f>IFERROR(_xlfn.XLOOKUP(_xlfn.CONCAT(_xlfn.TEXTBEFORE($B17," ")," - ",O$9),Model!$D$64:$D$87,Model!$Z$64:$Z$87,0),0)</f>
        <v>21395221.796080746</v>
      </c>
      <c r="P17" s="112">
        <f>IFERROR(_xlfn.XLOOKUP(_xlfn.CONCAT(_xlfn.TEXTBEFORE($B17," ")," - ",P$9),Model!$D$64:$D$87,Model!$Z$64:$Z$87,0),0)</f>
        <v>21808813.149338227</v>
      </c>
      <c r="Q17" s="112">
        <f>IFERROR(_xlfn.XLOOKUP(_xlfn.CONCAT(_xlfn.TEXTBEFORE($B17," ")," - ",Q$9),Model!$D$64:$D$87,Model!$Z$64:$Z$87,0),0)</f>
        <v>22929085.843868677</v>
      </c>
      <c r="R17" s="112">
        <f>IFERROR(_xlfn.XLOOKUP(_xlfn.CONCAT(_xlfn.TEXTBEFORE($B17," ")," - ",R$9),Model!$D$64:$D$87,Model!$Z$64:$Z$87,0),0)</f>
        <v>24331956.387285385</v>
      </c>
      <c r="S17" s="112">
        <f>IFERROR(_xlfn.XLOOKUP(_xlfn.CONCAT(_xlfn.TEXTBEFORE($B17," ")," - ",S$9),Model!$D$64:$D$87,Model!$Z$64:$Z$87,0),0)</f>
        <v>24484868.924774874</v>
      </c>
      <c r="U17" s="110">
        <f>SUM(H17:J17)</f>
        <v>60972693.460000031</v>
      </c>
      <c r="V17" s="110">
        <f>SUM(K17:M17)</f>
        <v>65552978.429999992</v>
      </c>
      <c r="W17" s="110">
        <f>SUM(N17:P17)</f>
        <v>64289067.422989622</v>
      </c>
      <c r="X17" s="110">
        <f>SUM(Q17:S17)</f>
        <v>71745911.15592894</v>
      </c>
    </row>
    <row r="18" spans="2:24" x14ac:dyDescent="0.25">
      <c r="B18" s="113" t="s">
        <v>140</v>
      </c>
      <c r="C18" s="114">
        <f>SUM(C16:C17)</f>
        <v>345851990.07000005</v>
      </c>
      <c r="D18" s="140">
        <f>Model!Z7</f>
        <v>324967379.63650125</v>
      </c>
      <c r="E18" s="115">
        <f t="shared" si="2"/>
        <v>-6.0385977334615815E-2</v>
      </c>
      <c r="G18" s="114"/>
      <c r="H18" s="114">
        <f t="shared" ref="H18:S18" si="3">H16+H17</f>
        <v>23852924.38000001</v>
      </c>
      <c r="I18" s="114">
        <f t="shared" si="3"/>
        <v>22801928.010000005</v>
      </c>
      <c r="J18" s="114">
        <f t="shared" si="3"/>
        <v>28458143.830000013</v>
      </c>
      <c r="K18" s="114">
        <f t="shared" si="3"/>
        <v>26350307.170000002</v>
      </c>
      <c r="L18" s="114">
        <f t="shared" si="3"/>
        <v>27990868.18999999</v>
      </c>
      <c r="M18" s="114">
        <f t="shared" si="3"/>
        <v>27186089.890000004</v>
      </c>
      <c r="N18" s="114">
        <f t="shared" si="3"/>
        <v>26214409.097245447</v>
      </c>
      <c r="O18" s="114">
        <f t="shared" si="3"/>
        <v>26528748.143666286</v>
      </c>
      <c r="P18" s="114">
        <f t="shared" si="3"/>
        <v>27140436.151915658</v>
      </c>
      <c r="Q18" s="114">
        <f t="shared" si="3"/>
        <v>28284267.197506163</v>
      </c>
      <c r="R18" s="114">
        <f t="shared" si="3"/>
        <v>29949037.70530453</v>
      </c>
      <c r="S18" s="114">
        <f t="shared" si="3"/>
        <v>30198042.493277386</v>
      </c>
      <c r="U18" s="114">
        <f>SUM(H18:J18)</f>
        <v>75112996.220000029</v>
      </c>
      <c r="V18" s="114">
        <f>SUM(K18:M18)</f>
        <v>81527265.25</v>
      </c>
      <c r="W18" s="114">
        <f>SUM(N18:P18)</f>
        <v>79883593.392827392</v>
      </c>
      <c r="X18" s="114">
        <f>SUM(Q18:S18)</f>
        <v>88431347.396088079</v>
      </c>
    </row>
    <row r="20" spans="2:24" x14ac:dyDescent="0.25">
      <c r="B20" s="107" t="s">
        <v>141</v>
      </c>
      <c r="C20" s="108"/>
      <c r="D20" s="108"/>
      <c r="E20" s="108"/>
      <c r="G20" s="108"/>
      <c r="H20" s="108"/>
      <c r="I20" s="108"/>
      <c r="J20" s="108"/>
      <c r="K20" s="108"/>
      <c r="L20" s="108"/>
      <c r="M20" s="108"/>
      <c r="N20" s="108"/>
      <c r="O20" s="108"/>
      <c r="P20" s="108"/>
      <c r="Q20" s="108"/>
      <c r="R20" s="108"/>
      <c r="S20" s="108"/>
      <c r="U20" s="108"/>
      <c r="V20" s="108"/>
      <c r="W20" s="108"/>
      <c r="X20" s="108"/>
    </row>
    <row r="21" spans="2:24" x14ac:dyDescent="0.25">
      <c r="B21" s="113" t="s">
        <v>141</v>
      </c>
      <c r="C21" s="116">
        <f>C13-C18</f>
        <v>698460170.70000005</v>
      </c>
      <c r="D21" s="116">
        <f>D13-D18</f>
        <v>635989118.66663551</v>
      </c>
      <c r="E21" s="117">
        <f>D21/C21-1</f>
        <v>-8.9441108675897385E-2</v>
      </c>
      <c r="G21" s="116"/>
      <c r="H21" s="116">
        <f t="shared" ref="H21:S21" si="4">H13-H18</f>
        <v>47105634.270000055</v>
      </c>
      <c r="I21" s="116">
        <f t="shared" si="4"/>
        <v>44946940.770000041</v>
      </c>
      <c r="J21" s="116">
        <f t="shared" si="4"/>
        <v>56132976.189999983</v>
      </c>
      <c r="K21" s="116">
        <f t="shared" si="4"/>
        <v>51323569.839999989</v>
      </c>
      <c r="L21" s="116">
        <f t="shared" si="4"/>
        <v>54037857.390000023</v>
      </c>
      <c r="M21" s="116">
        <f t="shared" si="4"/>
        <v>52521815.310000017</v>
      </c>
      <c r="N21" s="116">
        <f t="shared" si="4"/>
        <v>51499310.168794699</v>
      </c>
      <c r="O21" s="116">
        <f t="shared" si="4"/>
        <v>51957639.186976179</v>
      </c>
      <c r="P21" s="116">
        <f t="shared" si="4"/>
        <v>53271037.940880284</v>
      </c>
      <c r="Q21" s="116">
        <f t="shared" si="4"/>
        <v>55413832.182337627</v>
      </c>
      <c r="R21" s="116">
        <f t="shared" si="4"/>
        <v>58624771.652000248</v>
      </c>
      <c r="S21" s="116">
        <f t="shared" si="4"/>
        <v>59111236.579380527</v>
      </c>
      <c r="U21" s="116">
        <f>SUM(H21:J21)</f>
        <v>148185551.23000008</v>
      </c>
      <c r="V21" s="116">
        <f>SUM(K21:M21)</f>
        <v>157883242.54000002</v>
      </c>
      <c r="W21" s="116">
        <f>SUM(N21:P21)</f>
        <v>156727987.29665118</v>
      </c>
      <c r="X21" s="116">
        <f>SUM(Q21:S21)</f>
        <v>173149840.4137184</v>
      </c>
    </row>
    <row r="22" spans="2:24" x14ac:dyDescent="0.25">
      <c r="B22" s="118" t="s">
        <v>142</v>
      </c>
      <c r="C22" s="119">
        <f>IF(C13=0,0,C21/C13)</f>
        <v>0.6688231708275868</v>
      </c>
      <c r="D22" s="119">
        <f>IF(D13=0,0,D21/D13)</f>
        <v>0.66182925011659655</v>
      </c>
      <c r="E22" s="120" t="str">
        <f>_xlfn.CONCAT(ROUND((D22-C22)*10000,0),"pp")</f>
        <v>-70pp</v>
      </c>
      <c r="G22" s="119"/>
      <c r="H22" s="119">
        <f t="shared" ref="H22:S22" si="5">IF(H13=0,0,H21/H13)</f>
        <v>0.66384711254278006</v>
      </c>
      <c r="I22" s="119">
        <f t="shared" si="5"/>
        <v>0.6634345573496675</v>
      </c>
      <c r="J22" s="119">
        <f t="shared" si="5"/>
        <v>0.66358000906866332</v>
      </c>
      <c r="K22" s="119">
        <f t="shared" si="5"/>
        <v>0.66075715305665017</v>
      </c>
      <c r="L22" s="119">
        <f t="shared" si="5"/>
        <v>0.65876748672998231</v>
      </c>
      <c r="M22" s="119">
        <f t="shared" si="5"/>
        <v>0.65892856145465484</v>
      </c>
      <c r="N22" s="119">
        <f t="shared" si="5"/>
        <v>0.66267977720246884</v>
      </c>
      <c r="O22" s="119">
        <f t="shared" si="5"/>
        <v>0.66199555049071557</v>
      </c>
      <c r="P22" s="119">
        <f t="shared" si="5"/>
        <v>0.6624805544468042</v>
      </c>
      <c r="Q22" s="119">
        <f t="shared" si="5"/>
        <v>0.66206798712184867</v>
      </c>
      <c r="R22" s="119">
        <f t="shared" si="5"/>
        <v>0.66187479207887767</v>
      </c>
      <c r="S22" s="119">
        <f t="shared" si="5"/>
        <v>0.66187116493562048</v>
      </c>
      <c r="U22" s="119">
        <f>IF(U13=0,0,U21/U13)</f>
        <v>0.66362075760112615</v>
      </c>
      <c r="V22" s="119">
        <f t="shared" ref="V22" si="6">IF(V13=0,0,V21/V13)</f>
        <v>0.65946663743969003</v>
      </c>
      <c r="W22" s="119">
        <f>IF(W13=0,0,W21/W13)</f>
        <v>0.66238510744043411</v>
      </c>
      <c r="X22" s="119">
        <f t="shared" ref="X22" si="7">IF(X13=0,0,X21/X13)</f>
        <v>0.66193537028975569</v>
      </c>
    </row>
    <row r="24" spans="2:24" x14ac:dyDescent="0.25">
      <c r="B24" s="107" t="s">
        <v>143</v>
      </c>
      <c r="C24" s="108"/>
      <c r="D24" s="108"/>
      <c r="E24" s="108"/>
      <c r="G24" s="108"/>
      <c r="H24" s="108"/>
      <c r="I24" s="108"/>
      <c r="J24" s="108"/>
      <c r="K24" s="108"/>
      <c r="L24" s="108"/>
      <c r="M24" s="108"/>
      <c r="N24" s="108"/>
      <c r="O24" s="108"/>
      <c r="P24" s="108"/>
      <c r="Q24" s="108"/>
      <c r="R24" s="108"/>
      <c r="S24" s="108"/>
      <c r="U24" s="108"/>
      <c r="V24" s="108"/>
      <c r="W24" s="108"/>
      <c r="X24" s="108"/>
    </row>
    <row r="25" spans="2:24" x14ac:dyDescent="0.25">
      <c r="B25" s="109" t="s">
        <v>144</v>
      </c>
      <c r="C25" s="110">
        <f>-C13*0.05</f>
        <v>-52215608.038500011</v>
      </c>
      <c r="D25" s="110">
        <f>-$D$13*G25</f>
        <v>-48047824.915156841</v>
      </c>
      <c r="E25" s="111">
        <f t="shared" ref="E25:E28" si="8">D25/C25-1</f>
        <v>-7.9818722407103748E-2</v>
      </c>
      <c r="G25" s="139">
        <v>0.05</v>
      </c>
      <c r="H25" s="110">
        <f>-H13*0.05</f>
        <v>-3547927.9325000034</v>
      </c>
      <c r="I25" s="110">
        <f t="shared" ref="I25:S25" si="9">-I13*0.05</f>
        <v>-3387443.4390000026</v>
      </c>
      <c r="J25" s="110">
        <f t="shared" si="9"/>
        <v>-4229556.0010000002</v>
      </c>
      <c r="K25" s="110">
        <f t="shared" si="9"/>
        <v>-3883693.8504999997</v>
      </c>
      <c r="L25" s="110">
        <f t="shared" si="9"/>
        <v>-4101436.279000001</v>
      </c>
      <c r="M25" s="110">
        <f t="shared" si="9"/>
        <v>-3985395.2600000012</v>
      </c>
      <c r="N25" s="110">
        <f t="shared" si="9"/>
        <v>-3885685.9633020074</v>
      </c>
      <c r="O25" s="110">
        <f t="shared" si="9"/>
        <v>-3924319.3665321232</v>
      </c>
      <c r="P25" s="110">
        <f t="shared" si="9"/>
        <v>-4020573.7046397971</v>
      </c>
      <c r="Q25" s="110">
        <f t="shared" si="9"/>
        <v>-4184904.9689921895</v>
      </c>
      <c r="R25" s="110">
        <f t="shared" si="9"/>
        <v>-4428690.4678652389</v>
      </c>
      <c r="S25" s="110">
        <f t="shared" si="9"/>
        <v>-4465463.9536328958</v>
      </c>
      <c r="U25" s="110">
        <f>SUM(H25:J25)</f>
        <v>-11164927.372500006</v>
      </c>
      <c r="V25" s="110">
        <f>SUM(K25:M25)</f>
        <v>-11970525.389500001</v>
      </c>
      <c r="W25" s="110">
        <f>SUM(N25:P25)</f>
        <v>-11830579.034473928</v>
      </c>
      <c r="X25" s="110">
        <f>SUM(Q25:S25)</f>
        <v>-13079059.390490323</v>
      </c>
    </row>
    <row r="26" spans="2:24" x14ac:dyDescent="0.25">
      <c r="B26" s="109" t="s">
        <v>145</v>
      </c>
      <c r="C26" s="110">
        <f>-C13*0.1</f>
        <v>-104431216.07700002</v>
      </c>
      <c r="D26" s="110">
        <f t="shared" ref="D26:D28" si="10">-$D$13*G26</f>
        <v>-96095649.830313683</v>
      </c>
      <c r="E26" s="111">
        <f t="shared" si="8"/>
        <v>-7.9818722407103748E-2</v>
      </c>
      <c r="G26" s="139">
        <v>0.1</v>
      </c>
      <c r="H26" s="110">
        <f>-H13*0.1</f>
        <v>-7095855.8650000067</v>
      </c>
      <c r="I26" s="110">
        <f t="shared" ref="I26:S26" si="11">-I13*0.1</f>
        <v>-6774886.8780000051</v>
      </c>
      <c r="J26" s="110">
        <f t="shared" si="11"/>
        <v>-8459112.0020000003</v>
      </c>
      <c r="K26" s="110">
        <f t="shared" si="11"/>
        <v>-7767387.7009999994</v>
      </c>
      <c r="L26" s="110">
        <f t="shared" si="11"/>
        <v>-8202872.5580000021</v>
      </c>
      <c r="M26" s="110">
        <f t="shared" si="11"/>
        <v>-7970790.5200000023</v>
      </c>
      <c r="N26" s="110">
        <f t="shared" si="11"/>
        <v>-7771371.9266040148</v>
      </c>
      <c r="O26" s="110">
        <f t="shared" si="11"/>
        <v>-7848638.7330642464</v>
      </c>
      <c r="P26" s="110">
        <f t="shared" si="11"/>
        <v>-8041147.4092795942</v>
      </c>
      <c r="Q26" s="110">
        <f t="shared" si="11"/>
        <v>-8369809.937984379</v>
      </c>
      <c r="R26" s="110">
        <f t="shared" si="11"/>
        <v>-8857380.9357304778</v>
      </c>
      <c r="S26" s="110">
        <f t="shared" si="11"/>
        <v>-8930927.9072657917</v>
      </c>
      <c r="U26" s="110">
        <f>SUM(H26:J26)</f>
        <v>-22329854.745000012</v>
      </c>
      <c r="V26" s="110">
        <f>SUM(K26:M26)</f>
        <v>-23941050.779000003</v>
      </c>
      <c r="W26" s="110">
        <f>SUM(N26:P26)</f>
        <v>-23661158.068947855</v>
      </c>
      <c r="X26" s="110">
        <f>SUM(Q26:S26)</f>
        <v>-26158118.780980647</v>
      </c>
    </row>
    <row r="27" spans="2:24" x14ac:dyDescent="0.25">
      <c r="B27" s="109" t="s">
        <v>146</v>
      </c>
      <c r="C27" s="110">
        <f>-C13*0.05</f>
        <v>-52215608.038500011</v>
      </c>
      <c r="D27" s="110">
        <f t="shared" si="10"/>
        <v>-38438259.932125472</v>
      </c>
      <c r="E27" s="111">
        <f t="shared" si="8"/>
        <v>-0.26385497792568302</v>
      </c>
      <c r="G27" s="139">
        <v>0.04</v>
      </c>
      <c r="H27" s="110">
        <f t="shared" ref="H27:S27" si="12">-H13*0.05</f>
        <v>-3547927.9325000034</v>
      </c>
      <c r="I27" s="110">
        <f t="shared" si="12"/>
        <v>-3387443.4390000026</v>
      </c>
      <c r="J27" s="110">
        <f t="shared" si="12"/>
        <v>-4229556.0010000002</v>
      </c>
      <c r="K27" s="110">
        <f t="shared" si="12"/>
        <v>-3883693.8504999997</v>
      </c>
      <c r="L27" s="110">
        <f t="shared" si="12"/>
        <v>-4101436.279000001</v>
      </c>
      <c r="M27" s="110">
        <f t="shared" si="12"/>
        <v>-3985395.2600000012</v>
      </c>
      <c r="N27" s="110">
        <f t="shared" si="12"/>
        <v>-3885685.9633020074</v>
      </c>
      <c r="O27" s="110">
        <f t="shared" si="12"/>
        <v>-3924319.3665321232</v>
      </c>
      <c r="P27" s="110">
        <f t="shared" si="12"/>
        <v>-4020573.7046397971</v>
      </c>
      <c r="Q27" s="110">
        <f t="shared" si="12"/>
        <v>-4184904.9689921895</v>
      </c>
      <c r="R27" s="110">
        <f t="shared" si="12"/>
        <v>-4428690.4678652389</v>
      </c>
      <c r="S27" s="110">
        <f t="shared" si="12"/>
        <v>-4465463.9536328958</v>
      </c>
      <c r="U27" s="110">
        <f>SUM(H27:J27)</f>
        <v>-11164927.372500006</v>
      </c>
      <c r="V27" s="110">
        <f>SUM(K27:M27)</f>
        <v>-11970525.389500001</v>
      </c>
      <c r="W27" s="110">
        <f>SUM(N27:P27)</f>
        <v>-11830579.034473928</v>
      </c>
      <c r="X27" s="110">
        <f>SUM(Q27:S27)</f>
        <v>-13079059.390490323</v>
      </c>
    </row>
    <row r="28" spans="2:24" x14ac:dyDescent="0.25">
      <c r="B28" s="109" t="s">
        <v>147</v>
      </c>
      <c r="C28" s="110">
        <f>-C13*0.2</f>
        <v>-208862432.15400004</v>
      </c>
      <c r="D28" s="110">
        <f t="shared" si="10"/>
        <v>-172972169.69456461</v>
      </c>
      <c r="E28" s="111">
        <f t="shared" si="8"/>
        <v>-0.1718368501663935</v>
      </c>
      <c r="G28" s="139">
        <v>0.18</v>
      </c>
      <c r="H28" s="110">
        <f>-H13*0.2</f>
        <v>-14191711.730000013</v>
      </c>
      <c r="I28" s="110">
        <f t="shared" ref="I28:S28" si="13">-I13*0.2</f>
        <v>-13549773.75600001</v>
      </c>
      <c r="J28" s="110">
        <f t="shared" si="13"/>
        <v>-16918224.004000001</v>
      </c>
      <c r="K28" s="110">
        <f t="shared" si="13"/>
        <v>-15534775.401999999</v>
      </c>
      <c r="L28" s="110">
        <f t="shared" si="13"/>
        <v>-16405745.116000004</v>
      </c>
      <c r="M28" s="110">
        <f t="shared" si="13"/>
        <v>-15941581.040000005</v>
      </c>
      <c r="N28" s="110">
        <f t="shared" si="13"/>
        <v>-15542743.85320803</v>
      </c>
      <c r="O28" s="110">
        <f t="shared" si="13"/>
        <v>-15697277.466128493</v>
      </c>
      <c r="P28" s="110">
        <f t="shared" si="13"/>
        <v>-16082294.818559188</v>
      </c>
      <c r="Q28" s="110">
        <f t="shared" si="13"/>
        <v>-16739619.875968758</v>
      </c>
      <c r="R28" s="110">
        <f t="shared" si="13"/>
        <v>-17714761.871460956</v>
      </c>
      <c r="S28" s="110">
        <f t="shared" si="13"/>
        <v>-17861855.814531583</v>
      </c>
      <c r="U28" s="110">
        <f>SUM(H28:J28)</f>
        <v>-44659709.490000024</v>
      </c>
      <c r="V28" s="110">
        <f>SUM(K28:M28)</f>
        <v>-47882101.558000006</v>
      </c>
      <c r="W28" s="110">
        <f>SUM(N28:P28)</f>
        <v>-47322316.137895711</v>
      </c>
      <c r="X28" s="110">
        <f>SUM(Q28:S28)</f>
        <v>-52316237.561961293</v>
      </c>
    </row>
    <row r="30" spans="2:24" ht="15.75" thickBot="1" x14ac:dyDescent="0.3">
      <c r="B30" s="107" t="s">
        <v>148</v>
      </c>
      <c r="C30" s="108"/>
      <c r="D30" s="108"/>
      <c r="E30" s="108"/>
      <c r="G30" s="108"/>
      <c r="H30" s="108"/>
      <c r="I30" s="108"/>
      <c r="J30" s="108"/>
      <c r="K30" s="108"/>
      <c r="L30" s="108"/>
      <c r="M30" s="108"/>
      <c r="N30" s="108"/>
      <c r="O30" s="108"/>
      <c r="P30" s="108"/>
      <c r="Q30" s="108"/>
      <c r="R30" s="108"/>
      <c r="S30" s="108"/>
      <c r="U30" s="108"/>
      <c r="V30" s="108"/>
      <c r="W30" s="108"/>
      <c r="X30" s="108"/>
    </row>
    <row r="31" spans="2:24" ht="15.75" thickTop="1" x14ac:dyDescent="0.25">
      <c r="B31" s="121" t="s">
        <v>148</v>
      </c>
      <c r="C31" s="122">
        <f>C21+SUM(C25:C28)</f>
        <v>280735306.39199996</v>
      </c>
      <c r="D31" s="122">
        <f>SUM(D25:D28,D21)</f>
        <v>280435214.2944749</v>
      </c>
      <c r="E31" s="117">
        <f>D31/C31-1</f>
        <v>-1.0689503268463962E-3</v>
      </c>
      <c r="G31" s="122"/>
      <c r="H31" s="122">
        <f>H21+SUM(H25:H28)</f>
        <v>18722210.810000028</v>
      </c>
      <c r="I31" s="122">
        <f t="shared" ref="I31:S31" si="14">I21+SUM(I25:I28)</f>
        <v>17847393.25800002</v>
      </c>
      <c r="J31" s="122">
        <f t="shared" si="14"/>
        <v>22296528.181999981</v>
      </c>
      <c r="K31" s="122">
        <f t="shared" si="14"/>
        <v>20254019.035999991</v>
      </c>
      <c r="L31" s="122">
        <f t="shared" si="14"/>
        <v>21226367.158000015</v>
      </c>
      <c r="M31" s="122">
        <f t="shared" si="14"/>
        <v>20638653.230000008</v>
      </c>
      <c r="N31" s="122">
        <f t="shared" si="14"/>
        <v>20413822.46237864</v>
      </c>
      <c r="O31" s="122">
        <f t="shared" si="14"/>
        <v>20563084.254719194</v>
      </c>
      <c r="P31" s="122">
        <f t="shared" si="14"/>
        <v>21106448.303761907</v>
      </c>
      <c r="Q31" s="122">
        <f t="shared" si="14"/>
        <v>21934592.430400111</v>
      </c>
      <c r="R31" s="122">
        <f t="shared" si="14"/>
        <v>23195247.909078337</v>
      </c>
      <c r="S31" s="122">
        <f t="shared" si="14"/>
        <v>23387524.95031736</v>
      </c>
      <c r="U31" s="122">
        <f>SUM(H31:J31)</f>
        <v>58866132.25000003</v>
      </c>
      <c r="V31" s="122">
        <f>SUM(K31:M31)</f>
        <v>62119039.42400001</v>
      </c>
      <c r="W31" s="122">
        <f>SUM(N31:P31)</f>
        <v>62083355.020859741</v>
      </c>
      <c r="X31" s="122">
        <f>SUM(Q31:S31)</f>
        <v>68517365.289795816</v>
      </c>
    </row>
    <row r="32" spans="2:24" x14ac:dyDescent="0.25">
      <c r="B32" s="118" t="s">
        <v>149</v>
      </c>
      <c r="C32" s="119">
        <f>IF(C13=0,0,C31/C13)</f>
        <v>0.26882317082758672</v>
      </c>
      <c r="D32" s="119">
        <f>IF(D13=0,0,D31/D13)</f>
        <v>0.29182925011659655</v>
      </c>
      <c r="E32" s="120" t="str">
        <f>_xlfn.CONCAT(ROUND((D32-C32)*10000,0),"pp")</f>
        <v>230pp</v>
      </c>
      <c r="G32" s="119"/>
      <c r="H32" s="119">
        <f t="shared" ref="H32:S32" si="15">IF(H13=0,0,H31/H13)</f>
        <v>0.26384711254278009</v>
      </c>
      <c r="I32" s="119">
        <f t="shared" si="15"/>
        <v>0.26343455734966748</v>
      </c>
      <c r="J32" s="119">
        <f t="shared" si="15"/>
        <v>0.26358000906866325</v>
      </c>
      <c r="K32" s="119">
        <f t="shared" si="15"/>
        <v>0.2607571530566502</v>
      </c>
      <c r="L32" s="119">
        <f t="shared" si="15"/>
        <v>0.25876748672998234</v>
      </c>
      <c r="M32" s="119">
        <f t="shared" si="15"/>
        <v>0.25892856145465487</v>
      </c>
      <c r="N32" s="119">
        <f t="shared" si="15"/>
        <v>0.26267977720246888</v>
      </c>
      <c r="O32" s="119">
        <f t="shared" si="15"/>
        <v>0.26199555049071555</v>
      </c>
      <c r="P32" s="119">
        <f t="shared" si="15"/>
        <v>0.26248055444680418</v>
      </c>
      <c r="Q32" s="119">
        <f t="shared" si="15"/>
        <v>0.26206798712184864</v>
      </c>
      <c r="R32" s="119">
        <f t="shared" si="15"/>
        <v>0.26187479207887765</v>
      </c>
      <c r="S32" s="119">
        <f t="shared" si="15"/>
        <v>0.26187116493562052</v>
      </c>
      <c r="U32" s="119">
        <f>IF(U13=0,0,U31/U13)</f>
        <v>0.26362075760112608</v>
      </c>
      <c r="V32" s="119">
        <f t="shared" ref="V32" si="16">IF(V13=0,0,V31/V13)</f>
        <v>0.25946663743969001</v>
      </c>
      <c r="W32" s="119">
        <f>IF(W13=0,0,W31/W13)</f>
        <v>0.26238510744043397</v>
      </c>
      <c r="X32" s="119">
        <f t="shared" ref="X32" si="17">IF(X13=0,0,X31/X13)</f>
        <v>0.26193537028975578</v>
      </c>
    </row>
    <row r="34" spans="2:24" x14ac:dyDescent="0.25">
      <c r="B34" s="107" t="s">
        <v>150</v>
      </c>
      <c r="C34" s="108"/>
      <c r="D34" s="108"/>
      <c r="E34" s="108"/>
      <c r="G34" s="108"/>
      <c r="H34" s="108"/>
      <c r="I34" s="108"/>
      <c r="J34" s="108"/>
      <c r="K34" s="108"/>
      <c r="L34" s="108"/>
      <c r="M34" s="108"/>
      <c r="N34" s="108"/>
      <c r="O34" s="108"/>
      <c r="P34" s="108"/>
      <c r="Q34" s="108"/>
      <c r="R34" s="108"/>
      <c r="S34" s="108"/>
      <c r="U34" s="108"/>
      <c r="V34" s="108"/>
      <c r="W34" s="108"/>
      <c r="X34" s="108"/>
    </row>
    <row r="35" spans="2:24" x14ac:dyDescent="0.25">
      <c r="B35" s="109" t="s">
        <v>151</v>
      </c>
      <c r="C35" s="110">
        <f>-C31*0.09</f>
        <v>-25266177.575279996</v>
      </c>
      <c r="D35" s="110">
        <f>-$D$31*G35</f>
        <v>-28043521.429447491</v>
      </c>
      <c r="E35" s="111">
        <f t="shared" ref="E35:E36" si="18">D35/C35-1</f>
        <v>0.10992338852572625</v>
      </c>
      <c r="G35" s="139">
        <v>0.1</v>
      </c>
      <c r="H35" s="110">
        <f t="shared" ref="H35:S35" si="19">-H31*0.09</f>
        <v>-1684998.9729000025</v>
      </c>
      <c r="I35" s="110">
        <f t="shared" si="19"/>
        <v>-1606265.3932200018</v>
      </c>
      <c r="J35" s="110">
        <f t="shared" si="19"/>
        <v>-2006687.5363799983</v>
      </c>
      <c r="K35" s="110">
        <f t="shared" si="19"/>
        <v>-1822861.713239999</v>
      </c>
      <c r="L35" s="110">
        <f t="shared" si="19"/>
        <v>-1910373.0442200012</v>
      </c>
      <c r="M35" s="110">
        <f t="shared" si="19"/>
        <v>-1857478.7907000007</v>
      </c>
      <c r="N35" s="110">
        <f t="shared" si="19"/>
        <v>-1837244.0216140775</v>
      </c>
      <c r="O35" s="110">
        <f t="shared" si="19"/>
        <v>-1850677.5829247274</v>
      </c>
      <c r="P35" s="110">
        <f t="shared" si="19"/>
        <v>-1899580.3473385714</v>
      </c>
      <c r="Q35" s="110">
        <f t="shared" si="19"/>
        <v>-1974113.31873601</v>
      </c>
      <c r="R35" s="110">
        <f t="shared" si="19"/>
        <v>-2087572.3118170502</v>
      </c>
      <c r="S35" s="110">
        <f t="shared" si="19"/>
        <v>-2104877.2455285625</v>
      </c>
      <c r="U35" s="110">
        <f t="shared" ref="U35:X35" si="20">-U31*0.09</f>
        <v>-5297951.9025000026</v>
      </c>
      <c r="V35" s="110">
        <f t="shared" si="20"/>
        <v>-5590713.5481600007</v>
      </c>
      <c r="W35" s="110">
        <f t="shared" si="20"/>
        <v>-5587501.9518773761</v>
      </c>
      <c r="X35" s="110">
        <f t="shared" si="20"/>
        <v>-6166562.8760816231</v>
      </c>
    </row>
    <row r="36" spans="2:24" x14ac:dyDescent="0.25">
      <c r="B36" s="109" t="s">
        <v>152</v>
      </c>
      <c r="C36" s="110">
        <f>-(C31-C35)*0.25</f>
        <v>-76500370.991819993</v>
      </c>
      <c r="D36" s="110">
        <f>-$D$31*G36</f>
        <v>-70108803.573618725</v>
      </c>
      <c r="E36" s="111">
        <f t="shared" si="18"/>
        <v>-8.3549495712703203E-2</v>
      </c>
      <c r="G36" s="139">
        <v>0.25</v>
      </c>
      <c r="H36" s="110">
        <f t="shared" ref="H36:S36" si="21">-(H31-H35)*0.25</f>
        <v>-5101802.4457250079</v>
      </c>
      <c r="I36" s="110">
        <f t="shared" si="21"/>
        <v>-4863414.6628050059</v>
      </c>
      <c r="J36" s="110">
        <f t="shared" si="21"/>
        <v>-6075803.9295949945</v>
      </c>
      <c r="K36" s="110">
        <f t="shared" si="21"/>
        <v>-5519220.1873099972</v>
      </c>
      <c r="L36" s="110">
        <f t="shared" si="21"/>
        <v>-5784185.0505550038</v>
      </c>
      <c r="M36" s="110">
        <f t="shared" si="21"/>
        <v>-5624033.0051750019</v>
      </c>
      <c r="N36" s="110">
        <f t="shared" si="21"/>
        <v>-5562766.6209981795</v>
      </c>
      <c r="O36" s="110">
        <f t="shared" si="21"/>
        <v>-5603440.4594109803</v>
      </c>
      <c r="P36" s="110">
        <f t="shared" si="21"/>
        <v>-5751507.1627751198</v>
      </c>
      <c r="Q36" s="110">
        <f t="shared" si="21"/>
        <v>-5977176.43728403</v>
      </c>
      <c r="R36" s="110">
        <f t="shared" si="21"/>
        <v>-6320705.0552238468</v>
      </c>
      <c r="S36" s="110">
        <f t="shared" si="21"/>
        <v>-6373100.5489614811</v>
      </c>
      <c r="U36" s="110">
        <f t="shared" ref="U36:X36" si="22">-(U31-U35)*0.25</f>
        <v>-16041021.038125008</v>
      </c>
      <c r="V36" s="110">
        <f t="shared" si="22"/>
        <v>-16927438.243040003</v>
      </c>
      <c r="W36" s="110">
        <f t="shared" si="22"/>
        <v>-16917714.24318428</v>
      </c>
      <c r="X36" s="110">
        <f t="shared" si="22"/>
        <v>-18670982.041469358</v>
      </c>
    </row>
    <row r="38" spans="2:24" x14ac:dyDescent="0.25">
      <c r="B38" s="107" t="s">
        <v>153</v>
      </c>
      <c r="C38" s="108"/>
      <c r="D38" s="108"/>
      <c r="E38" s="108"/>
      <c r="G38" s="108"/>
      <c r="H38" s="108"/>
      <c r="I38" s="108"/>
      <c r="J38" s="108"/>
      <c r="K38" s="108"/>
      <c r="L38" s="108"/>
      <c r="M38" s="108"/>
      <c r="N38" s="108"/>
      <c r="O38" s="108"/>
      <c r="P38" s="108"/>
      <c r="Q38" s="108"/>
      <c r="R38" s="108"/>
      <c r="S38" s="108"/>
      <c r="U38" s="108"/>
      <c r="V38" s="108"/>
      <c r="W38" s="108"/>
      <c r="X38" s="108"/>
    </row>
    <row r="39" spans="2:24" x14ac:dyDescent="0.25">
      <c r="B39" s="121" t="str">
        <f>B38</f>
        <v>Net Income</v>
      </c>
      <c r="C39" s="123">
        <f>C31+C35+C36</f>
        <v>178968757.82489997</v>
      </c>
      <c r="D39" s="123">
        <f>D31+D35+D36</f>
        <v>182282889.29140866</v>
      </c>
      <c r="E39" s="117">
        <f>D39/C39-1</f>
        <v>1.851793300007798E-2</v>
      </c>
      <c r="G39" s="123"/>
      <c r="H39" s="123">
        <f t="shared" ref="H39:S39" si="23">H31+H35+H36</f>
        <v>11935409.391375016</v>
      </c>
      <c r="I39" s="123">
        <f t="shared" si="23"/>
        <v>11377713.201975012</v>
      </c>
      <c r="J39" s="123">
        <f t="shared" si="23"/>
        <v>14214036.716024991</v>
      </c>
      <c r="K39" s="123">
        <f t="shared" si="23"/>
        <v>12911937.135449996</v>
      </c>
      <c r="L39" s="123">
        <f t="shared" si="23"/>
        <v>13531809.06322501</v>
      </c>
      <c r="M39" s="123">
        <f t="shared" si="23"/>
        <v>13157141.434125006</v>
      </c>
      <c r="N39" s="123">
        <f t="shared" si="23"/>
        <v>13013811.819766382</v>
      </c>
      <c r="O39" s="123">
        <f t="shared" si="23"/>
        <v>13108966.212383486</v>
      </c>
      <c r="P39" s="123">
        <f t="shared" si="23"/>
        <v>13455360.793648215</v>
      </c>
      <c r="Q39" s="123">
        <f t="shared" si="23"/>
        <v>13983302.674380071</v>
      </c>
      <c r="R39" s="123">
        <f t="shared" si="23"/>
        <v>14786970.54203744</v>
      </c>
      <c r="S39" s="123">
        <f t="shared" si="23"/>
        <v>14909547.155827316</v>
      </c>
      <c r="U39" s="123">
        <f t="shared" ref="U39:X39" si="24">U31+U35+U36</f>
        <v>37527159.309375018</v>
      </c>
      <c r="V39" s="123">
        <f t="shared" si="24"/>
        <v>39600887.632800005</v>
      </c>
      <c r="W39" s="123">
        <f t="shared" si="24"/>
        <v>39578138.825798079</v>
      </c>
      <c r="X39" s="123">
        <f t="shared" si="24"/>
        <v>43679820.372244835</v>
      </c>
    </row>
    <row r="40" spans="2:24" x14ac:dyDescent="0.25">
      <c r="B40" s="118" t="s">
        <v>154</v>
      </c>
      <c r="C40" s="119">
        <f>IF(C13=0,0,C39/C13)</f>
        <v>0.17137477140258653</v>
      </c>
      <c r="D40" s="119">
        <f>IF(D13=0,0,D39/D13)</f>
        <v>0.18968901257578771</v>
      </c>
      <c r="E40" s="120" t="str">
        <f>_xlfn.CONCAT(ROUND((D40-C40)*10000,0),"pp")</f>
        <v>183pp</v>
      </c>
      <c r="G40" s="119"/>
      <c r="H40" s="119">
        <f t="shared" ref="H40:S40" si="25">IF(H13=0,0,H39/H13)</f>
        <v>0.16820253424602227</v>
      </c>
      <c r="I40" s="119">
        <f t="shared" si="25"/>
        <v>0.16793953031041303</v>
      </c>
      <c r="J40" s="119">
        <f t="shared" si="25"/>
        <v>0.16803225578127287</v>
      </c>
      <c r="K40" s="119">
        <f t="shared" si="25"/>
        <v>0.16623268507361452</v>
      </c>
      <c r="L40" s="119">
        <f t="shared" si="25"/>
        <v>0.16496427279036374</v>
      </c>
      <c r="M40" s="119">
        <f t="shared" si="25"/>
        <v>0.16506695792734249</v>
      </c>
      <c r="N40" s="119">
        <f t="shared" si="25"/>
        <v>0.16745835796657391</v>
      </c>
      <c r="O40" s="119">
        <f t="shared" si="25"/>
        <v>0.16702216343783116</v>
      </c>
      <c r="P40" s="119">
        <f t="shared" si="25"/>
        <v>0.16733135345983766</v>
      </c>
      <c r="Q40" s="119">
        <f t="shared" si="25"/>
        <v>0.16706834179017854</v>
      </c>
      <c r="R40" s="119">
        <f t="shared" si="25"/>
        <v>0.16694517995028452</v>
      </c>
      <c r="S40" s="119">
        <f t="shared" si="25"/>
        <v>0.16694286764645805</v>
      </c>
      <c r="U40" s="119">
        <f t="shared" ref="U40:X40" si="26">IF(U13=0,0,U39/U13)</f>
        <v>0.16805823297071787</v>
      </c>
      <c r="V40" s="119">
        <f t="shared" si="26"/>
        <v>0.16540998136780236</v>
      </c>
      <c r="W40" s="119">
        <f t="shared" si="26"/>
        <v>0.16727050599327664</v>
      </c>
      <c r="X40" s="119">
        <f t="shared" si="26"/>
        <v>0.16698379855971932</v>
      </c>
    </row>
  </sheetData>
  <mergeCells count="2">
    <mergeCell ref="K4:L7"/>
    <mergeCell ref="M4:S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1C993-7038-4262-9786-18054D66D264}">
  <sheetPr>
    <tabColor rgb="FF002060"/>
  </sheetPr>
  <dimension ref="B2:AI75"/>
  <sheetViews>
    <sheetView showGridLines="0" workbookViewId="0">
      <selection activeCell="P13" sqref="P13"/>
    </sheetView>
  </sheetViews>
  <sheetFormatPr defaultRowHeight="15" x14ac:dyDescent="0.25"/>
  <cols>
    <col min="1" max="1" width="1.7109375" style="34" customWidth="1"/>
    <col min="2" max="2" width="5.5703125" style="38" customWidth="1"/>
    <col min="3" max="3" width="1.7109375" style="34" customWidth="1"/>
    <col min="4" max="4" width="20.140625" style="35" bestFit="1" customWidth="1"/>
    <col min="5" max="5" width="1.85546875" style="34" customWidth="1"/>
    <col min="6" max="6" width="11" style="34" bestFit="1" customWidth="1"/>
    <col min="7" max="7" width="12.85546875" style="34" bestFit="1" customWidth="1"/>
    <col min="8" max="8" width="11.42578125" style="34" bestFit="1" customWidth="1"/>
    <col min="9" max="9" width="14.42578125" style="34" bestFit="1" customWidth="1"/>
    <col min="10" max="10" width="8.85546875" style="34" bestFit="1" customWidth="1"/>
    <col min="11" max="11" width="15.85546875" style="34" bestFit="1" customWidth="1"/>
    <col min="12" max="12" width="14.42578125" style="34" bestFit="1" customWidth="1"/>
    <col min="13" max="13" width="1.7109375" style="34" customWidth="1"/>
    <col min="14" max="14" width="5.5703125" style="38" customWidth="1"/>
    <col min="15" max="15" width="1.7109375" style="34" customWidth="1"/>
    <col min="16" max="16" width="17.28515625" style="34" bestFit="1" customWidth="1"/>
    <col min="17" max="17" width="16.85546875" style="34" bestFit="1" customWidth="1"/>
    <col min="18" max="19" width="17.28515625" style="34" bestFit="1" customWidth="1"/>
    <col min="20" max="20" width="8.85546875" style="34" bestFit="1" customWidth="1"/>
    <col min="21" max="21" width="15.85546875" style="34" bestFit="1" customWidth="1"/>
    <col min="22" max="22" width="14.42578125" style="34" bestFit="1" customWidth="1"/>
    <col min="23" max="23" width="1.7109375" style="34" customWidth="1"/>
    <col min="24" max="24" width="5.5703125" style="38" customWidth="1"/>
    <col min="25" max="25" width="1.7109375" style="34" customWidth="1"/>
    <col min="26" max="27" width="17.7109375" style="34" bestFit="1" customWidth="1"/>
    <col min="28" max="28" width="18.28515625" style="34" bestFit="1" customWidth="1"/>
    <col min="29" max="29" width="17.28515625" style="34" bestFit="1" customWidth="1"/>
    <col min="30" max="30" width="8.85546875" style="34" bestFit="1" customWidth="1"/>
    <col min="31" max="31" width="15.85546875" style="34" bestFit="1" customWidth="1"/>
    <col min="32" max="32" width="14.42578125" style="34" bestFit="1" customWidth="1"/>
    <col min="33" max="33" width="2.28515625" style="34" customWidth="1"/>
    <col min="34" max="34" width="1.7109375" style="34" customWidth="1"/>
    <col min="35" max="35" width="5.5703125" style="38" customWidth="1"/>
    <col min="36" max="36" width="1.7109375" style="34" customWidth="1"/>
    <col min="37" max="16384" width="9.140625" style="34"/>
  </cols>
  <sheetData>
    <row r="2" spans="2:35" ht="93" customHeight="1" x14ac:dyDescent="0.3">
      <c r="B2" s="33"/>
      <c r="D2" s="95" t="s">
        <v>17</v>
      </c>
      <c r="E2" s="79"/>
      <c r="F2" s="79"/>
      <c r="G2" s="79"/>
      <c r="H2" s="79"/>
      <c r="I2" s="79"/>
      <c r="J2" s="79"/>
      <c r="K2" s="79"/>
      <c r="L2" s="79"/>
      <c r="N2" s="33"/>
      <c r="P2" s="95" t="s">
        <v>18</v>
      </c>
      <c r="Q2" s="79"/>
      <c r="R2" s="79"/>
      <c r="S2" s="79"/>
      <c r="T2" s="79"/>
      <c r="U2" s="79"/>
      <c r="V2" s="79"/>
      <c r="W2" s="43"/>
      <c r="X2" s="33"/>
      <c r="Z2" s="95" t="s">
        <v>19</v>
      </c>
      <c r="AA2" s="79"/>
      <c r="AB2" s="79"/>
      <c r="AC2" s="79"/>
      <c r="AD2" s="79"/>
      <c r="AE2" s="79"/>
      <c r="AF2" s="79"/>
      <c r="AH2" s="43"/>
      <c r="AI2" s="33"/>
    </row>
    <row r="3" spans="2:35" s="35" customFormat="1" ht="30.75" customHeight="1" x14ac:dyDescent="0.25">
      <c r="B3" s="36"/>
      <c r="F3" s="37" t="s">
        <v>92</v>
      </c>
      <c r="G3" s="37" t="s">
        <v>89</v>
      </c>
      <c r="H3" s="37" t="s">
        <v>90</v>
      </c>
      <c r="I3" s="37" t="s">
        <v>91</v>
      </c>
      <c r="J3" s="37" t="s">
        <v>93</v>
      </c>
      <c r="K3" s="37" t="s">
        <v>101</v>
      </c>
      <c r="L3" s="37" t="s">
        <v>102</v>
      </c>
      <c r="N3" s="36"/>
      <c r="P3" s="37" t="s">
        <v>92</v>
      </c>
      <c r="Q3" s="37" t="s">
        <v>89</v>
      </c>
      <c r="R3" s="37" t="s">
        <v>90</v>
      </c>
      <c r="S3" s="37" t="s">
        <v>91</v>
      </c>
      <c r="T3" s="37" t="s">
        <v>93</v>
      </c>
      <c r="U3" s="37" t="s">
        <v>101</v>
      </c>
      <c r="V3" s="37" t="s">
        <v>102</v>
      </c>
      <c r="X3" s="36"/>
      <c r="Z3" s="37" t="s">
        <v>92</v>
      </c>
      <c r="AA3" s="37" t="s">
        <v>89</v>
      </c>
      <c r="AB3" s="37" t="s">
        <v>90</v>
      </c>
      <c r="AC3" s="37" t="s">
        <v>91</v>
      </c>
      <c r="AD3" s="37" t="s">
        <v>93</v>
      </c>
      <c r="AE3" s="37" t="s">
        <v>101</v>
      </c>
      <c r="AF3" s="37" t="s">
        <v>102</v>
      </c>
      <c r="AG3" s="37"/>
      <c r="AI3" s="36"/>
    </row>
    <row r="4" spans="2:35" x14ac:dyDescent="0.25">
      <c r="F4" s="39"/>
      <c r="G4" s="39"/>
      <c r="H4" s="39"/>
      <c r="I4" s="39"/>
      <c r="J4" s="39"/>
      <c r="K4" s="39"/>
      <c r="L4" s="39"/>
      <c r="P4" s="39"/>
      <c r="Q4" s="39"/>
      <c r="R4" s="39"/>
      <c r="S4" s="39"/>
      <c r="T4" s="39"/>
      <c r="U4" s="39"/>
      <c r="V4" s="39"/>
      <c r="Z4" s="39"/>
      <c r="AA4" s="39"/>
      <c r="AB4" s="39"/>
      <c r="AC4" s="39"/>
      <c r="AD4" s="39"/>
      <c r="AE4" s="39"/>
      <c r="AF4" s="39"/>
      <c r="AG4" s="39"/>
    </row>
    <row r="5" spans="2:35" x14ac:dyDescent="0.25">
      <c r="D5" s="55" t="s">
        <v>118</v>
      </c>
      <c r="E5" s="56"/>
      <c r="F5" s="57">
        <f>IFERROR(_xlfn.XLOOKUP($D5,Model!$D:$D,Model!G:G,""),"")</f>
        <v>70972</v>
      </c>
      <c r="G5" s="57">
        <f>IFERROR(_xlfn.XLOOKUP($D5,Model!$D:$D,Model!H:H,""),"")</f>
        <v>32888</v>
      </c>
      <c r="H5" s="57">
        <f>IFERROR(_xlfn.XLOOKUP($D5,Model!$D:$D,Model!I:I,""),"")</f>
        <v>74712.84</v>
      </c>
      <c r="I5" s="57">
        <f>IFERROR(_xlfn.XLOOKUP($D5,Model!$D:$D,Model!Y:Y,""),"")</f>
        <v>68038.151628246414</v>
      </c>
      <c r="J5" s="58">
        <f>IFERROR(I5/F5-1,"")</f>
        <v>-4.1338110406267004E-2</v>
      </c>
      <c r="K5" s="58">
        <f>IFERROR(I5/G5-1,"")</f>
        <v>1.0687834963587455</v>
      </c>
      <c r="L5" s="59">
        <f>IFERROR(I5/H5-1,"")</f>
        <v>-8.9337901915568785E-2</v>
      </c>
      <c r="P5" s="60">
        <f>IFERROR(_xlfn.XLOOKUP($D5,Model!$D:$D,Model!J:J,""),"")</f>
        <v>322300531.09000003</v>
      </c>
      <c r="Q5" s="57">
        <f>IFERROR(_xlfn.XLOOKUP($D5,Model!$D:$D,Model!K:K,""),"")</f>
        <v>156640261.47</v>
      </c>
      <c r="R5" s="57">
        <f>IFERROR(_xlfn.XLOOKUP($D5,Model!$D:$D,Model!L:L,""),"")</f>
        <v>345851990.07000005</v>
      </c>
      <c r="S5" s="57">
        <f>IFERROR(_xlfn.XLOOKUP($D5,Model!$D:$D,Model!Z:Z,""),"")</f>
        <v>324967379.63650125</v>
      </c>
      <c r="T5" s="58">
        <f>IFERROR(S5/P5-1,"")</f>
        <v>8.2744156129128665E-3</v>
      </c>
      <c r="U5" s="58">
        <f>IFERROR(S5/Q5-1,"")</f>
        <v>1.0746095326120195</v>
      </c>
      <c r="V5" s="59">
        <f>IFERROR(S5/R5-1,"")</f>
        <v>-6.0385977334615815E-2</v>
      </c>
      <c r="Z5" s="60">
        <f>IFERROR(_xlfn.XLOOKUP($D5,Model!$D:$D,Model!M:M,""),"")</f>
        <v>952787356.03999949</v>
      </c>
      <c r="AA5" s="57">
        <f>IFERROR(_xlfn.XLOOKUP($D5,Model!$D:$D,Model!N:N,""),"")</f>
        <v>462709055.24000013</v>
      </c>
      <c r="AB5" s="57">
        <f>IFERROR(_xlfn.XLOOKUP($D5,Model!$D:$D,Model!O:O,""),"")</f>
        <v>1044312160.7700001</v>
      </c>
      <c r="AC5" s="57">
        <f>IFERROR(_xlfn.XLOOKUP($D5,Model!$D:$D,Model!AA:AA,""),"")</f>
        <v>960956498.30313683</v>
      </c>
      <c r="AD5" s="58">
        <f>IFERROR(AC5/Z5-1,"")</f>
        <v>8.5739406713898347E-3</v>
      </c>
      <c r="AE5" s="58">
        <f>IFERROR(AC5/AA5-1,"")</f>
        <v>1.0768050407068506</v>
      </c>
      <c r="AF5" s="59">
        <f>IFERROR(AC5/AB5-1,"")</f>
        <v>-7.9818722407103637E-2</v>
      </c>
      <c r="AG5" s="40"/>
    </row>
    <row r="7" spans="2:35" x14ac:dyDescent="0.25">
      <c r="D7" s="86" t="s">
        <v>32</v>
      </c>
      <c r="E7" s="44"/>
      <c r="F7" s="45">
        <f>IFERROR(_xlfn.XLOOKUP($D7,Model!$D:$D,Model!G:G,""),"")</f>
        <v>12157</v>
      </c>
      <c r="G7" s="45">
        <f>IFERROR(_xlfn.XLOOKUP($D7,Model!$D:$D,Model!H:H,""),"")</f>
        <v>6281</v>
      </c>
      <c r="H7" s="45">
        <f>IFERROR(_xlfn.XLOOKUP($D7,Model!$D:$D,Model!I:I,""),"")</f>
        <v>14048.199999999997</v>
      </c>
      <c r="I7" s="45">
        <f>IFERROR(_xlfn.XLOOKUP($D7,Model!$D:$D,Model!Y:Y,""),"")</f>
        <v>13001.24863153273</v>
      </c>
      <c r="J7" s="46">
        <f>IFERROR(I7/F7-1,"")</f>
        <v>6.9445474338465818E-2</v>
      </c>
      <c r="K7" s="46">
        <f>IFERROR(I7/G7-1,"")</f>
        <v>1.0699329137928242</v>
      </c>
      <c r="L7" s="47">
        <f>IFERROR(I7/H7-1,"")</f>
        <v>-7.4525659405992761E-2</v>
      </c>
      <c r="P7" s="61">
        <f>IFERROR(_xlfn.XLOOKUP($D7,Model!$D:$D,Model!J:J,""),"")</f>
        <v>55404603.979999997</v>
      </c>
      <c r="Q7" s="45">
        <f>IFERROR(_xlfn.XLOOKUP($D7,Model!$D:$D,Model!K:K,""),"")</f>
        <v>30114589.580000002</v>
      </c>
      <c r="R7" s="45">
        <f>IFERROR(_xlfn.XLOOKUP($D7,Model!$D:$D,Model!L:L,""),"")</f>
        <v>65079980.220000029</v>
      </c>
      <c r="S7" s="45">
        <f>IFERROR(_xlfn.XLOOKUP($D7,Model!$D:$D,Model!Z:Z,""),"")</f>
        <v>62394551.789996922</v>
      </c>
      <c r="T7" s="46">
        <f>IFERROR(S7/P7-1,"")</f>
        <v>0.12616185854374429</v>
      </c>
      <c r="U7" s="46">
        <f>IFERROR(S7/Q7-1,"")</f>
        <v>1.0719044376893985</v>
      </c>
      <c r="V7" s="47">
        <f>IFERROR(S7/R7-1,"")</f>
        <v>-4.1263510236560164E-2</v>
      </c>
      <c r="Z7" s="61">
        <f>IFERROR(_xlfn.XLOOKUP($D7,Model!$D:$D,Model!M:M,""),"")</f>
        <v>227392086.87999982</v>
      </c>
      <c r="AA7" s="45">
        <f>IFERROR(_xlfn.XLOOKUP($D7,Model!$D:$D,Model!N:N,""),"")</f>
        <v>122447303.40000001</v>
      </c>
      <c r="AB7" s="45">
        <f>IFERROR(_xlfn.XLOOKUP($D7,Model!$D:$D,Model!O:O,""),"")</f>
        <v>269832891.57999992</v>
      </c>
      <c r="AC7" s="45">
        <f>IFERROR(_xlfn.XLOOKUP($D7,Model!$D:$D,Model!AA:AA,""),"")</f>
        <v>253781554.71706891</v>
      </c>
      <c r="AD7" s="46">
        <f>IFERROR(AC7/Z7-1,"")</f>
        <v>0.11605270965737446</v>
      </c>
      <c r="AE7" s="46">
        <f>IFERROR(AC7/AA7-1,"")</f>
        <v>1.0725777348320835</v>
      </c>
      <c r="AF7" s="47">
        <f>IFERROR(AC7/AB7-1,"")</f>
        <v>-5.9486212999989685E-2</v>
      </c>
      <c r="AG7" s="42"/>
    </row>
    <row r="8" spans="2:35" x14ac:dyDescent="0.25">
      <c r="D8" s="88" t="s">
        <v>33</v>
      </c>
      <c r="E8" s="48"/>
      <c r="F8" s="49">
        <f>IFERROR(_xlfn.XLOOKUP($D8,Model!$D:$D,Model!G:G,""),"")</f>
        <v>58815</v>
      </c>
      <c r="G8" s="49">
        <f>IFERROR(_xlfn.XLOOKUP($D8,Model!$D:$D,Model!H:H,""),"")</f>
        <v>26607</v>
      </c>
      <c r="H8" s="49">
        <f>IFERROR(_xlfn.XLOOKUP($D8,Model!$D:$D,Model!I:I,""),"")</f>
        <v>60664.640000000007</v>
      </c>
      <c r="I8" s="49">
        <f>IFERROR(_xlfn.XLOOKUP($D8,Model!$D:$D,Model!Y:Y,""),"")</f>
        <v>55035.456249292511</v>
      </c>
      <c r="J8" s="50">
        <f>IFERROR(I8/F8-1,"")</f>
        <v>-6.4261561688472191E-2</v>
      </c>
      <c r="K8" s="50">
        <f>IFERROR(I8/G8-1,"")</f>
        <v>1.0684577836393623</v>
      </c>
      <c r="L8" s="51">
        <f>IFERROR(I8/H8-1,"")</f>
        <v>-9.2791843002900776E-2</v>
      </c>
      <c r="P8" s="62">
        <f>IFERROR(_xlfn.XLOOKUP($D8,Model!$D:$D,Model!J:J,""),"")</f>
        <v>266895927.11000004</v>
      </c>
      <c r="Q8" s="49">
        <f>IFERROR(_xlfn.XLOOKUP($D8,Model!$D:$D,Model!K:K,""),"")</f>
        <v>126525671.89000003</v>
      </c>
      <c r="R8" s="49">
        <f>IFERROR(_xlfn.XLOOKUP($D8,Model!$D:$D,Model!L:L,""),"")</f>
        <v>280772009.85000002</v>
      </c>
      <c r="S8" s="49">
        <f>IFERROR(_xlfn.XLOOKUP($D8,Model!$D:$D,Model!Z:Z,""),"")</f>
        <v>262560650.46891856</v>
      </c>
      <c r="T8" s="50">
        <f>IFERROR(S8/P8-1,"")</f>
        <v>-1.6243322586540265E-2</v>
      </c>
      <c r="U8" s="50">
        <f>IFERROR(S8/Q8-1,"")</f>
        <v>1.0751571325160461</v>
      </c>
      <c r="V8" s="51">
        <f>IFERROR(S8/R8-1,"")</f>
        <v>-6.4861733870162919E-2</v>
      </c>
      <c r="Z8" s="62">
        <f>IFERROR(_xlfn.XLOOKUP($D8,Model!$D:$D,Model!M:M,""),"")</f>
        <v>725395269.16000032</v>
      </c>
      <c r="AA8" s="49">
        <f>IFERROR(_xlfn.XLOOKUP($D8,Model!$D:$D,Model!N:N,""),"")</f>
        <v>340261751.84000015</v>
      </c>
      <c r="AB8" s="49">
        <f>IFERROR(_xlfn.XLOOKUP($D8,Model!$D:$D,Model!O:O,""),"")</f>
        <v>774479269.19000006</v>
      </c>
      <c r="AC8" s="49">
        <f>IFERROR(_xlfn.XLOOKUP($D8,Model!$D:$D,Model!AA:AA,""),"")</f>
        <v>707120269.0222162</v>
      </c>
      <c r="AD8" s="50">
        <f>IFERROR(AC8/Z8-1,"")</f>
        <v>-2.5193161459332925E-2</v>
      </c>
      <c r="AE8" s="50">
        <f>IFERROR(AC8/AA8-1,"")</f>
        <v>1.0781656039751493</v>
      </c>
      <c r="AF8" s="51">
        <f>IFERROR(AC8/AB8-1,"")</f>
        <v>-8.6973277203703847E-2</v>
      </c>
      <c r="AG8" s="42"/>
    </row>
    <row r="10" spans="2:35" x14ac:dyDescent="0.25">
      <c r="D10" s="86" t="s">
        <v>20</v>
      </c>
      <c r="E10" s="44"/>
      <c r="F10" s="45">
        <f>IFERROR(_xlfn.XLOOKUP($D10,Model!$D:$D,Model!G:G,""),"")</f>
        <v>19882</v>
      </c>
      <c r="G10" s="45">
        <f>IFERROR(_xlfn.XLOOKUP($D10,Model!$D:$D,Model!H:H,""),"")</f>
        <v>9297</v>
      </c>
      <c r="H10" s="45">
        <f>IFERROR(_xlfn.XLOOKUP($D10,Model!$D:$D,Model!I:I,""),"")</f>
        <v>20751.500000000004</v>
      </c>
      <c r="I10" s="45">
        <f>IFERROR(_xlfn.XLOOKUP($D10,Model!$D:$D,Model!Y:Y,""),"")</f>
        <v>19247.495677644572</v>
      </c>
      <c r="J10" s="46">
        <f t="shared" ref="J10:J11" si="0">IFERROR(I10/F10-1,"")</f>
        <v>-3.191350580200325E-2</v>
      </c>
      <c r="K10" s="46">
        <f t="shared" ref="K10:K11" si="1">IFERROR(I10/G10-1,"")</f>
        <v>1.0702910269597261</v>
      </c>
      <c r="L10" s="47">
        <f t="shared" ref="L10:L11" si="2">IFERROR(I10/H10-1,"")</f>
        <v>-7.2476896723390194E-2</v>
      </c>
      <c r="P10" s="61">
        <f>IFERROR(_xlfn.XLOOKUP($D10,Model!$D:$D,Model!J:J,""),"")</f>
        <v>90554517.140000015</v>
      </c>
      <c r="Q10" s="45">
        <f>IFERROR(_xlfn.XLOOKUP($D10,Model!$D:$D,Model!K:K,""),"")</f>
        <v>44231114.060000017</v>
      </c>
      <c r="R10" s="45">
        <f>IFERROR(_xlfn.XLOOKUP($D10,Model!$D:$D,Model!L:L,""),"")</f>
        <v>96280929.560000017</v>
      </c>
      <c r="S10" s="45">
        <f>IFERROR(_xlfn.XLOOKUP($D10,Model!$D:$D,Model!Z:Z,""),"")</f>
        <v>91834932.321063235</v>
      </c>
      <c r="T10" s="46">
        <f t="shared" ref="T10:T11" si="3">IFERROR(S10/P10-1,"")</f>
        <v>1.4139716289179205E-2</v>
      </c>
      <c r="U10" s="46">
        <f t="shared" ref="U10:U11" si="4">IFERROR(S10/Q10-1,"")</f>
        <v>1.0762518483366277</v>
      </c>
      <c r="V10" s="47">
        <f t="shared" ref="V10:V11" si="5">IFERROR(S10/R10-1,"")</f>
        <v>-4.6177340198674921E-2</v>
      </c>
      <c r="Z10" s="61">
        <f>IFERROR(_xlfn.XLOOKUP($D10,Model!$D:$D,Model!M:M,""),"")</f>
        <v>258398828.11999997</v>
      </c>
      <c r="AA10" s="45">
        <f>IFERROR(_xlfn.XLOOKUP($D10,Model!$D:$D,Model!N:N,""),"")</f>
        <v>125818538.27000001</v>
      </c>
      <c r="AB10" s="45">
        <f>IFERROR(_xlfn.XLOOKUP($D10,Model!$D:$D,Model!O:O,""),"")</f>
        <v>279632185</v>
      </c>
      <c r="AC10" s="45">
        <f>IFERROR(_xlfn.XLOOKUP($D10,Model!$D:$D,Model!AA:AA,""),"")</f>
        <v>261695734.02824306</v>
      </c>
      <c r="AD10" s="46">
        <f t="shared" ref="AD10:AD11" si="6">IFERROR(AC10/Z10-1,"")</f>
        <v>1.2758981657269741E-2</v>
      </c>
      <c r="AE10" s="46">
        <f t="shared" ref="AE10:AE11" si="7">IFERROR(AC10/AA10-1,"")</f>
        <v>1.0799457506544679</v>
      </c>
      <c r="AF10" s="47">
        <f t="shared" ref="AF10:AF11" si="8">IFERROR(AC10/AB10-1,"")</f>
        <v>-6.4143013336454557E-2</v>
      </c>
      <c r="AG10" s="42"/>
    </row>
    <row r="11" spans="2:35" x14ac:dyDescent="0.25">
      <c r="D11" s="88" t="s">
        <v>21</v>
      </c>
      <c r="E11" s="48"/>
      <c r="F11" s="49">
        <f>IFERROR(_xlfn.XLOOKUP($D11,Model!$D:$D,Model!G:G,""),"")</f>
        <v>51090</v>
      </c>
      <c r="G11" s="49">
        <f>IFERROR(_xlfn.XLOOKUP($D11,Model!$D:$D,Model!H:H,""),"")</f>
        <v>23591</v>
      </c>
      <c r="H11" s="49">
        <f>IFERROR(_xlfn.XLOOKUP($D11,Model!$D:$D,Model!I:I,""),"")</f>
        <v>53961.34</v>
      </c>
      <c r="I11" s="49">
        <f>IFERROR(_xlfn.XLOOKUP($D11,Model!$D:$D,Model!Y:Y,""),"")</f>
        <v>48789.425164879634</v>
      </c>
      <c r="J11" s="50">
        <f t="shared" si="0"/>
        <v>-4.5029846058335599E-2</v>
      </c>
      <c r="K11" s="50">
        <f t="shared" si="1"/>
        <v>1.0681372203331625</v>
      </c>
      <c r="L11" s="51">
        <f t="shared" si="2"/>
        <v>-9.5844818440764534E-2</v>
      </c>
      <c r="P11" s="62">
        <f>IFERROR(_xlfn.XLOOKUP($D11,Model!$D:$D,Model!J:J,""),"")</f>
        <v>231746013.95000002</v>
      </c>
      <c r="Q11" s="49">
        <f>IFERROR(_xlfn.XLOOKUP($D11,Model!$D:$D,Model!K:K,""),"")</f>
        <v>112409147.40999998</v>
      </c>
      <c r="R11" s="49">
        <f>IFERROR(_xlfn.XLOOKUP($D11,Model!$D:$D,Model!L:L,""),"")</f>
        <v>249571060.51000005</v>
      </c>
      <c r="S11" s="49">
        <f>IFERROR(_xlfn.XLOOKUP($D11,Model!$D:$D,Model!Z:Z,""),"")</f>
        <v>233123788.57899728</v>
      </c>
      <c r="T11" s="50">
        <f t="shared" si="3"/>
        <v>5.9451923487863212E-3</v>
      </c>
      <c r="U11" s="50">
        <f t="shared" si="4"/>
        <v>1.0738862801681428</v>
      </c>
      <c r="V11" s="51">
        <f t="shared" si="5"/>
        <v>-6.5902159879405287E-2</v>
      </c>
      <c r="Z11" s="62">
        <f>IFERROR(_xlfn.XLOOKUP($D11,Model!$D:$D,Model!M:M,""),"")</f>
        <v>694388527.91999948</v>
      </c>
      <c r="AA11" s="49">
        <f>IFERROR(_xlfn.XLOOKUP($D11,Model!$D:$D,Model!N:N,""),"")</f>
        <v>336890516.97000015</v>
      </c>
      <c r="AB11" s="49">
        <f>IFERROR(_xlfn.XLOOKUP($D11,Model!$D:$D,Model!O:O,""),"")</f>
        <v>764679975.7700001</v>
      </c>
      <c r="AC11" s="49">
        <f>IFERROR(_xlfn.XLOOKUP($D11,Model!$D:$D,Model!AA:AA,""),"")</f>
        <v>699230213.94640815</v>
      </c>
      <c r="AD11" s="50">
        <f t="shared" si="6"/>
        <v>6.972589309491628E-3</v>
      </c>
      <c r="AE11" s="50">
        <f t="shared" si="7"/>
        <v>1.0755413961642444</v>
      </c>
      <c r="AF11" s="51">
        <f t="shared" si="8"/>
        <v>-8.5591049716826739E-2</v>
      </c>
      <c r="AG11" s="42"/>
    </row>
    <row r="13" spans="2:35" x14ac:dyDescent="0.25">
      <c r="D13" s="86" t="s">
        <v>3</v>
      </c>
      <c r="E13" s="44"/>
      <c r="F13" s="45">
        <f>IFERROR(_xlfn.XLOOKUP($D13,Model!$D:$D,Model!G:G,""),"")</f>
        <v>8364</v>
      </c>
      <c r="G13" s="45">
        <f>IFERROR(_xlfn.XLOOKUP($D13,Model!$D:$D,Model!H:H,""),"")</f>
        <v>3849</v>
      </c>
      <c r="H13" s="45">
        <f>IFERROR(_xlfn.XLOOKUP($D13,Model!$D:$D,Model!I:I,""),"")</f>
        <v>8807.23</v>
      </c>
      <c r="I13" s="45">
        <f>IFERROR(_xlfn.XLOOKUP($D13,Model!$D:$D,Model!Y:Y,""),"")</f>
        <v>8012.8559842858431</v>
      </c>
      <c r="J13" s="46">
        <f t="shared" ref="J13:J22" si="9">IFERROR(I13/F13-1,"")</f>
        <v>-4.1982785236030273E-2</v>
      </c>
      <c r="K13" s="46">
        <f t="shared" ref="K13:K22" si="10">IFERROR(I13/G13-1,"")</f>
        <v>1.08180202241773</v>
      </c>
      <c r="L13" s="47">
        <f t="shared" ref="L13:L22" si="11">IFERROR(I13/H13-1,"")</f>
        <v>-9.019567056999267E-2</v>
      </c>
      <c r="P13" s="61">
        <f>IFERROR(_xlfn.XLOOKUP($D13,Model!$D:$D,Model!J:J,""),"")</f>
        <v>54387432.24000001</v>
      </c>
      <c r="Q13" s="45">
        <f>IFERROR(_xlfn.XLOOKUP($D13,Model!$D:$D,Model!K:K,""),"")</f>
        <v>26590824.830000002</v>
      </c>
      <c r="R13" s="45">
        <f>IFERROR(_xlfn.XLOOKUP($D13,Model!$D:$D,Model!L:L,""),"")</f>
        <v>58445306.800000004</v>
      </c>
      <c r="S13" s="45">
        <f>IFERROR(_xlfn.XLOOKUP($D13,Model!$D:$D,Model!Z:Z,""),"")</f>
        <v>55356832.842215739</v>
      </c>
      <c r="T13" s="46">
        <f t="shared" ref="T13:T22" si="12">IFERROR(S13/P13-1,"")</f>
        <v>1.7823981796713184E-2</v>
      </c>
      <c r="U13" s="46">
        <f t="shared" ref="U13:U22" si="13">IFERROR(S13/Q13-1,"")</f>
        <v>1.0818020199118332</v>
      </c>
      <c r="V13" s="47">
        <f t="shared" ref="V13:V22" si="14">IFERROR(S13/R13-1,"")</f>
        <v>-5.2843831727208301E-2</v>
      </c>
      <c r="Z13" s="61">
        <f>IFERROR(_xlfn.XLOOKUP($D13,Model!$D:$D,Model!M:M,""),"")</f>
        <v>171464385.38000003</v>
      </c>
      <c r="AA13" s="45">
        <f>IFERROR(_xlfn.XLOOKUP($D13,Model!$D:$D,Model!N:N,""),"")</f>
        <v>82923694.810000002</v>
      </c>
      <c r="AB13" s="45">
        <f>IFERROR(_xlfn.XLOOKUP($D13,Model!$D:$D,Model!O:O,""),"")</f>
        <v>188256741.18000001</v>
      </c>
      <c r="AC13" s="45">
        <f>IFERROR(_xlfn.XLOOKUP($D13,Model!$D:$D,Model!AA:AA,""),"")</f>
        <v>172550588.78850916</v>
      </c>
      <c r="AD13" s="46">
        <f t="shared" ref="AD13:AD22" si="15">IFERROR(AC13/Z13-1,"")</f>
        <v>6.334863103506283E-3</v>
      </c>
      <c r="AE13" s="46">
        <f t="shared" ref="AE13:AE22" si="16">IFERROR(AC13/AA13-1,"")</f>
        <v>1.0808357512755307</v>
      </c>
      <c r="AF13" s="47">
        <f t="shared" ref="AF13:AF22" si="17">IFERROR(AC13/AB13-1,"")</f>
        <v>-8.3429428837682673E-2</v>
      </c>
      <c r="AG13" s="42"/>
    </row>
    <row r="14" spans="2:35" x14ac:dyDescent="0.25">
      <c r="D14" s="87" t="s">
        <v>6</v>
      </c>
      <c r="F14" s="52">
        <f>IFERROR(_xlfn.XLOOKUP($D14,Model!$D:$D,Model!G:G,""),"")</f>
        <v>8001</v>
      </c>
      <c r="G14" s="52">
        <f>IFERROR(_xlfn.XLOOKUP($D14,Model!$D:$D,Model!H:H,""),"")</f>
        <v>3725</v>
      </c>
      <c r="H14" s="52">
        <f>IFERROR(_xlfn.XLOOKUP($D14,Model!$D:$D,Model!I:I,""),"")</f>
        <v>8418.48</v>
      </c>
      <c r="I14" s="52">
        <f>IFERROR(_xlfn.XLOOKUP($D14,Model!$D:$D,Model!Y:Y,""),"")</f>
        <v>7833.5210183954678</v>
      </c>
      <c r="J14" s="53">
        <f t="shared" si="9"/>
        <v>-2.0932256168545438E-2</v>
      </c>
      <c r="K14" s="53">
        <f t="shared" si="10"/>
        <v>1.1029586626565013</v>
      </c>
      <c r="L14" s="54">
        <f t="shared" si="11"/>
        <v>-6.9485106765655114E-2</v>
      </c>
      <c r="P14" s="63">
        <f>IFERROR(_xlfn.XLOOKUP($D14,Model!$D:$D,Model!J:J,""),"")</f>
        <v>47303982.930000007</v>
      </c>
      <c r="Q14" s="52">
        <f>IFERROR(_xlfn.XLOOKUP($D14,Model!$D:$D,Model!K:K,""),"")</f>
        <v>23065047.539999999</v>
      </c>
      <c r="R14" s="52">
        <f>IFERROR(_xlfn.XLOOKUP($D14,Model!$D:$D,Model!L:L,""),"")</f>
        <v>50711239.819999993</v>
      </c>
      <c r="S14" s="52">
        <f>IFERROR(_xlfn.XLOOKUP($D14,Model!$D:$D,Model!Z:Z,""),"")</f>
        <v>48504841.561207362</v>
      </c>
      <c r="T14" s="53">
        <f t="shared" si="12"/>
        <v>2.5385994092387065E-2</v>
      </c>
      <c r="U14" s="53">
        <f t="shared" si="13"/>
        <v>1.1029586640603717</v>
      </c>
      <c r="V14" s="54">
        <f t="shared" si="14"/>
        <v>-4.3509057688675412E-2</v>
      </c>
      <c r="Z14" s="63">
        <f>IFERROR(_xlfn.XLOOKUP($D14,Model!$D:$D,Model!M:M,""),"")</f>
        <v>155019768.09</v>
      </c>
      <c r="AA14" s="52">
        <f>IFERROR(_xlfn.XLOOKUP($D14,Model!$D:$D,Model!N:N,""),"")</f>
        <v>76785013.979999989</v>
      </c>
      <c r="AB14" s="52">
        <f>IFERROR(_xlfn.XLOOKUP($D14,Model!$D:$D,Model!O:O,""),"")</f>
        <v>169835482.80999997</v>
      </c>
      <c r="AC14" s="52">
        <f>IFERROR(_xlfn.XLOOKUP($D14,Model!$D:$D,Model!AA:AA,""),"")</f>
        <v>161439782.15493441</v>
      </c>
      <c r="AD14" s="53">
        <f t="shared" si="15"/>
        <v>4.1414163780758129E-2</v>
      </c>
      <c r="AE14" s="53">
        <f t="shared" si="16"/>
        <v>1.1024907568159619</v>
      </c>
      <c r="AF14" s="54">
        <f t="shared" si="17"/>
        <v>-4.9434314409186775E-2</v>
      </c>
      <c r="AG14" s="42"/>
    </row>
    <row r="15" spans="2:35" x14ac:dyDescent="0.25">
      <c r="D15" s="87" t="s">
        <v>5</v>
      </c>
      <c r="F15" s="52">
        <f>IFERROR(_xlfn.XLOOKUP($D15,Model!$D:$D,Model!G:G,""),"")</f>
        <v>8450</v>
      </c>
      <c r="G15" s="52">
        <f>IFERROR(_xlfn.XLOOKUP($D15,Model!$D:$D,Model!H:H,""),"")</f>
        <v>3897</v>
      </c>
      <c r="H15" s="52">
        <f>IFERROR(_xlfn.XLOOKUP($D15,Model!$D:$D,Model!I:I,""),"")</f>
        <v>8899.85</v>
      </c>
      <c r="I15" s="52">
        <f>IFERROR(_xlfn.XLOOKUP($D15,Model!$D:$D,Model!Y:Y,""),"")</f>
        <v>8030.506926580334</v>
      </c>
      <c r="J15" s="53">
        <f t="shared" si="9"/>
        <v>-4.964415070055217E-2</v>
      </c>
      <c r="K15" s="53">
        <f t="shared" si="10"/>
        <v>1.0606894859071936</v>
      </c>
      <c r="L15" s="54">
        <f t="shared" si="11"/>
        <v>-9.7680643316422899E-2</v>
      </c>
      <c r="P15" s="63">
        <f>IFERROR(_xlfn.XLOOKUP($D15,Model!$D:$D,Model!J:J,""),"")</f>
        <v>44817048.030000001</v>
      </c>
      <c r="Q15" s="52">
        <f>IFERROR(_xlfn.XLOOKUP($D15,Model!$D:$D,Model!K:K,""),"")</f>
        <v>21588336.589999996</v>
      </c>
      <c r="R15" s="52">
        <f>IFERROR(_xlfn.XLOOKUP($D15,Model!$D:$D,Model!L:L,""),"")</f>
        <v>48234694.860000007</v>
      </c>
      <c r="S15" s="52">
        <f>IFERROR(_xlfn.XLOOKUP($D15,Model!$D:$D,Model!Z:Z,""),"")</f>
        <v>44486858.282606743</v>
      </c>
      <c r="T15" s="53">
        <f t="shared" si="12"/>
        <v>-7.3675032584080702E-3</v>
      </c>
      <c r="U15" s="53">
        <f t="shared" si="13"/>
        <v>1.0606894883792783</v>
      </c>
      <c r="V15" s="54">
        <f t="shared" si="14"/>
        <v>-7.770001631131418E-2</v>
      </c>
      <c r="Z15" s="63">
        <f>IFERROR(_xlfn.XLOOKUP($D15,Model!$D:$D,Model!M:M,""),"")</f>
        <v>136865938.24000001</v>
      </c>
      <c r="AA15" s="52">
        <f>IFERROR(_xlfn.XLOOKUP($D15,Model!$D:$D,Model!N:N,""),"")</f>
        <v>66253228.769999988</v>
      </c>
      <c r="AB15" s="52">
        <f>IFERROR(_xlfn.XLOOKUP($D15,Model!$D:$D,Model!O:O,""),"")</f>
        <v>150117446.91999999</v>
      </c>
      <c r="AC15" s="52">
        <f>IFERROR(_xlfn.XLOOKUP($D15,Model!$D:$D,Model!AA:AA,""),"")</f>
        <v>136753197.7031247</v>
      </c>
      <c r="AD15" s="53">
        <f t="shared" si="15"/>
        <v>-8.237296899803459E-4</v>
      </c>
      <c r="AE15" s="53">
        <f t="shared" si="16"/>
        <v>1.0640986143915705</v>
      </c>
      <c r="AF15" s="54">
        <f t="shared" si="17"/>
        <v>-8.9025289805237051E-2</v>
      </c>
      <c r="AG15" s="42"/>
    </row>
    <row r="16" spans="2:35" x14ac:dyDescent="0.25">
      <c r="D16" s="87" t="s">
        <v>7</v>
      </c>
      <c r="F16" s="52">
        <f>IFERROR(_xlfn.XLOOKUP($D16,Model!$D:$D,Model!G:G,""),"")</f>
        <v>7333</v>
      </c>
      <c r="G16" s="52">
        <f>IFERROR(_xlfn.XLOOKUP($D16,Model!$D:$D,Model!H:H,""),"")</f>
        <v>3435</v>
      </c>
      <c r="H16" s="52">
        <f>IFERROR(_xlfn.XLOOKUP($D16,Model!$D:$D,Model!I:I,""),"")</f>
        <v>7719.7999999999993</v>
      </c>
      <c r="I16" s="52">
        <f>IFERROR(_xlfn.XLOOKUP($D16,Model!$D:$D,Model!Y:Y,""),"")</f>
        <v>7341.7480647197581</v>
      </c>
      <c r="J16" s="53">
        <f t="shared" si="9"/>
        <v>1.1929721423371564E-3</v>
      </c>
      <c r="K16" s="53">
        <f t="shared" si="10"/>
        <v>1.1373356811411233</v>
      </c>
      <c r="L16" s="54">
        <f t="shared" si="11"/>
        <v>-4.8971726635436363E-2</v>
      </c>
      <c r="P16" s="63">
        <f>IFERROR(_xlfn.XLOOKUP($D16,Model!$D:$D,Model!J:J,""),"")</f>
        <v>38028273.860000007</v>
      </c>
      <c r="Q16" s="52">
        <f>IFERROR(_xlfn.XLOOKUP($D16,Model!$D:$D,Model!K:K,""),"")</f>
        <v>18307256.740000002</v>
      </c>
      <c r="R16" s="52">
        <f>IFERROR(_xlfn.XLOOKUP($D16,Model!$D:$D,Model!L:L,""),"")</f>
        <v>40699789.210000001</v>
      </c>
      <c r="S16" s="52">
        <f>IFERROR(_xlfn.XLOOKUP($D16,Model!$D:$D,Model!Z:Z,""),"")</f>
        <v>39128753.303348295</v>
      </c>
      <c r="T16" s="53">
        <f t="shared" si="12"/>
        <v>2.8938453725237956E-2</v>
      </c>
      <c r="U16" s="53">
        <f t="shared" si="13"/>
        <v>1.1373356947496598</v>
      </c>
      <c r="V16" s="54">
        <f t="shared" si="14"/>
        <v>-3.8600590743740226E-2</v>
      </c>
      <c r="Z16" s="63">
        <f>IFERROR(_xlfn.XLOOKUP($D16,Model!$D:$D,Model!M:M,""),"")</f>
        <v>121567238.02999997</v>
      </c>
      <c r="AA16" s="52">
        <f>IFERROR(_xlfn.XLOOKUP($D16,Model!$D:$D,Model!N:N,""),"")</f>
        <v>59362888.429999992</v>
      </c>
      <c r="AB16" s="52">
        <f>IFERROR(_xlfn.XLOOKUP($D16,Model!$D:$D,Model!O:O,""),"")</f>
        <v>133107875.15000001</v>
      </c>
      <c r="AC16" s="52">
        <f>IFERROR(_xlfn.XLOOKUP($D16,Model!$D:$D,Model!AA:AA,""),"")</f>
        <v>126638277.48211174</v>
      </c>
      <c r="AD16" s="53">
        <f t="shared" si="15"/>
        <v>4.1713865793844507E-2</v>
      </c>
      <c r="AE16" s="53">
        <f t="shared" si="16"/>
        <v>1.1332903575175943</v>
      </c>
      <c r="AF16" s="54">
        <f t="shared" si="17"/>
        <v>-4.8604169066613356E-2</v>
      </c>
      <c r="AG16" s="42"/>
    </row>
    <row r="17" spans="4:33" x14ac:dyDescent="0.25">
      <c r="D17" s="87" t="s">
        <v>8</v>
      </c>
      <c r="F17" s="52">
        <f>IFERROR(_xlfn.XLOOKUP($D17,Model!$D:$D,Model!G:G,""),"")</f>
        <v>5792</v>
      </c>
      <c r="G17" s="52">
        <f>IFERROR(_xlfn.XLOOKUP($D17,Model!$D:$D,Model!H:H,""),"")</f>
        <v>2621</v>
      </c>
      <c r="H17" s="52">
        <f>IFERROR(_xlfn.XLOOKUP($D17,Model!$D:$D,Model!I:I,""),"")</f>
        <v>6093.0800000000008</v>
      </c>
      <c r="I17" s="52">
        <f>IFERROR(_xlfn.XLOOKUP($D17,Model!$D:$D,Model!Y:Y,""),"")</f>
        <v>5374.847767262153</v>
      </c>
      <c r="J17" s="53">
        <f t="shared" si="9"/>
        <v>-7.2022139630153137E-2</v>
      </c>
      <c r="K17" s="53">
        <f t="shared" si="10"/>
        <v>1.0506859089134504</v>
      </c>
      <c r="L17" s="54">
        <f t="shared" si="11"/>
        <v>-0.11787671140668554</v>
      </c>
      <c r="P17" s="63">
        <f>IFERROR(_xlfn.XLOOKUP($D17,Model!$D:$D,Model!J:J,""),"")</f>
        <v>31738324.730000004</v>
      </c>
      <c r="Q17" s="52">
        <f>IFERROR(_xlfn.XLOOKUP($D17,Model!$D:$D,Model!K:K,""),"")</f>
        <v>15312708.809999999</v>
      </c>
      <c r="R17" s="52">
        <f>IFERROR(_xlfn.XLOOKUP($D17,Model!$D:$D,Model!L:L,""),"")</f>
        <v>34102420.580000006</v>
      </c>
      <c r="S17" s="52">
        <f>IFERROR(_xlfn.XLOOKUP($D17,Model!$D:$D,Model!Z:Z,""),"")</f>
        <v>31401556.173695192</v>
      </c>
      <c r="T17" s="53">
        <f t="shared" si="12"/>
        <v>-1.0610785514664878E-2</v>
      </c>
      <c r="U17" s="53">
        <f t="shared" si="13"/>
        <v>1.050685908242984</v>
      </c>
      <c r="V17" s="54">
        <f t="shared" si="14"/>
        <v>-7.9198612895202691E-2</v>
      </c>
      <c r="Z17" s="63">
        <f>IFERROR(_xlfn.XLOOKUP($D17,Model!$D:$D,Model!M:M,""),"")</f>
        <v>93372770.920000017</v>
      </c>
      <c r="AA17" s="52">
        <f>IFERROR(_xlfn.XLOOKUP($D17,Model!$D:$D,Model!N:N,""),"")</f>
        <v>44711922.950000003</v>
      </c>
      <c r="AB17" s="52">
        <f>IFERROR(_xlfn.XLOOKUP($D17,Model!$D:$D,Model!O:O,""),"")</f>
        <v>102273660.19999999</v>
      </c>
      <c r="AC17" s="52">
        <f>IFERROR(_xlfn.XLOOKUP($D17,Model!$D:$D,Model!AA:AA,""),"")</f>
        <v>91777144.675285891</v>
      </c>
      <c r="AD17" s="53">
        <f t="shared" si="15"/>
        <v>-1.7088774693012287E-2</v>
      </c>
      <c r="AE17" s="53">
        <f t="shared" si="16"/>
        <v>1.0526324662421143</v>
      </c>
      <c r="AF17" s="54">
        <f t="shared" si="17"/>
        <v>-0.10263166004020752</v>
      </c>
      <c r="AG17" s="42"/>
    </row>
    <row r="18" spans="4:33" x14ac:dyDescent="0.25">
      <c r="D18" s="87" t="s">
        <v>10</v>
      </c>
      <c r="F18" s="52">
        <f>IFERROR(_xlfn.XLOOKUP($D18,Model!$D:$D,Model!G:G,""),"")</f>
        <v>6227</v>
      </c>
      <c r="G18" s="52">
        <f>IFERROR(_xlfn.XLOOKUP($D18,Model!$D:$D,Model!H:H,""),"")</f>
        <v>2798</v>
      </c>
      <c r="H18" s="52">
        <f>IFERROR(_xlfn.XLOOKUP($D18,Model!$D:$D,Model!I:I,""),"")</f>
        <v>6553.4400000000005</v>
      </c>
      <c r="I18" s="52">
        <f>IFERROR(_xlfn.XLOOKUP($D18,Model!$D:$D,Model!Y:Y,""),"")</f>
        <v>5764.6257533316357</v>
      </c>
      <c r="J18" s="53">
        <f t="shared" si="9"/>
        <v>-7.4253130988977678E-2</v>
      </c>
      <c r="K18" s="53">
        <f t="shared" si="10"/>
        <v>1.0602665308547663</v>
      </c>
      <c r="L18" s="54">
        <f t="shared" si="11"/>
        <v>-0.1203664406278786</v>
      </c>
      <c r="P18" s="63">
        <f>IFERROR(_xlfn.XLOOKUP($D18,Model!$D:$D,Model!J:J,""),"")</f>
        <v>29046636.449999999</v>
      </c>
      <c r="Q18" s="52">
        <f>IFERROR(_xlfn.XLOOKUP($D18,Model!$D:$D,Model!K:K,""),"")</f>
        <v>13766712.129999999</v>
      </c>
      <c r="R18" s="52">
        <f>IFERROR(_xlfn.XLOOKUP($D18,Model!$D:$D,Model!L:L,""),"")</f>
        <v>31120582.690000001</v>
      </c>
      <c r="S18" s="52">
        <f>IFERROR(_xlfn.XLOOKUP($D18,Model!$D:$D,Model!Z:Z,""),"")</f>
        <v>28363096.195616096</v>
      </c>
      <c r="T18" s="53">
        <f t="shared" si="12"/>
        <v>-2.353250971280374E-2</v>
      </c>
      <c r="U18" s="53">
        <f t="shared" si="13"/>
        <v>1.0602665275326055</v>
      </c>
      <c r="V18" s="54">
        <f t="shared" si="14"/>
        <v>-8.8606518774147824E-2</v>
      </c>
      <c r="Z18" s="63">
        <f>IFERROR(_xlfn.XLOOKUP($D18,Model!$D:$D,Model!M:M,""),"")</f>
        <v>80446487.25999999</v>
      </c>
      <c r="AA18" s="52">
        <f>IFERROR(_xlfn.XLOOKUP($D18,Model!$D:$D,Model!N:N,""),"")</f>
        <v>37656144.980000004</v>
      </c>
      <c r="AB18" s="52">
        <f>IFERROR(_xlfn.XLOOKUP($D18,Model!$D:$D,Model!O:O,""),"")</f>
        <v>87971573.609999999</v>
      </c>
      <c r="AC18" s="52">
        <f>IFERROR(_xlfn.XLOOKUP($D18,Model!$D:$D,Model!AA:AA,""),"")</f>
        <v>77485072.622763515</v>
      </c>
      <c r="AD18" s="53">
        <f t="shared" si="15"/>
        <v>-3.6812230565957393E-2</v>
      </c>
      <c r="AE18" s="53">
        <f t="shared" si="16"/>
        <v>1.0577006133771132</v>
      </c>
      <c r="AF18" s="54">
        <f t="shared" si="17"/>
        <v>-0.11920328984594242</v>
      </c>
      <c r="AG18" s="42"/>
    </row>
    <row r="19" spans="4:33" x14ac:dyDescent="0.25">
      <c r="D19" s="87" t="s">
        <v>11</v>
      </c>
      <c r="F19" s="52">
        <f>IFERROR(_xlfn.XLOOKUP($D19,Model!$D:$D,Model!G:G,""),"")</f>
        <v>9290</v>
      </c>
      <c r="G19" s="52">
        <f>IFERROR(_xlfn.XLOOKUP($D19,Model!$D:$D,Model!H:H,""),"")</f>
        <v>4307</v>
      </c>
      <c r="H19" s="52">
        <f>IFERROR(_xlfn.XLOOKUP($D19,Model!$D:$D,Model!I:I,""),"")</f>
        <v>9784.7000000000007</v>
      </c>
      <c r="I19" s="52">
        <f>IFERROR(_xlfn.XLOOKUP($D19,Model!$D:$D,Model!Y:Y,""),"")</f>
        <v>8850.087970196395</v>
      </c>
      <c r="J19" s="53">
        <f t="shared" si="9"/>
        <v>-4.7353286308245979E-2</v>
      </c>
      <c r="K19" s="53">
        <f t="shared" si="10"/>
        <v>1.0548149454832587</v>
      </c>
      <c r="L19" s="54">
        <f t="shared" si="11"/>
        <v>-9.5517699040706949E-2</v>
      </c>
      <c r="P19" s="63">
        <f>IFERROR(_xlfn.XLOOKUP($D19,Model!$D:$D,Model!J:J,""),"")</f>
        <v>30719558.579999998</v>
      </c>
      <c r="Q19" s="52">
        <f>IFERROR(_xlfn.XLOOKUP($D19,Model!$D:$D,Model!K:K,""),"")</f>
        <v>15079270.219999999</v>
      </c>
      <c r="R19" s="52">
        <f>IFERROR(_xlfn.XLOOKUP($D19,Model!$D:$D,Model!L:L,""),"")</f>
        <v>32936865.810000002</v>
      </c>
      <c r="S19" s="52">
        <f>IFERROR(_xlfn.XLOOKUP($D19,Model!$D:$D,Model!Z:Z,""),"")</f>
        <v>30985109.878105115</v>
      </c>
      <c r="T19" s="53">
        <f t="shared" si="12"/>
        <v>8.644372197392336E-3</v>
      </c>
      <c r="U19" s="53">
        <f t="shared" si="13"/>
        <v>1.054814949665722</v>
      </c>
      <c r="V19" s="54">
        <f t="shared" si="14"/>
        <v>-5.925748804254205E-2</v>
      </c>
      <c r="Z19" s="63">
        <f>IFERROR(_xlfn.XLOOKUP($D19,Model!$D:$D,Model!M:M,""),"")</f>
        <v>78662775.430000007</v>
      </c>
      <c r="AA19" s="52">
        <f>IFERROR(_xlfn.XLOOKUP($D19,Model!$D:$D,Model!N:N,""),"")</f>
        <v>38333077.489999995</v>
      </c>
      <c r="AB19" s="52">
        <f>IFERROR(_xlfn.XLOOKUP($D19,Model!$D:$D,Model!O:O,""),"")</f>
        <v>86284486.340000004</v>
      </c>
      <c r="AC19" s="52">
        <f>IFERROR(_xlfn.XLOOKUP($D19,Model!$D:$D,Model!AA:AA,""),"")</f>
        <v>78731597.91798678</v>
      </c>
      <c r="AD19" s="53">
        <f t="shared" si="15"/>
        <v>8.7490541251011855E-4</v>
      </c>
      <c r="AE19" s="53">
        <f t="shared" si="16"/>
        <v>1.053881479735761</v>
      </c>
      <c r="AF19" s="54">
        <f t="shared" si="17"/>
        <v>-8.7534720810081845E-2</v>
      </c>
      <c r="AG19" s="42"/>
    </row>
    <row r="20" spans="4:33" x14ac:dyDescent="0.25">
      <c r="D20" s="87" t="s">
        <v>12</v>
      </c>
      <c r="F20" s="52">
        <f>IFERROR(_xlfn.XLOOKUP($D20,Model!$D:$D,Model!G:G,""),"")</f>
        <v>6982</v>
      </c>
      <c r="G20" s="52">
        <f>IFERROR(_xlfn.XLOOKUP($D20,Model!$D:$D,Model!H:H,""),"")</f>
        <v>3294</v>
      </c>
      <c r="H20" s="52">
        <f>IFERROR(_xlfn.XLOOKUP($D20,Model!$D:$D,Model!I:I,""),"")</f>
        <v>7347.31</v>
      </c>
      <c r="I20" s="52">
        <f>IFERROR(_xlfn.XLOOKUP($D20,Model!$D:$D,Model!Y:Y,""),"")</f>
        <v>6737.2362789092167</v>
      </c>
      <c r="J20" s="53">
        <f t="shared" si="9"/>
        <v>-3.5056390875219612E-2</v>
      </c>
      <c r="K20" s="53">
        <f t="shared" si="10"/>
        <v>1.0453054884363135</v>
      </c>
      <c r="L20" s="54">
        <f t="shared" si="11"/>
        <v>-8.3033616533232379E-2</v>
      </c>
      <c r="P20" s="63">
        <f>IFERROR(_xlfn.XLOOKUP($D20,Model!$D:$D,Model!J:J,""),"")</f>
        <v>18449110.730000004</v>
      </c>
      <c r="Q20" s="52">
        <f>IFERROR(_xlfn.XLOOKUP($D20,Model!$D:$D,Model!K:K,""),"")</f>
        <v>9269909.7399999984</v>
      </c>
      <c r="R20" s="52">
        <f>IFERROR(_xlfn.XLOOKUP($D20,Model!$D:$D,Model!L:L,""),"")</f>
        <v>19836340.969999999</v>
      </c>
      <c r="S20" s="52">
        <f>IFERROR(_xlfn.XLOOKUP($D20,Model!$D:$D,Model!Z:Z,""),"")</f>
        <v>18959797.320737932</v>
      </c>
      <c r="T20" s="53">
        <f t="shared" si="12"/>
        <v>2.768082419861595E-2</v>
      </c>
      <c r="U20" s="53">
        <f t="shared" si="13"/>
        <v>1.0453054940681588</v>
      </c>
      <c r="V20" s="54">
        <f t="shared" si="14"/>
        <v>-4.4188777082816322E-2</v>
      </c>
      <c r="Z20" s="63">
        <f>IFERROR(_xlfn.XLOOKUP($D20,Model!$D:$D,Model!M:M,""),"")</f>
        <v>45584571.840000004</v>
      </c>
      <c r="AA20" s="52">
        <f>IFERROR(_xlfn.XLOOKUP($D20,Model!$D:$D,Model!N:N,""),"")</f>
        <v>22369327.109999999</v>
      </c>
      <c r="AB20" s="52">
        <f>IFERROR(_xlfn.XLOOKUP($D20,Model!$D:$D,Model!O:O,""),"")</f>
        <v>50051301.950000003</v>
      </c>
      <c r="AC20" s="52">
        <f>IFERROR(_xlfn.XLOOKUP($D20,Model!$D:$D,Model!AA:AA,""),"")</f>
        <v>45788310.129064895</v>
      </c>
      <c r="AD20" s="53">
        <f t="shared" si="15"/>
        <v>4.469457117640685E-3</v>
      </c>
      <c r="AE20" s="53">
        <f t="shared" si="16"/>
        <v>1.0469238928781035</v>
      </c>
      <c r="AF20" s="54">
        <f t="shared" si="17"/>
        <v>-8.5172446167209204E-2</v>
      </c>
      <c r="AG20" s="42"/>
    </row>
    <row r="21" spans="4:33" x14ac:dyDescent="0.25">
      <c r="D21" s="87" t="s">
        <v>9</v>
      </c>
      <c r="F21" s="52">
        <f>IFERROR(_xlfn.XLOOKUP($D21,Model!$D:$D,Model!G:G,""),"")</f>
        <v>6021</v>
      </c>
      <c r="G21" s="52">
        <f>IFERROR(_xlfn.XLOOKUP($D21,Model!$D:$D,Model!H:H,""),"")</f>
        <v>2842</v>
      </c>
      <c r="H21" s="52">
        <f>IFERROR(_xlfn.XLOOKUP($D21,Model!$D:$D,Model!I:I,""),"")</f>
        <v>6340.13</v>
      </c>
      <c r="I21" s="52">
        <f>IFERROR(_xlfn.XLOOKUP($D21,Model!$D:$D,Model!Y:Y,""),"")</f>
        <v>5727.3153215578704</v>
      </c>
      <c r="J21" s="53">
        <f t="shared" si="9"/>
        <v>-4.8776727859513258E-2</v>
      </c>
      <c r="K21" s="53">
        <f t="shared" si="10"/>
        <v>1.0152411405903838</v>
      </c>
      <c r="L21" s="54">
        <f t="shared" si="11"/>
        <v>-9.6656484715949009E-2</v>
      </c>
      <c r="P21" s="63">
        <f>IFERROR(_xlfn.XLOOKUP($D21,Model!$D:$D,Model!J:J,""),"")</f>
        <v>15750577.48</v>
      </c>
      <c r="Q21" s="52">
        <f>IFERROR(_xlfn.XLOOKUP($D21,Model!$D:$D,Model!K:K,""),"")</f>
        <v>7774821.5300000012</v>
      </c>
      <c r="R21" s="52">
        <f>IFERROR(_xlfn.XLOOKUP($D21,Model!$D:$D,Model!L:L,""),"")</f>
        <v>16834757.060000002</v>
      </c>
      <c r="S21" s="52">
        <f>IFERROR(_xlfn.XLOOKUP($D21,Model!$D:$D,Model!Z:Z,""),"")</f>
        <v>15668140.210754927</v>
      </c>
      <c r="T21" s="53">
        <f t="shared" si="12"/>
        <v>-5.2339204292510821E-3</v>
      </c>
      <c r="U21" s="53">
        <f t="shared" si="13"/>
        <v>1.0152411409442248</v>
      </c>
      <c r="V21" s="54">
        <f t="shared" si="14"/>
        <v>-6.9298110159070836E-2</v>
      </c>
      <c r="Z21" s="63">
        <f>IFERROR(_xlfn.XLOOKUP($D21,Model!$D:$D,Model!M:M,""),"")</f>
        <v>39468267.469999999</v>
      </c>
      <c r="AA21" s="52">
        <f>IFERROR(_xlfn.XLOOKUP($D21,Model!$D:$D,Model!N:N,""),"")</f>
        <v>19495121.299999997</v>
      </c>
      <c r="AB21" s="52">
        <f>IFERROR(_xlfn.XLOOKUP($D21,Model!$D:$D,Model!O:O,""),"")</f>
        <v>43126676.920000002</v>
      </c>
      <c r="AC21" s="52">
        <f>IFERROR(_xlfn.XLOOKUP($D21,Model!$D:$D,Model!AA:AA,""),"")</f>
        <v>39351988.714880303</v>
      </c>
      <c r="AD21" s="53">
        <f t="shared" si="15"/>
        <v>-2.9461327434268103E-3</v>
      </c>
      <c r="AE21" s="53">
        <f t="shared" si="16"/>
        <v>1.0185557252665212</v>
      </c>
      <c r="AF21" s="54">
        <f t="shared" si="17"/>
        <v>-8.7525598416074324E-2</v>
      </c>
      <c r="AG21" s="42"/>
    </row>
    <row r="22" spans="4:33" x14ac:dyDescent="0.25">
      <c r="D22" s="88" t="s">
        <v>4</v>
      </c>
      <c r="E22" s="48"/>
      <c r="F22" s="49">
        <f>IFERROR(_xlfn.XLOOKUP($D22,Model!$D:$D,Model!G:G,""),"")</f>
        <v>4512</v>
      </c>
      <c r="G22" s="49">
        <f>IFERROR(_xlfn.XLOOKUP($D22,Model!$D:$D,Model!H:H,""),"")</f>
        <v>2120</v>
      </c>
      <c r="H22" s="49">
        <f>IFERROR(_xlfn.XLOOKUP($D22,Model!$D:$D,Model!I:I,""),"")</f>
        <v>4748.82</v>
      </c>
      <c r="I22" s="49">
        <f>IFERROR(_xlfn.XLOOKUP($D22,Model!$D:$D,Model!Y:Y,""),"")</f>
        <v>4380.1822121283321</v>
      </c>
      <c r="J22" s="50">
        <f t="shared" si="9"/>
        <v>-2.9214935255245544E-2</v>
      </c>
      <c r="K22" s="50">
        <f t="shared" si="10"/>
        <v>1.0661236849661946</v>
      </c>
      <c r="L22" s="51">
        <f t="shared" si="11"/>
        <v>-7.7627239581973595E-2</v>
      </c>
      <c r="P22" s="62">
        <f>IFERROR(_xlfn.XLOOKUP($D22,Model!$D:$D,Model!J:J,""),"")</f>
        <v>12059586.060000001</v>
      </c>
      <c r="Q22" s="49">
        <f>IFERROR(_xlfn.XLOOKUP($D22,Model!$D:$D,Model!K:K,""),"")</f>
        <v>5885373.3399999999</v>
      </c>
      <c r="R22" s="49">
        <f>IFERROR(_xlfn.XLOOKUP($D22,Model!$D:$D,Model!L:L,""),"")</f>
        <v>12929992.27</v>
      </c>
      <c r="S22" s="49">
        <f>IFERROR(_xlfn.XLOOKUP($D22,Model!$D:$D,Model!Z:Z,""),"")</f>
        <v>12159909.331129631</v>
      </c>
      <c r="T22" s="50">
        <f t="shared" si="12"/>
        <v>8.3189647331585181E-3</v>
      </c>
      <c r="U22" s="50">
        <f t="shared" si="13"/>
        <v>1.066123698302142</v>
      </c>
      <c r="V22" s="51">
        <f t="shared" si="14"/>
        <v>-5.9557880839349431E-2</v>
      </c>
      <c r="Z22" s="62">
        <f>IFERROR(_xlfn.XLOOKUP($D22,Model!$D:$D,Model!M:M,""),"")</f>
        <v>30335153.379999995</v>
      </c>
      <c r="AA22" s="49">
        <f>IFERROR(_xlfn.XLOOKUP($D22,Model!$D:$D,Model!N:N,""),"")</f>
        <v>14818635.420000002</v>
      </c>
      <c r="AB22" s="49">
        <f>IFERROR(_xlfn.XLOOKUP($D22,Model!$D:$D,Model!O:O,""),"")</f>
        <v>33286915.689999998</v>
      </c>
      <c r="AC22" s="49">
        <f>IFERROR(_xlfn.XLOOKUP($D22,Model!$D:$D,Model!AA:AA,""),"")</f>
        <v>30661390.125285</v>
      </c>
      <c r="AD22" s="50">
        <f t="shared" si="15"/>
        <v>1.0754412255587598E-2</v>
      </c>
      <c r="AE22" s="50">
        <f t="shared" si="16"/>
        <v>1.0691102288610725</v>
      </c>
      <c r="AF22" s="51">
        <f t="shared" si="17"/>
        <v>-7.8875603530421223E-2</v>
      </c>
      <c r="AG22" s="42"/>
    </row>
    <row r="24" spans="4:33" x14ac:dyDescent="0.25">
      <c r="D24" s="86" t="s">
        <v>77</v>
      </c>
      <c r="E24" s="44"/>
      <c r="F24" s="45">
        <f>IFERROR(_xlfn.XLOOKUP($D24,Model!$D:$D,Model!G:G,""),"")</f>
        <v>4774</v>
      </c>
      <c r="G24" s="45">
        <f>IFERROR(_xlfn.XLOOKUP($D24,Model!$D:$D,Model!H:H,""),"")</f>
        <v>5014</v>
      </c>
      <c r="H24" s="45">
        <f>IFERROR(_xlfn.XLOOKUP($D24,Model!$D:$D,Model!I:I,""),"")</f>
        <v>5899.2400000000034</v>
      </c>
      <c r="I24" s="45">
        <f>IFERROR(_xlfn.XLOOKUP($D24,Model!$D:$D,Model!Y:Y,""),"")</f>
        <v>5014</v>
      </c>
      <c r="J24" s="46">
        <f t="shared" ref="J24:J35" si="18">IFERROR(I24/F24-1,"")</f>
        <v>5.0272308336824389E-2</v>
      </c>
      <c r="K24" s="46">
        <f t="shared" ref="K24:K35" si="19">IFERROR(I24/G24-1,"")</f>
        <v>0</v>
      </c>
      <c r="L24" s="47">
        <f t="shared" ref="L24:L35" si="20">IFERROR(I24/H24-1,"")</f>
        <v>-0.15006000772980976</v>
      </c>
      <c r="P24" s="61">
        <f>IFERROR(_xlfn.XLOOKUP($D24,Model!$D:$D,Model!J:J,""),"")</f>
        <v>21647907.970000006</v>
      </c>
      <c r="Q24" s="45">
        <f>IFERROR(_xlfn.XLOOKUP($D24,Model!$D:$D,Model!K:K,""),"")</f>
        <v>23852924.380000014</v>
      </c>
      <c r="R24" s="45">
        <f>IFERROR(_xlfn.XLOOKUP($D24,Model!$D:$D,Model!L:L,""),"")</f>
        <v>27318474.270000026</v>
      </c>
      <c r="S24" s="45">
        <f>IFERROR(_xlfn.XLOOKUP($D24,Model!$D:$D,Model!Z:Z,""),"")</f>
        <v>23852924.380000014</v>
      </c>
      <c r="T24" s="46">
        <f t="shared" ref="T24:T35" si="21">IFERROR(S24/P24-1,"")</f>
        <v>0.10185817553621135</v>
      </c>
      <c r="U24" s="46">
        <f t="shared" ref="U24:U35" si="22">IFERROR(S24/Q24-1,"")</f>
        <v>0</v>
      </c>
      <c r="V24" s="47">
        <f t="shared" ref="V24:V35" si="23">IFERROR(S24/R24-1,"")</f>
        <v>-0.12685737335652492</v>
      </c>
      <c r="Z24" s="61">
        <f>IFERROR(_xlfn.XLOOKUP($D24,Model!$D:$D,Model!M:M,""),"")</f>
        <v>63896491.189999908</v>
      </c>
      <c r="AA24" s="45">
        <f>IFERROR(_xlfn.XLOOKUP($D24,Model!$D:$D,Model!N:N,""),"")</f>
        <v>70958558.650000036</v>
      </c>
      <c r="AB24" s="45">
        <f>IFERROR(_xlfn.XLOOKUP($D24,Model!$D:$D,Model!O:O,""),"")</f>
        <v>82382444.649999946</v>
      </c>
      <c r="AC24" s="45">
        <f>IFERROR(_xlfn.XLOOKUP($D24,Model!$D:$D,Model!AA:AA,""),"")</f>
        <v>70958558.650000036</v>
      </c>
      <c r="AD24" s="46">
        <f t="shared" ref="AD24:AD35" si="24">IFERROR(AC24/Z24-1,"")</f>
        <v>0.11052355659093482</v>
      </c>
      <c r="AE24" s="46">
        <f t="shared" ref="AE24:AE35" si="25">IFERROR(AC24/AA24-1,"")</f>
        <v>0</v>
      </c>
      <c r="AF24" s="47">
        <f t="shared" ref="AF24:AF35" si="26">IFERROR(AC24/AB24-1,"")</f>
        <v>-0.13866893667132663</v>
      </c>
      <c r="AG24" s="42"/>
    </row>
    <row r="25" spans="4:33" x14ac:dyDescent="0.25">
      <c r="D25" s="87" t="s">
        <v>78</v>
      </c>
      <c r="F25" s="52">
        <f>IFERROR(_xlfn.XLOOKUP($D25,Model!$D:$D,Model!G:G,""),"")</f>
        <v>4611</v>
      </c>
      <c r="G25" s="52">
        <f>IFERROR(_xlfn.XLOOKUP($D25,Model!$D:$D,Model!H:H,""),"")</f>
        <v>4820</v>
      </c>
      <c r="H25" s="52">
        <f>IFERROR(_xlfn.XLOOKUP($D25,Model!$D:$D,Model!I:I,""),"")</f>
        <v>5857.9100000000017</v>
      </c>
      <c r="I25" s="52">
        <f>IFERROR(_xlfn.XLOOKUP($D25,Model!$D:$D,Model!Y:Y,""),"")</f>
        <v>4820</v>
      </c>
      <c r="J25" s="53">
        <f t="shared" si="18"/>
        <v>4.5326393407070009E-2</v>
      </c>
      <c r="K25" s="53">
        <f t="shared" si="19"/>
        <v>0</v>
      </c>
      <c r="L25" s="54">
        <f t="shared" si="20"/>
        <v>-0.17718093995981521</v>
      </c>
      <c r="P25" s="63">
        <f>IFERROR(_xlfn.XLOOKUP($D25,Model!$D:$D,Model!J:J,""),"")</f>
        <v>20788429.849999994</v>
      </c>
      <c r="Q25" s="52">
        <f>IFERROR(_xlfn.XLOOKUP($D25,Model!$D:$D,Model!K:K,""),"")</f>
        <v>22801928.010000031</v>
      </c>
      <c r="R25" s="52">
        <f>IFERROR(_xlfn.XLOOKUP($D25,Model!$D:$D,Model!L:L,""),"")</f>
        <v>27016356.719999984</v>
      </c>
      <c r="S25" s="52">
        <f>IFERROR(_xlfn.XLOOKUP($D25,Model!$D:$D,Model!Z:Z,""),"")</f>
        <v>22801928.010000031</v>
      </c>
      <c r="T25" s="53">
        <f t="shared" si="21"/>
        <v>9.6856673376899405E-2</v>
      </c>
      <c r="U25" s="53">
        <f t="shared" si="22"/>
        <v>0</v>
      </c>
      <c r="V25" s="54">
        <f t="shared" si="23"/>
        <v>-0.15599544948560906</v>
      </c>
      <c r="Z25" s="63">
        <f>IFERROR(_xlfn.XLOOKUP($D25,Model!$D:$D,Model!M:M,""),"")</f>
        <v>61428993.68999996</v>
      </c>
      <c r="AA25" s="52">
        <f>IFERROR(_xlfn.XLOOKUP($D25,Model!$D:$D,Model!N:N,""),"")</f>
        <v>67748868.780000046</v>
      </c>
      <c r="AB25" s="52">
        <f>IFERROR(_xlfn.XLOOKUP($D25,Model!$D:$D,Model!O:O,""),"")</f>
        <v>81554152.720000029</v>
      </c>
      <c r="AC25" s="52">
        <f>IFERROR(_xlfn.XLOOKUP($D25,Model!$D:$D,Model!AA:AA,""),"")</f>
        <v>67748868.780000046</v>
      </c>
      <c r="AD25" s="53">
        <f t="shared" si="24"/>
        <v>0.10288098030537807</v>
      </c>
      <c r="AE25" s="53">
        <f t="shared" si="25"/>
        <v>0</v>
      </c>
      <c r="AF25" s="54">
        <f t="shared" si="26"/>
        <v>-0.16927751045857442</v>
      </c>
      <c r="AG25" s="42"/>
    </row>
    <row r="26" spans="4:33" x14ac:dyDescent="0.25">
      <c r="D26" s="87" t="s">
        <v>79</v>
      </c>
      <c r="F26" s="52">
        <f>IFERROR(_xlfn.XLOOKUP($D26,Model!$D:$D,Model!G:G,""),"")</f>
        <v>5638</v>
      </c>
      <c r="G26" s="52">
        <f>IFERROR(_xlfn.XLOOKUP($D26,Model!$D:$D,Model!H:H,""),"")</f>
        <v>5909</v>
      </c>
      <c r="H26" s="52">
        <f>IFERROR(_xlfn.XLOOKUP($D26,Model!$D:$D,Model!I:I,""),"")</f>
        <v>6047.0099999999975</v>
      </c>
      <c r="I26" s="52">
        <f>IFERROR(_xlfn.XLOOKUP($D26,Model!$D:$D,Model!Y:Y,""),"")</f>
        <v>5909</v>
      </c>
      <c r="J26" s="53">
        <f t="shared" si="18"/>
        <v>4.8066690315714755E-2</v>
      </c>
      <c r="K26" s="53">
        <f t="shared" si="19"/>
        <v>0</v>
      </c>
      <c r="L26" s="54">
        <f t="shared" si="20"/>
        <v>-2.2822849639738907E-2</v>
      </c>
      <c r="P26" s="63">
        <f>IFERROR(_xlfn.XLOOKUP($D26,Model!$D:$D,Model!J:J,""),"")</f>
        <v>25836655.380000018</v>
      </c>
      <c r="Q26" s="52">
        <f>IFERROR(_xlfn.XLOOKUP($D26,Model!$D:$D,Model!K:K,""),"")</f>
        <v>28458143.830000006</v>
      </c>
      <c r="R26" s="52">
        <f>IFERROR(_xlfn.XLOOKUP($D26,Model!$D:$D,Model!L:L,""),"")</f>
        <v>27788369.790000033</v>
      </c>
      <c r="S26" s="52">
        <f>IFERROR(_xlfn.XLOOKUP($D26,Model!$D:$D,Model!Z:Z,""),"")</f>
        <v>28458143.830000006</v>
      </c>
      <c r="T26" s="53">
        <f t="shared" si="21"/>
        <v>0.10146392446869368</v>
      </c>
      <c r="U26" s="53">
        <f t="shared" si="22"/>
        <v>0</v>
      </c>
      <c r="V26" s="54">
        <f t="shared" si="23"/>
        <v>2.4102674790264178E-2</v>
      </c>
      <c r="Z26" s="63">
        <f>IFERROR(_xlfn.XLOOKUP($D26,Model!$D:$D,Model!M:M,""),"")</f>
        <v>76771852.620000094</v>
      </c>
      <c r="AA26" s="52">
        <f>IFERROR(_xlfn.XLOOKUP($D26,Model!$D:$D,Model!N:N,""),"")</f>
        <v>84591120.019999966</v>
      </c>
      <c r="AB26" s="52">
        <f>IFERROR(_xlfn.XLOOKUP($D26,Model!$D:$D,Model!O:O,""),"")</f>
        <v>83697668.140000045</v>
      </c>
      <c r="AC26" s="52">
        <f>IFERROR(_xlfn.XLOOKUP($D26,Model!$D:$D,Model!AA:AA,""),"")</f>
        <v>84591120.019999966</v>
      </c>
      <c r="AD26" s="53">
        <f t="shared" si="24"/>
        <v>0.10185070612667291</v>
      </c>
      <c r="AE26" s="53">
        <f t="shared" si="25"/>
        <v>0</v>
      </c>
      <c r="AF26" s="54">
        <f t="shared" si="26"/>
        <v>1.0674752353977857E-2</v>
      </c>
      <c r="AG26" s="42"/>
    </row>
    <row r="27" spans="4:33" x14ac:dyDescent="0.25">
      <c r="D27" s="87" t="s">
        <v>80</v>
      </c>
      <c r="F27" s="52">
        <f>IFERROR(_xlfn.XLOOKUP($D27,Model!$D:$D,Model!G:G,""),"")</f>
        <v>5275</v>
      </c>
      <c r="G27" s="52">
        <f>IFERROR(_xlfn.XLOOKUP($D27,Model!$D:$D,Model!H:H,""),"")</f>
        <v>5525</v>
      </c>
      <c r="H27" s="52">
        <f>IFERROR(_xlfn.XLOOKUP($D27,Model!$D:$D,Model!I:I,""),"")</f>
        <v>5956.7000000000053</v>
      </c>
      <c r="I27" s="52">
        <f>IFERROR(_xlfn.XLOOKUP($D27,Model!$D:$D,Model!Y:Y,""),"")</f>
        <v>5525</v>
      </c>
      <c r="J27" s="53">
        <f t="shared" si="18"/>
        <v>4.7393364928909998E-2</v>
      </c>
      <c r="K27" s="53">
        <f t="shared" si="19"/>
        <v>0</v>
      </c>
      <c r="L27" s="54">
        <f t="shared" si="20"/>
        <v>-7.2473013581346168E-2</v>
      </c>
      <c r="P27" s="63">
        <f>IFERROR(_xlfn.XLOOKUP($D27,Model!$D:$D,Model!J:J,""),"")</f>
        <v>23926460.790000007</v>
      </c>
      <c r="Q27" s="52">
        <f>IFERROR(_xlfn.XLOOKUP($D27,Model!$D:$D,Model!K:K,""),"")</f>
        <v>26350307.170000013</v>
      </c>
      <c r="R27" s="52">
        <f>IFERROR(_xlfn.XLOOKUP($D27,Model!$D:$D,Model!L:L,""),"")</f>
        <v>27545308.979999971</v>
      </c>
      <c r="S27" s="52">
        <f>IFERROR(_xlfn.XLOOKUP($D27,Model!$D:$D,Model!Z:Z,""),"")</f>
        <v>26350307.170000013</v>
      </c>
      <c r="T27" s="53">
        <f t="shared" si="21"/>
        <v>0.1013040081971941</v>
      </c>
      <c r="U27" s="53">
        <f t="shared" si="22"/>
        <v>0</v>
      </c>
      <c r="V27" s="54">
        <f t="shared" si="23"/>
        <v>-4.3383133253927952E-2</v>
      </c>
      <c r="Z27" s="63">
        <f>IFERROR(_xlfn.XLOOKUP($D27,Model!$D:$D,Model!M:M,""),"")</f>
        <v>71107882.170000076</v>
      </c>
      <c r="AA27" s="52">
        <f>IFERROR(_xlfn.XLOOKUP($D27,Model!$D:$D,Model!N:N,""),"")</f>
        <v>77673877.010000065</v>
      </c>
      <c r="AB27" s="52">
        <f>IFERROR(_xlfn.XLOOKUP($D27,Model!$D:$D,Model!O:O,""),"")</f>
        <v>83185401.500000089</v>
      </c>
      <c r="AC27" s="52">
        <f>IFERROR(_xlfn.XLOOKUP($D27,Model!$D:$D,Model!AA:AA,""),"")</f>
        <v>77673877.010000065</v>
      </c>
      <c r="AD27" s="53">
        <f t="shared" si="24"/>
        <v>9.233849525011073E-2</v>
      </c>
      <c r="AE27" s="53">
        <f t="shared" si="25"/>
        <v>0</v>
      </c>
      <c r="AF27" s="54">
        <f t="shared" si="26"/>
        <v>-6.6255910179143895E-2</v>
      </c>
      <c r="AG27" s="42"/>
    </row>
    <row r="28" spans="4:33" x14ac:dyDescent="0.25">
      <c r="D28" s="87" t="s">
        <v>81</v>
      </c>
      <c r="F28" s="52">
        <f>IFERROR(_xlfn.XLOOKUP($D28,Model!$D:$D,Model!G:G,""),"")</f>
        <v>5661</v>
      </c>
      <c r="G28" s="52">
        <f>IFERROR(_xlfn.XLOOKUP($D28,Model!$D:$D,Model!H:H,""),"")</f>
        <v>5934</v>
      </c>
      <c r="H28" s="52">
        <f>IFERROR(_xlfn.XLOOKUP($D28,Model!$D:$D,Model!I:I,""),"")</f>
        <v>6163.4099999999899</v>
      </c>
      <c r="I28" s="52">
        <f>IFERROR(_xlfn.XLOOKUP($D28,Model!$D:$D,Model!Y:Y,""),"")</f>
        <v>5934</v>
      </c>
      <c r="J28" s="53">
        <f t="shared" si="18"/>
        <v>4.8224695283518804E-2</v>
      </c>
      <c r="K28" s="53">
        <f t="shared" si="19"/>
        <v>0</v>
      </c>
      <c r="L28" s="54">
        <f t="shared" si="20"/>
        <v>-3.7221278480579767E-2</v>
      </c>
      <c r="P28" s="63">
        <f>IFERROR(_xlfn.XLOOKUP($D28,Model!$D:$D,Model!J:J,""),"")</f>
        <v>25432682.259999976</v>
      </c>
      <c r="Q28" s="52">
        <f>IFERROR(_xlfn.XLOOKUP($D28,Model!$D:$D,Model!K:K,""),"")</f>
        <v>27990868.190000001</v>
      </c>
      <c r="R28" s="52">
        <f>IFERROR(_xlfn.XLOOKUP($D28,Model!$D:$D,Model!L:L,""),"")</f>
        <v>28501574.040000003</v>
      </c>
      <c r="S28" s="52">
        <f>IFERROR(_xlfn.XLOOKUP($D28,Model!$D:$D,Model!Z:Z,""),"")</f>
        <v>27990868.190000001</v>
      </c>
      <c r="T28" s="53">
        <f t="shared" si="21"/>
        <v>0.10058655645706271</v>
      </c>
      <c r="U28" s="53">
        <f t="shared" si="22"/>
        <v>0</v>
      </c>
      <c r="V28" s="54">
        <f t="shared" si="23"/>
        <v>-1.7918513878681264E-2</v>
      </c>
      <c r="Z28" s="63">
        <f>IFERROR(_xlfn.XLOOKUP($D28,Model!$D:$D,Model!M:M,""),"")</f>
        <v>75443429.989999995</v>
      </c>
      <c r="AA28" s="52">
        <f>IFERROR(_xlfn.XLOOKUP($D28,Model!$D:$D,Model!N:N,""),"")</f>
        <v>82028725.580000058</v>
      </c>
      <c r="AB28" s="52">
        <f>IFERROR(_xlfn.XLOOKUP($D28,Model!$D:$D,Model!O:O,""),"")</f>
        <v>86045415.730000094</v>
      </c>
      <c r="AC28" s="52">
        <f>IFERROR(_xlfn.XLOOKUP($D28,Model!$D:$D,Model!AA:AA,""),"")</f>
        <v>82028725.580000058</v>
      </c>
      <c r="AD28" s="53">
        <f t="shared" si="24"/>
        <v>8.7287860465423472E-2</v>
      </c>
      <c r="AE28" s="53">
        <f t="shared" si="25"/>
        <v>0</v>
      </c>
      <c r="AF28" s="54">
        <f t="shared" si="26"/>
        <v>-4.6681047629590355E-2</v>
      </c>
      <c r="AG28" s="42"/>
    </row>
    <row r="29" spans="4:33" x14ac:dyDescent="0.25">
      <c r="D29" s="87" t="s">
        <v>82</v>
      </c>
      <c r="F29" s="52">
        <f>IFERROR(_xlfn.XLOOKUP($D29,Model!$D:$D,Model!G:G,""),"")</f>
        <v>5432</v>
      </c>
      <c r="G29" s="52">
        <f>IFERROR(_xlfn.XLOOKUP($D29,Model!$D:$D,Model!H:H,""),"")</f>
        <v>5686</v>
      </c>
      <c r="H29" s="52">
        <f>IFERROR(_xlfn.XLOOKUP($D29,Model!$D:$D,Model!I:I,""),"")</f>
        <v>6190.9599999999964</v>
      </c>
      <c r="I29" s="52">
        <f>IFERROR(_xlfn.XLOOKUP($D29,Model!$D:$D,Model!Y:Y,""),"")</f>
        <v>5686</v>
      </c>
      <c r="J29" s="53">
        <f t="shared" si="18"/>
        <v>4.6759941089838053E-2</v>
      </c>
      <c r="K29" s="53">
        <f t="shared" si="19"/>
        <v>0</v>
      </c>
      <c r="L29" s="54">
        <f t="shared" si="20"/>
        <v>-8.1564086991354645E-2</v>
      </c>
      <c r="P29" s="63">
        <f>IFERROR(_xlfn.XLOOKUP($D29,Model!$D:$D,Model!J:J,""),"")</f>
        <v>24717459.419999957</v>
      </c>
      <c r="Q29" s="52">
        <f>IFERROR(_xlfn.XLOOKUP($D29,Model!$D:$D,Model!K:K,""),"")</f>
        <v>27186089.889999993</v>
      </c>
      <c r="R29" s="52">
        <f>IFERROR(_xlfn.XLOOKUP($D29,Model!$D:$D,Model!L:L,""),"")</f>
        <v>28542187.809999995</v>
      </c>
      <c r="S29" s="52">
        <f>IFERROR(_xlfn.XLOOKUP($D29,Model!$D:$D,Model!Z:Z,""),"")</f>
        <v>27186089.889999993</v>
      </c>
      <c r="T29" s="53">
        <f t="shared" si="21"/>
        <v>9.9873956625273541E-2</v>
      </c>
      <c r="U29" s="53">
        <f t="shared" si="22"/>
        <v>0</v>
      </c>
      <c r="V29" s="54">
        <f t="shared" si="23"/>
        <v>-4.751205230052058E-2</v>
      </c>
      <c r="Z29" s="63">
        <f>IFERROR(_xlfn.XLOOKUP($D29,Model!$D:$D,Model!M:M,""),"")</f>
        <v>72981103.339999914</v>
      </c>
      <c r="AA29" s="52">
        <f>IFERROR(_xlfn.XLOOKUP($D29,Model!$D:$D,Model!N:N,""),"")</f>
        <v>79707905.199999958</v>
      </c>
      <c r="AB29" s="52">
        <f>IFERROR(_xlfn.XLOOKUP($D29,Model!$D:$D,Model!O:O,""),"")</f>
        <v>86001317.430000111</v>
      </c>
      <c r="AC29" s="52">
        <f>IFERROR(_xlfn.XLOOKUP($D29,Model!$D:$D,Model!AA:AA,""),"")</f>
        <v>79707905.199999958</v>
      </c>
      <c r="AD29" s="53">
        <f t="shared" si="24"/>
        <v>9.2171830133365162E-2</v>
      </c>
      <c r="AE29" s="53">
        <f t="shared" si="25"/>
        <v>0</v>
      </c>
      <c r="AF29" s="54">
        <f t="shared" si="26"/>
        <v>-7.3178090964973963E-2</v>
      </c>
      <c r="AG29" s="42"/>
    </row>
    <row r="30" spans="4:33" x14ac:dyDescent="0.25">
      <c r="D30" s="87" t="s">
        <v>83</v>
      </c>
      <c r="F30" s="52">
        <f>IFERROR(_xlfn.XLOOKUP($D30,Model!$D:$D,Model!G:G,""),"")</f>
        <v>5395</v>
      </c>
      <c r="G30" s="52">
        <f>IFERROR(_xlfn.XLOOKUP($D30,Model!$D:$D,Model!H:H,""),"")</f>
        <v>0</v>
      </c>
      <c r="H30" s="52">
        <f>IFERROR(_xlfn.XLOOKUP($D30,Model!$D:$D,Model!I:I,""),"")</f>
        <v>5996.8300000000027</v>
      </c>
      <c r="I30" s="52">
        <f>IFERROR(_xlfn.XLOOKUP($D30,Model!$D:$D,Model!Y:Y,""),"")</f>
        <v>5460.957746634871</v>
      </c>
      <c r="J30" s="53">
        <f t="shared" si="18"/>
        <v>1.222571763389646E-2</v>
      </c>
      <c r="K30" s="53" t="str">
        <f t="shared" si="19"/>
        <v/>
      </c>
      <c r="L30" s="54">
        <f t="shared" si="20"/>
        <v>-8.9359253699893393E-2</v>
      </c>
      <c r="P30" s="63">
        <f>IFERROR(_xlfn.XLOOKUP($D30,Model!$D:$D,Model!J:J,""),"")</f>
        <v>24477665.340000007</v>
      </c>
      <c r="Q30" s="52">
        <f>IFERROR(_xlfn.XLOOKUP($D30,Model!$D:$D,Model!K:K,""),"")</f>
        <v>0</v>
      </c>
      <c r="R30" s="52">
        <f>IFERROR(_xlfn.XLOOKUP($D30,Model!$D:$D,Model!L:L,""),"")</f>
        <v>27897644.860000007</v>
      </c>
      <c r="S30" s="52">
        <f>IFERROR(_xlfn.XLOOKUP($D30,Model!$D:$D,Model!Z:Z,""),"")</f>
        <v>26212193.877906956</v>
      </c>
      <c r="T30" s="53">
        <f t="shared" si="21"/>
        <v>7.0861682019668804E-2</v>
      </c>
      <c r="U30" s="53" t="str">
        <f t="shared" si="22"/>
        <v/>
      </c>
      <c r="V30" s="54">
        <f t="shared" si="23"/>
        <v>-6.0415529359242548E-2</v>
      </c>
      <c r="Z30" s="63">
        <f>IFERROR(_xlfn.XLOOKUP($D30,Model!$D:$D,Model!M:M,""),"")</f>
        <v>72015412.599999979</v>
      </c>
      <c r="AA30" s="52">
        <f>IFERROR(_xlfn.XLOOKUP($D30,Model!$D:$D,Model!N:N,""),"")</f>
        <v>0</v>
      </c>
      <c r="AB30" s="52">
        <f>IFERROR(_xlfn.XLOOKUP($D30,Model!$D:$D,Model!O:O,""),"")</f>
        <v>84448323.459999934</v>
      </c>
      <c r="AC30" s="52">
        <f>IFERROR(_xlfn.XLOOKUP($D30,Model!$D:$D,Model!AA:AA,""),"")</f>
        <v>77704543.297322527</v>
      </c>
      <c r="AD30" s="53">
        <f t="shared" si="24"/>
        <v>7.8998793340559814E-2</v>
      </c>
      <c r="AE30" s="53" t="str">
        <f t="shared" si="25"/>
        <v/>
      </c>
      <c r="AF30" s="54">
        <f t="shared" si="26"/>
        <v>-7.9856886275210481E-2</v>
      </c>
      <c r="AG30" s="42"/>
    </row>
    <row r="31" spans="4:33" x14ac:dyDescent="0.25">
      <c r="D31" s="87" t="s">
        <v>84</v>
      </c>
      <c r="F31" s="52">
        <f>IFERROR(_xlfn.XLOOKUP($D31,Model!$D:$D,Model!G:G,""),"")</f>
        <v>5237</v>
      </c>
      <c r="G31" s="52">
        <f>IFERROR(_xlfn.XLOOKUP($D31,Model!$D:$D,Model!H:H,""),"")</f>
        <v>0</v>
      </c>
      <c r="H31" s="52">
        <f>IFERROR(_xlfn.XLOOKUP($D31,Model!$D:$D,Model!I:I,""),"")</f>
        <v>6113.9500000000016</v>
      </c>
      <c r="I31" s="52">
        <f>IFERROR(_xlfn.XLOOKUP($D31,Model!$D:$D,Model!Y:Y,""),"")</f>
        <v>5567.6119908415394</v>
      </c>
      <c r="J31" s="53">
        <f t="shared" si="18"/>
        <v>6.3130034531514223E-2</v>
      </c>
      <c r="K31" s="53" t="str">
        <f t="shared" si="19"/>
        <v/>
      </c>
      <c r="L31" s="54">
        <f t="shared" si="20"/>
        <v>-8.9359253699893171E-2</v>
      </c>
      <c r="P31" s="63">
        <f>IFERROR(_xlfn.XLOOKUP($D31,Model!$D:$D,Model!J:J,""),"")</f>
        <v>23570791.789999999</v>
      </c>
      <c r="Q31" s="52">
        <f>IFERROR(_xlfn.XLOOKUP($D31,Model!$D:$D,Model!K:K,""),"")</f>
        <v>0</v>
      </c>
      <c r="R31" s="52">
        <f>IFERROR(_xlfn.XLOOKUP($D31,Model!$D:$D,Model!L:L,""),"")</f>
        <v>28233677.419999979</v>
      </c>
      <c r="S31" s="52">
        <f>IFERROR(_xlfn.XLOOKUP($D31,Model!$D:$D,Model!Z:Z,""),"")</f>
        <v>26527924.85291259</v>
      </c>
      <c r="T31" s="53">
        <f t="shared" si="21"/>
        <v>0.12545751917282488</v>
      </c>
      <c r="U31" s="53" t="str">
        <f t="shared" si="22"/>
        <v/>
      </c>
      <c r="V31" s="54">
        <f t="shared" si="23"/>
        <v>-6.0415529359242437E-2</v>
      </c>
      <c r="Z31" s="63">
        <f>IFERROR(_xlfn.XLOOKUP($D31,Model!$D:$D,Model!M:M,""),"")</f>
        <v>69657165.419999942</v>
      </c>
      <c r="AA31" s="52">
        <f>IFERROR(_xlfn.XLOOKUP($D31,Model!$D:$D,Model!N:N,""),"")</f>
        <v>0</v>
      </c>
      <c r="AB31" s="52">
        <f>IFERROR(_xlfn.XLOOKUP($D31,Model!$D:$D,Model!O:O,""),"")</f>
        <v>85293961.059999928</v>
      </c>
      <c r="AC31" s="52">
        <f>IFERROR(_xlfn.XLOOKUP($D31,Model!$D:$D,Model!AA:AA,""),"")</f>
        <v>78482650.911669284</v>
      </c>
      <c r="AD31" s="53">
        <f t="shared" si="24"/>
        <v>0.12669888931678197</v>
      </c>
      <c r="AE31" s="53" t="str">
        <f t="shared" si="25"/>
        <v/>
      </c>
      <c r="AF31" s="54">
        <f t="shared" si="26"/>
        <v>-7.9856886275210481E-2</v>
      </c>
      <c r="AG31" s="42"/>
    </row>
    <row r="32" spans="4:33" x14ac:dyDescent="0.25">
      <c r="D32" s="87" t="s">
        <v>85</v>
      </c>
      <c r="F32" s="52">
        <f>IFERROR(_xlfn.XLOOKUP($D32,Model!$D:$D,Model!G:G,""),"")</f>
        <v>5659</v>
      </c>
      <c r="G32" s="52">
        <f>IFERROR(_xlfn.XLOOKUP($D32,Model!$D:$D,Model!H:H,""),"")</f>
        <v>0</v>
      </c>
      <c r="H32" s="52">
        <f>IFERROR(_xlfn.XLOOKUP($D32,Model!$D:$D,Model!I:I,""),"")</f>
        <v>6238.0000000000036</v>
      </c>
      <c r="I32" s="52">
        <f>IFERROR(_xlfn.XLOOKUP($D32,Model!$D:$D,Model!Y:Y,""),"")</f>
        <v>5680.5769754200692</v>
      </c>
      <c r="J32" s="53">
        <f t="shared" si="18"/>
        <v>3.812860120174788E-3</v>
      </c>
      <c r="K32" s="53" t="str">
        <f t="shared" si="19"/>
        <v/>
      </c>
      <c r="L32" s="54">
        <f t="shared" si="20"/>
        <v>-8.9359253699893282E-2</v>
      </c>
      <c r="P32" s="63">
        <f>IFERROR(_xlfn.XLOOKUP($D32,Model!$D:$D,Model!J:J,""),"")</f>
        <v>25703164.120000038</v>
      </c>
      <c r="Q32" s="52">
        <f>IFERROR(_xlfn.XLOOKUP($D32,Model!$D:$D,Model!K:K,""),"")</f>
        <v>0</v>
      </c>
      <c r="R32" s="52">
        <f>IFERROR(_xlfn.XLOOKUP($D32,Model!$D:$D,Model!L:L,""),"")</f>
        <v>28882578.339999996</v>
      </c>
      <c r="S32" s="52">
        <f>IFERROR(_xlfn.XLOOKUP($D32,Model!$D:$D,Model!Z:Z,""),"")</f>
        <v>27137622.080329105</v>
      </c>
      <c r="T32" s="53">
        <f t="shared" si="21"/>
        <v>5.5808613820151898E-2</v>
      </c>
      <c r="U32" s="53" t="str">
        <f t="shared" si="22"/>
        <v/>
      </c>
      <c r="V32" s="54">
        <f t="shared" si="23"/>
        <v>-6.0415529359242437E-2</v>
      </c>
      <c r="Z32" s="63">
        <f>IFERROR(_xlfn.XLOOKUP($D32,Model!$D:$D,Model!M:M,""),"")</f>
        <v>76302533.990000054</v>
      </c>
      <c r="AA32" s="52">
        <f>IFERROR(_xlfn.XLOOKUP($D32,Model!$D:$D,Model!N:N,""),"")</f>
        <v>0</v>
      </c>
      <c r="AB32" s="52">
        <f>IFERROR(_xlfn.XLOOKUP($D32,Model!$D:$D,Model!O:O,""),"")</f>
        <v>87377353.290000021</v>
      </c>
      <c r="AC32" s="52">
        <f>IFERROR(_xlfn.XLOOKUP($D32,Model!$D:$D,Model!AA:AA,""),"")</f>
        <v>80399669.925291598</v>
      </c>
      <c r="AD32" s="53">
        <f t="shared" si="24"/>
        <v>5.3695935390933425E-2</v>
      </c>
      <c r="AE32" s="53" t="str">
        <f t="shared" si="25"/>
        <v/>
      </c>
      <c r="AF32" s="54">
        <f t="shared" si="26"/>
        <v>-7.9856886275210481E-2</v>
      </c>
      <c r="AG32" s="42"/>
    </row>
    <row r="33" spans="4:33" x14ac:dyDescent="0.25">
      <c r="D33" s="87" t="s">
        <v>86</v>
      </c>
      <c r="F33" s="52">
        <f>IFERROR(_xlfn.XLOOKUP($D33,Model!$D:$D,Model!G:G,""),"")</f>
        <v>6213</v>
      </c>
      <c r="G33" s="52">
        <f>IFERROR(_xlfn.XLOOKUP($D33,Model!$D:$D,Model!H:H,""),"")</f>
        <v>0</v>
      </c>
      <c r="H33" s="52">
        <f>IFERROR(_xlfn.XLOOKUP($D33,Model!$D:$D,Model!I:I,""),"")</f>
        <v>6459.3700000000017</v>
      </c>
      <c r="I33" s="52">
        <f>IFERROR(_xlfn.XLOOKUP($D33,Model!$D:$D,Model!Y:Y,""),"")</f>
        <v>5882.1655174285215</v>
      </c>
      <c r="J33" s="53">
        <f t="shared" si="18"/>
        <v>-5.3248749810313578E-2</v>
      </c>
      <c r="K33" s="53" t="str">
        <f t="shared" si="19"/>
        <v/>
      </c>
      <c r="L33" s="54">
        <f t="shared" si="20"/>
        <v>-8.9359253699893393E-2</v>
      </c>
      <c r="P33" s="63">
        <f>IFERROR(_xlfn.XLOOKUP($D33,Model!$D:$D,Model!J:J,""),"")</f>
        <v>28382120.030000016</v>
      </c>
      <c r="Q33" s="52">
        <f>IFERROR(_xlfn.XLOOKUP($D33,Model!$D:$D,Model!K:K,""),"")</f>
        <v>0</v>
      </c>
      <c r="R33" s="52">
        <f>IFERROR(_xlfn.XLOOKUP($D33,Model!$D:$D,Model!L:L,""),"")</f>
        <v>30105126.089999992</v>
      </c>
      <c r="S33" s="52">
        <f>IFERROR(_xlfn.XLOOKUP($D33,Model!$D:$D,Model!Z:Z,""),"")</f>
        <v>28286308.960845903</v>
      </c>
      <c r="T33" s="53">
        <f t="shared" si="21"/>
        <v>-3.3757544909556181E-3</v>
      </c>
      <c r="U33" s="53" t="str">
        <f t="shared" si="22"/>
        <v/>
      </c>
      <c r="V33" s="54">
        <f t="shared" si="23"/>
        <v>-6.0415529359242437E-2</v>
      </c>
      <c r="Z33" s="63">
        <f>IFERROR(_xlfn.XLOOKUP($D33,Model!$D:$D,Model!M:M,""),"")</f>
        <v>83728323.389999866</v>
      </c>
      <c r="AA33" s="52">
        <f>IFERROR(_xlfn.XLOOKUP($D33,Model!$D:$D,Model!N:N,""),"")</f>
        <v>0</v>
      </c>
      <c r="AB33" s="52">
        <f>IFERROR(_xlfn.XLOOKUP($D33,Model!$D:$D,Model!O:O,""),"")</f>
        <v>90973952.259999886</v>
      </c>
      <c r="AC33" s="52">
        <f>IFERROR(_xlfn.XLOOKUP($D33,Model!$D:$D,Model!AA:AA,""),"")</f>
        <v>83709055.700366646</v>
      </c>
      <c r="AD33" s="53">
        <f t="shared" si="24"/>
        <v>-2.3012152701862298E-4</v>
      </c>
      <c r="AE33" s="53" t="str">
        <f t="shared" si="25"/>
        <v/>
      </c>
      <c r="AF33" s="54">
        <f t="shared" si="26"/>
        <v>-7.9856886275210481E-2</v>
      </c>
      <c r="AG33" s="42"/>
    </row>
    <row r="34" spans="4:33" x14ac:dyDescent="0.25">
      <c r="D34" s="87" t="s">
        <v>87</v>
      </c>
      <c r="F34" s="52">
        <f>IFERROR(_xlfn.XLOOKUP($D34,Model!$D:$D,Model!G:G,""),"")</f>
        <v>7883</v>
      </c>
      <c r="G34" s="52">
        <f>IFERROR(_xlfn.XLOOKUP($D34,Model!$D:$D,Model!H:H,""),"")</f>
        <v>0</v>
      </c>
      <c r="H34" s="52">
        <f>IFERROR(_xlfn.XLOOKUP($D34,Model!$D:$D,Model!I:I,""),"")</f>
        <v>6858.1700000000037</v>
      </c>
      <c r="I34" s="52">
        <f>IFERROR(_xlfn.XLOOKUP($D34,Model!$D:$D,Model!Y:Y,""),"")</f>
        <v>6245.3290470530064</v>
      </c>
      <c r="J34" s="53">
        <f t="shared" si="18"/>
        <v>-0.20774717150158484</v>
      </c>
      <c r="K34" s="53" t="str">
        <f t="shared" si="19"/>
        <v/>
      </c>
      <c r="L34" s="54">
        <f t="shared" si="20"/>
        <v>-8.9359253699893282E-2</v>
      </c>
      <c r="P34" s="63">
        <f>IFERROR(_xlfn.XLOOKUP($D34,Model!$D:$D,Model!J:J,""),"")</f>
        <v>35862039.679999977</v>
      </c>
      <c r="Q34" s="52">
        <f>IFERROR(_xlfn.XLOOKUP($D34,Model!$D:$D,Model!K:K,""),"")</f>
        <v>0</v>
      </c>
      <c r="R34" s="52">
        <f>IFERROR(_xlfn.XLOOKUP($D34,Model!$D:$D,Model!L:L,""),"")</f>
        <v>31878472.550000012</v>
      </c>
      <c r="S34" s="52">
        <f>IFERROR(_xlfn.XLOOKUP($D34,Model!$D:$D,Model!Z:Z,""),"")</f>
        <v>29952517.755727682</v>
      </c>
      <c r="T34" s="53">
        <f t="shared" si="21"/>
        <v>-0.16478488053115381</v>
      </c>
      <c r="U34" s="53" t="str">
        <f t="shared" si="22"/>
        <v/>
      </c>
      <c r="V34" s="54">
        <f t="shared" si="23"/>
        <v>-6.0415529359242437E-2</v>
      </c>
      <c r="Z34" s="63">
        <f>IFERROR(_xlfn.XLOOKUP($D34,Model!$D:$D,Model!M:M,""),"")</f>
        <v>105696890.1500001</v>
      </c>
      <c r="AA34" s="52">
        <f>IFERROR(_xlfn.XLOOKUP($D34,Model!$D:$D,Model!N:N,""),"")</f>
        <v>0</v>
      </c>
      <c r="AB34" s="52">
        <f>IFERROR(_xlfn.XLOOKUP($D34,Model!$D:$D,Model!O:O,""),"")</f>
        <v>96279578.559999943</v>
      </c>
      <c r="AC34" s="52">
        <f>IFERROR(_xlfn.XLOOKUP($D34,Model!$D:$D,Model!AA:AA,""),"")</f>
        <v>88590991.204308838</v>
      </c>
      <c r="AD34" s="53">
        <f t="shared" si="24"/>
        <v>-0.16183918865933866</v>
      </c>
      <c r="AE34" s="53" t="str">
        <f t="shared" si="25"/>
        <v/>
      </c>
      <c r="AF34" s="54">
        <f t="shared" si="26"/>
        <v>-7.9856886275210481E-2</v>
      </c>
      <c r="AG34" s="42"/>
    </row>
    <row r="35" spans="4:33" x14ac:dyDescent="0.25">
      <c r="D35" s="88" t="s">
        <v>88</v>
      </c>
      <c r="E35" s="48"/>
      <c r="F35" s="49">
        <f>IFERROR(_xlfn.XLOOKUP($D35,Model!$D:$D,Model!G:G,""),"")</f>
        <v>9194</v>
      </c>
      <c r="G35" s="49">
        <f>IFERROR(_xlfn.XLOOKUP($D35,Model!$D:$D,Model!H:H,""),"")</f>
        <v>0</v>
      </c>
      <c r="H35" s="49">
        <f>IFERROR(_xlfn.XLOOKUP($D35,Model!$D:$D,Model!I:I,""),"")</f>
        <v>6931.2900000000009</v>
      </c>
      <c r="I35" s="49">
        <f>IFERROR(_xlfn.XLOOKUP($D35,Model!$D:$D,Model!Y:Y,""),"")</f>
        <v>6311.9150984224671</v>
      </c>
      <c r="J35" s="50">
        <f t="shared" si="18"/>
        <v>-0.31347453791358848</v>
      </c>
      <c r="K35" s="50" t="str">
        <f t="shared" si="19"/>
        <v/>
      </c>
      <c r="L35" s="51">
        <f t="shared" si="20"/>
        <v>-8.9359253699893393E-2</v>
      </c>
      <c r="P35" s="62">
        <f>IFERROR(_xlfn.XLOOKUP($D35,Model!$D:$D,Model!J:J,""),"")</f>
        <v>41955154.460000016</v>
      </c>
      <c r="Q35" s="49">
        <f>IFERROR(_xlfn.XLOOKUP($D35,Model!$D:$D,Model!K:K,""),"")</f>
        <v>0</v>
      </c>
      <c r="R35" s="49">
        <f>IFERROR(_xlfn.XLOOKUP($D35,Model!$D:$D,Model!L:L,""),"")</f>
        <v>32142219.199999992</v>
      </c>
      <c r="S35" s="49">
        <f>IFERROR(_xlfn.XLOOKUP($D35,Model!$D:$D,Model!Z:Z,""),"")</f>
        <v>30200330.012251187</v>
      </c>
      <c r="T35" s="50">
        <f t="shared" si="21"/>
        <v>-0.28017593068226843</v>
      </c>
      <c r="U35" s="50" t="str">
        <f t="shared" si="22"/>
        <v/>
      </c>
      <c r="V35" s="51">
        <f t="shared" si="23"/>
        <v>-6.0415529359242437E-2</v>
      </c>
      <c r="Z35" s="62">
        <f>IFERROR(_xlfn.XLOOKUP($D35,Model!$D:$D,Model!M:M,""),"")</f>
        <v>123757277.49000025</v>
      </c>
      <c r="AA35" s="49">
        <f>IFERROR(_xlfn.XLOOKUP($D35,Model!$D:$D,Model!N:N,""),"")</f>
        <v>0</v>
      </c>
      <c r="AB35" s="49">
        <f>IFERROR(_xlfn.XLOOKUP($D35,Model!$D:$D,Model!O:O,""),"")</f>
        <v>97072591.970000029</v>
      </c>
      <c r="AC35" s="49">
        <f>IFERROR(_xlfn.XLOOKUP($D35,Model!$D:$D,Model!AA:AA,""),"")</f>
        <v>89320677.032611832</v>
      </c>
      <c r="AD35" s="50">
        <f t="shared" si="24"/>
        <v>-0.27825919538486077</v>
      </c>
      <c r="AE35" s="50" t="str">
        <f t="shared" si="25"/>
        <v/>
      </c>
      <c r="AF35" s="51">
        <f t="shared" si="26"/>
        <v>-7.985688627521037E-2</v>
      </c>
      <c r="AG35" s="42"/>
    </row>
    <row r="38" spans="4:33" x14ac:dyDescent="0.25">
      <c r="D38" s="86" t="s">
        <v>39</v>
      </c>
      <c r="E38" s="44"/>
      <c r="F38" s="45">
        <f>IFERROR(_xlfn.XLOOKUP($D38,Model!$D:$D,Model!G:G,""),"")</f>
        <v>33456</v>
      </c>
      <c r="G38" s="45">
        <f>IFERROR(_xlfn.XLOOKUP($D38,Model!$D:$D,Model!H:H,""),"")</f>
        <v>15457</v>
      </c>
      <c r="H38" s="45">
        <f>IFERROR(_xlfn.XLOOKUP($D38,Model!$D:$D,Model!I:I,""),"")</f>
        <v>35130.28</v>
      </c>
      <c r="I38" s="45">
        <f>IFERROR(_xlfn.XLOOKUP($D38,Model!$D:$D,Model!Y:Y,""),"")</f>
        <v>31843.854906953515</v>
      </c>
      <c r="J38" s="46">
        <f>IFERROR(I38/F38-1,"")</f>
        <v>-4.8187024541083368E-2</v>
      </c>
      <c r="K38" s="46">
        <f>IFERROR(I38/G38-1,"")</f>
        <v>1.060157527783756</v>
      </c>
      <c r="L38" s="47">
        <f>IFERROR(I38/H38-1,"")</f>
        <v>-9.3549641307911102E-2</v>
      </c>
      <c r="P38" s="61">
        <f>IFERROR(_xlfn.XLOOKUP($D38,Model!$D:$D,Model!J:J,""),"")</f>
        <v>151453943.99000001</v>
      </c>
      <c r="Q38" s="45">
        <f>IFERROR(_xlfn.XLOOKUP($D38,Model!$D:$D,Model!K:K,""),"")</f>
        <v>73423613.589999974</v>
      </c>
      <c r="R38" s="45">
        <f>IFERROR(_xlfn.XLOOKUP($D38,Model!$D:$D,Model!L:L,""),"")</f>
        <v>162518508.97000003</v>
      </c>
      <c r="S38" s="45">
        <f>IFERROR(_xlfn.XLOOKUP($D38,Model!$D:$D,Model!Z:Z,""),"")</f>
        <v>151688588.74088717</v>
      </c>
      <c r="T38" s="46">
        <f>IFERROR(S38/P38-1,"")</f>
        <v>1.5492812184716431E-3</v>
      </c>
      <c r="U38" s="46">
        <f>IFERROR(S38/Q38-1,"")</f>
        <v>1.0659373915852406</v>
      </c>
      <c r="V38" s="47">
        <f>IFERROR(S38/R38-1,"")</f>
        <v>-6.6638072781679325E-2</v>
      </c>
      <c r="Z38" s="61">
        <f>IFERROR(_xlfn.XLOOKUP($D38,Model!$D:$D,Model!M:M,""),"")</f>
        <v>453580278.91999978</v>
      </c>
      <c r="AA38" s="45">
        <f>IFERROR(_xlfn.XLOOKUP($D38,Model!$D:$D,Model!N:N,""),"")</f>
        <v>220407344.41000003</v>
      </c>
      <c r="AB38" s="45">
        <f>IFERROR(_xlfn.XLOOKUP($D38,Model!$D:$D,Model!O:O,""),"")</f>
        <v>494862858.92999995</v>
      </c>
      <c r="AC38" s="45">
        <f>IFERROR(_xlfn.XLOOKUP($D38,Model!$D:$D,Model!AA:AA,""),"")</f>
        <v>455599872.03863937</v>
      </c>
      <c r="AD38" s="46">
        <f>IFERROR(AC38/Z38-1,"")</f>
        <v>4.4525593649009654E-3</v>
      </c>
      <c r="AE38" s="46">
        <f>IFERROR(AC38/AA38-1,"")</f>
        <v>1.0670811730807666</v>
      </c>
      <c r="AF38" s="47">
        <f>IFERROR(AC38/AB38-1,"")</f>
        <v>-7.9341147113476285E-2</v>
      </c>
    </row>
    <row r="39" spans="4:33" x14ac:dyDescent="0.25">
      <c r="D39" s="87" t="s">
        <v>38</v>
      </c>
      <c r="F39" s="52">
        <f>IFERROR(_xlfn.XLOOKUP($D39,Model!$D:$D,Model!G:G,""),"")</f>
        <v>21478</v>
      </c>
      <c r="G39" s="52">
        <f>IFERROR(_xlfn.XLOOKUP($D39,Model!$D:$D,Model!H:H,""),"")</f>
        <v>10041</v>
      </c>
      <c r="H39" s="52">
        <f>IFERROR(_xlfn.XLOOKUP($D39,Model!$D:$D,Model!I:I,""),"")</f>
        <v>22610.069999999992</v>
      </c>
      <c r="I39" s="52">
        <f>IFERROR(_xlfn.XLOOKUP($D39,Model!$D:$D,Model!Y:Y,""),"")</f>
        <v>20813.48924156469</v>
      </c>
      <c r="J39" s="53">
        <f t="shared" ref="J39:J41" si="27">IFERROR(I39/F39-1,"")</f>
        <v>-3.0939135787098837E-2</v>
      </c>
      <c r="K39" s="53">
        <f t="shared" ref="K39:K41" si="28">IFERROR(I39/G39-1,"")</f>
        <v>1.0728502381799312</v>
      </c>
      <c r="L39" s="54">
        <f t="shared" ref="L39:L41" si="29">IFERROR(I39/H39-1,"")</f>
        <v>-7.9459318721052274E-2</v>
      </c>
      <c r="P39" s="63">
        <f>IFERROR(_xlfn.XLOOKUP($D39,Model!$D:$D,Model!J:J,""),"")</f>
        <v>97174869.730000004</v>
      </c>
      <c r="Q39" s="52">
        <f>IFERROR(_xlfn.XLOOKUP($D39,Model!$D:$D,Model!K:K,""),"")</f>
        <v>47589368.020000011</v>
      </c>
      <c r="R39" s="52">
        <f>IFERROR(_xlfn.XLOOKUP($D39,Model!$D:$D,Model!L:L,""),"")</f>
        <v>104108769.25000001</v>
      </c>
      <c r="S39" s="52">
        <f>IFERROR(_xlfn.XLOOKUP($D39,Model!$D:$D,Model!Z:Z,""),"")</f>
        <v>98992009.82709226</v>
      </c>
      <c r="T39" s="53">
        <f t="shared" ref="T39:T42" si="30">IFERROR(S39/P39-1,"")</f>
        <v>1.8699691619254777E-2</v>
      </c>
      <c r="U39" s="53">
        <f t="shared" ref="U39:U42" si="31">IFERROR(S39/Q39-1,"")</f>
        <v>1.0801286914650698</v>
      </c>
      <c r="V39" s="54">
        <f t="shared" ref="V39:V42" si="32">IFERROR(S39/R39-1,"")</f>
        <v>-4.9148207780851827E-2</v>
      </c>
      <c r="Z39" s="63">
        <f>IFERROR(_xlfn.XLOOKUP($D39,Model!$D:$D,Model!M:M,""),"")</f>
        <v>281603498.51999998</v>
      </c>
      <c r="AA39" s="52">
        <f>IFERROR(_xlfn.XLOOKUP($D39,Model!$D:$D,Model!N:N,""),"")</f>
        <v>137425339.78999999</v>
      </c>
      <c r="AB39" s="52">
        <f>IFERROR(_xlfn.XLOOKUP($D39,Model!$D:$D,Model!O:O,""),"")</f>
        <v>309785297.75</v>
      </c>
      <c r="AC39" s="52">
        <f>IFERROR(_xlfn.XLOOKUP($D39,Model!$D:$D,Model!AA:AA,""),"")</f>
        <v>286135271.88185585</v>
      </c>
      <c r="AD39" s="53">
        <f t="shared" ref="AD39:AD42" si="33">IFERROR(AC39/Z39-1,"")</f>
        <v>1.6092745245258389E-2</v>
      </c>
      <c r="AE39" s="53">
        <f t="shared" ref="AE39:AE42" si="34">IFERROR(AC39/AA39-1,"")</f>
        <v>1.0821143489192013</v>
      </c>
      <c r="AF39" s="54">
        <f t="shared" ref="AF39:AF42" si="35">IFERROR(AC39/AB39-1,"")</f>
        <v>-7.6343280458809781E-2</v>
      </c>
    </row>
    <row r="40" spans="4:33" x14ac:dyDescent="0.25">
      <c r="D40" s="87" t="s">
        <v>41</v>
      </c>
      <c r="F40" s="52">
        <f>IFERROR(_xlfn.XLOOKUP($D40,Model!$D:$D,Model!G:G,""),"")</f>
        <v>11241</v>
      </c>
      <c r="G40" s="52">
        <f>IFERROR(_xlfn.XLOOKUP($D40,Model!$D:$D,Model!H:H,""),"")</f>
        <v>5200</v>
      </c>
      <c r="H40" s="52">
        <f>IFERROR(_xlfn.XLOOKUP($D40,Model!$D:$D,Model!I:I,""),"")</f>
        <v>11809.990000000002</v>
      </c>
      <c r="I40" s="52">
        <f>IFERROR(_xlfn.XLOOKUP($D40,Model!$D:$D,Model!Y:Y,""),"")</f>
        <v>10832.617120319197</v>
      </c>
      <c r="J40" s="53">
        <f t="shared" si="27"/>
        <v>-3.6329764227453376E-2</v>
      </c>
      <c r="K40" s="53">
        <f t="shared" si="28"/>
        <v>1.083195600061384</v>
      </c>
      <c r="L40" s="54">
        <f t="shared" si="29"/>
        <v>-8.275814625421396E-2</v>
      </c>
      <c r="P40" s="63">
        <f>IFERROR(_xlfn.XLOOKUP($D40,Model!$D:$D,Model!J:J,""),"")</f>
        <v>51594087.399999991</v>
      </c>
      <c r="Q40" s="52">
        <f>IFERROR(_xlfn.XLOOKUP($D40,Model!$D:$D,Model!K:K,""),"")</f>
        <v>25023636.640000001</v>
      </c>
      <c r="R40" s="52">
        <f>IFERROR(_xlfn.XLOOKUP($D40,Model!$D:$D,Model!L:L,""),"")</f>
        <v>55156234.729999989</v>
      </c>
      <c r="S40" s="52">
        <f>IFERROR(_xlfn.XLOOKUP($D40,Model!$D:$D,Model!Z:Z,""),"")</f>
        <v>52217729.243652582</v>
      </c>
      <c r="T40" s="53">
        <f t="shared" si="30"/>
        <v>1.2087467287047904E-2</v>
      </c>
      <c r="U40" s="53">
        <f t="shared" si="31"/>
        <v>1.0867362324220746</v>
      </c>
      <c r="V40" s="54">
        <f t="shared" si="32"/>
        <v>-5.3276034898537494E-2</v>
      </c>
      <c r="Z40" s="63">
        <f>IFERROR(_xlfn.XLOOKUP($D40,Model!$D:$D,Model!M:M,""),"")</f>
        <v>154912282.92999998</v>
      </c>
      <c r="AA40" s="52">
        <f>IFERROR(_xlfn.XLOOKUP($D40,Model!$D:$D,Model!N:N,""),"")</f>
        <v>74494326.01000002</v>
      </c>
      <c r="AB40" s="52">
        <f>IFERROR(_xlfn.XLOOKUP($D40,Model!$D:$D,Model!O:O,""),"")</f>
        <v>168425587.81999999</v>
      </c>
      <c r="AC40" s="52">
        <f>IFERROR(_xlfn.XLOOKUP($D40,Model!$D:$D,Model!AA:AA,""),"")</f>
        <v>155923778.50141817</v>
      </c>
      <c r="AD40" s="53">
        <f t="shared" si="33"/>
        <v>6.5294730171607807E-3</v>
      </c>
      <c r="AE40" s="53">
        <f t="shared" si="34"/>
        <v>1.0930960363409041</v>
      </c>
      <c r="AF40" s="54">
        <f t="shared" si="35"/>
        <v>-7.4227494054779686E-2</v>
      </c>
    </row>
    <row r="41" spans="4:33" x14ac:dyDescent="0.25">
      <c r="D41" s="88" t="s">
        <v>40</v>
      </c>
      <c r="E41" s="48"/>
      <c r="F41" s="49">
        <f>IFERROR(_xlfn.XLOOKUP($D41,Model!$D:$D,Model!G:G,""),"")</f>
        <v>4797</v>
      </c>
      <c r="G41" s="49">
        <f>IFERROR(_xlfn.XLOOKUP($D41,Model!$D:$D,Model!H:H,""),"")</f>
        <v>2190</v>
      </c>
      <c r="H41" s="49">
        <f>IFERROR(_xlfn.XLOOKUP($D41,Model!$D:$D,Model!I:I,""),"")</f>
        <v>5162.5</v>
      </c>
      <c r="I41" s="49">
        <f>IFERROR(_xlfn.XLOOKUP($D41,Model!$D:$D,Model!Y:Y,""),"")</f>
        <v>4547.6165575939931</v>
      </c>
      <c r="J41" s="50">
        <f t="shared" si="27"/>
        <v>-5.1987375944550163E-2</v>
      </c>
      <c r="K41" s="50">
        <f t="shared" si="28"/>
        <v>1.0765372409104992</v>
      </c>
      <c r="L41" s="51">
        <f t="shared" si="29"/>
        <v>-0.11910575155564296</v>
      </c>
      <c r="P41" s="62">
        <f>IFERROR(_xlfn.XLOOKUP($D41,Model!$D:$D,Model!J:J,""),"")</f>
        <v>22077629.969999999</v>
      </c>
      <c r="Q41" s="49">
        <f>IFERROR(_xlfn.XLOOKUP($D41,Model!$D:$D,Model!K:K,""),"")</f>
        <v>10603643.219999999</v>
      </c>
      <c r="R41" s="49">
        <f>IFERROR(_xlfn.XLOOKUP($D41,Model!$D:$D,Model!L:L,""),"")</f>
        <v>24068477.119999997</v>
      </c>
      <c r="S41" s="49">
        <f>IFERROR(_xlfn.XLOOKUP($D41,Model!$D:$D,Model!Z:Z,""),"")</f>
        <v>22066780.629073575</v>
      </c>
      <c r="T41" s="50">
        <f t="shared" si="30"/>
        <v>-4.9141782615103047E-4</v>
      </c>
      <c r="U41" s="50">
        <f t="shared" si="31"/>
        <v>1.0810564983412916</v>
      </c>
      <c r="V41" s="51">
        <f t="shared" si="32"/>
        <v>-8.3166728037940008E-2</v>
      </c>
      <c r="Z41" s="62">
        <f>IFERROR(_xlfn.XLOOKUP($D41,Model!$D:$D,Model!M:M,""),"")</f>
        <v>62691295.670000002</v>
      </c>
      <c r="AA41" s="49">
        <f>IFERROR(_xlfn.XLOOKUP($D41,Model!$D:$D,Model!N:N,""),"")</f>
        <v>30382045.030000001</v>
      </c>
      <c r="AB41" s="49">
        <f>IFERROR(_xlfn.XLOOKUP($D41,Model!$D:$D,Model!O:O,""),"")</f>
        <v>71238416.270000011</v>
      </c>
      <c r="AC41" s="49">
        <f>IFERROR(_xlfn.XLOOKUP($D41,Model!$D:$D,Model!AA:AA,""),"")</f>
        <v>63260771.266343437</v>
      </c>
      <c r="AD41" s="50">
        <f t="shared" si="33"/>
        <v>9.0838064560205822E-3</v>
      </c>
      <c r="AE41" s="50">
        <f t="shared" si="34"/>
        <v>1.0821762065021674</v>
      </c>
      <c r="AF41" s="51">
        <f t="shared" si="35"/>
        <v>-0.11198515381673535</v>
      </c>
    </row>
    <row r="42" spans="4:33" x14ac:dyDescent="0.25">
      <c r="I42" s="41"/>
      <c r="J42" s="42" t="str">
        <f t="shared" ref="J42" si="36">IFERROR(I42/F42-1,"")</f>
        <v/>
      </c>
      <c r="K42" s="42" t="str">
        <f t="shared" ref="K42" si="37">IFERROR(I42/G42-1,"")</f>
        <v/>
      </c>
      <c r="L42" s="42" t="str">
        <f t="shared" ref="L42" si="38">IFERROR(I42/H42-1,"")</f>
        <v/>
      </c>
      <c r="S42" s="41"/>
      <c r="T42" s="42" t="str">
        <f t="shared" si="30"/>
        <v/>
      </c>
      <c r="U42" s="42" t="str">
        <f t="shared" si="31"/>
        <v/>
      </c>
      <c r="V42" s="42" t="str">
        <f t="shared" si="32"/>
        <v/>
      </c>
      <c r="AC42" s="41"/>
      <c r="AD42" s="42" t="str">
        <f t="shared" si="33"/>
        <v/>
      </c>
      <c r="AE42" s="42" t="str">
        <f t="shared" si="34"/>
        <v/>
      </c>
      <c r="AF42" s="42" t="str">
        <f t="shared" si="35"/>
        <v/>
      </c>
    </row>
    <row r="44" spans="4:33" x14ac:dyDescent="0.25">
      <c r="D44" s="86" t="s">
        <v>73</v>
      </c>
      <c r="E44" s="44"/>
      <c r="F44" s="45">
        <f>IFERROR(_xlfn.XLOOKUP($D44,Model!$D:$D,Model!G:G,""),"")</f>
        <v>6142</v>
      </c>
      <c r="G44" s="45">
        <f>IFERROR(_xlfn.XLOOKUP($D44,Model!$D:$D,Model!H:H,""),"")</f>
        <v>2807</v>
      </c>
      <c r="H44" s="45">
        <f>IFERROR(_xlfn.XLOOKUP($D44,Model!$D:$D,Model!I:I,""),"")</f>
        <v>6450.01</v>
      </c>
      <c r="I44" s="45">
        <f>IFERROR(_xlfn.XLOOKUP($D44,Model!$D:$D,Model!Y:Y,""),"")</f>
        <v>5856.3811672537558</v>
      </c>
      <c r="J44" s="46">
        <f t="shared" ref="J44:J75" si="39">IFERROR(I44/F44-1,"")</f>
        <v>-4.6502577783497867E-2</v>
      </c>
      <c r="K44" s="46">
        <f t="shared" ref="K44:K75" si="40">IFERROR(I44/G44-1,"")</f>
        <v>1.0863488305143414</v>
      </c>
      <c r="L44" s="47">
        <f t="shared" ref="L44:L75" si="41">IFERROR(I44/H44-1,"")</f>
        <v>-9.2035335254711859E-2</v>
      </c>
      <c r="P44" s="61">
        <f>IFERROR(_xlfn.XLOOKUP($D44,Model!$D:$D,Model!J:J,""),"")</f>
        <v>28055615.550000001</v>
      </c>
      <c r="Q44" s="45">
        <f>IFERROR(_xlfn.XLOOKUP($D44,Model!$D:$D,Model!K:K,""),"")</f>
        <v>13531537.899999999</v>
      </c>
      <c r="R44" s="45">
        <f>IFERROR(_xlfn.XLOOKUP($D44,Model!$D:$D,Model!L:L,""),"")</f>
        <v>30017449.170000002</v>
      </c>
      <c r="S44" s="45">
        <f>IFERROR(_xlfn.XLOOKUP($D44,Model!$D:$D,Model!Z:Z,""),"")</f>
        <v>28220395.046544436</v>
      </c>
      <c r="T44" s="46">
        <f t="shared" ref="T44:T75" si="42">IFERROR(S44/P44-1,"")</f>
        <v>5.8733160301105425E-3</v>
      </c>
      <c r="U44" s="46">
        <f t="shared" ref="U44:U75" si="43">IFERROR(S44/Q44-1,"")</f>
        <v>1.0855275472083954</v>
      </c>
      <c r="V44" s="47">
        <f t="shared" ref="V44:V75" si="44">IFERROR(S44/R44-1,"")</f>
        <v>-5.9866983142977226E-2</v>
      </c>
      <c r="Z44" s="61">
        <f>IFERROR(_xlfn.XLOOKUP($D44,Model!$D:$D,Model!M:M,""),"")</f>
        <v>84694710.269999996</v>
      </c>
      <c r="AA44" s="45">
        <f>IFERROR(_xlfn.XLOOKUP($D44,Model!$D:$D,Model!N:N,""),"")</f>
        <v>40577150.840000004</v>
      </c>
      <c r="AB44" s="45">
        <f>IFERROR(_xlfn.XLOOKUP($D44,Model!$D:$D,Model!O:O,""),"")</f>
        <v>92133695.719999984</v>
      </c>
      <c r="AC44" s="45">
        <f>IFERROR(_xlfn.XLOOKUP($D44,Model!$D:$D,Model!AA:AA,""),"")</f>
        <v>84835010.87965548</v>
      </c>
      <c r="AD44" s="46">
        <f t="shared" ref="AD44:AD75" si="45">IFERROR(AC44/Z44-1,"")</f>
        <v>1.6565451278860444E-3</v>
      </c>
      <c r="AE44" s="46">
        <f t="shared" ref="AE44:AE75" si="46">IFERROR(AC44/AA44-1,"")</f>
        <v>1.0907089118742936</v>
      </c>
      <c r="AF44" s="47">
        <f t="shared" ref="AF44:AF75" si="47">IFERROR(AC44/AB44-1,"")</f>
        <v>-7.9218409543948654E-2</v>
      </c>
    </row>
    <row r="45" spans="4:33" x14ac:dyDescent="0.25">
      <c r="D45" s="87" t="s">
        <v>68</v>
      </c>
      <c r="F45" s="52">
        <f>IFERROR(_xlfn.XLOOKUP($D45,Model!$D:$D,Model!G:G,""),"")</f>
        <v>5057</v>
      </c>
      <c r="G45" s="52">
        <f>IFERROR(_xlfn.XLOOKUP($D45,Model!$D:$D,Model!H:H,""),"")</f>
        <v>2322</v>
      </c>
      <c r="H45" s="52">
        <f>IFERROR(_xlfn.XLOOKUP($D45,Model!$D:$D,Model!I:I,""),"")</f>
        <v>5309.91</v>
      </c>
      <c r="I45" s="52">
        <f>IFERROR(_xlfn.XLOOKUP($D45,Model!$D:$D,Model!Y:Y,""),"")</f>
        <v>4900.0918130514265</v>
      </c>
      <c r="J45" s="53">
        <f t="shared" si="39"/>
        <v>-3.1027919111839775E-2</v>
      </c>
      <c r="K45" s="53">
        <f t="shared" si="40"/>
        <v>1.1102893251728796</v>
      </c>
      <c r="L45" s="54">
        <f t="shared" si="41"/>
        <v>-7.7179874413798588E-2</v>
      </c>
      <c r="P45" s="63">
        <f>IFERROR(_xlfn.XLOOKUP($D45,Model!$D:$D,Model!J:J,""),"")</f>
        <v>22912708.419999998</v>
      </c>
      <c r="Q45" s="52">
        <f>IFERROR(_xlfn.XLOOKUP($D45,Model!$D:$D,Model!K:K,""),"")</f>
        <v>11091311.42</v>
      </c>
      <c r="R45" s="52">
        <f>IFERROR(_xlfn.XLOOKUP($D45,Model!$D:$D,Model!L:L,""),"")</f>
        <v>24604173.030000001</v>
      </c>
      <c r="S45" s="52">
        <f>IFERROR(_xlfn.XLOOKUP($D45,Model!$D:$D,Model!Z:Z,""),"")</f>
        <v>23677322.27599436</v>
      </c>
      <c r="T45" s="53">
        <f t="shared" si="42"/>
        <v>3.3370732170926898E-2</v>
      </c>
      <c r="U45" s="53">
        <f t="shared" si="43"/>
        <v>1.1347630933253843</v>
      </c>
      <c r="V45" s="54">
        <f t="shared" si="44"/>
        <v>-3.7670469675023299E-2</v>
      </c>
      <c r="Z45" s="63">
        <f>IFERROR(_xlfn.XLOOKUP($D45,Model!$D:$D,Model!M:M,""),"")</f>
        <v>72731825.74000001</v>
      </c>
      <c r="AA45" s="52">
        <f>IFERROR(_xlfn.XLOOKUP($D45,Model!$D:$D,Model!N:N,""),"")</f>
        <v>34698382.420000002</v>
      </c>
      <c r="AB45" s="52">
        <f>IFERROR(_xlfn.XLOOKUP($D45,Model!$D:$D,Model!O:O,""),"")</f>
        <v>79478848.429999992</v>
      </c>
      <c r="AC45" s="52">
        <f>IFERROR(_xlfn.XLOOKUP($D45,Model!$D:$D,Model!AA:AA,""),"")</f>
        <v>73968231.393120781</v>
      </c>
      <c r="AD45" s="53">
        <f t="shared" si="45"/>
        <v>1.6999513494142748E-2</v>
      </c>
      <c r="AE45" s="53">
        <f t="shared" si="46"/>
        <v>1.1317486935784591</v>
      </c>
      <c r="AF45" s="54">
        <f t="shared" si="47"/>
        <v>-6.9334384502722335E-2</v>
      </c>
    </row>
    <row r="46" spans="4:33" x14ac:dyDescent="0.25">
      <c r="D46" s="87" t="s">
        <v>72</v>
      </c>
      <c r="F46" s="52">
        <f>IFERROR(_xlfn.XLOOKUP($D46,Model!$D:$D,Model!G:G,""),"")</f>
        <v>5223</v>
      </c>
      <c r="G46" s="52">
        <f>IFERROR(_xlfn.XLOOKUP($D46,Model!$D:$D,Model!H:H,""),"")</f>
        <v>2403</v>
      </c>
      <c r="H46" s="52">
        <f>IFERROR(_xlfn.XLOOKUP($D46,Model!$D:$D,Model!I:I,""),"")</f>
        <v>5479.95</v>
      </c>
      <c r="I46" s="52">
        <f>IFERROR(_xlfn.XLOOKUP($D46,Model!$D:$D,Model!Y:Y,""),"")</f>
        <v>4974.4145156598834</v>
      </c>
      <c r="J46" s="53">
        <f t="shared" si="39"/>
        <v>-4.759438719895015E-2</v>
      </c>
      <c r="K46" s="53">
        <f t="shared" si="40"/>
        <v>1.0700851084726937</v>
      </c>
      <c r="L46" s="54">
        <f t="shared" si="41"/>
        <v>-9.2251842505883586E-2</v>
      </c>
      <c r="P46" s="63">
        <f>IFERROR(_xlfn.XLOOKUP($D46,Model!$D:$D,Model!J:J,""),"")</f>
        <v>23561006.740000002</v>
      </c>
      <c r="Q46" s="52">
        <f>IFERROR(_xlfn.XLOOKUP($D46,Model!$D:$D,Model!K:K,""),"")</f>
        <v>11429032.250000002</v>
      </c>
      <c r="R46" s="52">
        <f>IFERROR(_xlfn.XLOOKUP($D46,Model!$D:$D,Model!L:L,""),"")</f>
        <v>25388841.729999997</v>
      </c>
      <c r="S46" s="52">
        <f>IFERROR(_xlfn.XLOOKUP($D46,Model!$D:$D,Model!Z:Z,""),"")</f>
        <v>23579114.595058106</v>
      </c>
      <c r="T46" s="53">
        <f t="shared" si="42"/>
        <v>7.6855183897395207E-4</v>
      </c>
      <c r="U46" s="53">
        <f t="shared" si="43"/>
        <v>1.0630893394371252</v>
      </c>
      <c r="V46" s="54">
        <f t="shared" si="44"/>
        <v>-7.128041342679603E-2</v>
      </c>
      <c r="Z46" s="63">
        <f>IFERROR(_xlfn.XLOOKUP($D46,Model!$D:$D,Model!M:M,""),"")</f>
        <v>72561125.49000001</v>
      </c>
      <c r="AA46" s="52">
        <f>IFERROR(_xlfn.XLOOKUP($D46,Model!$D:$D,Model!N:N,""),"")</f>
        <v>36171551.090000004</v>
      </c>
      <c r="AB46" s="52">
        <f>IFERROR(_xlfn.XLOOKUP($D46,Model!$D:$D,Model!O:O,""),"")</f>
        <v>79547549.13000001</v>
      </c>
      <c r="AC46" s="52">
        <f>IFERROR(_xlfn.XLOOKUP($D46,Model!$D:$D,Model!AA:AA,""),"")</f>
        <v>74448961.822247252</v>
      </c>
      <c r="AD46" s="53">
        <f t="shared" si="45"/>
        <v>2.601718646863338E-2</v>
      </c>
      <c r="AE46" s="53">
        <f t="shared" si="46"/>
        <v>1.0582186712703461</v>
      </c>
      <c r="AF46" s="54">
        <f t="shared" si="47"/>
        <v>-6.4094838414448518E-2</v>
      </c>
    </row>
    <row r="47" spans="4:33" x14ac:dyDescent="0.25">
      <c r="D47" s="87" t="s">
        <v>54</v>
      </c>
      <c r="F47" s="52">
        <f>IFERROR(_xlfn.XLOOKUP($D47,Model!$D:$D,Model!G:G,""),"")</f>
        <v>5124</v>
      </c>
      <c r="G47" s="52">
        <f>IFERROR(_xlfn.XLOOKUP($D47,Model!$D:$D,Model!H:H,""),"")</f>
        <v>2304</v>
      </c>
      <c r="H47" s="52">
        <f>IFERROR(_xlfn.XLOOKUP($D47,Model!$D:$D,Model!I:I,""),"")</f>
        <v>5380.0900000000011</v>
      </c>
      <c r="I47" s="52">
        <f>IFERROR(_xlfn.XLOOKUP($D47,Model!$D:$D,Model!Y:Y,""),"")</f>
        <v>4736.2733924552658</v>
      </c>
      <c r="J47" s="53">
        <f t="shared" si="39"/>
        <v>-7.5668736835428185E-2</v>
      </c>
      <c r="K47" s="53">
        <f t="shared" si="40"/>
        <v>1.055674215475376</v>
      </c>
      <c r="L47" s="54">
        <f t="shared" si="41"/>
        <v>-0.11966651255736149</v>
      </c>
      <c r="P47" s="63">
        <f>IFERROR(_xlfn.XLOOKUP($D47,Model!$D:$D,Model!J:J,""),"")</f>
        <v>23145017.75</v>
      </c>
      <c r="Q47" s="52">
        <f>IFERROR(_xlfn.XLOOKUP($D47,Model!$D:$D,Model!K:K,""),"")</f>
        <v>10849389.180000002</v>
      </c>
      <c r="R47" s="52">
        <f>IFERROR(_xlfn.XLOOKUP($D47,Model!$D:$D,Model!L:L,""),"")</f>
        <v>24918760.830000006</v>
      </c>
      <c r="S47" s="52">
        <f>IFERROR(_xlfn.XLOOKUP($D47,Model!$D:$D,Model!Z:Z,""),"")</f>
        <v>22352054.046212379</v>
      </c>
      <c r="T47" s="53">
        <f t="shared" si="42"/>
        <v>-3.4260665183012073E-2</v>
      </c>
      <c r="U47" s="53">
        <f t="shared" si="43"/>
        <v>1.0602131304697444</v>
      </c>
      <c r="V47" s="54">
        <f t="shared" si="44"/>
        <v>-0.10300298643653005</v>
      </c>
      <c r="Z47" s="63">
        <f>IFERROR(_xlfn.XLOOKUP($D47,Model!$D:$D,Model!M:M,""),"")</f>
        <v>69251898.050000012</v>
      </c>
      <c r="AA47" s="52">
        <f>IFERROR(_xlfn.XLOOKUP($D47,Model!$D:$D,Model!N:N,""),"")</f>
        <v>32463769.169999998</v>
      </c>
      <c r="AB47" s="52">
        <f>IFERROR(_xlfn.XLOOKUP($D47,Model!$D:$D,Model!O:O,""),"")</f>
        <v>75904893.959999993</v>
      </c>
      <c r="AC47" s="52">
        <f>IFERROR(_xlfn.XLOOKUP($D47,Model!$D:$D,Model!AA:AA,""),"")</f>
        <v>67001146.856779374</v>
      </c>
      <c r="AD47" s="53">
        <f t="shared" si="45"/>
        <v>-3.2500931477655537E-2</v>
      </c>
      <c r="AE47" s="53">
        <f t="shared" si="46"/>
        <v>1.0638745459875811</v>
      </c>
      <c r="AF47" s="54">
        <f t="shared" si="47"/>
        <v>-0.11730135751079074</v>
      </c>
    </row>
    <row r="48" spans="4:33" x14ac:dyDescent="0.25">
      <c r="D48" s="87" t="s">
        <v>58</v>
      </c>
      <c r="F48" s="52">
        <f>IFERROR(_xlfn.XLOOKUP($D48,Model!$D:$D,Model!G:G,""),"")</f>
        <v>5228</v>
      </c>
      <c r="G48" s="52">
        <f>IFERROR(_xlfn.XLOOKUP($D48,Model!$D:$D,Model!H:H,""),"")</f>
        <v>2376</v>
      </c>
      <c r="H48" s="52">
        <f>IFERROR(_xlfn.XLOOKUP($D48,Model!$D:$D,Model!I:I,""),"")</f>
        <v>5490.1100000000006</v>
      </c>
      <c r="I48" s="52">
        <f>IFERROR(_xlfn.XLOOKUP($D48,Model!$D:$D,Model!Y:Y,""),"")</f>
        <v>5127.2734047654603</v>
      </c>
      <c r="J48" s="53">
        <f t="shared" si="39"/>
        <v>-1.9266755018083281E-2</v>
      </c>
      <c r="K48" s="53">
        <f t="shared" si="40"/>
        <v>1.1579433521740152</v>
      </c>
      <c r="L48" s="54">
        <f t="shared" si="41"/>
        <v>-6.6089130315155842E-2</v>
      </c>
      <c r="P48" s="63">
        <f>IFERROR(_xlfn.XLOOKUP($D48,Model!$D:$D,Model!J:J,""),"")</f>
        <v>23751719.890000001</v>
      </c>
      <c r="Q48" s="52">
        <f>IFERROR(_xlfn.XLOOKUP($D48,Model!$D:$D,Model!K:K,""),"")</f>
        <v>11178834.07</v>
      </c>
      <c r="R48" s="52">
        <f>IFERROR(_xlfn.XLOOKUP($D48,Model!$D:$D,Model!L:L,""),"")</f>
        <v>25324670.039999995</v>
      </c>
      <c r="S48" s="52">
        <f>IFERROR(_xlfn.XLOOKUP($D48,Model!$D:$D,Model!Z:Z,""),"")</f>
        <v>24419513.384509481</v>
      </c>
      <c r="T48" s="53">
        <f t="shared" si="42"/>
        <v>2.8115584791425396E-2</v>
      </c>
      <c r="U48" s="53">
        <f t="shared" si="43"/>
        <v>1.1844418864792652</v>
      </c>
      <c r="V48" s="54">
        <f t="shared" si="44"/>
        <v>-3.5742090777918567E-2</v>
      </c>
      <c r="Z48" s="63">
        <f>IFERROR(_xlfn.XLOOKUP($D48,Model!$D:$D,Model!M:M,""),"")</f>
        <v>68446213.50999999</v>
      </c>
      <c r="AA48" s="52">
        <f>IFERROR(_xlfn.XLOOKUP($D48,Model!$D:$D,Model!N:N,""),"")</f>
        <v>31831200.279999994</v>
      </c>
      <c r="AB48" s="52">
        <f>IFERROR(_xlfn.XLOOKUP($D48,Model!$D:$D,Model!O:O,""),"")</f>
        <v>74351401.599999994</v>
      </c>
      <c r="AC48" s="52">
        <f>IFERROR(_xlfn.XLOOKUP($D48,Model!$D:$D,Model!AA:AA,""),"")</f>
        <v>69655669.865581453</v>
      </c>
      <c r="AD48" s="53">
        <f t="shared" si="45"/>
        <v>1.767017185552211E-2</v>
      </c>
      <c r="AE48" s="53">
        <f t="shared" si="46"/>
        <v>1.1882828562184984</v>
      </c>
      <c r="AF48" s="54">
        <f t="shared" si="47"/>
        <v>-6.3155927573240844E-2</v>
      </c>
    </row>
    <row r="49" spans="4:32" x14ac:dyDescent="0.25">
      <c r="D49" s="87" t="s">
        <v>53</v>
      </c>
      <c r="F49" s="52">
        <f>IFERROR(_xlfn.XLOOKUP($D49,Model!$D:$D,Model!G:G,""),"")</f>
        <v>4904</v>
      </c>
      <c r="G49" s="52">
        <f>IFERROR(_xlfn.XLOOKUP($D49,Model!$D:$D,Model!H:H,""),"")</f>
        <v>2289</v>
      </c>
      <c r="H49" s="52">
        <f>IFERROR(_xlfn.XLOOKUP($D49,Model!$D:$D,Model!I:I,""),"")</f>
        <v>5149.9500000000007</v>
      </c>
      <c r="I49" s="52">
        <f>IFERROR(_xlfn.XLOOKUP($D49,Model!$D:$D,Model!Y:Y,""),"")</f>
        <v>4693.8713909716062</v>
      </c>
      <c r="J49" s="53">
        <f t="shared" si="39"/>
        <v>-4.2848411302690459E-2</v>
      </c>
      <c r="K49" s="53">
        <f t="shared" si="40"/>
        <v>1.0506209659115799</v>
      </c>
      <c r="L49" s="54">
        <f t="shared" si="41"/>
        <v>-8.8559813013406874E-2</v>
      </c>
      <c r="P49" s="63">
        <f>IFERROR(_xlfn.XLOOKUP($D49,Model!$D:$D,Model!J:J,""),"")</f>
        <v>22195409.269999996</v>
      </c>
      <c r="Q49" s="52">
        <f>IFERROR(_xlfn.XLOOKUP($D49,Model!$D:$D,Model!K:K,""),"")</f>
        <v>10788101.030000001</v>
      </c>
      <c r="R49" s="52">
        <f>IFERROR(_xlfn.XLOOKUP($D49,Model!$D:$D,Model!L:L,""),"")</f>
        <v>23718828.419999998</v>
      </c>
      <c r="S49" s="52">
        <f>IFERROR(_xlfn.XLOOKUP($D49,Model!$D:$D,Model!Z:Z,""),"")</f>
        <v>22153955.488900863</v>
      </c>
      <c r="T49" s="53">
        <f t="shared" si="42"/>
        <v>-1.867673652459434E-3</v>
      </c>
      <c r="U49" s="53">
        <f t="shared" si="43"/>
        <v>1.0535546920903149</v>
      </c>
      <c r="V49" s="54">
        <f t="shared" si="44"/>
        <v>-6.5975979225837977E-2</v>
      </c>
      <c r="Z49" s="63">
        <f>IFERROR(_xlfn.XLOOKUP($D49,Model!$D:$D,Model!M:M,""),"")</f>
        <v>65526891.530000001</v>
      </c>
      <c r="AA49" s="52">
        <f>IFERROR(_xlfn.XLOOKUP($D49,Model!$D:$D,Model!N:N,""),"")</f>
        <v>31957385.66</v>
      </c>
      <c r="AB49" s="52">
        <f>IFERROR(_xlfn.XLOOKUP($D49,Model!$D:$D,Model!O:O,""),"")</f>
        <v>71167772.260000005</v>
      </c>
      <c r="AC49" s="52">
        <f>IFERROR(_xlfn.XLOOKUP($D49,Model!$D:$D,Model!AA:AA,""),"")</f>
        <v>65700803.20494163</v>
      </c>
      <c r="AD49" s="53">
        <f t="shared" si="45"/>
        <v>2.6540504345762272E-3</v>
      </c>
      <c r="AE49" s="53">
        <f t="shared" si="46"/>
        <v>1.0558879222456907</v>
      </c>
      <c r="AF49" s="54">
        <f t="shared" si="47"/>
        <v>-7.6818043918610801E-2</v>
      </c>
    </row>
    <row r="50" spans="4:32" x14ac:dyDescent="0.25">
      <c r="D50" s="87" t="s">
        <v>50</v>
      </c>
      <c r="F50" s="52">
        <f>IFERROR(_xlfn.XLOOKUP($D50,Model!$D:$D,Model!G:G,""),"")</f>
        <v>4710</v>
      </c>
      <c r="G50" s="52">
        <f>IFERROR(_xlfn.XLOOKUP($D50,Model!$D:$D,Model!H:H,""),"")</f>
        <v>2264</v>
      </c>
      <c r="H50" s="52">
        <f>IFERROR(_xlfn.XLOOKUP($D50,Model!$D:$D,Model!I:I,""),"")</f>
        <v>5000.0700000000006</v>
      </c>
      <c r="I50" s="52">
        <f>IFERROR(_xlfn.XLOOKUP($D50,Model!$D:$D,Model!Y:Y,""),"")</f>
        <v>4593.8845701206892</v>
      </c>
      <c r="J50" s="53">
        <f t="shared" si="39"/>
        <v>-2.465295751153096E-2</v>
      </c>
      <c r="K50" s="53">
        <f t="shared" si="40"/>
        <v>1.0291009585338733</v>
      </c>
      <c r="L50" s="54">
        <f t="shared" si="41"/>
        <v>-8.1235948672580882E-2</v>
      </c>
      <c r="P50" s="63">
        <f>IFERROR(_xlfn.XLOOKUP($D50,Model!$D:$D,Model!J:J,""),"")</f>
        <v>21129129.710000005</v>
      </c>
      <c r="Q50" s="52">
        <f>IFERROR(_xlfn.XLOOKUP($D50,Model!$D:$D,Model!K:K,""),"")</f>
        <v>10681051.849999998</v>
      </c>
      <c r="R50" s="52">
        <f>IFERROR(_xlfn.XLOOKUP($D50,Model!$D:$D,Model!L:L,""),"")</f>
        <v>22723839.939999998</v>
      </c>
      <c r="S50" s="52">
        <f>IFERROR(_xlfn.XLOOKUP($D50,Model!$D:$D,Model!Z:Z,""),"")</f>
        <v>21661992.418241985</v>
      </c>
      <c r="T50" s="53">
        <f t="shared" si="42"/>
        <v>2.5219340103240784E-2</v>
      </c>
      <c r="U50" s="53">
        <f t="shared" si="43"/>
        <v>1.0280767027867195</v>
      </c>
      <c r="V50" s="54">
        <f t="shared" si="44"/>
        <v>-4.67283489305379E-2</v>
      </c>
      <c r="Z50" s="63">
        <f>IFERROR(_xlfn.XLOOKUP($D50,Model!$D:$D,Model!M:M,""),"")</f>
        <v>61225099.240000002</v>
      </c>
      <c r="AA50" s="52">
        <f>IFERROR(_xlfn.XLOOKUP($D50,Model!$D:$D,Model!N:N,""),"")</f>
        <v>31154927.619999997</v>
      </c>
      <c r="AB50" s="52">
        <f>IFERROR(_xlfn.XLOOKUP($D50,Model!$D:$D,Model!O:O,""),"")</f>
        <v>68853049.280000001</v>
      </c>
      <c r="AC50" s="52">
        <f>IFERROR(_xlfn.XLOOKUP($D50,Model!$D:$D,Model!AA:AA,""),"")</f>
        <v>63340833.038602464</v>
      </c>
      <c r="AD50" s="53">
        <f t="shared" si="45"/>
        <v>3.4556641391610743E-2</v>
      </c>
      <c r="AE50" s="53">
        <f t="shared" si="46"/>
        <v>1.0330919657775302</v>
      </c>
      <c r="AF50" s="54">
        <f t="shared" si="47"/>
        <v>-8.0057692419421844E-2</v>
      </c>
    </row>
    <row r="51" spans="4:32" x14ac:dyDescent="0.25">
      <c r="D51" s="87" t="s">
        <v>60</v>
      </c>
      <c r="F51" s="52">
        <f>IFERROR(_xlfn.XLOOKUP($D51,Model!$D:$D,Model!G:G,""),"")</f>
        <v>3111</v>
      </c>
      <c r="G51" s="52">
        <f>IFERROR(_xlfn.XLOOKUP($D51,Model!$D:$D,Model!H:H,""),"")</f>
        <v>1518</v>
      </c>
      <c r="H51" s="52">
        <f>IFERROR(_xlfn.XLOOKUP($D51,Model!$D:$D,Model!I:I,""),"")</f>
        <v>3269.9900000000002</v>
      </c>
      <c r="I51" s="52">
        <f>IFERROR(_xlfn.XLOOKUP($D51,Model!$D:$D,Model!Y:Y,""),"")</f>
        <v>3193.2099195882925</v>
      </c>
      <c r="J51" s="53">
        <f t="shared" si="39"/>
        <v>2.6425560780550361E-2</v>
      </c>
      <c r="K51" s="53">
        <f t="shared" si="40"/>
        <v>1.1035638468961082</v>
      </c>
      <c r="L51" s="54">
        <f t="shared" si="41"/>
        <v>-2.3480218719845514E-2</v>
      </c>
      <c r="P51" s="63">
        <f>IFERROR(_xlfn.XLOOKUP($D51,Model!$D:$D,Model!J:J,""),"")</f>
        <v>14362562.639999999</v>
      </c>
      <c r="Q51" s="52">
        <f>IFERROR(_xlfn.XLOOKUP($D51,Model!$D:$D,Model!K:K,""),"")</f>
        <v>7360193.9499999993</v>
      </c>
      <c r="R51" s="52">
        <f>IFERROR(_xlfn.XLOOKUP($D51,Model!$D:$D,Model!L:L,""),"")</f>
        <v>15342833.699999999</v>
      </c>
      <c r="S51" s="52">
        <f>IFERROR(_xlfn.XLOOKUP($D51,Model!$D:$D,Model!Z:Z,""),"")</f>
        <v>15553375.163506277</v>
      </c>
      <c r="T51" s="53">
        <f t="shared" si="42"/>
        <v>8.2910867186740234E-2</v>
      </c>
      <c r="U51" s="53">
        <f t="shared" si="43"/>
        <v>1.1131746349573137</v>
      </c>
      <c r="V51" s="54">
        <f t="shared" si="44"/>
        <v>1.3722462722533191E-2</v>
      </c>
      <c r="Z51" s="63">
        <f>IFERROR(_xlfn.XLOOKUP($D51,Model!$D:$D,Model!M:M,""),"")</f>
        <v>43124315.020000003</v>
      </c>
      <c r="AA51" s="52">
        <f>IFERROR(_xlfn.XLOOKUP($D51,Model!$D:$D,Model!N:N,""),"")</f>
        <v>21821683.23</v>
      </c>
      <c r="AB51" s="52">
        <f>IFERROR(_xlfn.XLOOKUP($D51,Model!$D:$D,Model!O:O,""),"")</f>
        <v>46863360.219999991</v>
      </c>
      <c r="AC51" s="52">
        <f>IFERROR(_xlfn.XLOOKUP($D51,Model!$D:$D,Model!AA:AA,""),"")</f>
        <v>46356401.69915498</v>
      </c>
      <c r="AD51" s="53">
        <f t="shared" si="45"/>
        <v>7.4948127933301967E-2</v>
      </c>
      <c r="AE51" s="53">
        <f t="shared" si="46"/>
        <v>1.1243274962137271</v>
      </c>
      <c r="AF51" s="54">
        <f t="shared" si="47"/>
        <v>-1.0817801337016708E-2</v>
      </c>
    </row>
    <row r="52" spans="4:32" x14ac:dyDescent="0.25">
      <c r="D52" s="87" t="s">
        <v>71</v>
      </c>
      <c r="F52" s="52">
        <f>IFERROR(_xlfn.XLOOKUP($D52,Model!$D:$D,Model!G:G,""),"")</f>
        <v>3093</v>
      </c>
      <c r="G52" s="52">
        <f>IFERROR(_xlfn.XLOOKUP($D52,Model!$D:$D,Model!H:H,""),"")</f>
        <v>1361</v>
      </c>
      <c r="H52" s="52">
        <f>IFERROR(_xlfn.XLOOKUP($D52,Model!$D:$D,Model!I:I,""),"")</f>
        <v>3250.03</v>
      </c>
      <c r="I52" s="52">
        <f>IFERROR(_xlfn.XLOOKUP($D52,Model!$D:$D,Model!Y:Y,""),"")</f>
        <v>2785.167004583921</v>
      </c>
      <c r="J52" s="53">
        <f t="shared" si="39"/>
        <v>-9.9525701718745196E-2</v>
      </c>
      <c r="K52" s="53">
        <f t="shared" si="40"/>
        <v>1.0464122002820875</v>
      </c>
      <c r="L52" s="54">
        <f t="shared" si="41"/>
        <v>-0.14303344751158575</v>
      </c>
      <c r="P52" s="63">
        <f>IFERROR(_xlfn.XLOOKUP($D52,Model!$D:$D,Model!J:J,""),"")</f>
        <v>14027140.35</v>
      </c>
      <c r="Q52" s="52">
        <f>IFERROR(_xlfn.XLOOKUP($D52,Model!$D:$D,Model!K:K,""),"")</f>
        <v>6462043.6600000001</v>
      </c>
      <c r="R52" s="52">
        <f>IFERROR(_xlfn.XLOOKUP($D52,Model!$D:$D,Model!L:L,""),"")</f>
        <v>15050589.520000001</v>
      </c>
      <c r="S52" s="52">
        <f>IFERROR(_xlfn.XLOOKUP($D52,Model!$D:$D,Model!Z:Z,""),"")</f>
        <v>13236448.100649416</v>
      </c>
      <c r="T52" s="53">
        <f t="shared" si="42"/>
        <v>-5.636874156966587E-2</v>
      </c>
      <c r="U52" s="53">
        <f t="shared" si="43"/>
        <v>1.0483377700746477</v>
      </c>
      <c r="V52" s="54">
        <f t="shared" si="44"/>
        <v>-0.12053623659989265</v>
      </c>
      <c r="Z52" s="63">
        <f>IFERROR(_xlfn.XLOOKUP($D52,Model!$D:$D,Model!M:M,""),"")</f>
        <v>41436160.039999999</v>
      </c>
      <c r="AA52" s="52">
        <f>IFERROR(_xlfn.XLOOKUP($D52,Model!$D:$D,Model!N:N,""),"")</f>
        <v>19168326.219999999</v>
      </c>
      <c r="AB52" s="52">
        <f>IFERROR(_xlfn.XLOOKUP($D52,Model!$D:$D,Model!O:O,""),"")</f>
        <v>45173303.43999999</v>
      </c>
      <c r="AC52" s="52">
        <f>IFERROR(_xlfn.XLOOKUP($D52,Model!$D:$D,Model!AA:AA,""),"")</f>
        <v>39326181.491453998</v>
      </c>
      <c r="AD52" s="53">
        <f t="shared" si="45"/>
        <v>-5.0921189282722046E-2</v>
      </c>
      <c r="AE52" s="53">
        <f t="shared" si="46"/>
        <v>1.0516231328753962</v>
      </c>
      <c r="AF52" s="54">
        <f t="shared" si="47"/>
        <v>-0.12943755499998455</v>
      </c>
    </row>
    <row r="53" spans="4:32" x14ac:dyDescent="0.25">
      <c r="D53" s="87" t="s">
        <v>66</v>
      </c>
      <c r="F53" s="52">
        <f>IFERROR(_xlfn.XLOOKUP($D53,Model!$D:$D,Model!G:G,""),"")</f>
        <v>3011</v>
      </c>
      <c r="G53" s="52">
        <f>IFERROR(_xlfn.XLOOKUP($D53,Model!$D:$D,Model!H:H,""),"")</f>
        <v>1537</v>
      </c>
      <c r="H53" s="52">
        <f>IFERROR(_xlfn.XLOOKUP($D53,Model!$D:$D,Model!I:I,""),"")</f>
        <v>3159.91</v>
      </c>
      <c r="I53" s="52">
        <f>IFERROR(_xlfn.XLOOKUP($D53,Model!$D:$D,Model!Y:Y,""),"")</f>
        <v>3113.5012084030495</v>
      </c>
      <c r="J53" s="53">
        <f t="shared" si="39"/>
        <v>3.4042247892078992E-2</v>
      </c>
      <c r="K53" s="53">
        <f t="shared" si="40"/>
        <v>1.0257002006526021</v>
      </c>
      <c r="L53" s="54">
        <f t="shared" si="41"/>
        <v>-1.4686744748094172E-2</v>
      </c>
      <c r="P53" s="63">
        <f>IFERROR(_xlfn.XLOOKUP($D53,Model!$D:$D,Model!J:J,""),"")</f>
        <v>13782697.210000001</v>
      </c>
      <c r="Q53" s="52">
        <f>IFERROR(_xlfn.XLOOKUP($D53,Model!$D:$D,Model!K:K,""),"")</f>
        <v>7316804.6100000003</v>
      </c>
      <c r="R53" s="52">
        <f>IFERROR(_xlfn.XLOOKUP($D53,Model!$D:$D,Model!L:L,""),"")</f>
        <v>14708709.219999999</v>
      </c>
      <c r="S53" s="52">
        <f>IFERROR(_xlfn.XLOOKUP($D53,Model!$D:$D,Model!Z:Z,""),"")</f>
        <v>14837884.780849446</v>
      </c>
      <c r="T53" s="53">
        <f t="shared" si="42"/>
        <v>7.6558858891847104E-2</v>
      </c>
      <c r="U53" s="53">
        <f t="shared" si="43"/>
        <v>1.0279186846906172</v>
      </c>
      <c r="V53" s="54">
        <f t="shared" si="44"/>
        <v>8.782249952552057E-3</v>
      </c>
      <c r="Z53" s="63">
        <f>IFERROR(_xlfn.XLOOKUP($D53,Model!$D:$D,Model!M:M,""),"")</f>
        <v>39951286.780000001</v>
      </c>
      <c r="AA53" s="52">
        <f>IFERROR(_xlfn.XLOOKUP($D53,Model!$D:$D,Model!N:N,""),"")</f>
        <v>20962778.160000004</v>
      </c>
      <c r="AB53" s="52">
        <f>IFERROR(_xlfn.XLOOKUP($D53,Model!$D:$D,Model!O:O,""),"")</f>
        <v>43348060.280000001</v>
      </c>
      <c r="AC53" s="52">
        <f>IFERROR(_xlfn.XLOOKUP($D53,Model!$D:$D,Model!AA:AA,""),"")</f>
        <v>42499336.109807156</v>
      </c>
      <c r="AD53" s="53">
        <f t="shared" si="45"/>
        <v>6.3778905141116393E-2</v>
      </c>
      <c r="AE53" s="53">
        <f t="shared" si="46"/>
        <v>1.0273713620125982</v>
      </c>
      <c r="AF53" s="54">
        <f t="shared" si="47"/>
        <v>-1.9579288316723842E-2</v>
      </c>
    </row>
    <row r="54" spans="4:32" x14ac:dyDescent="0.25">
      <c r="D54" s="87" t="s">
        <v>47</v>
      </c>
      <c r="F54" s="52">
        <f>IFERROR(_xlfn.XLOOKUP($D54,Model!$D:$D,Model!G:G,""),"")</f>
        <v>2709</v>
      </c>
      <c r="G54" s="52">
        <f>IFERROR(_xlfn.XLOOKUP($D54,Model!$D:$D,Model!H:H,""),"")</f>
        <v>1136</v>
      </c>
      <c r="H54" s="52">
        <f>IFERROR(_xlfn.XLOOKUP($D54,Model!$D:$D,Model!I:I,""),"")</f>
        <v>2999.96</v>
      </c>
      <c r="I54" s="52">
        <f>IFERROR(_xlfn.XLOOKUP($D54,Model!$D:$D,Model!Y:Y,""),"")</f>
        <v>2389.8867172981572</v>
      </c>
      <c r="J54" s="53">
        <f t="shared" si="39"/>
        <v>-0.11779744654922208</v>
      </c>
      <c r="K54" s="53">
        <f t="shared" si="40"/>
        <v>1.1037735187483779</v>
      </c>
      <c r="L54" s="54">
        <f t="shared" si="41"/>
        <v>-0.20336047237357924</v>
      </c>
      <c r="P54" s="63">
        <f>IFERROR(_xlfn.XLOOKUP($D54,Model!$D:$D,Model!J:J,""),"")</f>
        <v>12554570.970000001</v>
      </c>
      <c r="Q54" s="52">
        <f>IFERROR(_xlfn.XLOOKUP($D54,Model!$D:$D,Model!K:K,""),"")</f>
        <v>5566194.9399999995</v>
      </c>
      <c r="R54" s="52">
        <f>IFERROR(_xlfn.XLOOKUP($D54,Model!$D:$D,Model!L:L,""),"")</f>
        <v>14084345.259999998</v>
      </c>
      <c r="S54" s="52">
        <f>IFERROR(_xlfn.XLOOKUP($D54,Model!$D:$D,Model!Z:Z,""),"")</f>
        <v>11694393.160781359</v>
      </c>
      <c r="T54" s="53">
        <f t="shared" si="42"/>
        <v>-6.8515109857126499E-2</v>
      </c>
      <c r="U54" s="53">
        <f t="shared" si="43"/>
        <v>1.1009672292902772</v>
      </c>
      <c r="V54" s="54">
        <f t="shared" si="44"/>
        <v>-0.16968854817881951</v>
      </c>
      <c r="Z54" s="63">
        <f>IFERROR(_xlfn.XLOOKUP($D54,Model!$D:$D,Model!M:M,""),"")</f>
        <v>33244194.140000001</v>
      </c>
      <c r="AA54" s="52">
        <f>IFERROR(_xlfn.XLOOKUP($D54,Model!$D:$D,Model!N:N,""),"")</f>
        <v>14655709.300000001</v>
      </c>
      <c r="AB54" s="52">
        <f>IFERROR(_xlfn.XLOOKUP($D54,Model!$D:$D,Model!O:O,""),"")</f>
        <v>39604826.219999991</v>
      </c>
      <c r="AC54" s="52">
        <f>IFERROR(_xlfn.XLOOKUP($D54,Model!$D:$D,Model!AA:AA,""),"")</f>
        <v>30673535.407317042</v>
      </c>
      <c r="AD54" s="53">
        <f t="shared" si="45"/>
        <v>-7.7326546760533299E-2</v>
      </c>
      <c r="AE54" s="53">
        <f t="shared" si="46"/>
        <v>1.0929410361132805</v>
      </c>
      <c r="AF54" s="54">
        <f t="shared" si="47"/>
        <v>-0.22551016290466008</v>
      </c>
    </row>
    <row r="55" spans="4:32" x14ac:dyDescent="0.25">
      <c r="D55" s="87" t="s">
        <v>56</v>
      </c>
      <c r="F55" s="52">
        <f>IFERROR(_xlfn.XLOOKUP($D55,Model!$D:$D,Model!G:G,""),"")</f>
        <v>2613</v>
      </c>
      <c r="G55" s="52">
        <f>IFERROR(_xlfn.XLOOKUP($D55,Model!$D:$D,Model!H:H,""),"")</f>
        <v>1113</v>
      </c>
      <c r="H55" s="52">
        <f>IFERROR(_xlfn.XLOOKUP($D55,Model!$D:$D,Model!I:I,""),"")</f>
        <v>2740.01</v>
      </c>
      <c r="I55" s="52">
        <f>IFERROR(_xlfn.XLOOKUP($D55,Model!$D:$D,Model!Y:Y,""),"")</f>
        <v>2284.6759338337752</v>
      </c>
      <c r="J55" s="53">
        <f t="shared" si="39"/>
        <v>-0.12565023580796975</v>
      </c>
      <c r="K55" s="53">
        <f t="shared" si="40"/>
        <v>1.052718718628729</v>
      </c>
      <c r="L55" s="54">
        <f t="shared" si="41"/>
        <v>-0.1661797096237696</v>
      </c>
      <c r="P55" s="63">
        <f>IFERROR(_xlfn.XLOOKUP($D55,Model!$D:$D,Model!J:J,""),"")</f>
        <v>11856392.819999997</v>
      </c>
      <c r="Q55" s="52">
        <f>IFERROR(_xlfn.XLOOKUP($D55,Model!$D:$D,Model!K:K,""),"")</f>
        <v>5315856.5599999996</v>
      </c>
      <c r="R55" s="52">
        <f>IFERROR(_xlfn.XLOOKUP($D55,Model!$D:$D,Model!L:L,""),"")</f>
        <v>12793906.670000002</v>
      </c>
      <c r="S55" s="52">
        <f>IFERROR(_xlfn.XLOOKUP($D55,Model!$D:$D,Model!Z:Z,""),"")</f>
        <v>10895901.526293434</v>
      </c>
      <c r="T55" s="53">
        <f t="shared" si="42"/>
        <v>-8.1010414237149275E-2</v>
      </c>
      <c r="U55" s="53">
        <f t="shared" si="43"/>
        <v>1.0496981819038087</v>
      </c>
      <c r="V55" s="54">
        <f t="shared" si="44"/>
        <v>-0.14835227367705717</v>
      </c>
      <c r="Z55" s="63">
        <f>IFERROR(_xlfn.XLOOKUP($D55,Model!$D:$D,Model!M:M,""),"")</f>
        <v>33911293.409999996</v>
      </c>
      <c r="AA55" s="52">
        <f>IFERROR(_xlfn.XLOOKUP($D55,Model!$D:$D,Model!N:N,""),"")</f>
        <v>15385840.550000001</v>
      </c>
      <c r="AB55" s="52">
        <f>IFERROR(_xlfn.XLOOKUP($D55,Model!$D:$D,Model!O:O,""),"")</f>
        <v>37213203.890000001</v>
      </c>
      <c r="AC55" s="52">
        <f>IFERROR(_xlfn.XLOOKUP($D55,Model!$D:$D,Model!AA:AA,""),"")</f>
        <v>31591595.180916343</v>
      </c>
      <c r="AD55" s="53">
        <f t="shared" si="45"/>
        <v>-6.8404888042388978E-2</v>
      </c>
      <c r="AE55" s="53">
        <f t="shared" si="46"/>
        <v>1.0532901714567906</v>
      </c>
      <c r="AF55" s="54">
        <f t="shared" si="47"/>
        <v>-0.15106489421606362</v>
      </c>
    </row>
    <row r="56" spans="4:32" x14ac:dyDescent="0.25">
      <c r="D56" s="87" t="s">
        <v>61</v>
      </c>
      <c r="F56" s="52">
        <f>IFERROR(_xlfn.XLOOKUP($D56,Model!$D:$D,Model!G:G,""),"")</f>
        <v>2517</v>
      </c>
      <c r="G56" s="52">
        <f>IFERROR(_xlfn.XLOOKUP($D56,Model!$D:$D,Model!H:H,""),"")</f>
        <v>1127</v>
      </c>
      <c r="H56" s="52">
        <f>IFERROR(_xlfn.XLOOKUP($D56,Model!$D:$D,Model!I:I,""),"")</f>
        <v>2640.0699999999997</v>
      </c>
      <c r="I56" s="52">
        <f>IFERROR(_xlfn.XLOOKUP($D56,Model!$D:$D,Model!Y:Y,""),"")</f>
        <v>2337.7035049537631</v>
      </c>
      <c r="J56" s="53">
        <f t="shared" si="39"/>
        <v>-7.1234205421627728E-2</v>
      </c>
      <c r="K56" s="53">
        <f t="shared" si="40"/>
        <v>1.0742710780423805</v>
      </c>
      <c r="L56" s="54">
        <f t="shared" si="41"/>
        <v>-0.11452972650203841</v>
      </c>
      <c r="P56" s="63">
        <f>IFERROR(_xlfn.XLOOKUP($D56,Model!$D:$D,Model!J:J,""),"")</f>
        <v>11387968.65</v>
      </c>
      <c r="Q56" s="52">
        <f>IFERROR(_xlfn.XLOOKUP($D56,Model!$D:$D,Model!K:K,""),"")</f>
        <v>5317318.3499999996</v>
      </c>
      <c r="R56" s="52">
        <f>IFERROR(_xlfn.XLOOKUP($D56,Model!$D:$D,Model!L:L,""),"")</f>
        <v>12179263.449999999</v>
      </c>
      <c r="S56" s="52">
        <f>IFERROR(_xlfn.XLOOKUP($D56,Model!$D:$D,Model!Z:Z,""),"")</f>
        <v>11153542.323947113</v>
      </c>
      <c r="T56" s="53">
        <f t="shared" si="42"/>
        <v>-2.0585438304037473E-2</v>
      </c>
      <c r="U56" s="53">
        <f t="shared" si="43"/>
        <v>1.0975878421774605</v>
      </c>
      <c r="V56" s="54">
        <f t="shared" si="44"/>
        <v>-8.421865002459461E-2</v>
      </c>
      <c r="Z56" s="63">
        <f>IFERROR(_xlfn.XLOOKUP($D56,Model!$D:$D,Model!M:M,""),"")</f>
        <v>32387351.440000001</v>
      </c>
      <c r="AA56" s="52">
        <f>IFERROR(_xlfn.XLOOKUP($D56,Model!$D:$D,Model!N:N,""),"")</f>
        <v>15147546.599999998</v>
      </c>
      <c r="AB56" s="52">
        <f>IFERROR(_xlfn.XLOOKUP($D56,Model!$D:$D,Model!O:O,""),"")</f>
        <v>35176260.730000004</v>
      </c>
      <c r="AC56" s="52">
        <f>IFERROR(_xlfn.XLOOKUP($D56,Model!$D:$D,Model!AA:AA,""),"")</f>
        <v>31882422.45786069</v>
      </c>
      <c r="AD56" s="53">
        <f t="shared" si="45"/>
        <v>-1.5590314109961478E-2</v>
      </c>
      <c r="AE56" s="53">
        <f t="shared" si="46"/>
        <v>1.1047911783853297</v>
      </c>
      <c r="AF56" s="54">
        <f t="shared" si="47"/>
        <v>-9.3638101486158587E-2</v>
      </c>
    </row>
    <row r="57" spans="4:32" x14ac:dyDescent="0.25">
      <c r="D57" s="87" t="s">
        <v>57</v>
      </c>
      <c r="F57" s="52">
        <f>IFERROR(_xlfn.XLOOKUP($D57,Model!$D:$D,Model!G:G,""),"")</f>
        <v>2123</v>
      </c>
      <c r="G57" s="52">
        <f>IFERROR(_xlfn.XLOOKUP($D57,Model!$D:$D,Model!H:H,""),"")</f>
        <v>1011</v>
      </c>
      <c r="H57" s="52">
        <f>IFERROR(_xlfn.XLOOKUP($D57,Model!$D:$D,Model!I:I,""),"")</f>
        <v>2230.09</v>
      </c>
      <c r="I57" s="52">
        <f>IFERROR(_xlfn.XLOOKUP($D57,Model!$D:$D,Model!Y:Y,""),"")</f>
        <v>2072.7191567992936</v>
      </c>
      <c r="J57" s="53">
        <f t="shared" si="39"/>
        <v>-2.3683863966418417E-2</v>
      </c>
      <c r="K57" s="53">
        <f t="shared" si="40"/>
        <v>1.0501673163197762</v>
      </c>
      <c r="L57" s="54">
        <f t="shared" si="41"/>
        <v>-7.056703684636334E-2</v>
      </c>
      <c r="P57" s="63">
        <f>IFERROR(_xlfn.XLOOKUP($D57,Model!$D:$D,Model!J:J,""),"")</f>
        <v>9569579.3899999987</v>
      </c>
      <c r="Q57" s="52">
        <f>IFERROR(_xlfn.XLOOKUP($D57,Model!$D:$D,Model!K:K,""),"")</f>
        <v>4816290.74</v>
      </c>
      <c r="R57" s="52">
        <f>IFERROR(_xlfn.XLOOKUP($D57,Model!$D:$D,Model!L:L,""),"")</f>
        <v>10290744.82</v>
      </c>
      <c r="S57" s="52">
        <f>IFERROR(_xlfn.XLOOKUP($D57,Model!$D:$D,Model!Z:Z,""),"")</f>
        <v>9854057.111250395</v>
      </c>
      <c r="T57" s="53">
        <f t="shared" si="42"/>
        <v>2.9727296222409549E-2</v>
      </c>
      <c r="U57" s="53">
        <f t="shared" si="43"/>
        <v>1.0459846888832951</v>
      </c>
      <c r="V57" s="54">
        <f t="shared" si="44"/>
        <v>-4.2434995366021022E-2</v>
      </c>
      <c r="Z57" s="63">
        <f>IFERROR(_xlfn.XLOOKUP($D57,Model!$D:$D,Model!M:M,""),"")</f>
        <v>29396619.969999995</v>
      </c>
      <c r="AA57" s="52">
        <f>IFERROR(_xlfn.XLOOKUP($D57,Model!$D:$D,Model!N:N,""),"")</f>
        <v>14784311.449999999</v>
      </c>
      <c r="AB57" s="52">
        <f>IFERROR(_xlfn.XLOOKUP($D57,Model!$D:$D,Model!O:O,""),"")</f>
        <v>32110358.539999999</v>
      </c>
      <c r="AC57" s="52">
        <f>IFERROR(_xlfn.XLOOKUP($D57,Model!$D:$D,Model!AA:AA,""),"")</f>
        <v>30217286.677640248</v>
      </c>
      <c r="AD57" s="53">
        <f t="shared" si="45"/>
        <v>2.7917043132093644E-2</v>
      </c>
      <c r="AE57" s="53">
        <f t="shared" si="46"/>
        <v>1.0438751429063169</v>
      </c>
      <c r="AF57" s="54">
        <f t="shared" si="47"/>
        <v>-5.8955176722849223E-2</v>
      </c>
    </row>
    <row r="58" spans="4:32" x14ac:dyDescent="0.25">
      <c r="D58" s="87" t="s">
        <v>44</v>
      </c>
      <c r="F58" s="52">
        <f>IFERROR(_xlfn.XLOOKUP($D58,Model!$D:$D,Model!G:G,""),"")</f>
        <v>2055</v>
      </c>
      <c r="G58" s="52">
        <f>IFERROR(_xlfn.XLOOKUP($D58,Model!$D:$D,Model!H:H,""),"")</f>
        <v>1036</v>
      </c>
      <c r="H58" s="52">
        <f>IFERROR(_xlfn.XLOOKUP($D58,Model!$D:$D,Model!I:I,""),"")</f>
        <v>2160.0199999999995</v>
      </c>
      <c r="I58" s="52">
        <f>IFERROR(_xlfn.XLOOKUP($D58,Model!$D:$D,Model!Y:Y,""),"")</f>
        <v>2170.0533547967925</v>
      </c>
      <c r="J58" s="53">
        <f t="shared" si="39"/>
        <v>5.5987033964375987E-2</v>
      </c>
      <c r="K58" s="53">
        <f t="shared" si="40"/>
        <v>1.0946460953636992</v>
      </c>
      <c r="L58" s="54">
        <f t="shared" si="41"/>
        <v>4.6450286556574127E-3</v>
      </c>
      <c r="P58" s="63">
        <f>IFERROR(_xlfn.XLOOKUP($D58,Model!$D:$D,Model!J:J,""),"")</f>
        <v>9361235.9799999986</v>
      </c>
      <c r="Q58" s="52">
        <f>IFERROR(_xlfn.XLOOKUP($D58,Model!$D:$D,Model!K:K,""),"")</f>
        <v>4944151.7699999986</v>
      </c>
      <c r="R58" s="52">
        <f>IFERROR(_xlfn.XLOOKUP($D58,Model!$D:$D,Model!L:L,""),"")</f>
        <v>10076324.34</v>
      </c>
      <c r="S58" s="52">
        <f>IFERROR(_xlfn.XLOOKUP($D58,Model!$D:$D,Model!Z:Z,""),"")</f>
        <v>10407726.209290061</v>
      </c>
      <c r="T58" s="53">
        <f t="shared" si="42"/>
        <v>0.11178974993535662</v>
      </c>
      <c r="U58" s="53">
        <f t="shared" si="43"/>
        <v>1.1050579944656644</v>
      </c>
      <c r="V58" s="54">
        <f t="shared" si="44"/>
        <v>3.288916256640273E-2</v>
      </c>
      <c r="Z58" s="63">
        <f>IFERROR(_xlfn.XLOOKUP($D58,Model!$D:$D,Model!M:M,""),"")</f>
        <v>28062403.479999997</v>
      </c>
      <c r="AA58" s="52">
        <f>IFERROR(_xlfn.XLOOKUP($D58,Model!$D:$D,Model!N:N,""),"")</f>
        <v>14428921.220000003</v>
      </c>
      <c r="AB58" s="52">
        <f>IFERROR(_xlfn.XLOOKUP($D58,Model!$D:$D,Model!O:O,""),"")</f>
        <v>30718394.490000002</v>
      </c>
      <c r="AC58" s="52">
        <f>IFERROR(_xlfn.XLOOKUP($D58,Model!$D:$D,Model!AA:AA,""),"")</f>
        <v>30441847.226867065</v>
      </c>
      <c r="AD58" s="53">
        <f t="shared" si="45"/>
        <v>8.4791160121509002E-2</v>
      </c>
      <c r="AE58" s="53">
        <f t="shared" si="46"/>
        <v>1.1097798485912769</v>
      </c>
      <c r="AF58" s="54">
        <f t="shared" si="47"/>
        <v>-9.0026600583882344E-3</v>
      </c>
    </row>
    <row r="59" spans="4:32" x14ac:dyDescent="0.25">
      <c r="D59" s="87" t="s">
        <v>48</v>
      </c>
      <c r="F59" s="52">
        <f>IFERROR(_xlfn.XLOOKUP($D59,Model!$D:$D,Model!G:G,""),"")</f>
        <v>1988</v>
      </c>
      <c r="G59" s="52">
        <f>IFERROR(_xlfn.XLOOKUP($D59,Model!$D:$D,Model!H:H,""),"")</f>
        <v>875</v>
      </c>
      <c r="H59" s="52">
        <f>IFERROR(_xlfn.XLOOKUP($D59,Model!$D:$D,Model!I:I,""),"")</f>
        <v>2089.9899999999998</v>
      </c>
      <c r="I59" s="52">
        <f>IFERROR(_xlfn.XLOOKUP($D59,Model!$D:$D,Model!Y:Y,""),"")</f>
        <v>1787.3812479230608</v>
      </c>
      <c r="J59" s="53">
        <f t="shared" si="39"/>
        <v>-0.10091486522984872</v>
      </c>
      <c r="K59" s="53">
        <f t="shared" si="40"/>
        <v>1.0427214261977835</v>
      </c>
      <c r="L59" s="54">
        <f t="shared" si="41"/>
        <v>-0.14478956936489606</v>
      </c>
      <c r="P59" s="63">
        <f>IFERROR(_xlfn.XLOOKUP($D59,Model!$D:$D,Model!J:J,""),"")</f>
        <v>9175909.2100000009</v>
      </c>
      <c r="Q59" s="52">
        <f>IFERROR(_xlfn.XLOOKUP($D59,Model!$D:$D,Model!K:K,""),"")</f>
        <v>4131904.7900000005</v>
      </c>
      <c r="R59" s="52">
        <f>IFERROR(_xlfn.XLOOKUP($D59,Model!$D:$D,Model!L:L,""),"")</f>
        <v>9795951.8599999994</v>
      </c>
      <c r="S59" s="52">
        <f>IFERROR(_xlfn.XLOOKUP($D59,Model!$D:$D,Model!Z:Z,""),"")</f>
        <v>8471240.5997849368</v>
      </c>
      <c r="T59" s="53">
        <f t="shared" si="42"/>
        <v>-7.6795508116744293E-2</v>
      </c>
      <c r="U59" s="53">
        <f t="shared" si="43"/>
        <v>1.0502022748169217</v>
      </c>
      <c r="V59" s="54">
        <f t="shared" si="44"/>
        <v>-0.13523047878831274</v>
      </c>
      <c r="Z59" s="63">
        <f>IFERROR(_xlfn.XLOOKUP($D59,Model!$D:$D,Model!M:M,""),"")</f>
        <v>27093257.640000004</v>
      </c>
      <c r="AA59" s="52">
        <f>IFERROR(_xlfn.XLOOKUP($D59,Model!$D:$D,Model!N:N,""),"")</f>
        <v>12095491.939999999</v>
      </c>
      <c r="AB59" s="52">
        <f>IFERROR(_xlfn.XLOOKUP($D59,Model!$D:$D,Model!O:O,""),"")</f>
        <v>29428531.879999999</v>
      </c>
      <c r="AC59" s="52">
        <f>IFERROR(_xlfn.XLOOKUP($D59,Model!$D:$D,Model!AA:AA,""),"")</f>
        <v>24824575.844415888</v>
      </c>
      <c r="AD59" s="53">
        <f t="shared" si="45"/>
        <v>-8.3736028562127363E-2</v>
      </c>
      <c r="AE59" s="53">
        <f t="shared" si="46"/>
        <v>1.0523824882492452</v>
      </c>
      <c r="AF59" s="54">
        <f t="shared" si="47"/>
        <v>-0.15644531824956642</v>
      </c>
    </row>
    <row r="60" spans="4:32" x14ac:dyDescent="0.25">
      <c r="D60" s="87" t="s">
        <v>64</v>
      </c>
      <c r="F60" s="52">
        <f>IFERROR(_xlfn.XLOOKUP($D60,Model!$D:$D,Model!G:G,""),"")</f>
        <v>1913</v>
      </c>
      <c r="G60" s="52">
        <f>IFERROR(_xlfn.XLOOKUP($D60,Model!$D:$D,Model!H:H,""),"")</f>
        <v>967</v>
      </c>
      <c r="H60" s="52">
        <f>IFERROR(_xlfn.XLOOKUP($D60,Model!$D:$D,Model!I:I,""),"")</f>
        <v>2010.06</v>
      </c>
      <c r="I60" s="52">
        <f>IFERROR(_xlfn.XLOOKUP($D60,Model!$D:$D,Model!Y:Y,""),"")</f>
        <v>1976.217027939322</v>
      </c>
      <c r="J60" s="53">
        <f t="shared" si="39"/>
        <v>3.3046015650455729E-2</v>
      </c>
      <c r="K60" s="53">
        <f t="shared" si="40"/>
        <v>1.0436577331327013</v>
      </c>
      <c r="L60" s="54">
        <f t="shared" si="41"/>
        <v>-1.6836796941722132E-2</v>
      </c>
      <c r="P60" s="63">
        <f>IFERROR(_xlfn.XLOOKUP($D60,Model!$D:$D,Model!J:J,""),"")</f>
        <v>8568017.5899999999</v>
      </c>
      <c r="Q60" s="52">
        <f>IFERROR(_xlfn.XLOOKUP($D60,Model!$D:$D,Model!K:K,""),"")</f>
        <v>4631615.0499999989</v>
      </c>
      <c r="R60" s="52">
        <f>IFERROR(_xlfn.XLOOKUP($D60,Model!$D:$D,Model!L:L,""),"")</f>
        <v>9229759.2100000009</v>
      </c>
      <c r="S60" s="52">
        <f>IFERROR(_xlfn.XLOOKUP($D60,Model!$D:$D,Model!Z:Z,""),"")</f>
        <v>9458235.5894137193</v>
      </c>
      <c r="T60" s="53">
        <f t="shared" si="42"/>
        <v>0.10390011342328709</v>
      </c>
      <c r="U60" s="53">
        <f t="shared" si="43"/>
        <v>1.042103129752487</v>
      </c>
      <c r="V60" s="54">
        <f t="shared" si="44"/>
        <v>2.4754316360298345E-2</v>
      </c>
      <c r="Z60" s="63">
        <f>IFERROR(_xlfn.XLOOKUP($D60,Model!$D:$D,Model!M:M,""),"")</f>
        <v>24373646.510000002</v>
      </c>
      <c r="AA60" s="52">
        <f>IFERROR(_xlfn.XLOOKUP($D60,Model!$D:$D,Model!N:N,""),"")</f>
        <v>13184083.390000001</v>
      </c>
      <c r="AB60" s="52">
        <f>IFERROR(_xlfn.XLOOKUP($D60,Model!$D:$D,Model!O:O,""),"")</f>
        <v>26604173.310000006</v>
      </c>
      <c r="AC60" s="52">
        <f>IFERROR(_xlfn.XLOOKUP($D60,Model!$D:$D,Model!AA:AA,""),"")</f>
        <v>26882371.182412159</v>
      </c>
      <c r="AD60" s="53">
        <f t="shared" si="45"/>
        <v>0.10292775319371605</v>
      </c>
      <c r="AE60" s="53">
        <f t="shared" si="46"/>
        <v>1.0390019076185588</v>
      </c>
      <c r="AF60" s="54">
        <f t="shared" si="47"/>
        <v>1.045692603075854E-2</v>
      </c>
    </row>
    <row r="61" spans="4:32" x14ac:dyDescent="0.25">
      <c r="D61" s="87" t="s">
        <v>65</v>
      </c>
      <c r="F61" s="52">
        <f>IFERROR(_xlfn.XLOOKUP($D61,Model!$D:$D,Model!G:G,""),"")</f>
        <v>1876</v>
      </c>
      <c r="G61" s="52">
        <f>IFERROR(_xlfn.XLOOKUP($D61,Model!$D:$D,Model!H:H,""),"")</f>
        <v>785</v>
      </c>
      <c r="H61" s="52">
        <f>IFERROR(_xlfn.XLOOKUP($D61,Model!$D:$D,Model!I:I,""),"")</f>
        <v>1969.9999999999998</v>
      </c>
      <c r="I61" s="52">
        <f>IFERROR(_xlfn.XLOOKUP($D61,Model!$D:$D,Model!Y:Y,""),"")</f>
        <v>1629.7463351916454</v>
      </c>
      <c r="J61" s="53">
        <f t="shared" si="39"/>
        <v>-0.13126527974858992</v>
      </c>
      <c r="K61" s="53">
        <f t="shared" si="40"/>
        <v>1.0761099811358541</v>
      </c>
      <c r="L61" s="54">
        <f t="shared" si="41"/>
        <v>-0.17271759634941852</v>
      </c>
      <c r="P61" s="63">
        <f>IFERROR(_xlfn.XLOOKUP($D61,Model!$D:$D,Model!J:J,""),"")</f>
        <v>8348655.2400000002</v>
      </c>
      <c r="Q61" s="52">
        <f>IFERROR(_xlfn.XLOOKUP($D61,Model!$D:$D,Model!K:K,""),"")</f>
        <v>3723860.8600000003</v>
      </c>
      <c r="R61" s="52">
        <f>IFERROR(_xlfn.XLOOKUP($D61,Model!$D:$D,Model!L:L,""),"")</f>
        <v>8869276.5299999993</v>
      </c>
      <c r="S61" s="52">
        <f>IFERROR(_xlfn.XLOOKUP($D61,Model!$D:$D,Model!Z:Z,""),"")</f>
        <v>7716387.9035886377</v>
      </c>
      <c r="T61" s="53">
        <f t="shared" si="42"/>
        <v>-7.5732835796362585E-2</v>
      </c>
      <c r="U61" s="53">
        <f t="shared" si="43"/>
        <v>1.072147213252387</v>
      </c>
      <c r="V61" s="54">
        <f t="shared" si="44"/>
        <v>-0.12998677203397124</v>
      </c>
      <c r="Z61" s="63">
        <f>IFERROR(_xlfn.XLOOKUP($D61,Model!$D:$D,Model!M:M,""),"")</f>
        <v>23170653.530000001</v>
      </c>
      <c r="AA61" s="52">
        <f>IFERROR(_xlfn.XLOOKUP($D61,Model!$D:$D,Model!N:N,""),"")</f>
        <v>10267999.08</v>
      </c>
      <c r="AB61" s="52">
        <f>IFERROR(_xlfn.XLOOKUP($D61,Model!$D:$D,Model!O:O,""),"")</f>
        <v>25004397.660000004</v>
      </c>
      <c r="AC61" s="52">
        <f>IFERROR(_xlfn.XLOOKUP($D61,Model!$D:$D,Model!AA:AA,""),"")</f>
        <v>21263202.156894833</v>
      </c>
      <c r="AD61" s="53">
        <f t="shared" si="45"/>
        <v>-8.2321863327485034E-2</v>
      </c>
      <c r="AE61" s="53">
        <f t="shared" si="46"/>
        <v>1.0708223667755563</v>
      </c>
      <c r="AF61" s="54">
        <f t="shared" si="47"/>
        <v>-0.14962150074464819</v>
      </c>
    </row>
    <row r="62" spans="4:32" x14ac:dyDescent="0.25">
      <c r="D62" s="87" t="s">
        <v>67</v>
      </c>
      <c r="F62" s="52">
        <f>IFERROR(_xlfn.XLOOKUP($D62,Model!$D:$D,Model!G:G,""),"")</f>
        <v>1480</v>
      </c>
      <c r="G62" s="52">
        <f>IFERROR(_xlfn.XLOOKUP($D62,Model!$D:$D,Model!H:H,""),"")</f>
        <v>693</v>
      </c>
      <c r="H62" s="52">
        <f>IFERROR(_xlfn.XLOOKUP($D62,Model!$D:$D,Model!I:I,""),"")</f>
        <v>1550.03</v>
      </c>
      <c r="I62" s="52">
        <f>IFERROR(_xlfn.XLOOKUP($D62,Model!$D:$D,Model!Y:Y,""),"")</f>
        <v>1385.561992105874</v>
      </c>
      <c r="J62" s="53">
        <f t="shared" si="39"/>
        <v>-6.3809464793328385E-2</v>
      </c>
      <c r="K62" s="53">
        <f t="shared" si="40"/>
        <v>0.99936795397673017</v>
      </c>
      <c r="L62" s="54">
        <f t="shared" si="41"/>
        <v>-0.10610633851869056</v>
      </c>
      <c r="P62" s="63">
        <f>IFERROR(_xlfn.XLOOKUP($D62,Model!$D:$D,Model!J:J,""),"")</f>
        <v>6763413.7400000002</v>
      </c>
      <c r="Q62" s="52">
        <f>IFERROR(_xlfn.XLOOKUP($D62,Model!$D:$D,Model!K:K,""),"")</f>
        <v>3373287.6100000003</v>
      </c>
      <c r="R62" s="52">
        <f>IFERROR(_xlfn.XLOOKUP($D62,Model!$D:$D,Model!L:L,""),"")</f>
        <v>7175029.129999998</v>
      </c>
      <c r="S62" s="52">
        <f>IFERROR(_xlfn.XLOOKUP($D62,Model!$D:$D,Model!Z:Z,""),"")</f>
        <v>6738379.9651225535</v>
      </c>
      <c r="T62" s="53">
        <f t="shared" si="42"/>
        <v>-3.7013519858163368E-3</v>
      </c>
      <c r="U62" s="53">
        <f t="shared" si="43"/>
        <v>0.99757054368766163</v>
      </c>
      <c r="V62" s="54">
        <f t="shared" si="44"/>
        <v>-6.0856779389471871E-2</v>
      </c>
      <c r="Z62" s="63">
        <f>IFERROR(_xlfn.XLOOKUP($D62,Model!$D:$D,Model!M:M,""),"")</f>
        <v>19511901.5</v>
      </c>
      <c r="AA62" s="52">
        <f>IFERROR(_xlfn.XLOOKUP($D62,Model!$D:$D,Model!N:N,""),"")</f>
        <v>9772514.2599999979</v>
      </c>
      <c r="AB62" s="52">
        <f>IFERROR(_xlfn.XLOOKUP($D62,Model!$D:$D,Model!O:O,""),"")</f>
        <v>21095212.619999997</v>
      </c>
      <c r="AC62" s="52">
        <f>IFERROR(_xlfn.XLOOKUP($D62,Model!$D:$D,Model!AA:AA,""),"")</f>
        <v>19524890.586996317</v>
      </c>
      <c r="AD62" s="53">
        <f t="shared" si="45"/>
        <v>6.6570072610905306E-4</v>
      </c>
      <c r="AE62" s="53">
        <f t="shared" si="46"/>
        <v>0.99793932938157925</v>
      </c>
      <c r="AF62" s="54">
        <f t="shared" si="47"/>
        <v>-7.4439734801008184E-2</v>
      </c>
    </row>
    <row r="63" spans="4:32" x14ac:dyDescent="0.25">
      <c r="D63" s="87" t="s">
        <v>62</v>
      </c>
      <c r="F63" s="52">
        <f>IFERROR(_xlfn.XLOOKUP($D63,Model!$D:$D,Model!G:G,""),"")</f>
        <v>800</v>
      </c>
      <c r="G63" s="52">
        <f>IFERROR(_xlfn.XLOOKUP($D63,Model!$D:$D,Model!H:H,""),"")</f>
        <v>366</v>
      </c>
      <c r="H63" s="52">
        <f>IFERROR(_xlfn.XLOOKUP($D63,Model!$D:$D,Model!I:I,""),"")</f>
        <v>839.96</v>
      </c>
      <c r="I63" s="52">
        <f>IFERROR(_xlfn.XLOOKUP($D63,Model!$D:$D,Model!Y:Y,""),"")</f>
        <v>738.96774193548367</v>
      </c>
      <c r="J63" s="53">
        <f t="shared" si="39"/>
        <v>-7.6290322580645387E-2</v>
      </c>
      <c r="K63" s="53">
        <f t="shared" si="40"/>
        <v>1.0190375462718135</v>
      </c>
      <c r="L63" s="54">
        <f t="shared" si="41"/>
        <v>-0.12023460410557207</v>
      </c>
      <c r="P63" s="63">
        <f>IFERROR(_xlfn.XLOOKUP($D63,Model!$D:$D,Model!J:J,""),"")</f>
        <v>3690242.92</v>
      </c>
      <c r="Q63" s="52">
        <f>IFERROR(_xlfn.XLOOKUP($D63,Model!$D:$D,Model!K:K,""),"")</f>
        <v>1739735.65</v>
      </c>
      <c r="R63" s="52">
        <f>IFERROR(_xlfn.XLOOKUP($D63,Model!$D:$D,Model!L:L,""),"")</f>
        <v>3869678.04</v>
      </c>
      <c r="S63" s="52">
        <f>IFERROR(_xlfn.XLOOKUP($D63,Model!$D:$D,Model!Z:Z,""),"")</f>
        <v>3509673.2175172879</v>
      </c>
      <c r="T63" s="53">
        <f t="shared" si="42"/>
        <v>-4.8931657453789468E-2</v>
      </c>
      <c r="U63" s="53">
        <f t="shared" si="43"/>
        <v>1.0173600612928109</v>
      </c>
      <c r="V63" s="54">
        <f t="shared" si="44"/>
        <v>-9.3032241639077529E-2</v>
      </c>
      <c r="Z63" s="63">
        <f>IFERROR(_xlfn.XLOOKUP($D63,Model!$D:$D,Model!M:M,""),"")</f>
        <v>11057350.310000001</v>
      </c>
      <c r="AA63" s="52">
        <f>IFERROR(_xlfn.XLOOKUP($D63,Model!$D:$D,Model!N:N,""),"")</f>
        <v>5270197.76</v>
      </c>
      <c r="AB63" s="52">
        <f>IFERROR(_xlfn.XLOOKUP($D63,Model!$D:$D,Model!O:O,""),"")</f>
        <v>11872331.16</v>
      </c>
      <c r="AC63" s="52">
        <f>IFERROR(_xlfn.XLOOKUP($D63,Model!$D:$D,Model!AA:AA,""),"")</f>
        <v>10638417.396715052</v>
      </c>
      <c r="AD63" s="53">
        <f t="shared" si="45"/>
        <v>-3.7887278736758012E-2</v>
      </c>
      <c r="AE63" s="53">
        <f t="shared" si="46"/>
        <v>1.0185992786568701</v>
      </c>
      <c r="AF63" s="54">
        <f t="shared" si="47"/>
        <v>-0.10393188554596788</v>
      </c>
    </row>
    <row r="64" spans="4:32" x14ac:dyDescent="0.25">
      <c r="D64" s="87" t="s">
        <v>74</v>
      </c>
      <c r="F64" s="52">
        <f>IFERROR(_xlfn.XLOOKUP($D64,Model!$D:$D,Model!G:G,""),"")</f>
        <v>687</v>
      </c>
      <c r="G64" s="52">
        <f>IFERROR(_xlfn.XLOOKUP($D64,Model!$D:$D,Model!H:H,""),"")</f>
        <v>343</v>
      </c>
      <c r="H64" s="52">
        <f>IFERROR(_xlfn.XLOOKUP($D64,Model!$D:$D,Model!I:I,""),"")</f>
        <v>800.03</v>
      </c>
      <c r="I64" s="52">
        <f>IFERROR(_xlfn.XLOOKUP($D64,Model!$D:$D,Model!Y:Y,""),"")</f>
        <v>695.80173943911961</v>
      </c>
      <c r="J64" s="53">
        <f t="shared" si="39"/>
        <v>1.2811847800756393E-2</v>
      </c>
      <c r="K64" s="53">
        <f t="shared" si="40"/>
        <v>1.0285764998225062</v>
      </c>
      <c r="L64" s="54">
        <f t="shared" si="41"/>
        <v>-0.1302804401845935</v>
      </c>
      <c r="P64" s="63">
        <f>IFERROR(_xlfn.XLOOKUP($D64,Model!$D:$D,Model!J:J,""),"")</f>
        <v>3067677.26</v>
      </c>
      <c r="Q64" s="52">
        <f>IFERROR(_xlfn.XLOOKUP($D64,Model!$D:$D,Model!K:K,""),"")</f>
        <v>1637417.91</v>
      </c>
      <c r="R64" s="52">
        <f>IFERROR(_xlfn.XLOOKUP($D64,Model!$D:$D,Model!L:L,""),"")</f>
        <v>3659591.8700000006</v>
      </c>
      <c r="S64" s="52">
        <f>IFERROR(_xlfn.XLOOKUP($D64,Model!$D:$D,Model!Z:Z,""),"")</f>
        <v>3321444.8360837996</v>
      </c>
      <c r="T64" s="53">
        <f t="shared" si="42"/>
        <v>8.2723035891917762E-2</v>
      </c>
      <c r="U64" s="53">
        <f t="shared" si="43"/>
        <v>1.0284649482573447</v>
      </c>
      <c r="V64" s="54">
        <f t="shared" si="44"/>
        <v>-9.2400203609644849E-2</v>
      </c>
      <c r="Z64" s="63">
        <f>IFERROR(_xlfn.XLOOKUP($D64,Model!$D:$D,Model!M:M,""),"")</f>
        <v>9447648.0399999991</v>
      </c>
      <c r="AA64" s="52">
        <f>IFERROR(_xlfn.XLOOKUP($D64,Model!$D:$D,Model!N:N,""),"")</f>
        <v>5043870.3499999996</v>
      </c>
      <c r="AB64" s="52">
        <f>IFERROR(_xlfn.XLOOKUP($D64,Model!$D:$D,Model!O:O,""),"")</f>
        <v>12312228.34</v>
      </c>
      <c r="AC64" s="52">
        <f>IFERROR(_xlfn.XLOOKUP($D64,Model!$D:$D,Model!AA:AA,""),"")</f>
        <v>10223461.493044173</v>
      </c>
      <c r="AD64" s="53">
        <f t="shared" si="45"/>
        <v>8.2117099383834935E-2</v>
      </c>
      <c r="AE64" s="53">
        <f t="shared" si="46"/>
        <v>1.0269080653598035</v>
      </c>
      <c r="AF64" s="54">
        <f t="shared" si="47"/>
        <v>-0.16964978144287945</v>
      </c>
    </row>
    <row r="65" spans="4:32" x14ac:dyDescent="0.25">
      <c r="D65" s="87" t="s">
        <v>49</v>
      </c>
      <c r="F65" s="52">
        <f>IFERROR(_xlfn.XLOOKUP($D65,Model!$D:$D,Model!G:G,""),"")</f>
        <v>540</v>
      </c>
      <c r="G65" s="52">
        <f>IFERROR(_xlfn.XLOOKUP($D65,Model!$D:$D,Model!H:H,""),"")</f>
        <v>297</v>
      </c>
      <c r="H65" s="52">
        <f>IFERROR(_xlfn.XLOOKUP($D65,Model!$D:$D,Model!I:I,""),"")</f>
        <v>570.04</v>
      </c>
      <c r="I65" s="52">
        <f>IFERROR(_xlfn.XLOOKUP($D65,Model!$D:$D,Model!Y:Y,""),"")</f>
        <v>621.86181818181808</v>
      </c>
      <c r="J65" s="53">
        <f t="shared" si="39"/>
        <v>0.15159595959595951</v>
      </c>
      <c r="K65" s="53">
        <f t="shared" si="40"/>
        <v>1.093810835629017</v>
      </c>
      <c r="L65" s="54">
        <f t="shared" si="41"/>
        <v>9.0909090909090828E-2</v>
      </c>
      <c r="P65" s="63">
        <f>IFERROR(_xlfn.XLOOKUP($D65,Model!$D:$D,Model!J:J,""),"")</f>
        <v>2464182.83</v>
      </c>
      <c r="Q65" s="52">
        <f>IFERROR(_xlfn.XLOOKUP($D65,Model!$D:$D,Model!K:K,""),"")</f>
        <v>1450147.1600000001</v>
      </c>
      <c r="R65" s="52">
        <f>IFERROR(_xlfn.XLOOKUP($D65,Model!$D:$D,Model!L:L,""),"")</f>
        <v>2634976.0999999996</v>
      </c>
      <c r="S65" s="52">
        <f>IFERROR(_xlfn.XLOOKUP($D65,Model!$D:$D,Model!Z:Z,""),"")</f>
        <v>3037708.1808090499</v>
      </c>
      <c r="T65" s="53">
        <f t="shared" si="42"/>
        <v>0.23274464208852952</v>
      </c>
      <c r="U65" s="53">
        <f t="shared" si="43"/>
        <v>1.0947585628544414</v>
      </c>
      <c r="V65" s="54">
        <f t="shared" si="44"/>
        <v>0.15284088565700849</v>
      </c>
      <c r="Z65" s="63">
        <f>IFERROR(_xlfn.XLOOKUP($D65,Model!$D:$D,Model!M:M,""),"")</f>
        <v>8176885.5</v>
      </c>
      <c r="AA65" s="52">
        <f>IFERROR(_xlfn.XLOOKUP($D65,Model!$D:$D,Model!N:N,""),"")</f>
        <v>4756165.46</v>
      </c>
      <c r="AB65" s="52">
        <f>IFERROR(_xlfn.XLOOKUP($D65,Model!$D:$D,Model!O:O,""),"")</f>
        <v>8954264.8300000001</v>
      </c>
      <c r="AC65" s="52">
        <f>IFERROR(_xlfn.XLOOKUP($D65,Model!$D:$D,Model!AA:AA,""),"")</f>
        <v>10048555.862248667</v>
      </c>
      <c r="AD65" s="53">
        <f t="shared" si="45"/>
        <v>0.22889770955563304</v>
      </c>
      <c r="AE65" s="53">
        <f t="shared" si="46"/>
        <v>1.1127431219032204</v>
      </c>
      <c r="AF65" s="54">
        <f t="shared" si="47"/>
        <v>0.12220891977445203</v>
      </c>
    </row>
    <row r="66" spans="4:32" x14ac:dyDescent="0.25">
      <c r="D66" s="87" t="s">
        <v>69</v>
      </c>
      <c r="F66" s="52">
        <f>IFERROR(_xlfn.XLOOKUP($D66,Model!$D:$D,Model!G:G,""),"")</f>
        <v>507</v>
      </c>
      <c r="G66" s="52">
        <f>IFERROR(_xlfn.XLOOKUP($D66,Model!$D:$D,Model!H:H,""),"")</f>
        <v>239</v>
      </c>
      <c r="H66" s="52">
        <f>IFERROR(_xlfn.XLOOKUP($D66,Model!$D:$D,Model!I:I,""),"")</f>
        <v>529.93999999999994</v>
      </c>
      <c r="I66" s="52">
        <f>IFERROR(_xlfn.XLOOKUP($D66,Model!$D:$D,Model!Y:Y,""),"")</f>
        <v>485.82915228231684</v>
      </c>
      <c r="J66" s="53">
        <f t="shared" si="39"/>
        <v>-4.1757096090104806E-2</v>
      </c>
      <c r="K66" s="53">
        <f t="shared" si="40"/>
        <v>1.0327579593402376</v>
      </c>
      <c r="L66" s="54">
        <f t="shared" si="41"/>
        <v>-8.3237437667817327E-2</v>
      </c>
      <c r="P66" s="63">
        <f>IFERROR(_xlfn.XLOOKUP($D66,Model!$D:$D,Model!J:J,""),"")</f>
        <v>2327127.41</v>
      </c>
      <c r="Q66" s="52">
        <f>IFERROR(_xlfn.XLOOKUP($D66,Model!$D:$D,Model!K:K,""),"")</f>
        <v>1174084.3</v>
      </c>
      <c r="R66" s="52">
        <f>IFERROR(_xlfn.XLOOKUP($D66,Model!$D:$D,Model!L:L,""),"")</f>
        <v>2449287.1800000002</v>
      </c>
      <c r="S66" s="52">
        <f>IFERROR(_xlfn.XLOOKUP($D66,Model!$D:$D,Model!Z:Z,""),"")</f>
        <v>2401826.0854993584</v>
      </c>
      <c r="T66" s="53">
        <f t="shared" si="42"/>
        <v>3.2099091428499982E-2</v>
      </c>
      <c r="U66" s="53">
        <f t="shared" si="43"/>
        <v>1.0457015612076224</v>
      </c>
      <c r="V66" s="54">
        <f t="shared" si="44"/>
        <v>-1.937751313451197E-2</v>
      </c>
      <c r="Z66" s="63">
        <f>IFERROR(_xlfn.XLOOKUP($D66,Model!$D:$D,Model!M:M,""),"")</f>
        <v>7743648.4299999997</v>
      </c>
      <c r="AA66" s="52">
        <f>IFERROR(_xlfn.XLOOKUP($D66,Model!$D:$D,Model!N:N,""),"")</f>
        <v>3986796.66</v>
      </c>
      <c r="AB66" s="52">
        <f>IFERROR(_xlfn.XLOOKUP($D66,Model!$D:$D,Model!O:O,""),"")</f>
        <v>8349498.7299999995</v>
      </c>
      <c r="AC66" s="52">
        <f>IFERROR(_xlfn.XLOOKUP($D66,Model!$D:$D,Model!AA:AA,""),"")</f>
        <v>8144660.031730311</v>
      </c>
      <c r="AD66" s="53">
        <f t="shared" si="45"/>
        <v>5.1785873978567487E-2</v>
      </c>
      <c r="AE66" s="53">
        <f t="shared" si="46"/>
        <v>1.0429083111879378</v>
      </c>
      <c r="AF66" s="54">
        <f t="shared" si="47"/>
        <v>-2.4533053407589267E-2</v>
      </c>
    </row>
    <row r="67" spans="4:32" x14ac:dyDescent="0.25">
      <c r="D67" s="87" t="s">
        <v>43</v>
      </c>
      <c r="F67" s="52">
        <f>IFERROR(_xlfn.XLOOKUP($D67,Model!$D:$D,Model!G:G,""),"")</f>
        <v>468</v>
      </c>
      <c r="G67" s="52">
        <f>IFERROR(_xlfn.XLOOKUP($D67,Model!$D:$D,Model!H:H,""),"")</f>
        <v>254</v>
      </c>
      <c r="H67" s="52">
        <f>IFERROR(_xlfn.XLOOKUP($D67,Model!$D:$D,Model!I:I,""),"")</f>
        <v>490.03999999999996</v>
      </c>
      <c r="I67" s="52">
        <f>IFERROR(_xlfn.XLOOKUP($D67,Model!$D:$D,Model!Y:Y,""),"")</f>
        <v>538.48219770711648</v>
      </c>
      <c r="J67" s="53">
        <f t="shared" si="39"/>
        <v>0.15060298655366777</v>
      </c>
      <c r="K67" s="53">
        <f t="shared" si="40"/>
        <v>1.1200086523902222</v>
      </c>
      <c r="L67" s="54">
        <f t="shared" si="41"/>
        <v>9.8853558295479038E-2</v>
      </c>
      <c r="P67" s="63">
        <f>IFERROR(_xlfn.XLOOKUP($D67,Model!$D:$D,Model!J:J,""),"")</f>
        <v>2081353.0300000003</v>
      </c>
      <c r="Q67" s="52">
        <f>IFERROR(_xlfn.XLOOKUP($D67,Model!$D:$D,Model!K:K,""),"")</f>
        <v>1213592.82</v>
      </c>
      <c r="R67" s="52">
        <f>IFERROR(_xlfn.XLOOKUP($D67,Model!$D:$D,Model!L:L,""),"")</f>
        <v>2225750.7600000002</v>
      </c>
      <c r="S67" s="52">
        <f>IFERROR(_xlfn.XLOOKUP($D67,Model!$D:$D,Model!Z:Z,""),"")</f>
        <v>2576237.0644471329</v>
      </c>
      <c r="T67" s="53">
        <f t="shared" si="42"/>
        <v>0.23777034809281372</v>
      </c>
      <c r="U67" s="53">
        <f t="shared" si="43"/>
        <v>1.1228183143396753</v>
      </c>
      <c r="V67" s="54">
        <f t="shared" si="44"/>
        <v>0.15746880142461794</v>
      </c>
      <c r="Z67" s="63">
        <f>IFERROR(_xlfn.XLOOKUP($D67,Model!$D:$D,Model!M:M,""),"")</f>
        <v>6855862.8200000012</v>
      </c>
      <c r="AA67" s="52">
        <f>IFERROR(_xlfn.XLOOKUP($D67,Model!$D:$D,Model!N:N,""),"")</f>
        <v>4099164.5</v>
      </c>
      <c r="AB67" s="52">
        <f>IFERROR(_xlfn.XLOOKUP($D67,Model!$D:$D,Model!O:O,""),"")</f>
        <v>7486142.6700000018</v>
      </c>
      <c r="AC67" s="52">
        <f>IFERROR(_xlfn.XLOOKUP($D67,Model!$D:$D,Model!AA:AA,""),"")</f>
        <v>8755372.877946509</v>
      </c>
      <c r="AD67" s="53">
        <f t="shared" si="45"/>
        <v>0.27706360349061177</v>
      </c>
      <c r="AE67" s="53">
        <f t="shared" si="46"/>
        <v>1.1358920526235305</v>
      </c>
      <c r="AF67" s="54">
        <f t="shared" si="47"/>
        <v>0.16954395125714417</v>
      </c>
    </row>
    <row r="68" spans="4:32" x14ac:dyDescent="0.25">
      <c r="D68" s="87" t="s">
        <v>55</v>
      </c>
      <c r="F68" s="52">
        <f>IFERROR(_xlfn.XLOOKUP($D68,Model!$D:$D,Model!G:G,""),"")</f>
        <v>521</v>
      </c>
      <c r="G68" s="52">
        <f>IFERROR(_xlfn.XLOOKUP($D68,Model!$D:$D,Model!H:H,""),"")</f>
        <v>211</v>
      </c>
      <c r="H68" s="52">
        <f>IFERROR(_xlfn.XLOOKUP($D68,Model!$D:$D,Model!I:I,""),"")</f>
        <v>550.11</v>
      </c>
      <c r="I68" s="52">
        <f>IFERROR(_xlfn.XLOOKUP($D68,Model!$D:$D,Model!Y:Y,""),"")</f>
        <v>431.67544348990288</v>
      </c>
      <c r="J68" s="53">
        <f t="shared" si="39"/>
        <v>-0.17144828504817111</v>
      </c>
      <c r="K68" s="53">
        <f t="shared" si="40"/>
        <v>1.0458551824166014</v>
      </c>
      <c r="L68" s="54">
        <f t="shared" si="41"/>
        <v>-0.21529249879132739</v>
      </c>
      <c r="P68" s="63">
        <f>IFERROR(_xlfn.XLOOKUP($D68,Model!$D:$D,Model!J:J,""),"")</f>
        <v>2433321.54</v>
      </c>
      <c r="Q68" s="52">
        <f>IFERROR(_xlfn.XLOOKUP($D68,Model!$D:$D,Model!K:K,""),"")</f>
        <v>1066281.0899999999</v>
      </c>
      <c r="R68" s="52">
        <f>IFERROR(_xlfn.XLOOKUP($D68,Model!$D:$D,Model!L:L,""),"")</f>
        <v>2544515.46</v>
      </c>
      <c r="S68" s="52">
        <f>IFERROR(_xlfn.XLOOKUP($D68,Model!$D:$D,Model!Z:Z,""),"")</f>
        <v>2190581.5294083557</v>
      </c>
      <c r="T68" s="53">
        <f t="shared" si="42"/>
        <v>-9.9756652214423092E-2</v>
      </c>
      <c r="U68" s="53">
        <f t="shared" si="43"/>
        <v>1.0544128091105471</v>
      </c>
      <c r="V68" s="54">
        <f t="shared" si="44"/>
        <v>-0.13909678921410218</v>
      </c>
      <c r="Z68" s="63">
        <f>IFERROR(_xlfn.XLOOKUP($D68,Model!$D:$D,Model!M:M,""),"")</f>
        <v>6862212.959999999</v>
      </c>
      <c r="AA68" s="52">
        <f>IFERROR(_xlfn.XLOOKUP($D68,Model!$D:$D,Model!N:N,""),"")</f>
        <v>2990508.63</v>
      </c>
      <c r="AB68" s="52">
        <f>IFERROR(_xlfn.XLOOKUP($D68,Model!$D:$D,Model!O:O,""),"")</f>
        <v>7250288.3600000003</v>
      </c>
      <c r="AC68" s="52">
        <f>IFERROR(_xlfn.XLOOKUP($D68,Model!$D:$D,Model!AA:AA,""),"")</f>
        <v>6155204.4691986106</v>
      </c>
      <c r="AD68" s="53">
        <f t="shared" si="45"/>
        <v>-0.10302922612902832</v>
      </c>
      <c r="AE68" s="53">
        <f t="shared" si="46"/>
        <v>1.0582466833404895</v>
      </c>
      <c r="AF68" s="54">
        <f t="shared" si="47"/>
        <v>-0.15104004646808145</v>
      </c>
    </row>
    <row r="69" spans="4:32" x14ac:dyDescent="0.25">
      <c r="D69" s="87" t="s">
        <v>46</v>
      </c>
      <c r="F69" s="52">
        <f>IFERROR(_xlfn.XLOOKUP($D69,Model!$D:$D,Model!G:G,""),"")</f>
        <v>508</v>
      </c>
      <c r="G69" s="52">
        <f>IFERROR(_xlfn.XLOOKUP($D69,Model!$D:$D,Model!H:H,""),"")</f>
        <v>243</v>
      </c>
      <c r="H69" s="52">
        <f>IFERROR(_xlfn.XLOOKUP($D69,Model!$D:$D,Model!I:I,""),"")</f>
        <v>530.02</v>
      </c>
      <c r="I69" s="52">
        <f>IFERROR(_xlfn.XLOOKUP($D69,Model!$D:$D,Model!Y:Y,""),"")</f>
        <v>494.81293941373076</v>
      </c>
      <c r="J69" s="53">
        <f t="shared" si="39"/>
        <v>-2.5958780681632376E-2</v>
      </c>
      <c r="K69" s="53">
        <f t="shared" si="40"/>
        <v>1.0362672403857234</v>
      </c>
      <c r="L69" s="54">
        <f t="shared" si="41"/>
        <v>-6.6425909562411234E-2</v>
      </c>
      <c r="P69" s="63">
        <f>IFERROR(_xlfn.XLOOKUP($D69,Model!$D:$D,Model!J:J,""),"")</f>
        <v>2274334.5700000003</v>
      </c>
      <c r="Q69" s="52">
        <f>IFERROR(_xlfn.XLOOKUP($D69,Model!$D:$D,Model!K:K,""),"")</f>
        <v>1082143.8999999999</v>
      </c>
      <c r="R69" s="52">
        <f>IFERROR(_xlfn.XLOOKUP($D69,Model!$D:$D,Model!L:L,""),"")</f>
        <v>2469218.08</v>
      </c>
      <c r="S69" s="52">
        <f>IFERROR(_xlfn.XLOOKUP($D69,Model!$D:$D,Model!Z:Z,""),"")</f>
        <v>2215738.0966282738</v>
      </c>
      <c r="T69" s="53">
        <f t="shared" si="42"/>
        <v>-2.5764227543587204E-2</v>
      </c>
      <c r="U69" s="53">
        <f t="shared" si="43"/>
        <v>1.0475447827486475</v>
      </c>
      <c r="V69" s="54">
        <f t="shared" si="44"/>
        <v>-0.1026559725221704</v>
      </c>
      <c r="Z69" s="63">
        <f>IFERROR(_xlfn.XLOOKUP($D69,Model!$D:$D,Model!M:M,""),"")</f>
        <v>6436011.3400000008</v>
      </c>
      <c r="AA69" s="52">
        <f>IFERROR(_xlfn.XLOOKUP($D69,Model!$D:$D,Model!N:N,""),"")</f>
        <v>3019844.54</v>
      </c>
      <c r="AB69" s="52">
        <f>IFERROR(_xlfn.XLOOKUP($D69,Model!$D:$D,Model!O:O,""),"")</f>
        <v>7101675.1199999992</v>
      </c>
      <c r="AC69" s="52">
        <f>IFERROR(_xlfn.XLOOKUP($D69,Model!$D:$D,Model!AA:AA,""),"")</f>
        <v>6195889.5227830233</v>
      </c>
      <c r="AD69" s="53">
        <f t="shared" si="45"/>
        <v>-3.7309104122395409E-2</v>
      </c>
      <c r="AE69" s="53">
        <f t="shared" si="46"/>
        <v>1.0517246635427875</v>
      </c>
      <c r="AF69" s="54">
        <f t="shared" si="47"/>
        <v>-0.12754534414930774</v>
      </c>
    </row>
    <row r="70" spans="4:32" x14ac:dyDescent="0.25">
      <c r="D70" s="87" t="s">
        <v>63</v>
      </c>
      <c r="F70" s="52">
        <f>IFERROR(_xlfn.XLOOKUP($D70,Model!$D:$D,Model!G:G,""),"")</f>
        <v>481</v>
      </c>
      <c r="G70" s="52">
        <f>IFERROR(_xlfn.XLOOKUP($D70,Model!$D:$D,Model!H:H,""),"")</f>
        <v>311</v>
      </c>
      <c r="H70" s="52">
        <f>IFERROR(_xlfn.XLOOKUP($D70,Model!$D:$D,Model!I:I,""),"")</f>
        <v>509.97999999999996</v>
      </c>
      <c r="I70" s="52">
        <f>IFERROR(_xlfn.XLOOKUP($D70,Model!$D:$D,Model!Y:Y,""),"")</f>
        <v>613.22216207856479</v>
      </c>
      <c r="J70" s="53">
        <f t="shared" si="39"/>
        <v>0.27489014985148597</v>
      </c>
      <c r="K70" s="53">
        <f t="shared" si="40"/>
        <v>0.97177544076708933</v>
      </c>
      <c r="L70" s="54">
        <f t="shared" si="41"/>
        <v>0.20244355088153432</v>
      </c>
      <c r="P70" s="63">
        <f>IFERROR(_xlfn.XLOOKUP($D70,Model!$D:$D,Model!J:J,""),"")</f>
        <v>2138318.7799999998</v>
      </c>
      <c r="Q70" s="52">
        <f>IFERROR(_xlfn.XLOOKUP($D70,Model!$D:$D,Model!K:K,""),"")</f>
        <v>1474782.4000000001</v>
      </c>
      <c r="R70" s="52">
        <f>IFERROR(_xlfn.XLOOKUP($D70,Model!$D:$D,Model!L:L,""),"")</f>
        <v>2315943.77</v>
      </c>
      <c r="S70" s="52">
        <f>IFERROR(_xlfn.XLOOKUP($D70,Model!$D:$D,Model!Z:Z,""),"")</f>
        <v>2914508.4153115698</v>
      </c>
      <c r="T70" s="53">
        <f t="shared" si="42"/>
        <v>0.36299060858997367</v>
      </c>
      <c r="U70" s="53">
        <f t="shared" si="43"/>
        <v>0.9762294527732156</v>
      </c>
      <c r="V70" s="54">
        <f t="shared" si="44"/>
        <v>0.25845387658594565</v>
      </c>
      <c r="Z70" s="63">
        <f>IFERROR(_xlfn.XLOOKUP($D70,Model!$D:$D,Model!M:M,""),"")</f>
        <v>6012147.3599999994</v>
      </c>
      <c r="AA70" s="52">
        <f>IFERROR(_xlfn.XLOOKUP($D70,Model!$D:$D,Model!N:N,""),"")</f>
        <v>4130778.5100000007</v>
      </c>
      <c r="AB70" s="52">
        <f>IFERROR(_xlfn.XLOOKUP($D70,Model!$D:$D,Model!O:O,""),"")</f>
        <v>6598666.1799999997</v>
      </c>
      <c r="AC70" s="52">
        <f>IFERROR(_xlfn.XLOOKUP($D70,Model!$D:$D,Model!AA:AA,""),"")</f>
        <v>8155816.5702132387</v>
      </c>
      <c r="AD70" s="53">
        <f t="shared" si="45"/>
        <v>0.35655633201466297</v>
      </c>
      <c r="AE70" s="53">
        <f t="shared" si="46"/>
        <v>0.97440181081343846</v>
      </c>
      <c r="AF70" s="54">
        <f t="shared" si="47"/>
        <v>0.23597956734541747</v>
      </c>
    </row>
    <row r="71" spans="4:32" x14ac:dyDescent="0.25">
      <c r="D71" s="87" t="s">
        <v>70</v>
      </c>
      <c r="F71" s="52">
        <f>IFERROR(_xlfn.XLOOKUP($D71,Model!$D:$D,Model!G:G,""),"")</f>
        <v>498</v>
      </c>
      <c r="G71" s="52">
        <f>IFERROR(_xlfn.XLOOKUP($D71,Model!$D:$D,Model!H:H,""),"")</f>
        <v>184</v>
      </c>
      <c r="H71" s="52">
        <f>IFERROR(_xlfn.XLOOKUP($D71,Model!$D:$D,Model!I:I,""),"")</f>
        <v>449.99</v>
      </c>
      <c r="I71" s="52">
        <f>IFERROR(_xlfn.XLOOKUP($D71,Model!$D:$D,Model!Y:Y,""),"")</f>
        <v>378.90426505583014</v>
      </c>
      <c r="J71" s="53">
        <f t="shared" si="39"/>
        <v>-0.23914806213688733</v>
      </c>
      <c r="K71" s="53">
        <f t="shared" si="40"/>
        <v>1.0592623100860332</v>
      </c>
      <c r="L71" s="54">
        <f t="shared" si="41"/>
        <v>-0.1579718103606077</v>
      </c>
      <c r="P71" s="63">
        <f>IFERROR(_xlfn.XLOOKUP($D71,Model!$D:$D,Model!J:J,""),"")</f>
        <v>2237901</v>
      </c>
      <c r="Q71" s="52">
        <f>IFERROR(_xlfn.XLOOKUP($D71,Model!$D:$D,Model!K:K,""),"")</f>
        <v>857132.45</v>
      </c>
      <c r="R71" s="52">
        <f>IFERROR(_xlfn.XLOOKUP($D71,Model!$D:$D,Model!L:L,""),"")</f>
        <v>2091368.0000000002</v>
      </c>
      <c r="S71" s="52">
        <f>IFERROR(_xlfn.XLOOKUP($D71,Model!$D:$D,Model!Z:Z,""),"")</f>
        <v>1797466.7256680259</v>
      </c>
      <c r="T71" s="53">
        <f t="shared" si="42"/>
        <v>-0.19680686247156332</v>
      </c>
      <c r="U71" s="53">
        <f t="shared" si="43"/>
        <v>1.0970699752039792</v>
      </c>
      <c r="V71" s="54">
        <f t="shared" si="44"/>
        <v>-0.14053063560883317</v>
      </c>
      <c r="Z71" s="63">
        <f>IFERROR(_xlfn.XLOOKUP($D71,Model!$D:$D,Model!M:M,""),"")</f>
        <v>6148127.1600000001</v>
      </c>
      <c r="AA71" s="52">
        <f>IFERROR(_xlfn.XLOOKUP($D71,Model!$D:$D,Model!N:N,""),"")</f>
        <v>2359416.81</v>
      </c>
      <c r="AB71" s="52">
        <f>IFERROR(_xlfn.XLOOKUP($D71,Model!$D:$D,Model!O:O,""),"")</f>
        <v>5800820.7000000002</v>
      </c>
      <c r="AC71" s="52">
        <f>IFERROR(_xlfn.XLOOKUP($D71,Model!$D:$D,Model!AA:AA,""),"")</f>
        <v>4956554.7531755054</v>
      </c>
      <c r="AD71" s="53">
        <f t="shared" si="45"/>
        <v>-0.19381063140283106</v>
      </c>
      <c r="AE71" s="53">
        <f t="shared" si="46"/>
        <v>1.1007541915307053</v>
      </c>
      <c r="AF71" s="54">
        <f t="shared" si="47"/>
        <v>-0.14554250001633295</v>
      </c>
    </row>
    <row r="72" spans="4:32" x14ac:dyDescent="0.25">
      <c r="D72" s="87" t="s">
        <v>45</v>
      </c>
      <c r="F72" s="52">
        <f>IFERROR(_xlfn.XLOOKUP($D72,Model!$D:$D,Model!G:G,""),"")</f>
        <v>264</v>
      </c>
      <c r="G72" s="52">
        <f>IFERROR(_xlfn.XLOOKUP($D72,Model!$D:$D,Model!H:H,""),"")</f>
        <v>73</v>
      </c>
      <c r="H72" s="52">
        <f>IFERROR(_xlfn.XLOOKUP($D72,Model!$D:$D,Model!I:I,""),"")</f>
        <v>280.01</v>
      </c>
      <c r="I72" s="52">
        <f>IFERROR(_xlfn.XLOOKUP($D72,Model!$D:$D,Model!Y:Y,""),"")</f>
        <v>161.66347674786462</v>
      </c>
      <c r="J72" s="53">
        <f t="shared" si="39"/>
        <v>-0.38763834565202793</v>
      </c>
      <c r="K72" s="53">
        <f t="shared" si="40"/>
        <v>1.2145681746282824</v>
      </c>
      <c r="L72" s="54">
        <f t="shared" si="41"/>
        <v>-0.42265105979120521</v>
      </c>
      <c r="P72" s="63">
        <f>IFERROR(_xlfn.XLOOKUP($D72,Model!$D:$D,Model!J:J,""),"")</f>
        <v>1339063.5399999998</v>
      </c>
      <c r="Q72" s="52">
        <f>IFERROR(_xlfn.XLOOKUP($D72,Model!$D:$D,Model!K:K,""),"")</f>
        <v>380128.01999999996</v>
      </c>
      <c r="R72" s="52">
        <f>IFERROR(_xlfn.XLOOKUP($D72,Model!$D:$D,Model!L:L,""),"")</f>
        <v>1369194.78</v>
      </c>
      <c r="S72" s="52">
        <f>IFERROR(_xlfn.XLOOKUP($D72,Model!$D:$D,Model!Z:Z,""),"")</f>
        <v>860301.54962049285</v>
      </c>
      <c r="T72" s="53">
        <f t="shared" si="42"/>
        <v>-0.3575349310007403</v>
      </c>
      <c r="U72" s="53">
        <f t="shared" si="43"/>
        <v>1.2631889899105384</v>
      </c>
      <c r="V72" s="54">
        <f t="shared" si="44"/>
        <v>-0.3716733643839244</v>
      </c>
      <c r="Z72" s="63">
        <f>IFERROR(_xlfn.XLOOKUP($D72,Model!$D:$D,Model!M:M,""),"")</f>
        <v>3865846.4199999995</v>
      </c>
      <c r="AA72" s="52">
        <f>IFERROR(_xlfn.XLOOKUP($D72,Model!$D:$D,Model!N:N,""),"")</f>
        <v>1076147.8500000001</v>
      </c>
      <c r="AB72" s="52">
        <f>IFERROR(_xlfn.XLOOKUP($D72,Model!$D:$D,Model!O:O,""),"")</f>
        <v>3991680.5200000005</v>
      </c>
      <c r="AC72" s="52">
        <f>IFERROR(_xlfn.XLOOKUP($D72,Model!$D:$D,Model!AA:AA,""),"")</f>
        <v>2467948.5740585281</v>
      </c>
      <c r="AD72" s="53">
        <f t="shared" si="45"/>
        <v>-0.36160201261732261</v>
      </c>
      <c r="AE72" s="53">
        <f t="shared" si="46"/>
        <v>1.2933173857649094</v>
      </c>
      <c r="AF72" s="54">
        <f t="shared" si="47"/>
        <v>-0.38172692887292303</v>
      </c>
    </row>
    <row r="73" spans="4:32" x14ac:dyDescent="0.25">
      <c r="D73" s="87" t="s">
        <v>59</v>
      </c>
      <c r="F73" s="52">
        <f>IFERROR(_xlfn.XLOOKUP($D73,Model!$D:$D,Model!G:G,""),"")</f>
        <v>293</v>
      </c>
      <c r="G73" s="52">
        <f>IFERROR(_xlfn.XLOOKUP($D73,Model!$D:$D,Model!H:H,""),"")</f>
        <v>164</v>
      </c>
      <c r="H73" s="52">
        <f>IFERROR(_xlfn.XLOOKUP($D73,Model!$D:$D,Model!I:I,""),"")</f>
        <v>309.99</v>
      </c>
      <c r="I73" s="52">
        <f>IFERROR(_xlfn.XLOOKUP($D73,Model!$D:$D,Model!Y:Y,""),"")</f>
        <v>336.74478373186724</v>
      </c>
      <c r="J73" s="53">
        <f t="shared" si="39"/>
        <v>0.14929960318043434</v>
      </c>
      <c r="K73" s="53">
        <f t="shared" si="40"/>
        <v>1.053321852023581</v>
      </c>
      <c r="L73" s="54">
        <f t="shared" si="41"/>
        <v>8.6308538120156264E-2</v>
      </c>
      <c r="P73" s="63">
        <f>IFERROR(_xlfn.XLOOKUP($D73,Model!$D:$D,Model!J:J,""),"")</f>
        <v>1312333.21</v>
      </c>
      <c r="Q73" s="52">
        <f>IFERROR(_xlfn.XLOOKUP($D73,Model!$D:$D,Model!K:K,""),"")</f>
        <v>760173.64000000013</v>
      </c>
      <c r="R73" s="52">
        <f>IFERROR(_xlfn.XLOOKUP($D73,Model!$D:$D,Model!L:L,""),"")</f>
        <v>1411795.4600000002</v>
      </c>
      <c r="S73" s="52">
        <f>IFERROR(_xlfn.XLOOKUP($D73,Model!$D:$D,Model!Z:Z,""),"")</f>
        <v>1553627.6360292067</v>
      </c>
      <c r="T73" s="53">
        <f t="shared" si="42"/>
        <v>0.18386673764752692</v>
      </c>
      <c r="U73" s="53">
        <f t="shared" si="43"/>
        <v>1.0437799395796024</v>
      </c>
      <c r="V73" s="54">
        <f t="shared" si="44"/>
        <v>0.10046226953386461</v>
      </c>
      <c r="Z73" s="63">
        <f>IFERROR(_xlfn.XLOOKUP($D73,Model!$D:$D,Model!M:M,""),"")</f>
        <v>3497124.9400000004</v>
      </c>
      <c r="AA73" s="52">
        <f>IFERROR(_xlfn.XLOOKUP($D73,Model!$D:$D,Model!N:N,""),"")</f>
        <v>2003589.06</v>
      </c>
      <c r="AB73" s="52">
        <f>IFERROR(_xlfn.XLOOKUP($D73,Model!$D:$D,Model!O:O,""),"")</f>
        <v>3834242.78</v>
      </c>
      <c r="AC73" s="52">
        <f>IFERROR(_xlfn.XLOOKUP($D73,Model!$D:$D,Model!AA:AA,""),"")</f>
        <v>4090033.1036555157</v>
      </c>
      <c r="AD73" s="53">
        <f t="shared" si="45"/>
        <v>0.1695416016951099</v>
      </c>
      <c r="AE73" s="53">
        <f t="shared" si="46"/>
        <v>1.0413532821223908</v>
      </c>
      <c r="AF73" s="54">
        <f t="shared" si="47"/>
        <v>6.6712083280108914E-2</v>
      </c>
    </row>
    <row r="74" spans="4:32" x14ac:dyDescent="0.25">
      <c r="D74" s="87" t="s">
        <v>52</v>
      </c>
      <c r="F74" s="52">
        <f>IFERROR(_xlfn.XLOOKUP($D74,Model!$D:$D,Model!G:G,""),"")</f>
        <v>248</v>
      </c>
      <c r="G74" s="52">
        <f>IFERROR(_xlfn.XLOOKUP($D74,Model!$D:$D,Model!H:H,""),"")</f>
        <v>142</v>
      </c>
      <c r="H74" s="52">
        <f>IFERROR(_xlfn.XLOOKUP($D74,Model!$D:$D,Model!I:I,""),"")</f>
        <v>259.97999999999996</v>
      </c>
      <c r="I74" s="52">
        <f>IFERROR(_xlfn.XLOOKUP($D74,Model!$D:$D,Model!Y:Y,""),"")</f>
        <v>266.64615384615388</v>
      </c>
      <c r="J74" s="53">
        <f t="shared" si="39"/>
        <v>7.518610421836236E-2</v>
      </c>
      <c r="K74" s="53">
        <f t="shared" si="40"/>
        <v>0.8777898158179851</v>
      </c>
      <c r="L74" s="54">
        <f t="shared" si="41"/>
        <v>2.5641025641025994E-2</v>
      </c>
      <c r="P74" s="63">
        <f>IFERROR(_xlfn.XLOOKUP($D74,Model!$D:$D,Model!J:J,""),"")</f>
        <v>1138643.6600000001</v>
      </c>
      <c r="Q74" s="52">
        <f>IFERROR(_xlfn.XLOOKUP($D74,Model!$D:$D,Model!K:K,""),"")</f>
        <v>661888.89</v>
      </c>
      <c r="R74" s="52">
        <f>IFERROR(_xlfn.XLOOKUP($D74,Model!$D:$D,Model!L:L,""),"")</f>
        <v>1263646.7399999998</v>
      </c>
      <c r="S74" s="52">
        <f>IFERROR(_xlfn.XLOOKUP($D74,Model!$D:$D,Model!Z:Z,""),"")</f>
        <v>1244777.2809638712</v>
      </c>
      <c r="T74" s="53">
        <f t="shared" si="42"/>
        <v>9.321056682814266E-2</v>
      </c>
      <c r="U74" s="53">
        <f t="shared" si="43"/>
        <v>0.88064386601786171</v>
      </c>
      <c r="V74" s="54">
        <f t="shared" si="44"/>
        <v>-1.4932542805538018E-2</v>
      </c>
      <c r="Z74" s="63">
        <f>IFERROR(_xlfn.XLOOKUP($D74,Model!$D:$D,Model!M:M,""),"")</f>
        <v>3226640.5700000003</v>
      </c>
      <c r="AA74" s="52">
        <f>IFERROR(_xlfn.XLOOKUP($D74,Model!$D:$D,Model!N:N,""),"")</f>
        <v>1842194.62</v>
      </c>
      <c r="AB74" s="52">
        <f>IFERROR(_xlfn.XLOOKUP($D74,Model!$D:$D,Model!O:O,""),"")</f>
        <v>3662176.33</v>
      </c>
      <c r="AC74" s="52">
        <f>IFERROR(_xlfn.XLOOKUP($D74,Model!$D:$D,Model!AA:AA,""),"")</f>
        <v>3439988.6936600194</v>
      </c>
      <c r="AD74" s="53">
        <f t="shared" si="45"/>
        <v>6.6120821030902555E-2</v>
      </c>
      <c r="AE74" s="53">
        <f t="shared" si="46"/>
        <v>0.86733185316761974</v>
      </c>
      <c r="AF74" s="54">
        <f t="shared" si="47"/>
        <v>-6.0670927972488076E-2</v>
      </c>
    </row>
    <row r="75" spans="4:32" x14ac:dyDescent="0.25">
      <c r="D75" s="88" t="s">
        <v>51</v>
      </c>
      <c r="E75" s="48"/>
      <c r="F75" s="49">
        <f>IFERROR(_xlfn.XLOOKUP($D75,Model!$D:$D,Model!G:G,""),"")</f>
        <v>280</v>
      </c>
      <c r="G75" s="49">
        <f>IFERROR(_xlfn.XLOOKUP($D75,Model!$D:$D,Model!H:H,""),"")</f>
        <v>137</v>
      </c>
      <c r="H75" s="49">
        <f>IFERROR(_xlfn.XLOOKUP($D75,Model!$D:$D,Model!I:I,""),"")</f>
        <v>262.5</v>
      </c>
      <c r="I75" s="49">
        <f>IFERROR(_xlfn.XLOOKUP($D75,Model!$D:$D,Model!Y:Y,""),"")</f>
        <v>255.59701492537314</v>
      </c>
      <c r="J75" s="50">
        <f t="shared" si="39"/>
        <v>-8.715351812366734E-2</v>
      </c>
      <c r="K75" s="50">
        <f t="shared" si="40"/>
        <v>0.86567164179104483</v>
      </c>
      <c r="L75" s="51">
        <f t="shared" si="41"/>
        <v>-2.6297085998578495E-2</v>
      </c>
      <c r="P75" s="62">
        <f>IFERROR(_xlfn.XLOOKUP($D75,Model!$D:$D,Model!J:J,""),"")</f>
        <v>1287280.22</v>
      </c>
      <c r="Q75" s="49">
        <f>IFERROR(_xlfn.XLOOKUP($D75,Model!$D:$D,Model!K:K,""),"")</f>
        <v>633972.65</v>
      </c>
      <c r="R75" s="49">
        <f>IFERROR(_xlfn.XLOOKUP($D75,Model!$D:$D,Model!L:L,""),"")</f>
        <v>1253726.96</v>
      </c>
      <c r="S75" s="49">
        <f>IFERROR(_xlfn.XLOOKUP($D75,Model!$D:$D,Model!Z:Z,""),"")</f>
        <v>1247381.8020098789</v>
      </c>
      <c r="T75" s="50">
        <f t="shared" si="42"/>
        <v>-3.0994353342989389E-2</v>
      </c>
      <c r="U75" s="50">
        <f t="shared" si="43"/>
        <v>0.96756406133589334</v>
      </c>
      <c r="V75" s="51">
        <f t="shared" si="44"/>
        <v>-5.0610365674206292E-3</v>
      </c>
      <c r="Z75" s="62">
        <f>IFERROR(_xlfn.XLOOKUP($D75,Model!$D:$D,Model!M:M,""),"")</f>
        <v>3357002.9</v>
      </c>
      <c r="AA75" s="49">
        <f>IFERROR(_xlfn.XLOOKUP($D75,Model!$D:$D,Model!N:N,""),"")</f>
        <v>1600808.0099999998</v>
      </c>
      <c r="AB75" s="49">
        <f>IFERROR(_xlfn.XLOOKUP($D75,Model!$D:$D,Model!O:O,""),"")</f>
        <v>3320851.3900000006</v>
      </c>
      <c r="AC75" s="49">
        <f>IFERROR(_xlfn.XLOOKUP($D75,Model!$D:$D,Model!AA:AA,""),"")</f>
        <v>3191324.3600165541</v>
      </c>
      <c r="AD75" s="50">
        <f t="shared" si="45"/>
        <v>-4.9353111962889828E-2</v>
      </c>
      <c r="AE75" s="50">
        <f t="shared" si="46"/>
        <v>0.99357095921612393</v>
      </c>
      <c r="AF75" s="51">
        <f t="shared" si="47"/>
        <v>-3.9004163321938456E-2</v>
      </c>
    </row>
  </sheetData>
  <conditionalFormatting sqref="B2">
    <cfRule type="containsText" dxfId="3" priority="6" operator="containsText" text="INPUTS">
      <formula>NOT(ISERROR(SEARCH("INPUTS",B2)))</formula>
    </cfRule>
  </conditionalFormatting>
  <conditionalFormatting sqref="J5:L75">
    <cfRule type="iconSet" priority="7">
      <iconSet>
        <cfvo type="percent" val="0"/>
        <cfvo type="num" val="-5.0000000000000001E-3"/>
        <cfvo type="num" val="5.0000000000000001E-3" gte="0"/>
      </iconSet>
    </cfRule>
  </conditionalFormatting>
  <conditionalFormatting sqref="N2">
    <cfRule type="containsText" dxfId="2" priority="4" operator="containsText" text="INPUTS">
      <formula>NOT(ISERROR(SEARCH("INPUTS",N2)))</formula>
    </cfRule>
  </conditionalFormatting>
  <conditionalFormatting sqref="T5:V75">
    <cfRule type="iconSet" priority="8">
      <iconSet>
        <cfvo type="percent" val="0"/>
        <cfvo type="num" val="-5.0000000000000001E-3"/>
        <cfvo type="num" val="5.0000000000000001E-3" gte="0"/>
      </iconSet>
    </cfRule>
  </conditionalFormatting>
  <conditionalFormatting sqref="X2">
    <cfRule type="containsText" dxfId="1" priority="2" operator="containsText" text="INPUTS">
      <formula>NOT(ISERROR(SEARCH("INPUTS",X2)))</formula>
    </cfRule>
  </conditionalFormatting>
  <conditionalFormatting sqref="AD5:AF75">
    <cfRule type="iconSet" priority="9">
      <iconSet>
        <cfvo type="percent" val="0"/>
        <cfvo type="num" val="-5.0000000000000001E-3"/>
        <cfvo type="num" val="5.0000000000000001E-3" gte="0"/>
      </iconSet>
    </cfRule>
  </conditionalFormatting>
  <conditionalFormatting sqref="AI2">
    <cfRule type="containsText" dxfId="0" priority="1" operator="containsText" text="INPUTS">
      <formula>NOT(ISERROR(SEARCH("INPUTS",AI2)))</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F37D-0D12-4323-9B24-350B870584C7}">
  <sheetPr>
    <tabColor theme="6" tint="-0.499984740745262"/>
  </sheetPr>
  <dimension ref="A2:AD711"/>
  <sheetViews>
    <sheetView showGridLines="0" workbookViewId="0">
      <selection activeCell="L4" sqref="L4"/>
    </sheetView>
  </sheetViews>
  <sheetFormatPr defaultRowHeight="15" outlineLevelRow="1" x14ac:dyDescent="0.25"/>
  <cols>
    <col min="1" max="1" width="1.5703125" style="4" customWidth="1"/>
    <col min="2" max="2" width="2.42578125" style="7" customWidth="1"/>
    <col min="3" max="3" width="3" style="4" bestFit="1" customWidth="1"/>
    <col min="4" max="4" width="8.140625" style="4" customWidth="1"/>
    <col min="5" max="5" width="14.140625" style="4" customWidth="1"/>
    <col min="6" max="6" width="8" style="4" customWidth="1"/>
    <col min="7" max="14" width="12.140625" style="4" customWidth="1"/>
    <col min="15" max="15" width="16.28515625" style="4" bestFit="1" customWidth="1"/>
    <col min="16" max="16" width="1.7109375" style="4" customWidth="1"/>
    <col min="17" max="17" width="2.5703125" style="7" customWidth="1"/>
    <col min="18" max="18" width="1.28515625" style="4" customWidth="1"/>
    <col min="19" max="19" width="12.28515625" style="13" bestFit="1" customWidth="1"/>
    <col min="20" max="20" width="11.85546875" style="13" bestFit="1" customWidth="1"/>
    <col min="21" max="21" width="15.28515625" style="13" bestFit="1" customWidth="1"/>
    <col min="22" max="22" width="2.140625" style="4" customWidth="1"/>
    <col min="23" max="23" width="9.140625" style="13"/>
    <col min="24" max="24" width="2.140625" style="4" customWidth="1"/>
    <col min="25" max="25" width="12.28515625" style="4" bestFit="1" customWidth="1"/>
    <col min="26" max="26" width="12" style="4" bestFit="1" customWidth="1"/>
    <col min="27" max="27" width="15.28515625" style="4" bestFit="1" customWidth="1"/>
    <col min="28" max="28" width="1.7109375" style="4" customWidth="1"/>
    <col min="29" max="29" width="2.5703125" style="7" customWidth="1"/>
    <col min="30" max="30" width="1.28515625" style="4" customWidth="1"/>
    <col min="31" max="16384" width="9.140625" style="4"/>
  </cols>
  <sheetData>
    <row r="2" spans="1:30" ht="89.25" customHeight="1" x14ac:dyDescent="0.25">
      <c r="E2" s="43" t="s">
        <v>116</v>
      </c>
      <c r="G2" s="43"/>
      <c r="H2" s="43"/>
      <c r="I2" s="43"/>
      <c r="J2" s="43"/>
      <c r="K2" s="43"/>
      <c r="L2" s="43"/>
      <c r="S2" s="43" t="s">
        <v>117</v>
      </c>
    </row>
    <row r="3" spans="1:30" ht="59.25" customHeight="1" x14ac:dyDescent="0.25">
      <c r="A3" s="65"/>
      <c r="B3" s="78"/>
      <c r="D3" s="64" t="s">
        <v>165</v>
      </c>
      <c r="E3" s="155" t="s">
        <v>126</v>
      </c>
      <c r="F3" s="155"/>
      <c r="G3" s="155"/>
      <c r="H3" s="155"/>
      <c r="I3" s="155"/>
      <c r="J3" s="155"/>
      <c r="K3" s="155"/>
      <c r="L3" s="155"/>
      <c r="M3" s="155"/>
      <c r="N3" s="155"/>
      <c r="O3" s="155"/>
      <c r="P3" s="65"/>
      <c r="Q3" s="78"/>
      <c r="R3" s="65"/>
      <c r="S3" s="154" t="s">
        <v>125</v>
      </c>
      <c r="T3" s="154"/>
      <c r="U3" s="154"/>
      <c r="V3" s="65"/>
      <c r="W3" s="66"/>
      <c r="X3" s="65"/>
      <c r="Y3" s="154" t="s">
        <v>103</v>
      </c>
      <c r="Z3" s="154"/>
      <c r="AA3" s="154"/>
      <c r="AB3" s="65"/>
      <c r="AC3" s="78"/>
      <c r="AD3" s="65"/>
    </row>
    <row r="4" spans="1:30" ht="63" customHeight="1" x14ac:dyDescent="0.25">
      <c r="A4" s="65"/>
      <c r="B4" s="78"/>
      <c r="D4" s="65"/>
      <c r="E4" s="65"/>
      <c r="F4" s="65"/>
      <c r="G4" s="65"/>
      <c r="H4" s="65"/>
      <c r="I4" s="65"/>
      <c r="J4" s="65"/>
      <c r="K4" s="65"/>
      <c r="L4" s="65"/>
      <c r="M4" s="65"/>
      <c r="N4" s="65"/>
      <c r="O4" s="65"/>
      <c r="P4" s="65"/>
      <c r="Q4" s="78"/>
      <c r="R4" s="65"/>
      <c r="S4" s="66"/>
      <c r="T4" s="66"/>
      <c r="U4" s="66"/>
      <c r="V4" s="65"/>
      <c r="W4" s="66"/>
      <c r="X4" s="65"/>
      <c r="Y4" s="154" t="s">
        <v>104</v>
      </c>
      <c r="Z4" s="154"/>
      <c r="AA4" s="154"/>
      <c r="AB4" s="65"/>
      <c r="AC4" s="78"/>
      <c r="AD4" s="65"/>
    </row>
    <row r="5" spans="1:30" x14ac:dyDescent="0.25">
      <c r="G5" s="15" t="s">
        <v>13</v>
      </c>
      <c r="H5" s="15"/>
      <c r="I5" s="15"/>
      <c r="J5" s="15" t="s">
        <v>15</v>
      </c>
      <c r="K5" s="15"/>
      <c r="L5" s="15"/>
      <c r="M5" s="15" t="s">
        <v>16</v>
      </c>
      <c r="N5" s="15"/>
      <c r="O5" s="15"/>
      <c r="S5" s="69" t="s">
        <v>13</v>
      </c>
      <c r="T5" s="69" t="s">
        <v>15</v>
      </c>
      <c r="U5" s="69" t="s">
        <v>16</v>
      </c>
      <c r="V5" s="74"/>
      <c r="W5" s="76"/>
      <c r="X5" s="74"/>
      <c r="Y5" s="72" t="s">
        <v>96</v>
      </c>
      <c r="Z5" s="72"/>
      <c r="AA5" s="72"/>
    </row>
    <row r="6" spans="1:30" x14ac:dyDescent="0.25">
      <c r="G6" s="16" t="s">
        <v>24</v>
      </c>
      <c r="H6" s="16" t="s">
        <v>22</v>
      </c>
      <c r="I6" s="16" t="s">
        <v>23</v>
      </c>
      <c r="J6" s="16" t="s">
        <v>24</v>
      </c>
      <c r="K6" s="16" t="s">
        <v>22</v>
      </c>
      <c r="L6" s="16" t="s">
        <v>23</v>
      </c>
      <c r="M6" s="16" t="s">
        <v>24</v>
      </c>
      <c r="N6" s="16" t="s">
        <v>22</v>
      </c>
      <c r="O6" s="16" t="s">
        <v>23</v>
      </c>
      <c r="S6" s="70" t="s">
        <v>98</v>
      </c>
      <c r="T6" s="70" t="s">
        <v>99</v>
      </c>
      <c r="U6" s="70" t="s">
        <v>100</v>
      </c>
      <c r="V6" s="74"/>
      <c r="W6" s="76"/>
      <c r="X6" s="74"/>
      <c r="Y6" s="70" t="s">
        <v>98</v>
      </c>
      <c r="Z6" s="70" t="s">
        <v>99</v>
      </c>
      <c r="AA6" s="70" t="s">
        <v>100</v>
      </c>
    </row>
    <row r="7" spans="1:30" x14ac:dyDescent="0.25">
      <c r="D7" s="67" t="s">
        <v>118</v>
      </c>
      <c r="E7" s="17" t="s">
        <v>76</v>
      </c>
      <c r="F7" s="17" t="s">
        <v>76</v>
      </c>
      <c r="G7" s="18">
        <f>SUM(G56:G57)</f>
        <v>70972</v>
      </c>
      <c r="H7" s="18">
        <f t="shared" ref="H7:O7" si="0">SUM(H56:H57)</f>
        <v>32888</v>
      </c>
      <c r="I7" s="18">
        <f t="shared" si="0"/>
        <v>74712.84</v>
      </c>
      <c r="J7" s="18">
        <f t="shared" si="0"/>
        <v>322300531.09000003</v>
      </c>
      <c r="K7" s="18">
        <f t="shared" si="0"/>
        <v>156640261.47</v>
      </c>
      <c r="L7" s="18">
        <f t="shared" si="0"/>
        <v>345851990.07000005</v>
      </c>
      <c r="M7" s="18">
        <f t="shared" si="0"/>
        <v>952787356.03999949</v>
      </c>
      <c r="N7" s="18">
        <f t="shared" si="0"/>
        <v>462709055.24000013</v>
      </c>
      <c r="O7" s="18">
        <f t="shared" si="0"/>
        <v>1044312160.7700001</v>
      </c>
      <c r="S7" s="71">
        <f>IFERROR(SUMPRODUCT(H$13:H$24,$W$13:$W$24)/SUMPRODUCT(I$13:I$24,$W$13:$W$24)-1,"")</f>
        <v>-8.9359253699893282E-2</v>
      </c>
      <c r="T7" s="71">
        <f>IFERROR(SUMPRODUCT(K$13:K$24,$W$13:$W$24)/SUMPRODUCT(L$13:L$24,$W$13:$W$24)-1,"")</f>
        <v>-6.0415529359242437E-2</v>
      </c>
      <c r="U7" s="71">
        <f>IFERROR(SUMPRODUCT(N$13:N$24,$W$13:$W$24)/SUMPRODUCT(O$13:O$24,$W$13:$W$24)-1,"")</f>
        <v>-7.9856886275210481E-2</v>
      </c>
      <c r="V7" s="74"/>
      <c r="W7" s="76"/>
      <c r="X7" s="74"/>
      <c r="Y7" s="73">
        <f>IFERROR(AVERAGE(Y25,Y55,Y88,Y217,Y284,Y679),"")</f>
        <v>68038.151628246414</v>
      </c>
      <c r="Z7" s="73">
        <f>IFERROR(AVERAGE(Z25,Z55,Z88,Z217,Z284,Z679),"")</f>
        <v>324967379.63650125</v>
      </c>
      <c r="AA7" s="73">
        <f>IFERROR(AVERAGE(AA25,AA55,AA88,AA217,AA284,AA679),"")</f>
        <v>960956498.30313683</v>
      </c>
    </row>
    <row r="9" spans="1:30" x14ac:dyDescent="0.25">
      <c r="E9" s="4" t="s">
        <v>25</v>
      </c>
    </row>
    <row r="10" spans="1:30" x14ac:dyDescent="0.25">
      <c r="E10" s="15"/>
      <c r="G10" s="19" t="s">
        <v>0</v>
      </c>
      <c r="S10" s="76"/>
      <c r="T10" s="76"/>
      <c r="U10" s="76"/>
      <c r="V10" s="74"/>
      <c r="W10" s="76"/>
      <c r="X10" s="74"/>
      <c r="Y10" s="74"/>
      <c r="Z10" s="74"/>
      <c r="AA10" s="74"/>
    </row>
    <row r="11" spans="1:30" x14ac:dyDescent="0.25">
      <c r="E11" s="15"/>
      <c r="G11" s="4" t="s">
        <v>13</v>
      </c>
      <c r="J11" s="4" t="s">
        <v>15</v>
      </c>
      <c r="M11" s="4" t="s">
        <v>16</v>
      </c>
      <c r="S11" s="72" t="s">
        <v>97</v>
      </c>
      <c r="T11" s="72"/>
      <c r="U11" s="72"/>
      <c r="V11" s="74"/>
      <c r="W11" s="75" t="s">
        <v>94</v>
      </c>
      <c r="X11" s="74"/>
      <c r="Y11" s="72" t="s">
        <v>96</v>
      </c>
      <c r="Z11" s="72"/>
      <c r="AA11" s="72"/>
    </row>
    <row r="12" spans="1:30" x14ac:dyDescent="0.25">
      <c r="E12" s="16"/>
      <c r="F12" s="19" t="s">
        <v>2</v>
      </c>
      <c r="G12" s="4" t="s">
        <v>24</v>
      </c>
      <c r="H12" s="4" t="s">
        <v>22</v>
      </c>
      <c r="I12" s="4" t="s">
        <v>23</v>
      </c>
      <c r="J12" s="4" t="s">
        <v>24</v>
      </c>
      <c r="K12" s="4" t="s">
        <v>22</v>
      </c>
      <c r="L12" s="4" t="s">
        <v>23</v>
      </c>
      <c r="M12" s="4" t="s">
        <v>24</v>
      </c>
      <c r="N12" s="4" t="s">
        <v>22</v>
      </c>
      <c r="O12" s="4" t="s">
        <v>23</v>
      </c>
      <c r="S12" s="70" t="s">
        <v>98</v>
      </c>
      <c r="T12" s="70" t="s">
        <v>99</v>
      </c>
      <c r="U12" s="70" t="s">
        <v>100</v>
      </c>
      <c r="V12" s="74"/>
      <c r="W12" s="75" t="s">
        <v>95</v>
      </c>
      <c r="X12" s="74"/>
      <c r="Y12" s="70" t="s">
        <v>98</v>
      </c>
      <c r="Z12" s="70" t="s">
        <v>99</v>
      </c>
      <c r="AA12" s="70" t="s">
        <v>100</v>
      </c>
    </row>
    <row r="13" spans="1:30" outlineLevel="1" x14ac:dyDescent="0.25">
      <c r="C13" s="4">
        <v>1</v>
      </c>
      <c r="D13" s="68" t="str">
        <f>_xlfn.XLOOKUP(F13,$C$13:$C$24,$E$13:$E$24,"")</f>
        <v>JAN</v>
      </c>
      <c r="E13" s="20" t="s">
        <v>77</v>
      </c>
      <c r="F13" s="20">
        <v>1</v>
      </c>
      <c r="G13" s="21">
        <v>4774</v>
      </c>
      <c r="H13" s="21">
        <v>5014</v>
      </c>
      <c r="I13" s="21">
        <v>5899.2400000000034</v>
      </c>
      <c r="J13" s="21">
        <v>21647907.970000006</v>
      </c>
      <c r="K13" s="21">
        <v>23852924.380000014</v>
      </c>
      <c r="L13" s="21">
        <v>27318474.270000026</v>
      </c>
      <c r="M13" s="21">
        <v>63896491.189999908</v>
      </c>
      <c r="N13" s="21">
        <v>70958558.650000036</v>
      </c>
      <c r="O13" s="21">
        <v>82382444.649999946</v>
      </c>
      <c r="S13" s="22">
        <f t="shared" ref="S13:S24" si="1">IFERROR(SUMPRODUCT(H$13:H$24,$W$13:$W$24)/SUMPRODUCT(I$13:I$24,$W$13:$W$24)-1,"")</f>
        <v>-8.9359253699893282E-2</v>
      </c>
      <c r="T13" s="23">
        <f t="shared" ref="T13:T24" si="2">IFERROR(SUMPRODUCT(K$13:K$24,$W$13:$W$24)/SUMPRODUCT(L$13:L$24,$W$13:$W$24)-1,"")</f>
        <v>-6.0415529359242437E-2</v>
      </c>
      <c r="U13" s="24">
        <f t="shared" ref="U13:U24" si="3">IFERROR(SUMPRODUCT(N$13:N$24,$W$13:$W$24)/SUMPRODUCT(O$13:O$24,$W$13:$W$24)-1,"")</f>
        <v>-7.9856886275210481E-2</v>
      </c>
      <c r="W13" s="13">
        <f t="shared" ref="W13:W24" si="4">IFERROR(IF(H13&gt;0,1,0),"")</f>
        <v>1</v>
      </c>
      <c r="Y13" s="14">
        <f t="shared" ref="Y13:Y24" si="5">IFERROR(IF($W13=1,H13,I13*(1+S13)),"")</f>
        <v>5014</v>
      </c>
      <c r="Z13" s="14">
        <f t="shared" ref="Z13:Z24" si="6">IFERROR(IF($W13=1,K13,L13*(1+T13)),"")</f>
        <v>23852924.380000014</v>
      </c>
      <c r="AA13" s="14">
        <f t="shared" ref="AA13:AA24" si="7">IFERROR(IF($W13=1,N13,O13*(1+U13)),"")</f>
        <v>70958558.650000036</v>
      </c>
    </row>
    <row r="14" spans="1:30" outlineLevel="1" x14ac:dyDescent="0.25">
      <c r="C14" s="4">
        <v>2</v>
      </c>
      <c r="D14" s="68" t="str">
        <f t="shared" ref="D14:D18" si="8">_xlfn.XLOOKUP(F14,$C$13:$C$24,$E$13:$E$24,"")</f>
        <v>FEB</v>
      </c>
      <c r="E14" s="20" t="s">
        <v>78</v>
      </c>
      <c r="F14" s="20">
        <v>2</v>
      </c>
      <c r="G14" s="21">
        <v>4611</v>
      </c>
      <c r="H14" s="21">
        <v>4820</v>
      </c>
      <c r="I14" s="21">
        <v>5857.9100000000017</v>
      </c>
      <c r="J14" s="21">
        <v>20788429.849999994</v>
      </c>
      <c r="K14" s="21">
        <v>22801928.010000031</v>
      </c>
      <c r="L14" s="21">
        <v>27016356.719999984</v>
      </c>
      <c r="M14" s="21">
        <v>61428993.68999996</v>
      </c>
      <c r="N14" s="21">
        <v>67748868.780000046</v>
      </c>
      <c r="O14" s="21">
        <v>81554152.720000029</v>
      </c>
      <c r="S14" s="25">
        <f t="shared" si="1"/>
        <v>-8.9359253699893282E-2</v>
      </c>
      <c r="T14" s="26">
        <f t="shared" si="2"/>
        <v>-6.0415529359242437E-2</v>
      </c>
      <c r="U14" s="27">
        <f t="shared" si="3"/>
        <v>-7.9856886275210481E-2</v>
      </c>
      <c r="W14" s="13">
        <f t="shared" si="4"/>
        <v>1</v>
      </c>
      <c r="Y14" s="14">
        <f t="shared" si="5"/>
        <v>4820</v>
      </c>
      <c r="Z14" s="14">
        <f t="shared" si="6"/>
        <v>22801928.010000031</v>
      </c>
      <c r="AA14" s="14">
        <f t="shared" si="7"/>
        <v>67748868.780000046</v>
      </c>
    </row>
    <row r="15" spans="1:30" outlineLevel="1" x14ac:dyDescent="0.25">
      <c r="C15" s="4">
        <v>3</v>
      </c>
      <c r="D15" s="68" t="str">
        <f t="shared" si="8"/>
        <v>MAR</v>
      </c>
      <c r="E15" s="20" t="s">
        <v>79</v>
      </c>
      <c r="F15" s="20">
        <v>3</v>
      </c>
      <c r="G15" s="21">
        <v>5638</v>
      </c>
      <c r="H15" s="21">
        <v>5909</v>
      </c>
      <c r="I15" s="21">
        <v>6047.0099999999975</v>
      </c>
      <c r="J15" s="21">
        <v>25836655.380000018</v>
      </c>
      <c r="K15" s="21">
        <v>28458143.830000006</v>
      </c>
      <c r="L15" s="21">
        <v>27788369.790000033</v>
      </c>
      <c r="M15" s="21">
        <v>76771852.620000094</v>
      </c>
      <c r="N15" s="21">
        <v>84591120.019999966</v>
      </c>
      <c r="O15" s="21">
        <v>83697668.140000045</v>
      </c>
      <c r="S15" s="25">
        <f t="shared" si="1"/>
        <v>-8.9359253699893282E-2</v>
      </c>
      <c r="T15" s="26">
        <f t="shared" si="2"/>
        <v>-6.0415529359242437E-2</v>
      </c>
      <c r="U15" s="27">
        <f t="shared" si="3"/>
        <v>-7.9856886275210481E-2</v>
      </c>
      <c r="W15" s="13">
        <f t="shared" si="4"/>
        <v>1</v>
      </c>
      <c r="Y15" s="14">
        <f t="shared" si="5"/>
        <v>5909</v>
      </c>
      <c r="Z15" s="14">
        <f t="shared" si="6"/>
        <v>28458143.830000006</v>
      </c>
      <c r="AA15" s="14">
        <f t="shared" si="7"/>
        <v>84591120.019999966</v>
      </c>
    </row>
    <row r="16" spans="1:30" outlineLevel="1" x14ac:dyDescent="0.25">
      <c r="C16" s="4">
        <v>4</v>
      </c>
      <c r="D16" s="68" t="str">
        <f t="shared" si="8"/>
        <v>APR</v>
      </c>
      <c r="E16" s="20" t="s">
        <v>80</v>
      </c>
      <c r="F16" s="20">
        <v>4</v>
      </c>
      <c r="G16" s="21">
        <v>5275</v>
      </c>
      <c r="H16" s="21">
        <v>5525</v>
      </c>
      <c r="I16" s="21">
        <v>5956.7000000000053</v>
      </c>
      <c r="J16" s="21">
        <v>23926460.790000007</v>
      </c>
      <c r="K16" s="21">
        <v>26350307.170000013</v>
      </c>
      <c r="L16" s="21">
        <v>27545308.979999971</v>
      </c>
      <c r="M16" s="21">
        <v>71107882.170000076</v>
      </c>
      <c r="N16" s="21">
        <v>77673877.010000065</v>
      </c>
      <c r="O16" s="21">
        <v>83185401.500000089</v>
      </c>
      <c r="S16" s="25">
        <f t="shared" si="1"/>
        <v>-8.9359253699893282E-2</v>
      </c>
      <c r="T16" s="26">
        <f t="shared" si="2"/>
        <v>-6.0415529359242437E-2</v>
      </c>
      <c r="U16" s="27">
        <f t="shared" si="3"/>
        <v>-7.9856886275210481E-2</v>
      </c>
      <c r="W16" s="13">
        <f t="shared" si="4"/>
        <v>1</v>
      </c>
      <c r="Y16" s="14">
        <f t="shared" si="5"/>
        <v>5525</v>
      </c>
      <c r="Z16" s="14">
        <f t="shared" si="6"/>
        <v>26350307.170000013</v>
      </c>
      <c r="AA16" s="14">
        <f t="shared" si="7"/>
        <v>77673877.010000065</v>
      </c>
    </row>
    <row r="17" spans="3:27" outlineLevel="1" x14ac:dyDescent="0.25">
      <c r="C17" s="4">
        <v>5</v>
      </c>
      <c r="D17" s="68" t="str">
        <f t="shared" si="8"/>
        <v>MAY</v>
      </c>
      <c r="E17" s="20" t="s">
        <v>81</v>
      </c>
      <c r="F17" s="20">
        <v>5</v>
      </c>
      <c r="G17" s="21">
        <v>5661</v>
      </c>
      <c r="H17" s="21">
        <v>5934</v>
      </c>
      <c r="I17" s="21">
        <v>6163.4099999999899</v>
      </c>
      <c r="J17" s="21">
        <v>25432682.259999976</v>
      </c>
      <c r="K17" s="21">
        <v>27990868.190000001</v>
      </c>
      <c r="L17" s="21">
        <v>28501574.040000003</v>
      </c>
      <c r="M17" s="21">
        <v>75443429.989999995</v>
      </c>
      <c r="N17" s="21">
        <v>82028725.580000058</v>
      </c>
      <c r="O17" s="21">
        <v>86045415.730000094</v>
      </c>
      <c r="S17" s="25">
        <f t="shared" si="1"/>
        <v>-8.9359253699893282E-2</v>
      </c>
      <c r="T17" s="26">
        <f t="shared" si="2"/>
        <v>-6.0415529359242437E-2</v>
      </c>
      <c r="U17" s="27">
        <f t="shared" si="3"/>
        <v>-7.9856886275210481E-2</v>
      </c>
      <c r="W17" s="13">
        <f t="shared" si="4"/>
        <v>1</v>
      </c>
      <c r="Y17" s="14">
        <f t="shared" si="5"/>
        <v>5934</v>
      </c>
      <c r="Z17" s="14">
        <f t="shared" si="6"/>
        <v>27990868.190000001</v>
      </c>
      <c r="AA17" s="14">
        <f t="shared" si="7"/>
        <v>82028725.580000058</v>
      </c>
    </row>
    <row r="18" spans="3:27" outlineLevel="1" x14ac:dyDescent="0.25">
      <c r="C18" s="4">
        <v>6</v>
      </c>
      <c r="D18" s="68" t="str">
        <f t="shared" si="8"/>
        <v>JUN</v>
      </c>
      <c r="E18" s="20" t="s">
        <v>82</v>
      </c>
      <c r="F18" s="20">
        <v>6</v>
      </c>
      <c r="G18" s="21">
        <v>5432</v>
      </c>
      <c r="H18" s="21">
        <v>5686</v>
      </c>
      <c r="I18" s="21">
        <v>6190.9599999999964</v>
      </c>
      <c r="J18" s="21">
        <v>24717459.419999957</v>
      </c>
      <c r="K18" s="21">
        <v>27186089.889999993</v>
      </c>
      <c r="L18" s="21">
        <v>28542187.809999995</v>
      </c>
      <c r="M18" s="21">
        <v>72981103.339999914</v>
      </c>
      <c r="N18" s="21">
        <v>79707905.199999958</v>
      </c>
      <c r="O18" s="21">
        <v>86001317.430000111</v>
      </c>
      <c r="S18" s="25">
        <f t="shared" si="1"/>
        <v>-8.9359253699893282E-2</v>
      </c>
      <c r="T18" s="26">
        <f t="shared" si="2"/>
        <v>-6.0415529359242437E-2</v>
      </c>
      <c r="U18" s="27">
        <f t="shared" si="3"/>
        <v>-7.9856886275210481E-2</v>
      </c>
      <c r="W18" s="13">
        <f t="shared" si="4"/>
        <v>1</v>
      </c>
      <c r="Y18" s="14">
        <f t="shared" si="5"/>
        <v>5686</v>
      </c>
      <c r="Z18" s="14">
        <f t="shared" si="6"/>
        <v>27186089.889999993</v>
      </c>
      <c r="AA18" s="14">
        <f t="shared" si="7"/>
        <v>79707905.199999958</v>
      </c>
    </row>
    <row r="19" spans="3:27" outlineLevel="1" x14ac:dyDescent="0.25">
      <c r="C19" s="4">
        <v>7</v>
      </c>
      <c r="D19" s="68" t="str">
        <f>_xlfn.XLOOKUP(F19,$C$13:$C$24,$E$13:$E$24,"")</f>
        <v>JUL</v>
      </c>
      <c r="E19" s="20" t="s">
        <v>83</v>
      </c>
      <c r="F19" s="20">
        <v>7</v>
      </c>
      <c r="G19" s="21">
        <v>5395</v>
      </c>
      <c r="H19" s="21"/>
      <c r="I19" s="21">
        <v>5996.8300000000027</v>
      </c>
      <c r="J19" s="21">
        <v>24477665.340000007</v>
      </c>
      <c r="K19" s="21"/>
      <c r="L19" s="21">
        <v>27897644.860000007</v>
      </c>
      <c r="M19" s="21">
        <v>72015412.599999979</v>
      </c>
      <c r="N19" s="21"/>
      <c r="O19" s="21">
        <v>84448323.459999934</v>
      </c>
      <c r="S19" s="25">
        <f t="shared" si="1"/>
        <v>-8.9359253699893282E-2</v>
      </c>
      <c r="T19" s="26">
        <f t="shared" si="2"/>
        <v>-6.0415529359242437E-2</v>
      </c>
      <c r="U19" s="27">
        <f t="shared" si="3"/>
        <v>-7.9856886275210481E-2</v>
      </c>
      <c r="W19" s="13">
        <f t="shared" si="4"/>
        <v>0</v>
      </c>
      <c r="Y19" s="14">
        <f t="shared" si="5"/>
        <v>5460.957746634871</v>
      </c>
      <c r="Z19" s="14">
        <f t="shared" si="6"/>
        <v>26212193.877906956</v>
      </c>
      <c r="AA19" s="14">
        <f t="shared" si="7"/>
        <v>77704543.297322527</v>
      </c>
    </row>
    <row r="20" spans="3:27" outlineLevel="1" x14ac:dyDescent="0.25">
      <c r="C20" s="4">
        <v>8</v>
      </c>
      <c r="D20" s="68" t="str">
        <f t="shared" ref="D20:D24" si="9">_xlfn.XLOOKUP(F20,$C$13:$C$24,$E$13:$E$24,"")</f>
        <v>AUG</v>
      </c>
      <c r="E20" s="20" t="s">
        <v>84</v>
      </c>
      <c r="F20" s="20">
        <v>8</v>
      </c>
      <c r="G20" s="21">
        <v>5237</v>
      </c>
      <c r="H20" s="21"/>
      <c r="I20" s="21">
        <v>6113.9500000000016</v>
      </c>
      <c r="J20" s="21">
        <v>23570791.789999999</v>
      </c>
      <c r="K20" s="21"/>
      <c r="L20" s="21">
        <v>28233677.419999979</v>
      </c>
      <c r="M20" s="21">
        <v>69657165.419999942</v>
      </c>
      <c r="N20" s="21"/>
      <c r="O20" s="21">
        <v>85293961.059999928</v>
      </c>
      <c r="S20" s="25">
        <f t="shared" si="1"/>
        <v>-8.9359253699893282E-2</v>
      </c>
      <c r="T20" s="26">
        <f t="shared" si="2"/>
        <v>-6.0415529359242437E-2</v>
      </c>
      <c r="U20" s="27">
        <f t="shared" si="3"/>
        <v>-7.9856886275210481E-2</v>
      </c>
      <c r="W20" s="13">
        <f t="shared" si="4"/>
        <v>0</v>
      </c>
      <c r="Y20" s="14">
        <f t="shared" si="5"/>
        <v>5567.6119908415394</v>
      </c>
      <c r="Z20" s="14">
        <f t="shared" si="6"/>
        <v>26527924.85291259</v>
      </c>
      <c r="AA20" s="14">
        <f t="shared" si="7"/>
        <v>78482650.911669284</v>
      </c>
    </row>
    <row r="21" spans="3:27" outlineLevel="1" x14ac:dyDescent="0.25">
      <c r="C21" s="4">
        <v>9</v>
      </c>
      <c r="D21" s="68" t="str">
        <f t="shared" si="9"/>
        <v>SEP</v>
      </c>
      <c r="E21" s="20" t="s">
        <v>85</v>
      </c>
      <c r="F21" s="20">
        <v>9</v>
      </c>
      <c r="G21" s="21">
        <v>5659</v>
      </c>
      <c r="H21" s="21"/>
      <c r="I21" s="21">
        <v>6238.0000000000036</v>
      </c>
      <c r="J21" s="21">
        <v>25703164.120000038</v>
      </c>
      <c r="K21" s="21"/>
      <c r="L21" s="21">
        <v>28882578.339999996</v>
      </c>
      <c r="M21" s="21">
        <v>76302533.990000054</v>
      </c>
      <c r="N21" s="21"/>
      <c r="O21" s="21">
        <v>87377353.290000021</v>
      </c>
      <c r="S21" s="25">
        <f t="shared" si="1"/>
        <v>-8.9359253699893282E-2</v>
      </c>
      <c r="T21" s="26">
        <f t="shared" si="2"/>
        <v>-6.0415529359242437E-2</v>
      </c>
      <c r="U21" s="27">
        <f t="shared" si="3"/>
        <v>-7.9856886275210481E-2</v>
      </c>
      <c r="W21" s="13">
        <f t="shared" si="4"/>
        <v>0</v>
      </c>
      <c r="Y21" s="14">
        <f t="shared" si="5"/>
        <v>5680.5769754200692</v>
      </c>
      <c r="Z21" s="14">
        <f t="shared" si="6"/>
        <v>27137622.080329105</v>
      </c>
      <c r="AA21" s="14">
        <f t="shared" si="7"/>
        <v>80399669.925291598</v>
      </c>
    </row>
    <row r="22" spans="3:27" outlineLevel="1" x14ac:dyDescent="0.25">
      <c r="C22" s="4">
        <v>10</v>
      </c>
      <c r="D22" s="68" t="str">
        <f t="shared" si="9"/>
        <v>OCT</v>
      </c>
      <c r="E22" s="20" t="s">
        <v>86</v>
      </c>
      <c r="F22" s="20">
        <v>10</v>
      </c>
      <c r="G22" s="21">
        <v>6213</v>
      </c>
      <c r="H22" s="21"/>
      <c r="I22" s="21">
        <v>6459.3700000000017</v>
      </c>
      <c r="J22" s="21">
        <v>28382120.030000016</v>
      </c>
      <c r="K22" s="21"/>
      <c r="L22" s="21">
        <v>30105126.089999992</v>
      </c>
      <c r="M22" s="21">
        <v>83728323.389999866</v>
      </c>
      <c r="N22" s="21"/>
      <c r="O22" s="21">
        <v>90973952.259999886</v>
      </c>
      <c r="S22" s="25">
        <f t="shared" si="1"/>
        <v>-8.9359253699893282E-2</v>
      </c>
      <c r="T22" s="26">
        <f t="shared" si="2"/>
        <v>-6.0415529359242437E-2</v>
      </c>
      <c r="U22" s="27">
        <f t="shared" si="3"/>
        <v>-7.9856886275210481E-2</v>
      </c>
      <c r="W22" s="13">
        <f t="shared" si="4"/>
        <v>0</v>
      </c>
      <c r="Y22" s="14">
        <f t="shared" si="5"/>
        <v>5882.1655174285215</v>
      </c>
      <c r="Z22" s="14">
        <f t="shared" si="6"/>
        <v>28286308.960845903</v>
      </c>
      <c r="AA22" s="14">
        <f t="shared" si="7"/>
        <v>83709055.700366646</v>
      </c>
    </row>
    <row r="23" spans="3:27" outlineLevel="1" x14ac:dyDescent="0.25">
      <c r="C23" s="4">
        <v>11</v>
      </c>
      <c r="D23" s="68" t="str">
        <f t="shared" si="9"/>
        <v>NOV</v>
      </c>
      <c r="E23" s="20" t="s">
        <v>87</v>
      </c>
      <c r="F23" s="20">
        <v>11</v>
      </c>
      <c r="G23" s="21">
        <v>7883</v>
      </c>
      <c r="H23" s="21"/>
      <c r="I23" s="21">
        <v>6858.1700000000037</v>
      </c>
      <c r="J23" s="21">
        <v>35862039.679999977</v>
      </c>
      <c r="K23" s="21"/>
      <c r="L23" s="21">
        <v>31878472.550000012</v>
      </c>
      <c r="M23" s="21">
        <v>105696890.1500001</v>
      </c>
      <c r="N23" s="21"/>
      <c r="O23" s="21">
        <v>96279578.559999943</v>
      </c>
      <c r="S23" s="25">
        <f t="shared" si="1"/>
        <v>-8.9359253699893282E-2</v>
      </c>
      <c r="T23" s="26">
        <f t="shared" si="2"/>
        <v>-6.0415529359242437E-2</v>
      </c>
      <c r="U23" s="27">
        <f t="shared" si="3"/>
        <v>-7.9856886275210481E-2</v>
      </c>
      <c r="W23" s="13">
        <f t="shared" si="4"/>
        <v>0</v>
      </c>
      <c r="Y23" s="14">
        <f t="shared" si="5"/>
        <v>6245.3290470530064</v>
      </c>
      <c r="Z23" s="14">
        <f t="shared" si="6"/>
        <v>29952517.755727682</v>
      </c>
      <c r="AA23" s="14">
        <f t="shared" si="7"/>
        <v>88590991.204308838</v>
      </c>
    </row>
    <row r="24" spans="3:27" outlineLevel="1" x14ac:dyDescent="0.25">
      <c r="C24" s="4">
        <v>12</v>
      </c>
      <c r="D24" s="68" t="str">
        <f t="shared" si="9"/>
        <v>DEC</v>
      </c>
      <c r="E24" s="20" t="s">
        <v>88</v>
      </c>
      <c r="F24" s="20">
        <v>12</v>
      </c>
      <c r="G24" s="21">
        <v>9194</v>
      </c>
      <c r="H24" s="21"/>
      <c r="I24" s="21">
        <v>6931.2900000000009</v>
      </c>
      <c r="J24" s="21">
        <v>41955154.460000016</v>
      </c>
      <c r="K24" s="21"/>
      <c r="L24" s="21">
        <v>32142219.199999992</v>
      </c>
      <c r="M24" s="21">
        <v>123757277.49000025</v>
      </c>
      <c r="N24" s="21"/>
      <c r="O24" s="21">
        <v>97072591.970000029</v>
      </c>
      <c r="S24" s="28">
        <f t="shared" si="1"/>
        <v>-8.9359253699893282E-2</v>
      </c>
      <c r="T24" s="29">
        <f t="shared" si="2"/>
        <v>-6.0415529359242437E-2</v>
      </c>
      <c r="U24" s="30">
        <f t="shared" si="3"/>
        <v>-7.9856886275210481E-2</v>
      </c>
      <c r="W24" s="13">
        <f t="shared" si="4"/>
        <v>0</v>
      </c>
      <c r="Y24" s="14">
        <f t="shared" si="5"/>
        <v>6311.9150984224671</v>
      </c>
      <c r="Z24" s="14">
        <f t="shared" si="6"/>
        <v>30200330.012251187</v>
      </c>
      <c r="AA24" s="14">
        <f t="shared" si="7"/>
        <v>89320677.032611832</v>
      </c>
    </row>
    <row r="25" spans="3:27" x14ac:dyDescent="0.25">
      <c r="S25" s="76"/>
      <c r="T25" s="76"/>
      <c r="U25" s="76"/>
      <c r="V25" s="74"/>
      <c r="W25" s="76"/>
      <c r="X25" s="74"/>
      <c r="Y25" s="73">
        <f>IFERROR(SUM(Y13:Y24),"")</f>
        <v>68036.556375800472</v>
      </c>
      <c r="Z25" s="73">
        <f>IFERROR(SUM(Z13:Z24),"")</f>
        <v>324957159.00997353</v>
      </c>
      <c r="AA25" s="73">
        <f>IFERROR(SUM(AA13:AA24),"")</f>
        <v>960916643.31157088</v>
      </c>
    </row>
    <row r="27" spans="3:27" x14ac:dyDescent="0.25">
      <c r="E27" s="4" t="s">
        <v>29</v>
      </c>
    </row>
    <row r="28" spans="3:27" x14ac:dyDescent="0.25">
      <c r="G28" s="19" t="s">
        <v>26</v>
      </c>
      <c r="H28" s="19" t="s">
        <v>27</v>
      </c>
      <c r="S28" s="76"/>
      <c r="T28" s="76"/>
      <c r="U28" s="76"/>
      <c r="V28" s="74"/>
      <c r="W28" s="76"/>
      <c r="X28" s="74"/>
      <c r="Y28" s="74"/>
      <c r="Z28" s="74"/>
      <c r="AA28" s="74"/>
    </row>
    <row r="29" spans="3:27" x14ac:dyDescent="0.25">
      <c r="G29" s="4" t="s">
        <v>13</v>
      </c>
      <c r="J29" s="4" t="s">
        <v>15</v>
      </c>
      <c r="M29" s="4" t="s">
        <v>16</v>
      </c>
      <c r="S29" s="69" t="s">
        <v>13</v>
      </c>
      <c r="T29" s="69" t="s">
        <v>15</v>
      </c>
      <c r="U29" s="69" t="s">
        <v>16</v>
      </c>
      <c r="V29" s="74"/>
      <c r="W29" s="75" t="s">
        <v>94</v>
      </c>
      <c r="X29" s="74"/>
      <c r="Y29" s="72" t="s">
        <v>96</v>
      </c>
      <c r="Z29" s="72"/>
      <c r="AA29" s="72"/>
    </row>
    <row r="30" spans="3:27" x14ac:dyDescent="0.25">
      <c r="E30" s="19" t="s">
        <v>28</v>
      </c>
      <c r="F30" s="19" t="s">
        <v>14</v>
      </c>
      <c r="G30" s="4" t="s">
        <v>24</v>
      </c>
      <c r="H30" s="4" t="s">
        <v>22</v>
      </c>
      <c r="I30" s="4" t="s">
        <v>23</v>
      </c>
      <c r="J30" s="4" t="s">
        <v>24</v>
      </c>
      <c r="K30" s="4" t="s">
        <v>22</v>
      </c>
      <c r="L30" s="4" t="s">
        <v>23</v>
      </c>
      <c r="M30" s="4" t="s">
        <v>24</v>
      </c>
      <c r="N30" s="4" t="s">
        <v>22</v>
      </c>
      <c r="O30" s="4" t="s">
        <v>23</v>
      </c>
      <c r="S30" s="70" t="s">
        <v>93</v>
      </c>
      <c r="T30" s="70" t="s">
        <v>93</v>
      </c>
      <c r="U30" s="70" t="s">
        <v>93</v>
      </c>
      <c r="V30" s="74"/>
      <c r="W30" s="75" t="s">
        <v>95</v>
      </c>
      <c r="X30" s="74"/>
      <c r="Y30" s="70" t="s">
        <v>98</v>
      </c>
      <c r="Z30" s="70" t="s">
        <v>99</v>
      </c>
      <c r="AA30" s="70" t="s">
        <v>100</v>
      </c>
    </row>
    <row r="31" spans="3:27" outlineLevel="1" x14ac:dyDescent="0.25">
      <c r="D31" s="68" t="str">
        <f>_xlfn.CONCAT(E31," - ",_xlfn.XLOOKUP(F31,$C$13:$C$24,$E$13:$E$24,""))</f>
        <v>Online - JAN</v>
      </c>
      <c r="E31" s="4" t="s">
        <v>20</v>
      </c>
      <c r="F31" s="4">
        <v>1</v>
      </c>
      <c r="G31" s="21">
        <v>1281</v>
      </c>
      <c r="H31" s="21">
        <v>1329</v>
      </c>
      <c r="I31" s="21">
        <v>1637.9899999999998</v>
      </c>
      <c r="J31" s="21">
        <v>5771942.610000005</v>
      </c>
      <c r="K31" s="21">
        <v>6276082.8200000012</v>
      </c>
      <c r="L31" s="21">
        <v>7605108.6200000038</v>
      </c>
      <c r="M31" s="21">
        <v>16348082.619999995</v>
      </c>
      <c r="N31" s="21">
        <v>17871606.560000006</v>
      </c>
      <c r="O31" s="21">
        <v>22056516.169999987</v>
      </c>
      <c r="S31" s="22">
        <f t="shared" ref="S31:S42" si="10">IFERROR(SUMPRODUCT(H$31:H$42,$W$31:$W$42)/SUMPRODUCT(I$31:I$42,$W$31:$W$42)-1,"")</f>
        <v>-7.2476896723389861E-2</v>
      </c>
      <c r="T31" s="23">
        <f t="shared" ref="T31:T42" si="11">IFERROR(SUMPRODUCT(K$31:K$42,$W$31:$W$42)/SUMPRODUCT(L$31:L$42,$W$31:$W$42)-1,"")</f>
        <v>-4.6177340198674921E-2</v>
      </c>
      <c r="U31" s="24">
        <f t="shared" ref="U31:U42" si="12">IFERROR(SUMPRODUCT(N$31:N$42,$W$31:$W$42)/SUMPRODUCT(O$31:O$42,$W$31:$W$42)-1,"")</f>
        <v>-6.4143013336454557E-2</v>
      </c>
      <c r="W31" s="13">
        <f t="shared" ref="W31:W54" si="13">IFERROR(_xlfn.XLOOKUP(F31,$F$13:$F$24,$W$13:$W$24),"")</f>
        <v>1</v>
      </c>
      <c r="Y31" s="14">
        <f t="shared" ref="Y31:Y54" si="14">IFERROR(IF($W31=1,H31,I31*(1+S31)),"")</f>
        <v>1329</v>
      </c>
      <c r="Z31" s="14">
        <f t="shared" ref="Z31:Z54" si="15">IFERROR(IF($W31=1,K31,L31*(1+T31)),"")</f>
        <v>6276082.8200000012</v>
      </c>
      <c r="AA31" s="14">
        <f t="shared" ref="AA31:AA54" si="16">IFERROR(IF($W31=1,N31,O31*(1+U31)),"")</f>
        <v>17871606.560000006</v>
      </c>
    </row>
    <row r="32" spans="3:27" outlineLevel="1" x14ac:dyDescent="0.25">
      <c r="D32" s="68" t="str">
        <f t="shared" ref="D32:D54" si="17">_xlfn.CONCAT(E32," - ",_xlfn.XLOOKUP(F32,$C$13:$C$24,$E$13:$E$24,""))</f>
        <v>Online - FEB</v>
      </c>
      <c r="E32" s="4" t="s">
        <v>20</v>
      </c>
      <c r="F32" s="4">
        <v>2</v>
      </c>
      <c r="G32" s="21">
        <v>1257</v>
      </c>
      <c r="H32" s="21">
        <v>1301</v>
      </c>
      <c r="I32" s="21">
        <v>1625.3399999999997</v>
      </c>
      <c r="J32" s="21">
        <v>5744184.2400000021</v>
      </c>
      <c r="K32" s="21">
        <v>6226354.1800000044</v>
      </c>
      <c r="L32" s="21">
        <v>7520042.6199999982</v>
      </c>
      <c r="M32" s="21">
        <v>16477242.1</v>
      </c>
      <c r="N32" s="21">
        <v>17903891.350000009</v>
      </c>
      <c r="O32" s="21">
        <v>21826769.989999983</v>
      </c>
      <c r="S32" s="25">
        <f t="shared" si="10"/>
        <v>-7.2476896723389861E-2</v>
      </c>
      <c r="T32" s="26">
        <f t="shared" si="11"/>
        <v>-4.6177340198674921E-2</v>
      </c>
      <c r="U32" s="27">
        <f t="shared" si="12"/>
        <v>-6.4143013336454557E-2</v>
      </c>
      <c r="W32" s="13">
        <f t="shared" si="13"/>
        <v>1</v>
      </c>
      <c r="Y32" s="14">
        <f t="shared" si="14"/>
        <v>1301</v>
      </c>
      <c r="Z32" s="14">
        <f t="shared" si="15"/>
        <v>6226354.1800000044</v>
      </c>
      <c r="AA32" s="14">
        <f t="shared" si="16"/>
        <v>17903891.350000009</v>
      </c>
    </row>
    <row r="33" spans="4:27" outlineLevel="1" x14ac:dyDescent="0.25">
      <c r="D33" s="68" t="str">
        <f t="shared" si="17"/>
        <v>Online - MAR</v>
      </c>
      <c r="E33" s="4" t="s">
        <v>20</v>
      </c>
      <c r="F33" s="4">
        <v>3</v>
      </c>
      <c r="G33" s="21">
        <v>1704</v>
      </c>
      <c r="H33" s="21">
        <v>1784</v>
      </c>
      <c r="I33" s="21">
        <v>1674.4699999999991</v>
      </c>
      <c r="J33" s="21">
        <v>7708123.2999999942</v>
      </c>
      <c r="K33" s="21">
        <v>8472420.8100000005</v>
      </c>
      <c r="L33" s="21">
        <v>7727928.4200000027</v>
      </c>
      <c r="M33" s="21">
        <v>22061994.709999993</v>
      </c>
      <c r="N33" s="21">
        <v>24266022.390000004</v>
      </c>
      <c r="O33" s="21">
        <v>22369643.089999985</v>
      </c>
      <c r="S33" s="25">
        <f t="shared" si="10"/>
        <v>-7.2476896723389861E-2</v>
      </c>
      <c r="T33" s="26">
        <f t="shared" si="11"/>
        <v>-4.6177340198674921E-2</v>
      </c>
      <c r="U33" s="27">
        <f t="shared" si="12"/>
        <v>-6.4143013336454557E-2</v>
      </c>
      <c r="W33" s="13">
        <f t="shared" si="13"/>
        <v>1</v>
      </c>
      <c r="Y33" s="14">
        <f t="shared" si="14"/>
        <v>1784</v>
      </c>
      <c r="Z33" s="14">
        <f t="shared" si="15"/>
        <v>8472420.8100000005</v>
      </c>
      <c r="AA33" s="14">
        <f t="shared" si="16"/>
        <v>24266022.390000004</v>
      </c>
    </row>
    <row r="34" spans="4:27" outlineLevel="1" x14ac:dyDescent="0.25">
      <c r="D34" s="68" t="str">
        <f t="shared" si="17"/>
        <v>Online - APR</v>
      </c>
      <c r="E34" s="4" t="s">
        <v>20</v>
      </c>
      <c r="F34" s="4">
        <v>4</v>
      </c>
      <c r="G34" s="21">
        <v>1544</v>
      </c>
      <c r="H34" s="21">
        <v>1591</v>
      </c>
      <c r="I34" s="21">
        <v>1668.6499999999992</v>
      </c>
      <c r="J34" s="21">
        <v>7121781.0299999965</v>
      </c>
      <c r="K34" s="21">
        <v>7750423.7100000102</v>
      </c>
      <c r="L34" s="21">
        <v>7718325.5200000014</v>
      </c>
      <c r="M34" s="21">
        <v>20482796.009999987</v>
      </c>
      <c r="N34" s="21">
        <v>22040327.729999993</v>
      </c>
      <c r="O34" s="21">
        <v>22381003.68</v>
      </c>
      <c r="S34" s="25">
        <f t="shared" si="10"/>
        <v>-7.2476896723389861E-2</v>
      </c>
      <c r="T34" s="26">
        <f t="shared" si="11"/>
        <v>-4.6177340198674921E-2</v>
      </c>
      <c r="U34" s="27">
        <f t="shared" si="12"/>
        <v>-6.4143013336454557E-2</v>
      </c>
      <c r="W34" s="13">
        <f t="shared" si="13"/>
        <v>1</v>
      </c>
      <c r="Y34" s="14">
        <f t="shared" si="14"/>
        <v>1591</v>
      </c>
      <c r="Z34" s="14">
        <f t="shared" si="15"/>
        <v>7750423.7100000102</v>
      </c>
      <c r="AA34" s="14">
        <f t="shared" si="16"/>
        <v>22040327.729999993</v>
      </c>
    </row>
    <row r="35" spans="4:27" outlineLevel="1" x14ac:dyDescent="0.25">
      <c r="D35" s="68" t="str">
        <f t="shared" si="17"/>
        <v>Online - MAY</v>
      </c>
      <c r="E35" s="4" t="s">
        <v>20</v>
      </c>
      <c r="F35" s="4">
        <v>5</v>
      </c>
      <c r="G35" s="21">
        <v>1541</v>
      </c>
      <c r="H35" s="21">
        <v>1598</v>
      </c>
      <c r="I35" s="21">
        <v>1701.0999999999992</v>
      </c>
      <c r="J35" s="21">
        <v>6938714.6300000036</v>
      </c>
      <c r="K35" s="21">
        <v>7577503.8599999975</v>
      </c>
      <c r="L35" s="21">
        <v>7867807.4200000027</v>
      </c>
      <c r="M35" s="21">
        <v>19926067.739999991</v>
      </c>
      <c r="N35" s="21">
        <v>21501037.680000007</v>
      </c>
      <c r="O35" s="21">
        <v>22812014.270000011</v>
      </c>
      <c r="S35" s="25">
        <f t="shared" si="10"/>
        <v>-7.2476896723389861E-2</v>
      </c>
      <c r="T35" s="26">
        <f t="shared" si="11"/>
        <v>-4.6177340198674921E-2</v>
      </c>
      <c r="U35" s="27">
        <f t="shared" si="12"/>
        <v>-6.4143013336454557E-2</v>
      </c>
      <c r="W35" s="13">
        <f t="shared" si="13"/>
        <v>1</v>
      </c>
      <c r="Y35" s="14">
        <f t="shared" si="14"/>
        <v>1598</v>
      </c>
      <c r="Z35" s="14">
        <f t="shared" si="15"/>
        <v>7577503.8599999975</v>
      </c>
      <c r="AA35" s="14">
        <f t="shared" si="16"/>
        <v>21501037.680000007</v>
      </c>
    </row>
    <row r="36" spans="4:27" outlineLevel="1" x14ac:dyDescent="0.25">
      <c r="D36" s="68" t="str">
        <f t="shared" si="17"/>
        <v>Online - JUN</v>
      </c>
      <c r="E36" s="4" t="s">
        <v>20</v>
      </c>
      <c r="F36" s="4">
        <v>6</v>
      </c>
      <c r="G36" s="21">
        <v>1648</v>
      </c>
      <c r="H36" s="21">
        <v>1694</v>
      </c>
      <c r="I36" s="21">
        <v>1715.9199999999994</v>
      </c>
      <c r="J36" s="21">
        <v>7347806.570000005</v>
      </c>
      <c r="K36" s="21">
        <v>7928328.6800000034</v>
      </c>
      <c r="L36" s="21">
        <v>7933258.8500000024</v>
      </c>
      <c r="M36" s="21">
        <v>20713714.329999976</v>
      </c>
      <c r="N36" s="21">
        <v>22235652.559999999</v>
      </c>
      <c r="O36" s="21">
        <v>22996109.719999984</v>
      </c>
      <c r="S36" s="25">
        <f t="shared" si="10"/>
        <v>-7.2476896723389861E-2</v>
      </c>
      <c r="T36" s="26">
        <f t="shared" si="11"/>
        <v>-4.6177340198674921E-2</v>
      </c>
      <c r="U36" s="27">
        <f t="shared" si="12"/>
        <v>-6.4143013336454557E-2</v>
      </c>
      <c r="W36" s="13">
        <f t="shared" si="13"/>
        <v>1</v>
      </c>
      <c r="Y36" s="14">
        <f t="shared" si="14"/>
        <v>1694</v>
      </c>
      <c r="Z36" s="14">
        <f t="shared" si="15"/>
        <v>7928328.6800000034</v>
      </c>
      <c r="AA36" s="14">
        <f t="shared" si="16"/>
        <v>22235652.559999999</v>
      </c>
    </row>
    <row r="37" spans="4:27" outlineLevel="1" x14ac:dyDescent="0.25">
      <c r="D37" s="68" t="str">
        <f t="shared" si="17"/>
        <v>Online - JUL</v>
      </c>
      <c r="E37" s="4" t="s">
        <v>20</v>
      </c>
      <c r="F37" s="4">
        <v>7</v>
      </c>
      <c r="G37" s="21">
        <v>1499</v>
      </c>
      <c r="H37" s="21"/>
      <c r="I37" s="21">
        <v>1670.6299999999994</v>
      </c>
      <c r="J37" s="21">
        <v>6785638.4699999988</v>
      </c>
      <c r="K37" s="21"/>
      <c r="L37" s="21">
        <v>7781691.0100000026</v>
      </c>
      <c r="M37" s="21">
        <v>19176292.969999995</v>
      </c>
      <c r="N37" s="21"/>
      <c r="O37" s="21">
        <v>22644062.010000017</v>
      </c>
      <c r="S37" s="25">
        <f t="shared" si="10"/>
        <v>-7.2476896723389861E-2</v>
      </c>
      <c r="T37" s="26">
        <f t="shared" si="11"/>
        <v>-4.6177340198674921E-2</v>
      </c>
      <c r="U37" s="27">
        <f t="shared" si="12"/>
        <v>-6.4143013336454557E-2</v>
      </c>
      <c r="W37" s="13">
        <f t="shared" si="13"/>
        <v>0</v>
      </c>
      <c r="Y37" s="14">
        <f t="shared" si="14"/>
        <v>1549.5479220270026</v>
      </c>
      <c r="Z37" s="14">
        <f t="shared" si="15"/>
        <v>7422353.2169102626</v>
      </c>
      <c r="AA37" s="14">
        <f t="shared" si="16"/>
        <v>21191603.638501082</v>
      </c>
    </row>
    <row r="38" spans="4:27" outlineLevel="1" x14ac:dyDescent="0.25">
      <c r="D38" s="68" t="str">
        <f t="shared" si="17"/>
        <v>Online - AUG</v>
      </c>
      <c r="E38" s="4" t="s">
        <v>20</v>
      </c>
      <c r="F38" s="4">
        <v>8</v>
      </c>
      <c r="G38" s="21">
        <v>1393</v>
      </c>
      <c r="H38" s="21"/>
      <c r="I38" s="21">
        <v>1696.2000000000005</v>
      </c>
      <c r="J38" s="21">
        <v>6265641.6699999971</v>
      </c>
      <c r="K38" s="21"/>
      <c r="L38" s="21">
        <v>7846625.2700000005</v>
      </c>
      <c r="M38" s="21">
        <v>18268063.339999992</v>
      </c>
      <c r="N38" s="21"/>
      <c r="O38" s="21">
        <v>22794431.050000001</v>
      </c>
      <c r="S38" s="25">
        <f t="shared" si="10"/>
        <v>-7.2476896723389861E-2</v>
      </c>
      <c r="T38" s="26">
        <f t="shared" si="11"/>
        <v>-4.6177340198674921E-2</v>
      </c>
      <c r="U38" s="27">
        <f t="shared" si="12"/>
        <v>-6.4143013336454557E-2</v>
      </c>
      <c r="W38" s="13">
        <f t="shared" si="13"/>
        <v>0</v>
      </c>
      <c r="Y38" s="14">
        <f t="shared" si="14"/>
        <v>1573.2646877777865</v>
      </c>
      <c r="Z38" s="14">
        <f t="shared" si="15"/>
        <v>7484288.9854956912</v>
      </c>
      <c r="AA38" s="14">
        <f t="shared" si="16"/>
        <v>21332327.555162955</v>
      </c>
    </row>
    <row r="39" spans="4:27" outlineLevel="1" x14ac:dyDescent="0.25">
      <c r="D39" s="68" t="str">
        <f t="shared" si="17"/>
        <v>Online - SEP</v>
      </c>
      <c r="E39" s="4" t="s">
        <v>20</v>
      </c>
      <c r="F39" s="4">
        <v>9</v>
      </c>
      <c r="G39" s="21">
        <v>1524</v>
      </c>
      <c r="H39" s="21"/>
      <c r="I39" s="21">
        <v>1716.61</v>
      </c>
      <c r="J39" s="21">
        <v>7028101.6899999976</v>
      </c>
      <c r="K39" s="21"/>
      <c r="L39" s="21">
        <v>7975527.8299999982</v>
      </c>
      <c r="M39" s="21">
        <v>20230699.140000001</v>
      </c>
      <c r="N39" s="21"/>
      <c r="O39" s="21">
        <v>23213530.779999997</v>
      </c>
      <c r="S39" s="25">
        <f t="shared" si="10"/>
        <v>-7.2476896723389861E-2</v>
      </c>
      <c r="T39" s="26">
        <f t="shared" si="11"/>
        <v>-4.6177340198674921E-2</v>
      </c>
      <c r="U39" s="27">
        <f t="shared" si="12"/>
        <v>-6.4143013336454557E-2</v>
      </c>
      <c r="W39" s="13">
        <f t="shared" si="13"/>
        <v>0</v>
      </c>
      <c r="Y39" s="14">
        <f t="shared" si="14"/>
        <v>1592.1954343156617</v>
      </c>
      <c r="Z39" s="14">
        <f t="shared" si="15"/>
        <v>7607239.1681300886</v>
      </c>
      <c r="AA39" s="14">
        <f t="shared" si="16"/>
        <v>21724544.965592258</v>
      </c>
    </row>
    <row r="40" spans="4:27" outlineLevel="1" x14ac:dyDescent="0.25">
      <c r="D40" s="68" t="str">
        <f t="shared" si="17"/>
        <v>Online - OCT</v>
      </c>
      <c r="E40" s="4" t="s">
        <v>20</v>
      </c>
      <c r="F40" s="4">
        <v>10</v>
      </c>
      <c r="G40" s="21">
        <v>1694</v>
      </c>
      <c r="H40" s="21"/>
      <c r="I40" s="21">
        <v>1811.8700000000008</v>
      </c>
      <c r="J40" s="21">
        <v>7791120.9200000046</v>
      </c>
      <c r="K40" s="21"/>
      <c r="L40" s="21">
        <v>8455356.3199999966</v>
      </c>
      <c r="M40" s="21">
        <v>22125290.399999991</v>
      </c>
      <c r="N40" s="21"/>
      <c r="O40" s="21">
        <v>24609713.490000002</v>
      </c>
      <c r="S40" s="25">
        <f t="shared" si="10"/>
        <v>-7.2476896723389861E-2</v>
      </c>
      <c r="T40" s="26">
        <f t="shared" si="11"/>
        <v>-4.6177340198674921E-2</v>
      </c>
      <c r="U40" s="27">
        <f t="shared" si="12"/>
        <v>-6.4143013336454557E-2</v>
      </c>
      <c r="W40" s="13">
        <f t="shared" si="13"/>
        <v>0</v>
      </c>
      <c r="Y40" s="14">
        <f t="shared" si="14"/>
        <v>1680.5512851337924</v>
      </c>
      <c r="Z40" s="14">
        <f t="shared" si="15"/>
        <v>8064910.4547103411</v>
      </c>
      <c r="AA40" s="14">
        <f t="shared" si="16"/>
        <v>23031172.309404608</v>
      </c>
    </row>
    <row r="41" spans="4:27" outlineLevel="1" x14ac:dyDescent="0.25">
      <c r="D41" s="68" t="str">
        <f t="shared" si="17"/>
        <v>Online - NOV</v>
      </c>
      <c r="E41" s="4" t="s">
        <v>20</v>
      </c>
      <c r="F41" s="4">
        <v>11</v>
      </c>
      <c r="G41" s="21">
        <v>2365</v>
      </c>
      <c r="H41" s="21"/>
      <c r="I41" s="21">
        <v>1901.9200000000008</v>
      </c>
      <c r="J41" s="21">
        <v>10791632.570000008</v>
      </c>
      <c r="K41" s="21"/>
      <c r="L41" s="21">
        <v>8867978.8700000048</v>
      </c>
      <c r="M41" s="21">
        <v>30550025.700000022</v>
      </c>
      <c r="N41" s="21"/>
      <c r="O41" s="21">
        <v>25804337.080000009</v>
      </c>
      <c r="S41" s="25">
        <f t="shared" si="10"/>
        <v>-7.2476896723389861E-2</v>
      </c>
      <c r="T41" s="26">
        <f t="shared" si="11"/>
        <v>-4.6177340198674921E-2</v>
      </c>
      <c r="U41" s="27">
        <f t="shared" si="12"/>
        <v>-6.4143013336454557E-2</v>
      </c>
      <c r="W41" s="13">
        <f t="shared" si="13"/>
        <v>0</v>
      </c>
      <c r="Y41" s="14">
        <f t="shared" si="14"/>
        <v>1764.0747405838511</v>
      </c>
      <c r="Z41" s="14">
        <f t="shared" si="15"/>
        <v>8458479.1928453539</v>
      </c>
      <c r="AA41" s="14">
        <f t="shared" si="16"/>
        <v>24149169.142539199</v>
      </c>
    </row>
    <row r="42" spans="4:27" outlineLevel="1" x14ac:dyDescent="0.25">
      <c r="D42" s="68" t="str">
        <f t="shared" si="17"/>
        <v>Online - DEC</v>
      </c>
      <c r="E42" s="4" t="s">
        <v>20</v>
      </c>
      <c r="F42" s="4">
        <v>12</v>
      </c>
      <c r="G42" s="21">
        <v>2432</v>
      </c>
      <c r="H42" s="21"/>
      <c r="I42" s="21">
        <v>1930.800000000002</v>
      </c>
      <c r="J42" s="21">
        <v>11259829.439999994</v>
      </c>
      <c r="K42" s="21"/>
      <c r="L42" s="21">
        <v>8981278.8100000042</v>
      </c>
      <c r="M42" s="21">
        <v>32038559.06000001</v>
      </c>
      <c r="N42" s="21"/>
      <c r="O42" s="21">
        <v>26124053.669999979</v>
      </c>
      <c r="S42" s="28">
        <f t="shared" si="10"/>
        <v>-7.2476896723389861E-2</v>
      </c>
      <c r="T42" s="29">
        <f t="shared" si="11"/>
        <v>-4.6177340198674921E-2</v>
      </c>
      <c r="U42" s="30">
        <f t="shared" si="12"/>
        <v>-6.4143013336454557E-2</v>
      </c>
      <c r="W42" s="13">
        <f t="shared" si="13"/>
        <v>0</v>
      </c>
      <c r="Y42" s="14">
        <f t="shared" si="14"/>
        <v>1790.8616078064806</v>
      </c>
      <c r="Z42" s="14">
        <f t="shared" si="15"/>
        <v>8566547.2429714836</v>
      </c>
      <c r="AA42" s="14">
        <f t="shared" si="16"/>
        <v>24448378.147042915</v>
      </c>
    </row>
    <row r="43" spans="4:27" outlineLevel="1" x14ac:dyDescent="0.25">
      <c r="D43" s="68" t="str">
        <f t="shared" si="17"/>
        <v>Retail - JAN</v>
      </c>
      <c r="E43" s="4" t="s">
        <v>21</v>
      </c>
      <c r="F43" s="4">
        <v>1</v>
      </c>
      <c r="G43" s="21">
        <v>3493</v>
      </c>
      <c r="H43" s="21">
        <v>3685</v>
      </c>
      <c r="I43" s="21">
        <v>4261.2500000000045</v>
      </c>
      <c r="J43" s="21">
        <v>15875965.360000001</v>
      </c>
      <c r="K43" s="21">
        <v>17576841.560000014</v>
      </c>
      <c r="L43" s="21">
        <v>19713365.649999995</v>
      </c>
      <c r="M43" s="21">
        <v>47548408.569999948</v>
      </c>
      <c r="N43" s="21">
        <v>53086952.090000063</v>
      </c>
      <c r="O43" s="21">
        <v>60325928.479999967</v>
      </c>
      <c r="S43" s="22">
        <f t="shared" ref="S43:S54" si="18">IFERROR(SUMPRODUCT(H$43:H$54,$W$43:$W$54)/SUMPRODUCT(I$43:I$54,$W$43:$W$54)-1,"")</f>
        <v>-9.5844818440764423E-2</v>
      </c>
      <c r="T43" s="23">
        <f t="shared" ref="T43:T54" si="19">IFERROR(SUMPRODUCT(K$43:K$54,$W$43:$W$54)/SUMPRODUCT(L$43:L$54,$W$43:$W$54)-1,"")</f>
        <v>-6.5902159879405398E-2</v>
      </c>
      <c r="U43" s="24">
        <f t="shared" ref="U43:U54" si="20">IFERROR(SUMPRODUCT(N$43:N$54,$W$43:$W$54)/SUMPRODUCT(O$43:O$54,$W$43:$W$54)-1,"")</f>
        <v>-8.5591049716826628E-2</v>
      </c>
      <c r="W43" s="13">
        <f t="shared" si="13"/>
        <v>1</v>
      </c>
      <c r="Y43" s="14">
        <f t="shared" si="14"/>
        <v>3685</v>
      </c>
      <c r="Z43" s="14">
        <f t="shared" si="15"/>
        <v>17576841.560000014</v>
      </c>
      <c r="AA43" s="14">
        <f t="shared" si="16"/>
        <v>53086952.090000063</v>
      </c>
    </row>
    <row r="44" spans="4:27" outlineLevel="1" x14ac:dyDescent="0.25">
      <c r="D44" s="68" t="str">
        <f t="shared" si="17"/>
        <v>Retail - FEB</v>
      </c>
      <c r="E44" s="4" t="s">
        <v>21</v>
      </c>
      <c r="F44" s="4">
        <v>2</v>
      </c>
      <c r="G44" s="21">
        <v>3354</v>
      </c>
      <c r="H44" s="21">
        <v>3519</v>
      </c>
      <c r="I44" s="21">
        <v>4232.5699999999979</v>
      </c>
      <c r="J44" s="21">
        <v>15044245.609999985</v>
      </c>
      <c r="K44" s="21">
        <v>16575573.83</v>
      </c>
      <c r="L44" s="21">
        <v>19496314.099999994</v>
      </c>
      <c r="M44" s="21">
        <v>44951751.589999922</v>
      </c>
      <c r="N44" s="21">
        <v>49844977.430000037</v>
      </c>
      <c r="O44" s="21">
        <v>59727382.730000041</v>
      </c>
      <c r="S44" s="25">
        <f t="shared" si="18"/>
        <v>-9.5844818440764423E-2</v>
      </c>
      <c r="T44" s="26">
        <f t="shared" si="19"/>
        <v>-6.5902159879405398E-2</v>
      </c>
      <c r="U44" s="27">
        <f t="shared" si="20"/>
        <v>-8.5591049716826628E-2</v>
      </c>
      <c r="W44" s="13">
        <f t="shared" si="13"/>
        <v>1</v>
      </c>
      <c r="Y44" s="14">
        <f t="shared" si="14"/>
        <v>3519</v>
      </c>
      <c r="Z44" s="14">
        <f t="shared" si="15"/>
        <v>16575573.83</v>
      </c>
      <c r="AA44" s="14">
        <f t="shared" si="16"/>
        <v>49844977.430000037</v>
      </c>
    </row>
    <row r="45" spans="4:27" outlineLevel="1" x14ac:dyDescent="0.25">
      <c r="D45" s="68" t="str">
        <f t="shared" si="17"/>
        <v>Retail - MAR</v>
      </c>
      <c r="E45" s="4" t="s">
        <v>21</v>
      </c>
      <c r="F45" s="4">
        <v>3</v>
      </c>
      <c r="G45" s="21">
        <v>3934</v>
      </c>
      <c r="H45" s="21">
        <v>4125</v>
      </c>
      <c r="I45" s="21">
        <v>4372.5400000000009</v>
      </c>
      <c r="J45" s="21">
        <v>18128532.080000006</v>
      </c>
      <c r="K45" s="21">
        <v>19985723.02</v>
      </c>
      <c r="L45" s="21">
        <v>20060441.370000005</v>
      </c>
      <c r="M45" s="21">
        <v>54709857.910000004</v>
      </c>
      <c r="N45" s="21">
        <v>60325097.62999998</v>
      </c>
      <c r="O45" s="21">
        <v>61328025.050000042</v>
      </c>
      <c r="S45" s="25">
        <f t="shared" si="18"/>
        <v>-9.5844818440764423E-2</v>
      </c>
      <c r="T45" s="26">
        <f t="shared" si="19"/>
        <v>-6.5902159879405398E-2</v>
      </c>
      <c r="U45" s="27">
        <f t="shared" si="20"/>
        <v>-8.5591049716826628E-2</v>
      </c>
      <c r="W45" s="13">
        <f t="shared" si="13"/>
        <v>1</v>
      </c>
      <c r="Y45" s="14">
        <f t="shared" si="14"/>
        <v>4125</v>
      </c>
      <c r="Z45" s="14">
        <f t="shared" si="15"/>
        <v>19985723.02</v>
      </c>
      <c r="AA45" s="14">
        <f t="shared" si="16"/>
        <v>60325097.62999998</v>
      </c>
    </row>
    <row r="46" spans="4:27" outlineLevel="1" x14ac:dyDescent="0.25">
      <c r="D46" s="68" t="str">
        <f t="shared" si="17"/>
        <v>Retail - APR</v>
      </c>
      <c r="E46" s="4" t="s">
        <v>21</v>
      </c>
      <c r="F46" s="4">
        <v>4</v>
      </c>
      <c r="G46" s="21">
        <v>3731</v>
      </c>
      <c r="H46" s="21">
        <v>3934</v>
      </c>
      <c r="I46" s="21">
        <v>4288.050000000002</v>
      </c>
      <c r="J46" s="21">
        <v>16804679.760000002</v>
      </c>
      <c r="K46" s="21">
        <v>18599883.45999999</v>
      </c>
      <c r="L46" s="21">
        <v>19826983.45999999</v>
      </c>
      <c r="M46" s="21">
        <v>50625086.159999996</v>
      </c>
      <c r="N46" s="21">
        <v>55633549.280000009</v>
      </c>
      <c r="O46" s="21">
        <v>60804397.820000067</v>
      </c>
      <c r="S46" s="25">
        <f t="shared" si="18"/>
        <v>-9.5844818440764423E-2</v>
      </c>
      <c r="T46" s="26">
        <f t="shared" si="19"/>
        <v>-6.5902159879405398E-2</v>
      </c>
      <c r="U46" s="27">
        <f t="shared" si="20"/>
        <v>-8.5591049716826628E-2</v>
      </c>
      <c r="W46" s="13">
        <f t="shared" si="13"/>
        <v>1</v>
      </c>
      <c r="Y46" s="14">
        <f t="shared" si="14"/>
        <v>3934</v>
      </c>
      <c r="Z46" s="14">
        <f t="shared" si="15"/>
        <v>18599883.45999999</v>
      </c>
      <c r="AA46" s="14">
        <f t="shared" si="16"/>
        <v>55633549.280000009</v>
      </c>
    </row>
    <row r="47" spans="4:27" outlineLevel="1" x14ac:dyDescent="0.25">
      <c r="D47" s="68" t="str">
        <f t="shared" si="17"/>
        <v>Retail - MAY</v>
      </c>
      <c r="E47" s="4" t="s">
        <v>21</v>
      </c>
      <c r="F47" s="4">
        <v>5</v>
      </c>
      <c r="G47" s="21">
        <v>4120</v>
      </c>
      <c r="H47" s="21">
        <v>4336</v>
      </c>
      <c r="I47" s="21">
        <v>4462.309999999994</v>
      </c>
      <c r="J47" s="21">
        <v>18493967.63000001</v>
      </c>
      <c r="K47" s="21">
        <v>20413364.329999983</v>
      </c>
      <c r="L47" s="21">
        <v>20633766.620000001</v>
      </c>
      <c r="M47" s="21">
        <v>55517362.249999948</v>
      </c>
      <c r="N47" s="21">
        <v>60527687.900000066</v>
      </c>
      <c r="O47" s="21">
        <v>63233401.459999986</v>
      </c>
      <c r="S47" s="25">
        <f t="shared" si="18"/>
        <v>-9.5844818440764423E-2</v>
      </c>
      <c r="T47" s="26">
        <f t="shared" si="19"/>
        <v>-6.5902159879405398E-2</v>
      </c>
      <c r="U47" s="27">
        <f t="shared" si="20"/>
        <v>-8.5591049716826628E-2</v>
      </c>
      <c r="W47" s="13">
        <f t="shared" si="13"/>
        <v>1</v>
      </c>
      <c r="Y47" s="14">
        <f t="shared" si="14"/>
        <v>4336</v>
      </c>
      <c r="Z47" s="14">
        <f t="shared" si="15"/>
        <v>20413364.329999983</v>
      </c>
      <c r="AA47" s="14">
        <f t="shared" si="16"/>
        <v>60527687.900000066</v>
      </c>
    </row>
    <row r="48" spans="4:27" outlineLevel="1" x14ac:dyDescent="0.25">
      <c r="D48" s="68" t="str">
        <f t="shared" si="17"/>
        <v>Retail - JUN</v>
      </c>
      <c r="E48" s="4" t="s">
        <v>21</v>
      </c>
      <c r="F48" s="4">
        <v>6</v>
      </c>
      <c r="G48" s="21">
        <v>3784</v>
      </c>
      <c r="H48" s="21">
        <v>3992</v>
      </c>
      <c r="I48" s="21">
        <v>4475.0399999999972</v>
      </c>
      <c r="J48" s="21">
        <v>17369652.84999999</v>
      </c>
      <c r="K48" s="21">
        <v>19257761.209999997</v>
      </c>
      <c r="L48" s="21">
        <v>20608928.960000005</v>
      </c>
      <c r="M48" s="21">
        <v>52267389.009999938</v>
      </c>
      <c r="N48" s="21">
        <v>57472252.639999986</v>
      </c>
      <c r="O48" s="21">
        <v>63005207.710000038</v>
      </c>
      <c r="S48" s="25">
        <f t="shared" si="18"/>
        <v>-9.5844818440764423E-2</v>
      </c>
      <c r="T48" s="26">
        <f t="shared" si="19"/>
        <v>-6.5902159879405398E-2</v>
      </c>
      <c r="U48" s="27">
        <f t="shared" si="20"/>
        <v>-8.5591049716826628E-2</v>
      </c>
      <c r="W48" s="13">
        <f t="shared" si="13"/>
        <v>1</v>
      </c>
      <c r="Y48" s="14">
        <f t="shared" si="14"/>
        <v>3992</v>
      </c>
      <c r="Z48" s="14">
        <f t="shared" si="15"/>
        <v>19257761.209999997</v>
      </c>
      <c r="AA48" s="14">
        <f t="shared" si="16"/>
        <v>57472252.639999986</v>
      </c>
    </row>
    <row r="49" spans="4:27" outlineLevel="1" x14ac:dyDescent="0.25">
      <c r="D49" s="68" t="str">
        <f t="shared" si="17"/>
        <v>Retail - JUL</v>
      </c>
      <c r="E49" s="4" t="s">
        <v>21</v>
      </c>
      <c r="F49" s="4">
        <v>7</v>
      </c>
      <c r="G49" s="21">
        <v>3896</v>
      </c>
      <c r="H49" s="21"/>
      <c r="I49" s="21">
        <v>4326.2</v>
      </c>
      <c r="J49" s="21">
        <v>17692026.869999994</v>
      </c>
      <c r="K49" s="21"/>
      <c r="L49" s="21">
        <v>20115953.85000002</v>
      </c>
      <c r="M49" s="21">
        <v>52839119.629999906</v>
      </c>
      <c r="N49" s="21"/>
      <c r="O49" s="21">
        <v>61804261.450000048</v>
      </c>
      <c r="S49" s="25">
        <f t="shared" si="18"/>
        <v>-9.5844818440764423E-2</v>
      </c>
      <c r="T49" s="26">
        <f t="shared" si="19"/>
        <v>-6.5902159879405398E-2</v>
      </c>
      <c r="U49" s="27">
        <f t="shared" si="20"/>
        <v>-8.5591049716826628E-2</v>
      </c>
      <c r="W49" s="13">
        <f t="shared" si="13"/>
        <v>0</v>
      </c>
      <c r="Y49" s="14">
        <f t="shared" si="14"/>
        <v>3911.5561464615648</v>
      </c>
      <c r="Z49" s="14">
        <f t="shared" si="15"/>
        <v>18790269.043250579</v>
      </c>
      <c r="AA49" s="14">
        <f t="shared" si="16"/>
        <v>56514369.83552134</v>
      </c>
    </row>
    <row r="50" spans="4:27" outlineLevel="1" x14ac:dyDescent="0.25">
      <c r="D50" s="68" t="str">
        <f t="shared" si="17"/>
        <v>Retail - AUG</v>
      </c>
      <c r="E50" s="4" t="s">
        <v>21</v>
      </c>
      <c r="F50" s="4">
        <v>8</v>
      </c>
      <c r="G50" s="21">
        <v>3844</v>
      </c>
      <c r="H50" s="21"/>
      <c r="I50" s="21">
        <v>4417.75</v>
      </c>
      <c r="J50" s="21">
        <v>17305150.120000001</v>
      </c>
      <c r="K50" s="21"/>
      <c r="L50" s="21">
        <v>20387052.149999987</v>
      </c>
      <c r="M50" s="21">
        <v>51389102.079999983</v>
      </c>
      <c r="N50" s="21"/>
      <c r="O50" s="21">
        <v>62499530.009999976</v>
      </c>
      <c r="S50" s="25">
        <f t="shared" si="18"/>
        <v>-9.5844818440764423E-2</v>
      </c>
      <c r="T50" s="26">
        <f t="shared" si="19"/>
        <v>-6.5902159879405398E-2</v>
      </c>
      <c r="U50" s="27">
        <f t="shared" si="20"/>
        <v>-8.5591049716826628E-2</v>
      </c>
      <c r="W50" s="13">
        <f t="shared" si="13"/>
        <v>0</v>
      </c>
      <c r="Y50" s="14">
        <f t="shared" si="14"/>
        <v>3994.331553333313</v>
      </c>
      <c r="Z50" s="14">
        <f t="shared" si="15"/>
        <v>19043501.379740912</v>
      </c>
      <c r="AA50" s="14">
        <f t="shared" si="16"/>
        <v>57150129.629635766</v>
      </c>
    </row>
    <row r="51" spans="4:27" outlineLevel="1" x14ac:dyDescent="0.25">
      <c r="D51" s="68" t="str">
        <f t="shared" si="17"/>
        <v>Retail - SEP</v>
      </c>
      <c r="E51" s="4" t="s">
        <v>21</v>
      </c>
      <c r="F51" s="4">
        <v>9</v>
      </c>
      <c r="G51" s="21">
        <v>4135</v>
      </c>
      <c r="H51" s="21"/>
      <c r="I51" s="21">
        <v>4521.389999999994</v>
      </c>
      <c r="J51" s="21">
        <v>18675062.430000015</v>
      </c>
      <c r="K51" s="21"/>
      <c r="L51" s="21">
        <v>20907050.51000002</v>
      </c>
      <c r="M51" s="21">
        <v>56071834.849999912</v>
      </c>
      <c r="N51" s="21"/>
      <c r="O51" s="21">
        <v>64163822.509999976</v>
      </c>
      <c r="S51" s="25">
        <f t="shared" si="18"/>
        <v>-9.5844818440764423E-2</v>
      </c>
      <c r="T51" s="26">
        <f t="shared" si="19"/>
        <v>-6.5902159879405398E-2</v>
      </c>
      <c r="U51" s="27">
        <f t="shared" si="20"/>
        <v>-8.5591049716826628E-2</v>
      </c>
      <c r="W51" s="13">
        <f t="shared" si="13"/>
        <v>0</v>
      </c>
      <c r="Y51" s="14">
        <f t="shared" si="14"/>
        <v>4088.0381963501068</v>
      </c>
      <c r="Z51" s="14">
        <f t="shared" si="15"/>
        <v>19529230.724683195</v>
      </c>
      <c r="AA51" s="14">
        <f t="shared" si="16"/>
        <v>58671973.587524928</v>
      </c>
    </row>
    <row r="52" spans="4:27" outlineLevel="1" x14ac:dyDescent="0.25">
      <c r="D52" s="68" t="str">
        <f t="shared" si="17"/>
        <v>Retail - OCT</v>
      </c>
      <c r="E52" s="4" t="s">
        <v>21</v>
      </c>
      <c r="F52" s="4">
        <v>10</v>
      </c>
      <c r="G52" s="21">
        <v>4519</v>
      </c>
      <c r="H52" s="21"/>
      <c r="I52" s="21">
        <v>4647.5000000000018</v>
      </c>
      <c r="J52" s="21">
        <v>20590999.109999999</v>
      </c>
      <c r="K52" s="21"/>
      <c r="L52" s="21">
        <v>21649769.770000003</v>
      </c>
      <c r="M52" s="21">
        <v>61603032.989999898</v>
      </c>
      <c r="N52" s="21"/>
      <c r="O52" s="21">
        <v>66364238.769999966</v>
      </c>
      <c r="S52" s="25">
        <f t="shared" si="18"/>
        <v>-9.5844818440764423E-2</v>
      </c>
      <c r="T52" s="26">
        <f t="shared" si="19"/>
        <v>-6.5902159879405398E-2</v>
      </c>
      <c r="U52" s="27">
        <f t="shared" si="20"/>
        <v>-8.5591049716826628E-2</v>
      </c>
      <c r="W52" s="13">
        <f t="shared" si="13"/>
        <v>0</v>
      </c>
      <c r="Y52" s="14">
        <f t="shared" si="14"/>
        <v>4202.0612062965492</v>
      </c>
      <c r="Z52" s="14">
        <f t="shared" si="15"/>
        <v>20223003.181265146</v>
      </c>
      <c r="AA52" s="14">
        <f t="shared" si="16"/>
        <v>60684053.910017543</v>
      </c>
    </row>
    <row r="53" spans="4:27" outlineLevel="1" x14ac:dyDescent="0.25">
      <c r="D53" s="68" t="str">
        <f t="shared" si="17"/>
        <v>Retail - NOV</v>
      </c>
      <c r="E53" s="4" t="s">
        <v>21</v>
      </c>
      <c r="F53" s="4">
        <v>11</v>
      </c>
      <c r="G53" s="21">
        <v>5518</v>
      </c>
      <c r="H53" s="21"/>
      <c r="I53" s="21">
        <v>4956.2499999999982</v>
      </c>
      <c r="J53" s="21">
        <v>25070407.110000011</v>
      </c>
      <c r="K53" s="21"/>
      <c r="L53" s="21">
        <v>23010493.679999996</v>
      </c>
      <c r="M53" s="21">
        <v>75146864.450000003</v>
      </c>
      <c r="N53" s="21"/>
      <c r="O53" s="21">
        <v>70475241.480000019</v>
      </c>
      <c r="S53" s="25">
        <f t="shared" si="18"/>
        <v>-9.5844818440764423E-2</v>
      </c>
      <c r="T53" s="26">
        <f t="shared" si="19"/>
        <v>-6.5902159879405398E-2</v>
      </c>
      <c r="U53" s="27">
        <f t="shared" si="20"/>
        <v>-8.5591049716826628E-2</v>
      </c>
      <c r="W53" s="13">
        <f t="shared" si="13"/>
        <v>0</v>
      </c>
      <c r="Y53" s="14">
        <f t="shared" si="14"/>
        <v>4481.2191186029595</v>
      </c>
      <c r="Z53" s="14">
        <f t="shared" si="15"/>
        <v>21494052.446596589</v>
      </c>
      <c r="AA53" s="14">
        <f t="shared" si="16"/>
        <v>64443191.582679972</v>
      </c>
    </row>
    <row r="54" spans="4:27" outlineLevel="1" x14ac:dyDescent="0.25">
      <c r="D54" s="68" t="str">
        <f t="shared" si="17"/>
        <v>Retail - DEC</v>
      </c>
      <c r="E54" s="4" t="s">
        <v>21</v>
      </c>
      <c r="F54" s="4">
        <v>12</v>
      </c>
      <c r="G54" s="21">
        <v>6762</v>
      </c>
      <c r="H54" s="21"/>
      <c r="I54" s="21">
        <v>5000.4900000000025</v>
      </c>
      <c r="J54" s="21">
        <v>30695325.020000003</v>
      </c>
      <c r="K54" s="21"/>
      <c r="L54" s="21">
        <v>23160940.390000023</v>
      </c>
      <c r="M54" s="21">
        <v>91718718.430000082</v>
      </c>
      <c r="N54" s="21"/>
      <c r="O54" s="21">
        <v>70948538.299999982</v>
      </c>
      <c r="S54" s="28">
        <f t="shared" si="18"/>
        <v>-9.5844818440764423E-2</v>
      </c>
      <c r="T54" s="29">
        <f t="shared" si="19"/>
        <v>-6.5902159879405398E-2</v>
      </c>
      <c r="U54" s="30">
        <f t="shared" si="20"/>
        <v>-8.5591049716826628E-2</v>
      </c>
      <c r="W54" s="13">
        <f t="shared" si="13"/>
        <v>0</v>
      </c>
      <c r="Y54" s="14">
        <f t="shared" si="14"/>
        <v>4521.2189438351443</v>
      </c>
      <c r="Z54" s="14">
        <f t="shared" si="15"/>
        <v>21634584.393460862</v>
      </c>
      <c r="AA54" s="14">
        <f t="shared" si="16"/>
        <v>64875978.431028508</v>
      </c>
    </row>
    <row r="55" spans="4:27" x14ac:dyDescent="0.25">
      <c r="E55" s="4" t="s">
        <v>1</v>
      </c>
      <c r="G55" s="21">
        <v>70972</v>
      </c>
      <c r="H55" s="21">
        <v>32888</v>
      </c>
      <c r="I55" s="21">
        <v>74712.839999999982</v>
      </c>
      <c r="J55" s="21">
        <v>322300531.08999997</v>
      </c>
      <c r="K55" s="21">
        <v>156640261.47</v>
      </c>
      <c r="L55" s="21">
        <v>345851990.07000005</v>
      </c>
      <c r="M55" s="21">
        <v>952787356.0399996</v>
      </c>
      <c r="N55" s="21">
        <v>462709055.24000013</v>
      </c>
      <c r="O55" s="21">
        <v>1044312160.7700001</v>
      </c>
      <c r="S55" s="77"/>
      <c r="T55" s="77"/>
      <c r="U55" s="77"/>
      <c r="V55" s="74"/>
      <c r="W55" s="76"/>
      <c r="X55" s="74"/>
      <c r="Y55" s="73">
        <f>IFERROR(SUM(Y31:Y54),"")</f>
        <v>68036.920842524225</v>
      </c>
      <c r="Z55" s="73">
        <f>IFERROR(SUM(Z31:Z54),"")</f>
        <v>324958720.90006047</v>
      </c>
      <c r="AA55" s="73">
        <f>IFERROR(SUM(AA31:AA54),"")</f>
        <v>960925947.97465122</v>
      </c>
    </row>
    <row r="56" spans="4:27" x14ac:dyDescent="0.25">
      <c r="D56" s="68" t="str">
        <f>E56</f>
        <v>Online</v>
      </c>
      <c r="E56" s="32" t="s">
        <v>20</v>
      </c>
      <c r="G56" s="14">
        <f>SUMIF($E$31:$E$54,$E56,G$31:G$54)</f>
        <v>19882</v>
      </c>
      <c r="H56" s="14">
        <f t="shared" ref="H56:O57" si="21">SUMIF($E$31:$E$54,$E56,H$31:H$54)</f>
        <v>9297</v>
      </c>
      <c r="I56" s="14">
        <f t="shared" si="21"/>
        <v>20751.500000000004</v>
      </c>
      <c r="J56" s="14">
        <f t="shared" si="21"/>
        <v>90554517.140000015</v>
      </c>
      <c r="K56" s="14">
        <f t="shared" si="21"/>
        <v>44231114.060000017</v>
      </c>
      <c r="L56" s="14">
        <f t="shared" si="21"/>
        <v>96280929.560000017</v>
      </c>
      <c r="M56" s="14">
        <f t="shared" si="21"/>
        <v>258398828.11999997</v>
      </c>
      <c r="N56" s="14">
        <f t="shared" si="21"/>
        <v>125818538.27000001</v>
      </c>
      <c r="O56" s="14">
        <f t="shared" si="21"/>
        <v>279632185</v>
      </c>
      <c r="S56" s="31"/>
      <c r="T56" s="31"/>
      <c r="U56" s="31"/>
      <c r="Y56" s="14">
        <f t="shared" ref="Y56:AA57" si="22">IFERROR(SUMIF($E$31:$E$54,$E56,Y$31:Y$54),"")</f>
        <v>19247.495677644572</v>
      </c>
      <c r="Z56" s="14">
        <f t="shared" si="22"/>
        <v>91834932.321063235</v>
      </c>
      <c r="AA56" s="14">
        <f t="shared" si="22"/>
        <v>261695734.02824306</v>
      </c>
    </row>
    <row r="57" spans="4:27" x14ac:dyDescent="0.25">
      <c r="D57" s="68" t="str">
        <f>E57</f>
        <v>Retail</v>
      </c>
      <c r="E57" s="12" t="s">
        <v>21</v>
      </c>
      <c r="G57" s="14">
        <f>SUMIF($E$31:$E$54,$E57,G$31:G$54)</f>
        <v>51090</v>
      </c>
      <c r="H57" s="14">
        <f t="shared" si="21"/>
        <v>23591</v>
      </c>
      <c r="I57" s="14">
        <f t="shared" si="21"/>
        <v>53961.34</v>
      </c>
      <c r="J57" s="14">
        <f t="shared" si="21"/>
        <v>231746013.95000002</v>
      </c>
      <c r="K57" s="14">
        <f t="shared" si="21"/>
        <v>112409147.40999998</v>
      </c>
      <c r="L57" s="14">
        <f t="shared" si="21"/>
        <v>249571060.51000005</v>
      </c>
      <c r="M57" s="14">
        <f t="shared" si="21"/>
        <v>694388527.91999948</v>
      </c>
      <c r="N57" s="14">
        <f t="shared" si="21"/>
        <v>336890516.97000015</v>
      </c>
      <c r="O57" s="14">
        <f t="shared" si="21"/>
        <v>764679975.7700001</v>
      </c>
      <c r="S57" s="31"/>
      <c r="T57" s="31"/>
      <c r="U57" s="31"/>
      <c r="Y57" s="14">
        <f t="shared" si="22"/>
        <v>48789.425164879634</v>
      </c>
      <c r="Z57" s="14">
        <f t="shared" si="22"/>
        <v>233123788.57899728</v>
      </c>
      <c r="AA57" s="14">
        <f t="shared" si="22"/>
        <v>699230213.94640815</v>
      </c>
    </row>
    <row r="60" spans="4:27" x14ac:dyDescent="0.25">
      <c r="E60" s="4" t="s">
        <v>30</v>
      </c>
    </row>
    <row r="61" spans="4:27" x14ac:dyDescent="0.25">
      <c r="G61" s="19" t="s">
        <v>26</v>
      </c>
      <c r="H61" s="19" t="s">
        <v>27</v>
      </c>
      <c r="S61" s="76"/>
      <c r="T61" s="76"/>
      <c r="U61" s="76"/>
      <c r="V61" s="74"/>
      <c r="W61" s="76"/>
      <c r="X61" s="74"/>
      <c r="Y61" s="74"/>
      <c r="Z61" s="74"/>
      <c r="AA61" s="74"/>
    </row>
    <row r="62" spans="4:27" x14ac:dyDescent="0.25">
      <c r="G62" s="4" t="s">
        <v>13</v>
      </c>
      <c r="J62" s="4" t="s">
        <v>15</v>
      </c>
      <c r="M62" s="4" t="s">
        <v>16</v>
      </c>
      <c r="S62" s="69" t="s">
        <v>13</v>
      </c>
      <c r="T62" s="69" t="s">
        <v>15</v>
      </c>
      <c r="U62" s="69" t="s">
        <v>16</v>
      </c>
      <c r="V62" s="74"/>
      <c r="W62" s="75" t="s">
        <v>94</v>
      </c>
      <c r="X62" s="74"/>
      <c r="Y62" s="72" t="s">
        <v>96</v>
      </c>
      <c r="Z62" s="72"/>
      <c r="AA62" s="72"/>
    </row>
    <row r="63" spans="4:27" x14ac:dyDescent="0.25">
      <c r="E63" s="19" t="s">
        <v>31</v>
      </c>
      <c r="F63" s="19" t="s">
        <v>14</v>
      </c>
      <c r="G63" s="4" t="s">
        <v>24</v>
      </c>
      <c r="H63" s="4" t="s">
        <v>22</v>
      </c>
      <c r="I63" s="4" t="s">
        <v>23</v>
      </c>
      <c r="J63" s="4" t="s">
        <v>24</v>
      </c>
      <c r="K63" s="4" t="s">
        <v>22</v>
      </c>
      <c r="L63" s="4" t="s">
        <v>23</v>
      </c>
      <c r="M63" s="4" t="s">
        <v>24</v>
      </c>
      <c r="N63" s="4" t="s">
        <v>22</v>
      </c>
      <c r="O63" s="4" t="s">
        <v>23</v>
      </c>
      <c r="S63" s="75" t="s">
        <v>93</v>
      </c>
      <c r="T63" s="75" t="s">
        <v>93</v>
      </c>
      <c r="U63" s="75" t="s">
        <v>93</v>
      </c>
      <c r="V63" s="74"/>
      <c r="W63" s="75" t="s">
        <v>95</v>
      </c>
      <c r="X63" s="74"/>
      <c r="Y63" s="70" t="s">
        <v>98</v>
      </c>
      <c r="Z63" s="70" t="s">
        <v>99</v>
      </c>
      <c r="AA63" s="70" t="s">
        <v>100</v>
      </c>
    </row>
    <row r="64" spans="4:27" outlineLevel="1" x14ac:dyDescent="0.25">
      <c r="D64" s="68" t="str">
        <f>_xlfn.CONCAT(E64," - ",_xlfn.XLOOKUP(F64,$C$13:$C$24,$E$13:$E$24,""))</f>
        <v>Boutique - JAN</v>
      </c>
      <c r="E64" s="4" t="s">
        <v>32</v>
      </c>
      <c r="F64" s="4">
        <v>1</v>
      </c>
      <c r="G64" s="21">
        <v>817</v>
      </c>
      <c r="H64" s="21">
        <v>942</v>
      </c>
      <c r="I64" s="21">
        <v>1103.7499999999995</v>
      </c>
      <c r="J64" s="21">
        <v>3745173.0299999993</v>
      </c>
      <c r="K64" s="21">
        <v>4507909.4599999972</v>
      </c>
      <c r="L64" s="21">
        <v>5097746.1100000031</v>
      </c>
      <c r="M64" s="21">
        <v>15394470.859999992</v>
      </c>
      <c r="N64" s="21">
        <v>18523463.830000006</v>
      </c>
      <c r="O64" s="21">
        <v>21111266.130000003</v>
      </c>
      <c r="S64" s="22">
        <f t="shared" ref="S64:S75" si="23">IFERROR(SUMPRODUCT(H$64:H$75,$W$64:$W$75)/SUMPRODUCT(I$64:I$75,$W$64:$W$75)-1,"")</f>
        <v>-7.4525659405992761E-2</v>
      </c>
      <c r="T64" s="23">
        <f t="shared" ref="T64:T75" si="24">IFERROR(SUMPRODUCT(K$64:K$75,$W$64:$W$75)/SUMPRODUCT(L$64:L$75,$W$64:$W$75)-1,"")</f>
        <v>-4.1263510236559942E-2</v>
      </c>
      <c r="U64" s="24">
        <f t="shared" ref="U64:U75" si="25">IFERROR(SUMPRODUCT(N$64:N$75,$W$64:$W$75)/SUMPRODUCT(O$64:O$75,$W$64:$W$75)-1,"")</f>
        <v>-5.9486212999989574E-2</v>
      </c>
      <c r="W64" s="13">
        <f t="shared" ref="W64:W87" si="26">IFERROR(_xlfn.XLOOKUP(F64,$F$13:$F$24,$W$13:$W$24),"")</f>
        <v>1</v>
      </c>
      <c r="Y64" s="14">
        <f t="shared" ref="Y64:Y87" si="27">IFERROR(IF($W64=1,H64,I64*(1+S64)),"")</f>
        <v>942</v>
      </c>
      <c r="Z64" s="14">
        <f t="shared" ref="Z64:Z87" si="28">IFERROR(IF($W64=1,K64,L64*(1+T64)),"")</f>
        <v>4507909.4599999972</v>
      </c>
      <c r="AA64" s="14">
        <f t="shared" ref="AA64:AA87" si="29">IFERROR(IF($W64=1,N64,O64*(1+U64)),"")</f>
        <v>18523463.830000006</v>
      </c>
    </row>
    <row r="65" spans="4:27" outlineLevel="1" x14ac:dyDescent="0.25">
      <c r="D65" s="68" t="str">
        <f t="shared" ref="D65:D87" si="30">_xlfn.CONCAT(E65," - ",_xlfn.XLOOKUP(F65,$C$13:$C$24,$E$13:$E$24,""))</f>
        <v>Boutique - FEB</v>
      </c>
      <c r="E65" s="4" t="s">
        <v>32</v>
      </c>
      <c r="F65" s="4">
        <v>2</v>
      </c>
      <c r="G65" s="21">
        <v>800</v>
      </c>
      <c r="H65" s="21">
        <v>903</v>
      </c>
      <c r="I65" s="21">
        <v>1112.5399999999997</v>
      </c>
      <c r="J65" s="21">
        <v>3564359.2200000021</v>
      </c>
      <c r="K65" s="21">
        <v>4216923.2699999996</v>
      </c>
      <c r="L65" s="21">
        <v>5138279.2499999981</v>
      </c>
      <c r="M65" s="21">
        <v>14599967.049999991</v>
      </c>
      <c r="N65" s="21">
        <v>17268733.600000005</v>
      </c>
      <c r="O65" s="21">
        <v>21277833.43999999</v>
      </c>
      <c r="S65" s="25">
        <f t="shared" si="23"/>
        <v>-7.4525659405992761E-2</v>
      </c>
      <c r="T65" s="26">
        <f t="shared" si="24"/>
        <v>-4.1263510236559942E-2</v>
      </c>
      <c r="U65" s="27">
        <f t="shared" si="25"/>
        <v>-5.9486212999989574E-2</v>
      </c>
      <c r="W65" s="13">
        <f t="shared" si="26"/>
        <v>1</v>
      </c>
      <c r="Y65" s="14">
        <f t="shared" si="27"/>
        <v>903</v>
      </c>
      <c r="Z65" s="14">
        <f t="shared" si="28"/>
        <v>4216923.2699999996</v>
      </c>
      <c r="AA65" s="14">
        <f t="shared" si="29"/>
        <v>17268733.600000005</v>
      </c>
    </row>
    <row r="66" spans="4:27" outlineLevel="1" x14ac:dyDescent="0.25">
      <c r="D66" s="68" t="str">
        <f t="shared" si="30"/>
        <v>Boutique - MAR</v>
      </c>
      <c r="E66" s="4" t="s">
        <v>32</v>
      </c>
      <c r="F66" s="4">
        <v>3</v>
      </c>
      <c r="G66" s="21">
        <v>984</v>
      </c>
      <c r="H66" s="21">
        <v>1121</v>
      </c>
      <c r="I66" s="21">
        <v>1129.0199999999998</v>
      </c>
      <c r="J66" s="21">
        <v>4509778.9699999979</v>
      </c>
      <c r="K66" s="21">
        <v>5415470.0300000031</v>
      </c>
      <c r="L66" s="21">
        <v>5225691.7600000007</v>
      </c>
      <c r="M66" s="21">
        <v>18534339.009999987</v>
      </c>
      <c r="N66" s="21">
        <v>22083620.530000001</v>
      </c>
      <c r="O66" s="21">
        <v>21673857.510000009</v>
      </c>
      <c r="S66" s="25">
        <f t="shared" si="23"/>
        <v>-7.4525659405992761E-2</v>
      </c>
      <c r="T66" s="26">
        <f t="shared" si="24"/>
        <v>-4.1263510236559942E-2</v>
      </c>
      <c r="U66" s="27">
        <f t="shared" si="25"/>
        <v>-5.9486212999989574E-2</v>
      </c>
      <c r="W66" s="13">
        <f t="shared" si="26"/>
        <v>1</v>
      </c>
      <c r="Y66" s="14">
        <f t="shared" si="27"/>
        <v>1121</v>
      </c>
      <c r="Z66" s="14">
        <f t="shared" si="28"/>
        <v>5415470.0300000031</v>
      </c>
      <c r="AA66" s="14">
        <f t="shared" si="29"/>
        <v>22083620.530000001</v>
      </c>
    </row>
    <row r="67" spans="4:27" outlineLevel="1" x14ac:dyDescent="0.25">
      <c r="D67" s="68" t="str">
        <f t="shared" si="30"/>
        <v>Boutique - APR</v>
      </c>
      <c r="E67" s="4" t="s">
        <v>32</v>
      </c>
      <c r="F67" s="4">
        <v>4</v>
      </c>
      <c r="G67" s="21">
        <v>953</v>
      </c>
      <c r="H67" s="21">
        <v>1095</v>
      </c>
      <c r="I67" s="21">
        <v>1126.3499999999992</v>
      </c>
      <c r="J67" s="21">
        <v>4342130.8499999987</v>
      </c>
      <c r="K67" s="21">
        <v>5221563.0600000052</v>
      </c>
      <c r="L67" s="21">
        <v>5218285.1899999967</v>
      </c>
      <c r="M67" s="21">
        <v>17850387.489999995</v>
      </c>
      <c r="N67" s="21">
        <v>21179107.999999993</v>
      </c>
      <c r="O67" s="21">
        <v>21642804.719999988</v>
      </c>
      <c r="S67" s="25">
        <f t="shared" si="23"/>
        <v>-7.4525659405992761E-2</v>
      </c>
      <c r="T67" s="26">
        <f t="shared" si="24"/>
        <v>-4.1263510236559942E-2</v>
      </c>
      <c r="U67" s="27">
        <f t="shared" si="25"/>
        <v>-5.9486212999989574E-2</v>
      </c>
      <c r="W67" s="13">
        <f t="shared" si="26"/>
        <v>1</v>
      </c>
      <c r="Y67" s="14">
        <f t="shared" si="27"/>
        <v>1095</v>
      </c>
      <c r="Z67" s="14">
        <f t="shared" si="28"/>
        <v>5221563.0600000052</v>
      </c>
      <c r="AA67" s="14">
        <f t="shared" si="29"/>
        <v>21179107.999999993</v>
      </c>
    </row>
    <row r="68" spans="4:27" outlineLevel="1" x14ac:dyDescent="0.25">
      <c r="D68" s="68" t="str">
        <f t="shared" si="30"/>
        <v>Boutique - MAY</v>
      </c>
      <c r="E68" s="4" t="s">
        <v>32</v>
      </c>
      <c r="F68" s="4">
        <v>5</v>
      </c>
      <c r="G68" s="21">
        <v>1015</v>
      </c>
      <c r="H68" s="21">
        <v>1176</v>
      </c>
      <c r="I68" s="21">
        <v>1167.2999999999995</v>
      </c>
      <c r="J68" s="21">
        <v>4691765.1400000053</v>
      </c>
      <c r="K68" s="21">
        <v>5739560.9399999985</v>
      </c>
      <c r="L68" s="21">
        <v>5408958.6299999999</v>
      </c>
      <c r="M68" s="21">
        <v>19307382.07999998</v>
      </c>
      <c r="N68" s="21">
        <v>23141212.459999982</v>
      </c>
      <c r="O68" s="21">
        <v>22421323.100000009</v>
      </c>
      <c r="S68" s="25">
        <f t="shared" si="23"/>
        <v>-7.4525659405992761E-2</v>
      </c>
      <c r="T68" s="26">
        <f t="shared" si="24"/>
        <v>-4.1263510236559942E-2</v>
      </c>
      <c r="U68" s="27">
        <f t="shared" si="25"/>
        <v>-5.9486212999989574E-2</v>
      </c>
      <c r="W68" s="13">
        <f t="shared" si="26"/>
        <v>1</v>
      </c>
      <c r="Y68" s="14">
        <f t="shared" si="27"/>
        <v>1176</v>
      </c>
      <c r="Z68" s="14">
        <f t="shared" si="28"/>
        <v>5739560.9399999985</v>
      </c>
      <c r="AA68" s="14">
        <f t="shared" si="29"/>
        <v>23141212.459999982</v>
      </c>
    </row>
    <row r="69" spans="4:27" outlineLevel="1" x14ac:dyDescent="0.25">
      <c r="D69" s="68" t="str">
        <f t="shared" si="30"/>
        <v>Boutique - JUN</v>
      </c>
      <c r="E69" s="4" t="s">
        <v>32</v>
      </c>
      <c r="F69" s="4">
        <v>6</v>
      </c>
      <c r="G69" s="21">
        <v>897</v>
      </c>
      <c r="H69" s="21">
        <v>1044</v>
      </c>
      <c r="I69" s="21">
        <v>1147.8300000000004</v>
      </c>
      <c r="J69" s="21">
        <v>4086207.9999999977</v>
      </c>
      <c r="K69" s="21">
        <v>5013162.82</v>
      </c>
      <c r="L69" s="21">
        <v>5321744.6099999994</v>
      </c>
      <c r="M69" s="21">
        <v>16773256.339999989</v>
      </c>
      <c r="N69" s="21">
        <v>20251164.980000015</v>
      </c>
      <c r="O69" s="21">
        <v>22064843.269999981</v>
      </c>
      <c r="S69" s="25">
        <f t="shared" si="23"/>
        <v>-7.4525659405992761E-2</v>
      </c>
      <c r="T69" s="26">
        <f t="shared" si="24"/>
        <v>-4.1263510236559942E-2</v>
      </c>
      <c r="U69" s="27">
        <f t="shared" si="25"/>
        <v>-5.9486212999989574E-2</v>
      </c>
      <c r="W69" s="13">
        <f t="shared" si="26"/>
        <v>1</v>
      </c>
      <c r="Y69" s="14">
        <f t="shared" si="27"/>
        <v>1044</v>
      </c>
      <c r="Z69" s="14">
        <f t="shared" si="28"/>
        <v>5013162.82</v>
      </c>
      <c r="AA69" s="14">
        <f t="shared" si="29"/>
        <v>20251164.980000015</v>
      </c>
    </row>
    <row r="70" spans="4:27" outlineLevel="1" x14ac:dyDescent="0.25">
      <c r="D70" s="68" t="str">
        <f t="shared" si="30"/>
        <v>Boutique - JUL</v>
      </c>
      <c r="E70" s="4" t="s">
        <v>32</v>
      </c>
      <c r="F70" s="4">
        <v>7</v>
      </c>
      <c r="G70" s="21">
        <v>889</v>
      </c>
      <c r="H70" s="21"/>
      <c r="I70" s="21">
        <v>1153.6300000000001</v>
      </c>
      <c r="J70" s="21">
        <v>4026732.5899999989</v>
      </c>
      <c r="K70" s="21"/>
      <c r="L70" s="21">
        <v>5350142.2700000005</v>
      </c>
      <c r="M70" s="21">
        <v>16501415.88999998</v>
      </c>
      <c r="N70" s="21"/>
      <c r="O70" s="21">
        <v>22197468.859999977</v>
      </c>
      <c r="S70" s="25">
        <f t="shared" si="23"/>
        <v>-7.4525659405992761E-2</v>
      </c>
      <c r="T70" s="26">
        <f t="shared" si="24"/>
        <v>-4.1263510236559942E-2</v>
      </c>
      <c r="U70" s="27">
        <f t="shared" si="25"/>
        <v>-5.9486212999989574E-2</v>
      </c>
      <c r="W70" s="13">
        <f t="shared" si="26"/>
        <v>0</v>
      </c>
      <c r="Y70" s="14">
        <f t="shared" si="27"/>
        <v>1067.6549635394647</v>
      </c>
      <c r="Z70" s="14">
        <f t="shared" si="28"/>
        <v>5129376.6196748037</v>
      </c>
      <c r="AA70" s="14">
        <f t="shared" si="29"/>
        <v>20877025.499333382</v>
      </c>
    </row>
    <row r="71" spans="4:27" outlineLevel="1" x14ac:dyDescent="0.25">
      <c r="D71" s="68" t="str">
        <f t="shared" si="30"/>
        <v>Boutique - AUG</v>
      </c>
      <c r="E71" s="4" t="s">
        <v>32</v>
      </c>
      <c r="F71" s="4">
        <v>8</v>
      </c>
      <c r="G71" s="21">
        <v>915</v>
      </c>
      <c r="H71" s="21"/>
      <c r="I71" s="21">
        <v>1154.579999999999</v>
      </c>
      <c r="J71" s="21">
        <v>4170840.6900000009</v>
      </c>
      <c r="K71" s="21"/>
      <c r="L71" s="21">
        <v>5354470.5999999987</v>
      </c>
      <c r="M71" s="21">
        <v>17103810.819999985</v>
      </c>
      <c r="N71" s="21"/>
      <c r="O71" s="21">
        <v>22218509.229999997</v>
      </c>
      <c r="S71" s="25">
        <f t="shared" si="23"/>
        <v>-7.4525659405992761E-2</v>
      </c>
      <c r="T71" s="26">
        <f t="shared" si="24"/>
        <v>-4.1263510236559942E-2</v>
      </c>
      <c r="U71" s="27">
        <f t="shared" si="25"/>
        <v>-5.9486212999989574E-2</v>
      </c>
      <c r="W71" s="13">
        <f t="shared" si="26"/>
        <v>0</v>
      </c>
      <c r="Y71" s="14">
        <f t="shared" si="27"/>
        <v>1068.534164163028</v>
      </c>
      <c r="Z71" s="14">
        <f t="shared" si="28"/>
        <v>5133526.3475855393</v>
      </c>
      <c r="AA71" s="14">
        <f t="shared" si="29"/>
        <v>20896814.257401984</v>
      </c>
    </row>
    <row r="72" spans="4:27" outlineLevel="1" x14ac:dyDescent="0.25">
      <c r="D72" s="68" t="str">
        <f t="shared" si="30"/>
        <v>Boutique - SEP</v>
      </c>
      <c r="E72" s="4" t="s">
        <v>32</v>
      </c>
      <c r="F72" s="4">
        <v>9</v>
      </c>
      <c r="G72" s="21">
        <v>1007</v>
      </c>
      <c r="H72" s="21"/>
      <c r="I72" s="21">
        <v>1199.4400000000005</v>
      </c>
      <c r="J72" s="21">
        <v>4634475.9299999978</v>
      </c>
      <c r="K72" s="21"/>
      <c r="L72" s="21">
        <v>5561093.2300000004</v>
      </c>
      <c r="M72" s="21">
        <v>19004314.149999976</v>
      </c>
      <c r="N72" s="21"/>
      <c r="O72" s="21">
        <v>23051409.459999997</v>
      </c>
      <c r="S72" s="25">
        <f t="shared" si="23"/>
        <v>-7.4525659405992761E-2</v>
      </c>
      <c r="T72" s="26">
        <f t="shared" si="24"/>
        <v>-4.1263510236559942E-2</v>
      </c>
      <c r="U72" s="27">
        <f t="shared" si="25"/>
        <v>-5.9486212999989574E-2</v>
      </c>
      <c r="W72" s="13">
        <f t="shared" si="26"/>
        <v>0</v>
      </c>
      <c r="Y72" s="14">
        <f t="shared" si="27"/>
        <v>1110.0509430820764</v>
      </c>
      <c r="Z72" s="14">
        <f t="shared" si="28"/>
        <v>5331623.0025774315</v>
      </c>
      <c r="AA72" s="14">
        <f t="shared" si="29"/>
        <v>21680168.406912461</v>
      </c>
    </row>
    <row r="73" spans="4:27" outlineLevel="1" x14ac:dyDescent="0.25">
      <c r="D73" s="68" t="str">
        <f t="shared" si="30"/>
        <v>Boutique - OCT</v>
      </c>
      <c r="E73" s="4" t="s">
        <v>32</v>
      </c>
      <c r="F73" s="4">
        <v>10</v>
      </c>
      <c r="G73" s="21">
        <v>1029</v>
      </c>
      <c r="H73" s="21"/>
      <c r="I73" s="21">
        <v>1206.6700000000005</v>
      </c>
      <c r="J73" s="21">
        <v>4669616.7000000011</v>
      </c>
      <c r="K73" s="21"/>
      <c r="L73" s="21">
        <v>5585665.5200000079</v>
      </c>
      <c r="M73" s="21">
        <v>19092309.279999971</v>
      </c>
      <c r="N73" s="21"/>
      <c r="O73" s="21">
        <v>23154524.009999994</v>
      </c>
      <c r="S73" s="25">
        <f t="shared" si="23"/>
        <v>-7.4525659405992761E-2</v>
      </c>
      <c r="T73" s="26">
        <f t="shared" si="24"/>
        <v>-4.1263510236559942E-2</v>
      </c>
      <c r="U73" s="27">
        <f t="shared" si="25"/>
        <v>-5.9486212999989574E-2</v>
      </c>
      <c r="W73" s="13">
        <f t="shared" si="26"/>
        <v>0</v>
      </c>
      <c r="Y73" s="14">
        <f t="shared" si="27"/>
        <v>1116.7421225645712</v>
      </c>
      <c r="Z73" s="14">
        <f t="shared" si="28"/>
        <v>5355181.3536374876</v>
      </c>
      <c r="AA73" s="14">
        <f t="shared" si="29"/>
        <v>21777149.062827762</v>
      </c>
    </row>
    <row r="74" spans="4:27" outlineLevel="1" x14ac:dyDescent="0.25">
      <c r="D74" s="68" t="str">
        <f t="shared" si="30"/>
        <v>Boutique - NOV</v>
      </c>
      <c r="E74" s="4" t="s">
        <v>32</v>
      </c>
      <c r="F74" s="4">
        <v>11</v>
      </c>
      <c r="G74" s="21">
        <v>1317</v>
      </c>
      <c r="H74" s="21"/>
      <c r="I74" s="21">
        <v>1263.2499999999995</v>
      </c>
      <c r="J74" s="21">
        <v>5945340.6599999964</v>
      </c>
      <c r="K74" s="21"/>
      <c r="L74" s="21">
        <v>5858837.520000007</v>
      </c>
      <c r="M74" s="21">
        <v>24342930.749999996</v>
      </c>
      <c r="N74" s="21"/>
      <c r="O74" s="21">
        <v>24301659.409999982</v>
      </c>
      <c r="S74" s="25">
        <f t="shared" si="23"/>
        <v>-7.4525659405992761E-2</v>
      </c>
      <c r="T74" s="26">
        <f t="shared" si="24"/>
        <v>-4.1263510236559942E-2</v>
      </c>
      <c r="U74" s="27">
        <f t="shared" si="25"/>
        <v>-5.9486212999989574E-2</v>
      </c>
      <c r="W74" s="13">
        <f t="shared" si="26"/>
        <v>0</v>
      </c>
      <c r="Y74" s="14">
        <f t="shared" si="27"/>
        <v>1169.1054607553792</v>
      </c>
      <c r="Z74" s="14">
        <f t="shared" si="28"/>
        <v>5617081.3180191452</v>
      </c>
      <c r="AA74" s="14">
        <f t="shared" si="29"/>
        <v>22856045.72208352</v>
      </c>
    </row>
    <row r="75" spans="4:27" outlineLevel="1" x14ac:dyDescent="0.25">
      <c r="D75" s="68" t="str">
        <f t="shared" si="30"/>
        <v>Boutique - DEC</v>
      </c>
      <c r="E75" s="4" t="s">
        <v>32</v>
      </c>
      <c r="F75" s="4">
        <v>12</v>
      </c>
      <c r="G75" s="21">
        <v>1534</v>
      </c>
      <c r="H75" s="21"/>
      <c r="I75" s="21">
        <v>1283.8399999999995</v>
      </c>
      <c r="J75" s="21">
        <v>7018182.2000000002</v>
      </c>
      <c r="K75" s="21"/>
      <c r="L75" s="21">
        <v>5959065.5300000003</v>
      </c>
      <c r="M75" s="21">
        <v>28887503.15999997</v>
      </c>
      <c r="N75" s="21"/>
      <c r="O75" s="21">
        <v>24717392.440000016</v>
      </c>
      <c r="S75" s="28">
        <f t="shared" si="23"/>
        <v>-7.4525659405992761E-2</v>
      </c>
      <c r="T75" s="29">
        <f t="shared" si="24"/>
        <v>-4.1263510236559942E-2</v>
      </c>
      <c r="U75" s="30">
        <f t="shared" si="25"/>
        <v>-5.9486212999989574E-2</v>
      </c>
      <c r="W75" s="13">
        <f t="shared" si="26"/>
        <v>0</v>
      </c>
      <c r="Y75" s="14">
        <f t="shared" si="27"/>
        <v>1188.1609774282097</v>
      </c>
      <c r="Z75" s="14">
        <f t="shared" si="28"/>
        <v>5713173.5685025137</v>
      </c>
      <c r="AA75" s="14">
        <f t="shared" si="29"/>
        <v>23247048.368509844</v>
      </c>
    </row>
    <row r="76" spans="4:27" outlineLevel="1" x14ac:dyDescent="0.25">
      <c r="D76" s="68" t="str">
        <f t="shared" si="30"/>
        <v>Wholesale - JAN</v>
      </c>
      <c r="E76" s="4" t="s">
        <v>33</v>
      </c>
      <c r="F76" s="4">
        <v>1</v>
      </c>
      <c r="G76" s="21">
        <v>3957</v>
      </c>
      <c r="H76" s="21">
        <v>4072</v>
      </c>
      <c r="I76" s="21">
        <v>4795.4900000000025</v>
      </c>
      <c r="J76" s="21">
        <v>17902734.939999994</v>
      </c>
      <c r="K76" s="21">
        <v>19345014.920000013</v>
      </c>
      <c r="L76" s="21">
        <v>22220728.160000008</v>
      </c>
      <c r="M76" s="21">
        <v>48502020.329999983</v>
      </c>
      <c r="N76" s="21">
        <v>52435094.820000067</v>
      </c>
      <c r="O76" s="21">
        <v>61271178.520000003</v>
      </c>
      <c r="S76" s="22">
        <f t="shared" ref="S76:S87" si="31">IFERROR(SUMPRODUCT(H$76:H$87,$W$76:$W$87)/SUMPRODUCT(I$76:I$87,$W$76:$W$87)-1,"")</f>
        <v>-9.2791843002900887E-2</v>
      </c>
      <c r="T76" s="23">
        <f t="shared" ref="T76:T87" si="32">IFERROR(SUMPRODUCT(K$76:K$87,$W$76:$W$87)/SUMPRODUCT(L$76:L$87,$W$76:$W$87)-1,"")</f>
        <v>-6.4861733870162808E-2</v>
      </c>
      <c r="U76" s="24">
        <f t="shared" ref="U76:U87" si="33">IFERROR(SUMPRODUCT(N$76:N$87,$W$76:$W$87)/SUMPRODUCT(O$76:O$87,$W$76:$W$87)-1,"")</f>
        <v>-8.6973277203703847E-2</v>
      </c>
      <c r="W76" s="13">
        <f t="shared" si="26"/>
        <v>1</v>
      </c>
      <c r="Y76" s="14">
        <f t="shared" si="27"/>
        <v>4072</v>
      </c>
      <c r="Z76" s="14">
        <f t="shared" si="28"/>
        <v>19345014.920000013</v>
      </c>
      <c r="AA76" s="14">
        <f t="shared" si="29"/>
        <v>52435094.820000067</v>
      </c>
    </row>
    <row r="77" spans="4:27" outlineLevel="1" x14ac:dyDescent="0.25">
      <c r="D77" s="68" t="str">
        <f t="shared" si="30"/>
        <v>Wholesale - FEB</v>
      </c>
      <c r="E77" s="4" t="s">
        <v>33</v>
      </c>
      <c r="F77" s="4">
        <v>2</v>
      </c>
      <c r="G77" s="21">
        <v>3811</v>
      </c>
      <c r="H77" s="21">
        <v>3917</v>
      </c>
      <c r="I77" s="21">
        <v>4745.37</v>
      </c>
      <c r="J77" s="21">
        <v>17224070.630000003</v>
      </c>
      <c r="K77" s="21">
        <v>18585004.740000006</v>
      </c>
      <c r="L77" s="21">
        <v>21878077.470000003</v>
      </c>
      <c r="M77" s="21">
        <v>46829026.64000003</v>
      </c>
      <c r="N77" s="21">
        <v>50480135.180000044</v>
      </c>
      <c r="O77" s="21">
        <v>60276319.280000053</v>
      </c>
      <c r="S77" s="25">
        <f t="shared" si="31"/>
        <v>-9.2791843002900887E-2</v>
      </c>
      <c r="T77" s="26">
        <f t="shared" si="32"/>
        <v>-6.4861733870162808E-2</v>
      </c>
      <c r="U77" s="27">
        <f t="shared" si="33"/>
        <v>-8.6973277203703847E-2</v>
      </c>
      <c r="W77" s="13">
        <f t="shared" si="26"/>
        <v>1</v>
      </c>
      <c r="Y77" s="14">
        <f t="shared" si="27"/>
        <v>3917</v>
      </c>
      <c r="Z77" s="14">
        <f t="shared" si="28"/>
        <v>18585004.740000006</v>
      </c>
      <c r="AA77" s="14">
        <f t="shared" si="29"/>
        <v>50480135.180000044</v>
      </c>
    </row>
    <row r="78" spans="4:27" outlineLevel="1" x14ac:dyDescent="0.25">
      <c r="D78" s="68" t="str">
        <f t="shared" si="30"/>
        <v>Wholesale - MAR</v>
      </c>
      <c r="E78" s="4" t="s">
        <v>33</v>
      </c>
      <c r="F78" s="4">
        <v>3</v>
      </c>
      <c r="G78" s="21">
        <v>4654</v>
      </c>
      <c r="H78" s="21">
        <v>4788</v>
      </c>
      <c r="I78" s="21">
        <v>4917.9899999999989</v>
      </c>
      <c r="J78" s="21">
        <v>21326876.410000011</v>
      </c>
      <c r="K78" s="21">
        <v>23042673.800000012</v>
      </c>
      <c r="L78" s="21">
        <v>22562678.030000012</v>
      </c>
      <c r="M78" s="21">
        <v>58237513.610000022</v>
      </c>
      <c r="N78" s="21">
        <v>62507499.489999995</v>
      </c>
      <c r="O78" s="21">
        <v>62023810.630000025</v>
      </c>
      <c r="S78" s="25">
        <f t="shared" si="31"/>
        <v>-9.2791843002900887E-2</v>
      </c>
      <c r="T78" s="26">
        <f t="shared" si="32"/>
        <v>-6.4861733870162808E-2</v>
      </c>
      <c r="U78" s="27">
        <f t="shared" si="33"/>
        <v>-8.6973277203703847E-2</v>
      </c>
      <c r="W78" s="13">
        <f t="shared" si="26"/>
        <v>1</v>
      </c>
      <c r="Y78" s="14">
        <f t="shared" si="27"/>
        <v>4788</v>
      </c>
      <c r="Z78" s="14">
        <f t="shared" si="28"/>
        <v>23042673.800000012</v>
      </c>
      <c r="AA78" s="14">
        <f t="shared" si="29"/>
        <v>62507499.489999995</v>
      </c>
    </row>
    <row r="79" spans="4:27" outlineLevel="1" x14ac:dyDescent="0.25">
      <c r="D79" s="68" t="str">
        <f t="shared" si="30"/>
        <v>Wholesale - APR</v>
      </c>
      <c r="E79" s="4" t="s">
        <v>33</v>
      </c>
      <c r="F79" s="4">
        <v>4</v>
      </c>
      <c r="G79" s="21">
        <v>4322</v>
      </c>
      <c r="H79" s="21">
        <v>4430</v>
      </c>
      <c r="I79" s="21">
        <v>4830.3500000000031</v>
      </c>
      <c r="J79" s="21">
        <v>19584329.940000005</v>
      </c>
      <c r="K79" s="21">
        <v>21128744.109999996</v>
      </c>
      <c r="L79" s="21">
        <v>22327023.789999973</v>
      </c>
      <c r="M79" s="21">
        <v>53257494.680000059</v>
      </c>
      <c r="N79" s="21">
        <v>56494769.00999999</v>
      </c>
      <c r="O79" s="21">
        <v>61542596.780000024</v>
      </c>
      <c r="S79" s="25">
        <f t="shared" si="31"/>
        <v>-9.2791843002900887E-2</v>
      </c>
      <c r="T79" s="26">
        <f t="shared" si="32"/>
        <v>-6.4861733870162808E-2</v>
      </c>
      <c r="U79" s="27">
        <f t="shared" si="33"/>
        <v>-8.6973277203703847E-2</v>
      </c>
      <c r="W79" s="13">
        <f t="shared" si="26"/>
        <v>1</v>
      </c>
      <c r="Y79" s="14">
        <f t="shared" si="27"/>
        <v>4430</v>
      </c>
      <c r="Z79" s="14">
        <f t="shared" si="28"/>
        <v>21128744.109999996</v>
      </c>
      <c r="AA79" s="14">
        <f t="shared" si="29"/>
        <v>56494769.00999999</v>
      </c>
    </row>
    <row r="80" spans="4:27" outlineLevel="1" x14ac:dyDescent="0.25">
      <c r="D80" s="68" t="str">
        <f t="shared" si="30"/>
        <v>Wholesale - MAY</v>
      </c>
      <c r="E80" s="4" t="s">
        <v>33</v>
      </c>
      <c r="F80" s="4">
        <v>5</v>
      </c>
      <c r="G80" s="21">
        <v>4646</v>
      </c>
      <c r="H80" s="21">
        <v>4758</v>
      </c>
      <c r="I80" s="21">
        <v>4996.1099999999969</v>
      </c>
      <c r="J80" s="21">
        <v>20740917.120000001</v>
      </c>
      <c r="K80" s="21">
        <v>22251307.249999993</v>
      </c>
      <c r="L80" s="21">
        <v>23092615.410000011</v>
      </c>
      <c r="M80" s="21">
        <v>56136047.910000019</v>
      </c>
      <c r="N80" s="21">
        <v>58887513.120000027</v>
      </c>
      <c r="O80" s="21">
        <v>63624092.629999988</v>
      </c>
      <c r="S80" s="25">
        <f t="shared" si="31"/>
        <v>-9.2791843002900887E-2</v>
      </c>
      <c r="T80" s="26">
        <f t="shared" si="32"/>
        <v>-6.4861733870162808E-2</v>
      </c>
      <c r="U80" s="27">
        <f t="shared" si="33"/>
        <v>-8.6973277203703847E-2</v>
      </c>
      <c r="W80" s="13">
        <f t="shared" si="26"/>
        <v>1</v>
      </c>
      <c r="Y80" s="14">
        <f t="shared" si="27"/>
        <v>4758</v>
      </c>
      <c r="Z80" s="14">
        <f t="shared" si="28"/>
        <v>22251307.249999993</v>
      </c>
      <c r="AA80" s="14">
        <f t="shared" si="29"/>
        <v>58887513.120000027</v>
      </c>
    </row>
    <row r="81" spans="4:27" outlineLevel="1" x14ac:dyDescent="0.25">
      <c r="D81" s="68" t="str">
        <f t="shared" si="30"/>
        <v>Wholesale - JUN</v>
      </c>
      <c r="E81" s="4" t="s">
        <v>33</v>
      </c>
      <c r="F81" s="4">
        <v>6</v>
      </c>
      <c r="G81" s="21">
        <v>4535</v>
      </c>
      <c r="H81" s="21">
        <v>4642</v>
      </c>
      <c r="I81" s="21">
        <v>5043.1299999999965</v>
      </c>
      <c r="J81" s="21">
        <v>20631251.419999965</v>
      </c>
      <c r="K81" s="21">
        <v>22172927.070000004</v>
      </c>
      <c r="L81" s="21">
        <v>23220443.199999996</v>
      </c>
      <c r="M81" s="21">
        <v>56207846.999999985</v>
      </c>
      <c r="N81" s="21">
        <v>59456740.219999999</v>
      </c>
      <c r="O81" s="21">
        <v>63936474.160000004</v>
      </c>
      <c r="S81" s="25">
        <f t="shared" si="31"/>
        <v>-9.2791843002900887E-2</v>
      </c>
      <c r="T81" s="26">
        <f t="shared" si="32"/>
        <v>-6.4861733870162808E-2</v>
      </c>
      <c r="U81" s="27">
        <f t="shared" si="33"/>
        <v>-8.6973277203703847E-2</v>
      </c>
      <c r="W81" s="13">
        <f t="shared" si="26"/>
        <v>1</v>
      </c>
      <c r="Y81" s="14">
        <f t="shared" si="27"/>
        <v>4642</v>
      </c>
      <c r="Z81" s="14">
        <f t="shared" si="28"/>
        <v>22172927.070000004</v>
      </c>
      <c r="AA81" s="14">
        <f t="shared" si="29"/>
        <v>59456740.219999999</v>
      </c>
    </row>
    <row r="82" spans="4:27" outlineLevel="1" x14ac:dyDescent="0.25">
      <c r="D82" s="68" t="str">
        <f t="shared" si="30"/>
        <v>Wholesale - JUL</v>
      </c>
      <c r="E82" s="4" t="s">
        <v>33</v>
      </c>
      <c r="F82" s="4">
        <v>7</v>
      </c>
      <c r="G82" s="21">
        <v>4506</v>
      </c>
      <c r="H82" s="21"/>
      <c r="I82" s="21">
        <v>4843.2</v>
      </c>
      <c r="J82" s="21">
        <v>20450932.750000004</v>
      </c>
      <c r="K82" s="21"/>
      <c r="L82" s="21">
        <v>22547502.590000033</v>
      </c>
      <c r="M82" s="21">
        <v>55513996.709999964</v>
      </c>
      <c r="N82" s="21"/>
      <c r="O82" s="21">
        <v>62250854.600000031</v>
      </c>
      <c r="S82" s="25">
        <f t="shared" si="31"/>
        <v>-9.2791843002900887E-2</v>
      </c>
      <c r="T82" s="26">
        <f t="shared" si="32"/>
        <v>-6.4861733870162808E-2</v>
      </c>
      <c r="U82" s="27">
        <f t="shared" si="33"/>
        <v>-8.6973277203703847E-2</v>
      </c>
      <c r="W82" s="13">
        <f t="shared" si="26"/>
        <v>0</v>
      </c>
      <c r="Y82" s="14">
        <f t="shared" si="27"/>
        <v>4393.7905459683507</v>
      </c>
      <c r="Z82" s="14">
        <f t="shared" si="28"/>
        <v>21085032.477570646</v>
      </c>
      <c r="AA82" s="14">
        <f t="shared" si="29"/>
        <v>56836693.766706765</v>
      </c>
    </row>
    <row r="83" spans="4:27" outlineLevel="1" x14ac:dyDescent="0.25">
      <c r="D83" s="68" t="str">
        <f t="shared" si="30"/>
        <v>Wholesale - AUG</v>
      </c>
      <c r="E83" s="4" t="s">
        <v>33</v>
      </c>
      <c r="F83" s="4">
        <v>8</v>
      </c>
      <c r="G83" s="21">
        <v>4322</v>
      </c>
      <c r="H83" s="21"/>
      <c r="I83" s="21">
        <v>4959.3700000000008</v>
      </c>
      <c r="J83" s="21">
        <v>19399951.100000016</v>
      </c>
      <c r="K83" s="21"/>
      <c r="L83" s="21">
        <v>22879206.82</v>
      </c>
      <c r="M83" s="21">
        <v>52553354.600000054</v>
      </c>
      <c r="N83" s="21"/>
      <c r="O83" s="21">
        <v>63075451.829999939</v>
      </c>
      <c r="S83" s="25">
        <f t="shared" si="31"/>
        <v>-9.2791843002900887E-2</v>
      </c>
      <c r="T83" s="26">
        <f t="shared" si="32"/>
        <v>-6.4861733870162808E-2</v>
      </c>
      <c r="U83" s="27">
        <f t="shared" si="33"/>
        <v>-8.6973277203703847E-2</v>
      </c>
      <c r="W83" s="13">
        <f t="shared" si="26"/>
        <v>0</v>
      </c>
      <c r="Y83" s="14">
        <f t="shared" si="27"/>
        <v>4499.180917566704</v>
      </c>
      <c r="Z83" s="14">
        <f t="shared" si="28"/>
        <v>21395221.796080746</v>
      </c>
      <c r="AA83" s="14">
        <f t="shared" si="29"/>
        <v>57589573.073240481</v>
      </c>
    </row>
    <row r="84" spans="4:27" outlineLevel="1" x14ac:dyDescent="0.25">
      <c r="D84" s="68" t="str">
        <f t="shared" si="30"/>
        <v>Wholesale - SEP</v>
      </c>
      <c r="E84" s="4" t="s">
        <v>33</v>
      </c>
      <c r="F84" s="4">
        <v>9</v>
      </c>
      <c r="G84" s="21">
        <v>4652</v>
      </c>
      <c r="H84" s="21"/>
      <c r="I84" s="21">
        <v>5038.5599999999977</v>
      </c>
      <c r="J84" s="21">
        <v>21068688.190000016</v>
      </c>
      <c r="K84" s="21"/>
      <c r="L84" s="21">
        <v>23321485.110000011</v>
      </c>
      <c r="M84" s="21">
        <v>57298219.840000018</v>
      </c>
      <c r="N84" s="21"/>
      <c r="O84" s="21">
        <v>64325943.829999946</v>
      </c>
      <c r="S84" s="25">
        <f t="shared" si="31"/>
        <v>-9.2791843002900887E-2</v>
      </c>
      <c r="T84" s="26">
        <f t="shared" si="32"/>
        <v>-6.4861733870162808E-2</v>
      </c>
      <c r="U84" s="27">
        <f t="shared" si="33"/>
        <v>-8.6973277203703847E-2</v>
      </c>
      <c r="W84" s="13">
        <f t="shared" si="26"/>
        <v>0</v>
      </c>
      <c r="Y84" s="14">
        <f t="shared" si="27"/>
        <v>4571.0227315193015</v>
      </c>
      <c r="Z84" s="14">
        <f t="shared" si="28"/>
        <v>21808813.149338227</v>
      </c>
      <c r="AA84" s="14">
        <f t="shared" si="29"/>
        <v>58731305.685883477</v>
      </c>
    </row>
    <row r="85" spans="4:27" outlineLevel="1" x14ac:dyDescent="0.25">
      <c r="D85" s="68" t="str">
        <f t="shared" si="30"/>
        <v>Wholesale - OCT</v>
      </c>
      <c r="E85" s="4" t="s">
        <v>33</v>
      </c>
      <c r="F85" s="4">
        <v>10</v>
      </c>
      <c r="G85" s="21">
        <v>5184</v>
      </c>
      <c r="H85" s="21"/>
      <c r="I85" s="21">
        <v>5252.7000000000062</v>
      </c>
      <c r="J85" s="21">
        <v>23712503.330000021</v>
      </c>
      <c r="K85" s="21"/>
      <c r="L85" s="21">
        <v>24519460.569999963</v>
      </c>
      <c r="M85" s="21">
        <v>64636014.109999903</v>
      </c>
      <c r="N85" s="21"/>
      <c r="O85" s="21">
        <v>67819428.24999997</v>
      </c>
      <c r="S85" s="25">
        <f t="shared" si="31"/>
        <v>-9.2791843002900887E-2</v>
      </c>
      <c r="T85" s="26">
        <f t="shared" si="32"/>
        <v>-6.4861733870162808E-2</v>
      </c>
      <c r="U85" s="27">
        <f t="shared" si="33"/>
        <v>-8.6973277203703847E-2</v>
      </c>
      <c r="W85" s="13">
        <f t="shared" si="26"/>
        <v>0</v>
      </c>
      <c r="Y85" s="14">
        <f t="shared" si="27"/>
        <v>4765.2922862586684</v>
      </c>
      <c r="Z85" s="14">
        <f t="shared" si="28"/>
        <v>22929085.843868677</v>
      </c>
      <c r="AA85" s="14">
        <f t="shared" si="29"/>
        <v>61920950.31701602</v>
      </c>
    </row>
    <row r="86" spans="4:27" outlineLevel="1" x14ac:dyDescent="0.25">
      <c r="D86" s="68" t="str">
        <f t="shared" si="30"/>
        <v>Wholesale - NOV</v>
      </c>
      <c r="E86" s="4" t="s">
        <v>33</v>
      </c>
      <c r="F86" s="4">
        <v>11</v>
      </c>
      <c r="G86" s="21">
        <v>6566</v>
      </c>
      <c r="H86" s="21"/>
      <c r="I86" s="21">
        <v>5594.9200000000019</v>
      </c>
      <c r="J86" s="21">
        <v>29916699.019999985</v>
      </c>
      <c r="K86" s="21"/>
      <c r="L86" s="21">
        <v>26019635.030000012</v>
      </c>
      <c r="M86" s="21">
        <v>81353959.400000036</v>
      </c>
      <c r="N86" s="21"/>
      <c r="O86" s="21">
        <v>71977919.149999991</v>
      </c>
      <c r="S86" s="25">
        <f t="shared" si="31"/>
        <v>-9.2791843002900887E-2</v>
      </c>
      <c r="T86" s="26">
        <f t="shared" si="32"/>
        <v>-6.4861733870162808E-2</v>
      </c>
      <c r="U86" s="27">
        <f t="shared" si="33"/>
        <v>-8.6973277203703847E-2</v>
      </c>
      <c r="W86" s="13">
        <f t="shared" si="26"/>
        <v>0</v>
      </c>
      <c r="Y86" s="14">
        <f t="shared" si="27"/>
        <v>5075.7570617462115</v>
      </c>
      <c r="Z86" s="14">
        <f t="shared" si="28"/>
        <v>24331956.387285385</v>
      </c>
      <c r="AA86" s="14">
        <f t="shared" si="29"/>
        <v>65717763.635221258</v>
      </c>
    </row>
    <row r="87" spans="4:27" outlineLevel="1" x14ac:dyDescent="0.25">
      <c r="D87" s="68" t="str">
        <f t="shared" si="30"/>
        <v>Wholesale - DEC</v>
      </c>
      <c r="E87" s="4" t="s">
        <v>33</v>
      </c>
      <c r="F87" s="4">
        <v>12</v>
      </c>
      <c r="G87" s="21">
        <v>7660</v>
      </c>
      <c r="H87" s="21"/>
      <c r="I87" s="21">
        <v>5647.4500000000025</v>
      </c>
      <c r="J87" s="21">
        <v>34936972.260000013</v>
      </c>
      <c r="K87" s="21"/>
      <c r="L87" s="21">
        <v>26183153.669999991</v>
      </c>
      <c r="M87" s="21">
        <v>94869774.330000132</v>
      </c>
      <c r="N87" s="21"/>
      <c r="O87" s="21">
        <v>72355199.530000061</v>
      </c>
      <c r="S87" s="28">
        <f t="shared" si="31"/>
        <v>-9.2791843002900887E-2</v>
      </c>
      <c r="T87" s="29">
        <f t="shared" si="32"/>
        <v>-6.4861733870162808E-2</v>
      </c>
      <c r="U87" s="30">
        <f t="shared" si="33"/>
        <v>-8.6973277203703847E-2</v>
      </c>
      <c r="W87" s="13">
        <f t="shared" si="26"/>
        <v>0</v>
      </c>
      <c r="Y87" s="14">
        <f t="shared" si="27"/>
        <v>5123.41270623327</v>
      </c>
      <c r="Z87" s="14">
        <f t="shared" si="28"/>
        <v>24484868.924774874</v>
      </c>
      <c r="AA87" s="14">
        <f t="shared" si="29"/>
        <v>66062230.704148062</v>
      </c>
    </row>
    <row r="88" spans="4:27" x14ac:dyDescent="0.25">
      <c r="E88" s="4" t="s">
        <v>1</v>
      </c>
      <c r="G88" s="21">
        <v>70972</v>
      </c>
      <c r="H88" s="21">
        <v>32888</v>
      </c>
      <c r="I88" s="21">
        <v>74712.84</v>
      </c>
      <c r="J88" s="21">
        <v>322300531.09000003</v>
      </c>
      <c r="K88" s="21">
        <v>156640261.47000003</v>
      </c>
      <c r="L88" s="21">
        <v>345851990.07000005</v>
      </c>
      <c r="M88" s="21">
        <v>952787356.03999996</v>
      </c>
      <c r="N88" s="21">
        <v>462709055.24000013</v>
      </c>
      <c r="O88" s="21">
        <v>1044312160.7699999</v>
      </c>
      <c r="S88" s="77"/>
      <c r="T88" s="77"/>
      <c r="U88" s="77"/>
      <c r="V88" s="74"/>
      <c r="W88" s="76"/>
      <c r="X88" s="74"/>
      <c r="Y88" s="73">
        <f>IFERROR(SUM(Y64:Y87),"")</f>
        <v>68036.704880825244</v>
      </c>
      <c r="Z88" s="73">
        <f>IFERROR(SUM(Z64:Z87),"")</f>
        <v>324955202.25891554</v>
      </c>
      <c r="AA88" s="73">
        <f>IFERROR(SUM(AA64:AA87),"")</f>
        <v>960901823.73928511</v>
      </c>
    </row>
    <row r="89" spans="4:27" x14ac:dyDescent="0.25">
      <c r="D89" s="68" t="str">
        <f>E89</f>
        <v>Boutique</v>
      </c>
      <c r="E89" s="32" t="s">
        <v>32</v>
      </c>
      <c r="G89" s="14">
        <f>SUMIF($E$64:$E$87,$E89,G$64:G$87)</f>
        <v>12157</v>
      </c>
      <c r="H89" s="14">
        <f t="shared" ref="H89:O90" si="34">SUMIF($E$64:$E$87,$E89,H$64:H$87)</f>
        <v>6281</v>
      </c>
      <c r="I89" s="14">
        <f t="shared" si="34"/>
        <v>14048.199999999997</v>
      </c>
      <c r="J89" s="14">
        <f t="shared" si="34"/>
        <v>55404603.979999997</v>
      </c>
      <c r="K89" s="14">
        <f t="shared" si="34"/>
        <v>30114589.580000002</v>
      </c>
      <c r="L89" s="14">
        <f t="shared" si="34"/>
        <v>65079980.220000029</v>
      </c>
      <c r="M89" s="14">
        <f t="shared" si="34"/>
        <v>227392086.87999982</v>
      </c>
      <c r="N89" s="14">
        <f t="shared" si="34"/>
        <v>122447303.40000001</v>
      </c>
      <c r="O89" s="14">
        <f t="shared" si="34"/>
        <v>269832891.57999992</v>
      </c>
      <c r="S89" s="31"/>
      <c r="T89" s="31"/>
      <c r="U89" s="31"/>
      <c r="Y89" s="14">
        <f t="shared" ref="Y89:AA90" si="35">IFERROR(SUMIF($E$64:$E$87,$E89,Y$64:Y$87),"")</f>
        <v>13001.24863153273</v>
      </c>
      <c r="Z89" s="14">
        <f t="shared" si="35"/>
        <v>62394551.789996922</v>
      </c>
      <c r="AA89" s="14">
        <f t="shared" si="35"/>
        <v>253781554.71706891</v>
      </c>
    </row>
    <row r="90" spans="4:27" x14ac:dyDescent="0.25">
      <c r="D90" s="68" t="str">
        <f>E90</f>
        <v>Wholesale</v>
      </c>
      <c r="E90" s="12" t="s">
        <v>33</v>
      </c>
      <c r="G90" s="14">
        <f>SUMIF($E$64:$E$87,$E90,G$64:G$87)</f>
        <v>58815</v>
      </c>
      <c r="H90" s="14">
        <f t="shared" si="34"/>
        <v>26607</v>
      </c>
      <c r="I90" s="14">
        <f t="shared" si="34"/>
        <v>60664.640000000007</v>
      </c>
      <c r="J90" s="14">
        <f t="shared" si="34"/>
        <v>266895927.11000004</v>
      </c>
      <c r="K90" s="14">
        <f t="shared" si="34"/>
        <v>126525671.89000003</v>
      </c>
      <c r="L90" s="14">
        <f t="shared" si="34"/>
        <v>280772009.85000002</v>
      </c>
      <c r="M90" s="14">
        <f t="shared" si="34"/>
        <v>725395269.16000032</v>
      </c>
      <c r="N90" s="14">
        <f t="shared" si="34"/>
        <v>340261751.84000015</v>
      </c>
      <c r="O90" s="14">
        <f t="shared" si="34"/>
        <v>774479269.19000006</v>
      </c>
      <c r="S90" s="31"/>
      <c r="T90" s="31"/>
      <c r="U90" s="31"/>
      <c r="Y90" s="14">
        <f t="shared" si="35"/>
        <v>55035.456249292511</v>
      </c>
      <c r="Z90" s="14">
        <f t="shared" si="35"/>
        <v>262560650.46891856</v>
      </c>
      <c r="AA90" s="14">
        <f t="shared" si="35"/>
        <v>707120269.0222162</v>
      </c>
    </row>
    <row r="93" spans="4:27" x14ac:dyDescent="0.25">
      <c r="E93" s="4" t="s">
        <v>35</v>
      </c>
    </row>
    <row r="94" spans="4:27" x14ac:dyDescent="0.25">
      <c r="G94" s="19" t="s">
        <v>26</v>
      </c>
      <c r="H94" s="19" t="s">
        <v>27</v>
      </c>
      <c r="S94" s="76"/>
      <c r="T94" s="76"/>
      <c r="U94" s="76"/>
      <c r="V94" s="74"/>
      <c r="W94" s="76"/>
      <c r="X94" s="74"/>
      <c r="Y94" s="74"/>
      <c r="Z94" s="74"/>
      <c r="AA94" s="74"/>
    </row>
    <row r="95" spans="4:27" x14ac:dyDescent="0.25">
      <c r="G95" s="4" t="s">
        <v>13</v>
      </c>
      <c r="J95" s="4" t="s">
        <v>15</v>
      </c>
      <c r="M95" s="4" t="s">
        <v>16</v>
      </c>
      <c r="S95" s="69" t="s">
        <v>13</v>
      </c>
      <c r="T95" s="69" t="s">
        <v>15</v>
      </c>
      <c r="U95" s="69" t="s">
        <v>16</v>
      </c>
      <c r="V95" s="74"/>
      <c r="W95" s="75" t="s">
        <v>94</v>
      </c>
      <c r="X95" s="74"/>
      <c r="Y95" s="72" t="s">
        <v>96</v>
      </c>
      <c r="Z95" s="72"/>
      <c r="AA95" s="72"/>
    </row>
    <row r="96" spans="4:27" x14ac:dyDescent="0.25">
      <c r="E96" s="19" t="s">
        <v>34</v>
      </c>
      <c r="F96" s="19" t="s">
        <v>14</v>
      </c>
      <c r="G96" s="4" t="s">
        <v>24</v>
      </c>
      <c r="H96" s="4" t="s">
        <v>22</v>
      </c>
      <c r="I96" s="4" t="s">
        <v>23</v>
      </c>
      <c r="J96" s="4" t="s">
        <v>24</v>
      </c>
      <c r="K96" s="4" t="s">
        <v>22</v>
      </c>
      <c r="L96" s="4" t="s">
        <v>23</v>
      </c>
      <c r="M96" s="4" t="s">
        <v>24</v>
      </c>
      <c r="N96" s="4" t="s">
        <v>22</v>
      </c>
      <c r="O96" s="4" t="s">
        <v>23</v>
      </c>
      <c r="S96" s="75" t="s">
        <v>93</v>
      </c>
      <c r="T96" s="75" t="s">
        <v>93</v>
      </c>
      <c r="U96" s="75" t="s">
        <v>93</v>
      </c>
      <c r="V96" s="74"/>
      <c r="W96" s="75" t="s">
        <v>95</v>
      </c>
      <c r="X96" s="74"/>
      <c r="Y96" s="70" t="s">
        <v>98</v>
      </c>
      <c r="Z96" s="70" t="s">
        <v>99</v>
      </c>
      <c r="AA96" s="70" t="s">
        <v>100</v>
      </c>
    </row>
    <row r="97" spans="5:27" outlineLevel="1" x14ac:dyDescent="0.25">
      <c r="E97" s="4" t="s">
        <v>3</v>
      </c>
      <c r="F97" s="4">
        <v>1</v>
      </c>
      <c r="G97" s="21">
        <v>563</v>
      </c>
      <c r="H97" s="21">
        <v>594</v>
      </c>
      <c r="I97" s="21">
        <v>674.53999999999985</v>
      </c>
      <c r="J97" s="21">
        <v>3655716.05</v>
      </c>
      <c r="K97" s="21">
        <v>4078101.5300000003</v>
      </c>
      <c r="L97" s="21">
        <v>4476287.9099999983</v>
      </c>
      <c r="M97" s="21">
        <v>11434328.399999999</v>
      </c>
      <c r="N97" s="21">
        <v>12755481.239999998</v>
      </c>
      <c r="O97" s="21">
        <v>14384503.84</v>
      </c>
      <c r="S97" s="22">
        <f t="shared" ref="S97:S108" si="36">IFERROR(SUMPRODUCT(H$97:H$108,$W$97:$W$108)/SUMPRODUCT(I$97:I$108,$W$97:$W$108)-1,"")</f>
        <v>-9.0195670569992781E-2</v>
      </c>
      <c r="T97" s="23">
        <f t="shared" ref="T97:T108" si="37">IFERROR(SUMPRODUCT(K$97:K$108,$W$97:$W$108)/SUMPRODUCT(L$97:L$108,$W$97:$W$108)-1,"")</f>
        <v>-5.2843831727208412E-2</v>
      </c>
      <c r="U97" s="24">
        <f t="shared" ref="U97:U108" si="38">IFERROR(SUMPRODUCT(N$97:N$108,$W$97:$W$108)/SUMPRODUCT(O$97:O$108,$W$97:$W$108)-1,"")</f>
        <v>-8.3429428837682562E-2</v>
      </c>
      <c r="W97" s="13">
        <f t="shared" ref="W97:W128" si="39">IFERROR(_xlfn.XLOOKUP(F97,$F$13:$F$24,$W$13:$W$24),"")</f>
        <v>1</v>
      </c>
      <c r="Y97" s="14">
        <f t="shared" ref="Y97:Y128" si="40">IFERROR(IF($W97=1,H97,I97*(1+S97)),"")</f>
        <v>594</v>
      </c>
      <c r="Z97" s="14">
        <f t="shared" ref="Z97:Z128" si="41">IFERROR(IF($W97=1,K97,L97*(1+T97)),"")</f>
        <v>4078101.5300000003</v>
      </c>
      <c r="AA97" s="14">
        <f t="shared" ref="AA97:AA128" si="42">IFERROR(IF($W97=1,N97,O97*(1+U97)),"")</f>
        <v>12755481.239999998</v>
      </c>
    </row>
    <row r="98" spans="5:27" outlineLevel="1" x14ac:dyDescent="0.25">
      <c r="E98" s="4" t="s">
        <v>3</v>
      </c>
      <c r="F98" s="4">
        <v>2</v>
      </c>
      <c r="G98" s="21">
        <v>533</v>
      </c>
      <c r="H98" s="21">
        <v>552</v>
      </c>
      <c r="I98" s="21">
        <v>680.08999999999992</v>
      </c>
      <c r="J98" s="21">
        <v>3462143.9200000013</v>
      </c>
      <c r="K98" s="21">
        <v>3785627.1700000009</v>
      </c>
      <c r="L98" s="21">
        <v>4513118.0700000022</v>
      </c>
      <c r="M98" s="21">
        <v>10835320.4</v>
      </c>
      <c r="N98" s="21">
        <v>11866431.950000001</v>
      </c>
      <c r="O98" s="21">
        <v>14556323.5</v>
      </c>
      <c r="S98" s="25">
        <f t="shared" si="36"/>
        <v>-9.0195670569992781E-2</v>
      </c>
      <c r="T98" s="26">
        <f t="shared" si="37"/>
        <v>-5.2843831727208412E-2</v>
      </c>
      <c r="U98" s="27">
        <f t="shared" si="38"/>
        <v>-8.3429428837682562E-2</v>
      </c>
      <c r="W98" s="13">
        <f t="shared" si="39"/>
        <v>1</v>
      </c>
      <c r="Y98" s="14">
        <f t="shared" si="40"/>
        <v>552</v>
      </c>
      <c r="Z98" s="14">
        <f t="shared" si="41"/>
        <v>3785627.1700000009</v>
      </c>
      <c r="AA98" s="14">
        <f t="shared" si="42"/>
        <v>11866431.950000001</v>
      </c>
    </row>
    <row r="99" spans="5:27" outlineLevel="1" x14ac:dyDescent="0.25">
      <c r="E99" s="4" t="s">
        <v>3</v>
      </c>
      <c r="F99" s="4">
        <v>3</v>
      </c>
      <c r="G99" s="21">
        <v>715</v>
      </c>
      <c r="H99" s="21">
        <v>757</v>
      </c>
      <c r="I99" s="21">
        <v>704.93000000000018</v>
      </c>
      <c r="J99" s="21">
        <v>4628276.9100000011</v>
      </c>
      <c r="K99" s="21">
        <v>5185998.0599999996</v>
      </c>
      <c r="L99" s="21">
        <v>4677957.790000001</v>
      </c>
      <c r="M99" s="21">
        <v>14509446.020000005</v>
      </c>
      <c r="N99" s="21">
        <v>16174789.950000001</v>
      </c>
      <c r="O99" s="21">
        <v>15071258.190000001</v>
      </c>
      <c r="S99" s="25">
        <f t="shared" si="36"/>
        <v>-9.0195670569992781E-2</v>
      </c>
      <c r="T99" s="26">
        <f t="shared" si="37"/>
        <v>-5.2843831727208412E-2</v>
      </c>
      <c r="U99" s="27">
        <f t="shared" si="38"/>
        <v>-8.3429428837682562E-2</v>
      </c>
      <c r="W99" s="13">
        <f t="shared" si="39"/>
        <v>1</v>
      </c>
      <c r="Y99" s="14">
        <f t="shared" si="40"/>
        <v>757</v>
      </c>
      <c r="Z99" s="14">
        <f t="shared" si="41"/>
        <v>5185998.0599999996</v>
      </c>
      <c r="AA99" s="14">
        <f t="shared" si="42"/>
        <v>16174789.950000001</v>
      </c>
    </row>
    <row r="100" spans="5:27" outlineLevel="1" x14ac:dyDescent="0.25">
      <c r="E100" s="4" t="s">
        <v>3</v>
      </c>
      <c r="F100" s="4">
        <v>4</v>
      </c>
      <c r="G100" s="21">
        <v>582</v>
      </c>
      <c r="H100" s="21">
        <v>609</v>
      </c>
      <c r="I100" s="21">
        <v>709</v>
      </c>
      <c r="J100" s="21">
        <v>3846761.689999999</v>
      </c>
      <c r="K100" s="21">
        <v>4285572.7300000004</v>
      </c>
      <c r="L100" s="21">
        <v>4704966.5500000007</v>
      </c>
      <c r="M100" s="21">
        <v>12210726.6</v>
      </c>
      <c r="N100" s="21">
        <v>13367118.339999998</v>
      </c>
      <c r="O100" s="21">
        <v>15145232.089999998</v>
      </c>
      <c r="S100" s="25">
        <f t="shared" si="36"/>
        <v>-9.0195670569992781E-2</v>
      </c>
      <c r="T100" s="26">
        <f t="shared" si="37"/>
        <v>-5.2843831727208412E-2</v>
      </c>
      <c r="U100" s="27">
        <f t="shared" si="38"/>
        <v>-8.3429428837682562E-2</v>
      </c>
      <c r="W100" s="13">
        <f t="shared" si="39"/>
        <v>1</v>
      </c>
      <c r="Y100" s="14">
        <f t="shared" si="40"/>
        <v>609</v>
      </c>
      <c r="Z100" s="14">
        <f t="shared" si="41"/>
        <v>4285572.7300000004</v>
      </c>
      <c r="AA100" s="14">
        <f t="shared" si="42"/>
        <v>13367118.339999998</v>
      </c>
    </row>
    <row r="101" spans="5:27" outlineLevel="1" x14ac:dyDescent="0.25">
      <c r="E101" s="4" t="s">
        <v>3</v>
      </c>
      <c r="F101" s="4">
        <v>5</v>
      </c>
      <c r="G101" s="21">
        <v>691</v>
      </c>
      <c r="H101" s="21">
        <v>719</v>
      </c>
      <c r="I101" s="21">
        <v>732.06000000000006</v>
      </c>
      <c r="J101" s="21">
        <v>4536445.2799999993</v>
      </c>
      <c r="K101" s="21">
        <v>5003365.3199999994</v>
      </c>
      <c r="L101" s="21">
        <v>4857994.089999998</v>
      </c>
      <c r="M101" s="21">
        <v>14502225.560000001</v>
      </c>
      <c r="N101" s="21">
        <v>15695833.330000002</v>
      </c>
      <c r="O101" s="21">
        <v>15684895.210000003</v>
      </c>
      <c r="S101" s="25">
        <f t="shared" si="36"/>
        <v>-9.0195670569992781E-2</v>
      </c>
      <c r="T101" s="26">
        <f t="shared" si="37"/>
        <v>-5.2843831727208412E-2</v>
      </c>
      <c r="U101" s="27">
        <f t="shared" si="38"/>
        <v>-8.3429428837682562E-2</v>
      </c>
      <c r="W101" s="13">
        <f t="shared" si="39"/>
        <v>1</v>
      </c>
      <c r="Y101" s="14">
        <f t="shared" si="40"/>
        <v>719</v>
      </c>
      <c r="Z101" s="14">
        <f t="shared" si="41"/>
        <v>5003365.3199999994</v>
      </c>
      <c r="AA101" s="14">
        <f t="shared" si="42"/>
        <v>15695833.330000002</v>
      </c>
    </row>
    <row r="102" spans="5:27" outlineLevel="1" x14ac:dyDescent="0.25">
      <c r="E102" s="4" t="s">
        <v>3</v>
      </c>
      <c r="F102" s="4">
        <v>6</v>
      </c>
      <c r="G102" s="21">
        <v>584</v>
      </c>
      <c r="H102" s="21">
        <v>618</v>
      </c>
      <c r="I102" s="21">
        <v>729.95999999999981</v>
      </c>
      <c r="J102" s="21">
        <v>3781875.99</v>
      </c>
      <c r="K102" s="21">
        <v>4252160.0199999996</v>
      </c>
      <c r="L102" s="21">
        <v>4844058.3800000008</v>
      </c>
      <c r="M102" s="21">
        <v>11851089.07</v>
      </c>
      <c r="N102" s="21">
        <v>13064039.999999996</v>
      </c>
      <c r="O102" s="21">
        <v>15629483.969999997</v>
      </c>
      <c r="S102" s="25">
        <f t="shared" si="36"/>
        <v>-9.0195670569992781E-2</v>
      </c>
      <c r="T102" s="26">
        <f t="shared" si="37"/>
        <v>-5.2843831727208412E-2</v>
      </c>
      <c r="U102" s="27">
        <f t="shared" si="38"/>
        <v>-8.3429428837682562E-2</v>
      </c>
      <c r="W102" s="13">
        <f t="shared" si="39"/>
        <v>1</v>
      </c>
      <c r="Y102" s="14">
        <f t="shared" si="40"/>
        <v>618</v>
      </c>
      <c r="Z102" s="14">
        <f t="shared" si="41"/>
        <v>4252160.0199999996</v>
      </c>
      <c r="AA102" s="14">
        <f t="shared" si="42"/>
        <v>13064039.999999996</v>
      </c>
    </row>
    <row r="103" spans="5:27" outlineLevel="1" x14ac:dyDescent="0.25">
      <c r="E103" s="4" t="s">
        <v>3</v>
      </c>
      <c r="F103" s="4">
        <v>7</v>
      </c>
      <c r="G103" s="21">
        <v>655</v>
      </c>
      <c r="H103" s="21"/>
      <c r="I103" s="21">
        <v>715.19</v>
      </c>
      <c r="J103" s="21">
        <v>4261121.1100000022</v>
      </c>
      <c r="K103" s="21"/>
      <c r="L103" s="21">
        <v>4746043.7400000012</v>
      </c>
      <c r="M103" s="21">
        <v>13375016.480000002</v>
      </c>
      <c r="N103" s="21"/>
      <c r="O103" s="21">
        <v>15289198.590000004</v>
      </c>
      <c r="S103" s="25">
        <f t="shared" si="36"/>
        <v>-9.0195670569992781E-2</v>
      </c>
      <c r="T103" s="26">
        <f t="shared" si="37"/>
        <v>-5.2843831727208412E-2</v>
      </c>
      <c r="U103" s="27">
        <f t="shared" si="38"/>
        <v>-8.3429428837682562E-2</v>
      </c>
      <c r="W103" s="13">
        <f t="shared" si="39"/>
        <v>0</v>
      </c>
      <c r="Y103" s="14">
        <f t="shared" si="40"/>
        <v>650.68295836504694</v>
      </c>
      <c r="Z103" s="14">
        <f t="shared" si="41"/>
        <v>4495244.6032334706</v>
      </c>
      <c r="AA103" s="14">
        <f t="shared" si="42"/>
        <v>14013629.484250402</v>
      </c>
    </row>
    <row r="104" spans="5:27" outlineLevel="1" x14ac:dyDescent="0.25">
      <c r="E104" s="4" t="s">
        <v>3</v>
      </c>
      <c r="F104" s="4">
        <v>8</v>
      </c>
      <c r="G104" s="21">
        <v>620</v>
      </c>
      <c r="H104" s="21"/>
      <c r="I104" s="21">
        <v>712.85000000000014</v>
      </c>
      <c r="J104" s="21">
        <v>3991183.7099999986</v>
      </c>
      <c r="K104" s="21"/>
      <c r="L104" s="21">
        <v>4730515.3999999985</v>
      </c>
      <c r="M104" s="21">
        <v>12640736.130000003</v>
      </c>
      <c r="N104" s="21"/>
      <c r="O104" s="21">
        <v>15253137.379999997</v>
      </c>
      <c r="S104" s="25">
        <f t="shared" si="36"/>
        <v>-9.0195670569992781E-2</v>
      </c>
      <c r="T104" s="26">
        <f t="shared" si="37"/>
        <v>-5.2843831727208412E-2</v>
      </c>
      <c r="U104" s="27">
        <f t="shared" si="38"/>
        <v>-8.3429428837682562E-2</v>
      </c>
      <c r="W104" s="13">
        <f t="shared" si="39"/>
        <v>0</v>
      </c>
      <c r="Y104" s="14">
        <f t="shared" si="40"/>
        <v>648.55401623418072</v>
      </c>
      <c r="Z104" s="14">
        <f t="shared" si="41"/>
        <v>4480536.8402194306</v>
      </c>
      <c r="AA104" s="14">
        <f t="shared" si="42"/>
        <v>13980576.840403892</v>
      </c>
    </row>
    <row r="105" spans="5:27" outlineLevel="1" x14ac:dyDescent="0.25">
      <c r="E105" s="4" t="s">
        <v>3</v>
      </c>
      <c r="F105" s="4">
        <v>9</v>
      </c>
      <c r="G105" s="21">
        <v>660</v>
      </c>
      <c r="H105" s="21"/>
      <c r="I105" s="21">
        <v>744.37</v>
      </c>
      <c r="J105" s="21">
        <v>4269556.3300000029</v>
      </c>
      <c r="K105" s="21"/>
      <c r="L105" s="21">
        <v>4939683.9700000025</v>
      </c>
      <c r="M105" s="21">
        <v>13724616.039999994</v>
      </c>
      <c r="N105" s="21"/>
      <c r="O105" s="21">
        <v>15935277.379999999</v>
      </c>
      <c r="S105" s="25">
        <f t="shared" si="36"/>
        <v>-9.0195670569992781E-2</v>
      </c>
      <c r="T105" s="26">
        <f t="shared" si="37"/>
        <v>-5.2843831727208412E-2</v>
      </c>
      <c r="U105" s="27">
        <f t="shared" si="38"/>
        <v>-8.3429428837682562E-2</v>
      </c>
      <c r="W105" s="13">
        <f t="shared" si="39"/>
        <v>0</v>
      </c>
      <c r="Y105" s="14">
        <f t="shared" si="40"/>
        <v>677.23104869781446</v>
      </c>
      <c r="Z105" s="14">
        <f t="shared" si="41"/>
        <v>4678652.1415037336</v>
      </c>
      <c r="AA105" s="14">
        <f t="shared" si="42"/>
        <v>14605806.289816556</v>
      </c>
    </row>
    <row r="106" spans="5:27" outlineLevel="1" x14ac:dyDescent="0.25">
      <c r="E106" s="4" t="s">
        <v>3</v>
      </c>
      <c r="F106" s="4">
        <v>10</v>
      </c>
      <c r="G106" s="21">
        <v>757</v>
      </c>
      <c r="H106" s="21"/>
      <c r="I106" s="21">
        <v>796.99</v>
      </c>
      <c r="J106" s="21">
        <v>4909078.4700000035</v>
      </c>
      <c r="K106" s="21"/>
      <c r="L106" s="21">
        <v>5288873.4700000007</v>
      </c>
      <c r="M106" s="21">
        <v>15406674.799999993</v>
      </c>
      <c r="N106" s="21"/>
      <c r="O106" s="21">
        <v>16971807.790000007</v>
      </c>
      <c r="S106" s="25">
        <f t="shared" si="36"/>
        <v>-9.0195670569992781E-2</v>
      </c>
      <c r="T106" s="26">
        <f t="shared" si="37"/>
        <v>-5.2843831727208412E-2</v>
      </c>
      <c r="U106" s="27">
        <f t="shared" si="38"/>
        <v>-8.3429428837682562E-2</v>
      </c>
      <c r="W106" s="13">
        <f t="shared" si="39"/>
        <v>0</v>
      </c>
      <c r="Y106" s="14">
        <f t="shared" si="40"/>
        <v>725.10495251242151</v>
      </c>
      <c r="Z106" s="14">
        <f t="shared" si="41"/>
        <v>5009389.1303248238</v>
      </c>
      <c r="AA106" s="14">
        <f t="shared" si="42"/>
        <v>15555859.559737375</v>
      </c>
    </row>
    <row r="107" spans="5:27" outlineLevel="1" x14ac:dyDescent="0.25">
      <c r="E107" s="4" t="s">
        <v>3</v>
      </c>
      <c r="F107" s="4">
        <v>11</v>
      </c>
      <c r="G107" s="21">
        <v>943</v>
      </c>
      <c r="H107" s="21"/>
      <c r="I107" s="21">
        <v>805.61</v>
      </c>
      <c r="J107" s="21">
        <v>6123942.870000001</v>
      </c>
      <c r="K107" s="21"/>
      <c r="L107" s="21">
        <v>5346076.2899999991</v>
      </c>
      <c r="M107" s="21">
        <v>19242328.819999997</v>
      </c>
      <c r="N107" s="21"/>
      <c r="O107" s="21">
        <v>17212024.100000005</v>
      </c>
      <c r="S107" s="25">
        <f t="shared" si="36"/>
        <v>-9.0195670569992781E-2</v>
      </c>
      <c r="T107" s="26">
        <f t="shared" si="37"/>
        <v>-5.2843831727208412E-2</v>
      </c>
      <c r="U107" s="27">
        <f t="shared" si="38"/>
        <v>-8.3429428837682562E-2</v>
      </c>
      <c r="W107" s="13">
        <f t="shared" si="39"/>
        <v>0</v>
      </c>
      <c r="Y107" s="14">
        <f t="shared" si="40"/>
        <v>732.94746583210815</v>
      </c>
      <c r="Z107" s="14">
        <f t="shared" si="41"/>
        <v>5063569.1341304202</v>
      </c>
      <c r="AA107" s="14">
        <f t="shared" si="42"/>
        <v>15776034.760196578</v>
      </c>
    </row>
    <row r="108" spans="5:27" outlineLevel="1" x14ac:dyDescent="0.25">
      <c r="E108" s="4" t="s">
        <v>3</v>
      </c>
      <c r="F108" s="4">
        <v>12</v>
      </c>
      <c r="G108" s="21">
        <v>1061</v>
      </c>
      <c r="H108" s="21"/>
      <c r="I108" s="21">
        <v>801.6400000000001</v>
      </c>
      <c r="J108" s="21">
        <v>6921329.9099999983</v>
      </c>
      <c r="K108" s="21"/>
      <c r="L108" s="21">
        <v>5319731.1399999987</v>
      </c>
      <c r="M108" s="21">
        <v>21731877.059999999</v>
      </c>
      <c r="N108" s="21"/>
      <c r="O108" s="21">
        <v>17123599.140000004</v>
      </c>
      <c r="S108" s="28">
        <f t="shared" si="36"/>
        <v>-9.0195670569992781E-2</v>
      </c>
      <c r="T108" s="29">
        <f t="shared" si="37"/>
        <v>-5.2843831727208412E-2</v>
      </c>
      <c r="U108" s="30">
        <f t="shared" si="38"/>
        <v>-8.3429428837682562E-2</v>
      </c>
      <c r="W108" s="13">
        <f t="shared" si="39"/>
        <v>0</v>
      </c>
      <c r="Y108" s="14">
        <f t="shared" si="40"/>
        <v>729.33554264427107</v>
      </c>
      <c r="Z108" s="14">
        <f t="shared" si="41"/>
        <v>5038616.1628038483</v>
      </c>
      <c r="AA108" s="14">
        <f t="shared" si="42"/>
        <v>15694987.044104371</v>
      </c>
    </row>
    <row r="109" spans="5:27" outlineLevel="1" x14ac:dyDescent="0.25">
      <c r="E109" s="4" t="s">
        <v>4</v>
      </c>
      <c r="F109" s="4">
        <v>1</v>
      </c>
      <c r="G109" s="21">
        <v>345</v>
      </c>
      <c r="H109" s="21">
        <v>352</v>
      </c>
      <c r="I109" s="21">
        <v>337.01000000000005</v>
      </c>
      <c r="J109" s="21">
        <v>926756.5699999996</v>
      </c>
      <c r="K109" s="21">
        <v>989065.45000000019</v>
      </c>
      <c r="L109" s="21">
        <v>917604.0900000002</v>
      </c>
      <c r="M109" s="21">
        <v>2283152.1799999997</v>
      </c>
      <c r="N109" s="21">
        <v>2463203.1900000009</v>
      </c>
      <c r="O109" s="21">
        <v>2374083.8899999992</v>
      </c>
      <c r="S109" s="22">
        <f t="shared" ref="S109:S120" si="43">IFERROR(SUMPRODUCT(H$109:H$120,$W$109:$W$120)/SUMPRODUCT(I$109:I$120,$W$109:$W$120)-1,"")</f>
        <v>-7.7627239581973706E-2</v>
      </c>
      <c r="T109" s="23">
        <f t="shared" ref="T109:T120" si="44">IFERROR(SUMPRODUCT(K$109:K$120,$W$109:$W$120)/SUMPRODUCT(L$109:L$120,$W$109:$W$120)-1,"")</f>
        <v>-5.955788083934932E-2</v>
      </c>
      <c r="U109" s="24">
        <f t="shared" ref="U109:U120" si="45">IFERROR(SUMPRODUCT(N$109:N$120,$W$109:$W$120)/SUMPRODUCT(O$109:O$120,$W$109:$W$120)-1,"")</f>
        <v>-7.8875603530421334E-2</v>
      </c>
      <c r="W109" s="13">
        <f t="shared" si="39"/>
        <v>1</v>
      </c>
      <c r="Y109" s="14">
        <f t="shared" si="40"/>
        <v>352</v>
      </c>
      <c r="Z109" s="14">
        <f t="shared" si="41"/>
        <v>989065.45000000019</v>
      </c>
      <c r="AA109" s="14">
        <f t="shared" si="42"/>
        <v>2463203.1900000009</v>
      </c>
    </row>
    <row r="110" spans="5:27" outlineLevel="1" x14ac:dyDescent="0.25">
      <c r="E110" s="4" t="s">
        <v>4</v>
      </c>
      <c r="F110" s="4">
        <v>2</v>
      </c>
      <c r="G110" s="21">
        <v>280</v>
      </c>
      <c r="H110" s="21">
        <v>295</v>
      </c>
      <c r="I110" s="21">
        <v>357.61000000000007</v>
      </c>
      <c r="J110" s="21">
        <v>761456.35</v>
      </c>
      <c r="K110" s="21">
        <v>837109.51000000013</v>
      </c>
      <c r="L110" s="21">
        <v>973693.3600000001</v>
      </c>
      <c r="M110" s="21">
        <v>1903270.2</v>
      </c>
      <c r="N110" s="21">
        <v>2128605.83</v>
      </c>
      <c r="O110" s="21">
        <v>2525812.6499999994</v>
      </c>
      <c r="S110" s="25">
        <f t="shared" si="43"/>
        <v>-7.7627239581973706E-2</v>
      </c>
      <c r="T110" s="26">
        <f t="shared" si="44"/>
        <v>-5.955788083934932E-2</v>
      </c>
      <c r="U110" s="27">
        <f t="shared" si="45"/>
        <v>-7.8875603530421334E-2</v>
      </c>
      <c r="W110" s="13">
        <f t="shared" si="39"/>
        <v>1</v>
      </c>
      <c r="Y110" s="14">
        <f t="shared" si="40"/>
        <v>295</v>
      </c>
      <c r="Z110" s="14">
        <f t="shared" si="41"/>
        <v>837109.51000000013</v>
      </c>
      <c r="AA110" s="14">
        <f t="shared" si="42"/>
        <v>2128605.83</v>
      </c>
    </row>
    <row r="111" spans="5:27" outlineLevel="1" x14ac:dyDescent="0.25">
      <c r="E111" s="4" t="s">
        <v>4</v>
      </c>
      <c r="F111" s="4">
        <v>3</v>
      </c>
      <c r="G111" s="21">
        <v>334</v>
      </c>
      <c r="H111" s="21">
        <v>346</v>
      </c>
      <c r="I111" s="21">
        <v>391.0800000000001</v>
      </c>
      <c r="J111" s="21">
        <v>860822.82999999984</v>
      </c>
      <c r="K111" s="21">
        <v>929026.4099999998</v>
      </c>
      <c r="L111" s="21">
        <v>1064824.8100000003</v>
      </c>
      <c r="M111" s="21">
        <v>2188186.8499999996</v>
      </c>
      <c r="N111" s="21">
        <v>2377268.0100000002</v>
      </c>
      <c r="O111" s="21">
        <v>2735459.2799999993</v>
      </c>
      <c r="S111" s="25">
        <f t="shared" si="43"/>
        <v>-7.7627239581973706E-2</v>
      </c>
      <c r="T111" s="26">
        <f t="shared" si="44"/>
        <v>-5.955788083934932E-2</v>
      </c>
      <c r="U111" s="27">
        <f t="shared" si="45"/>
        <v>-7.8875603530421334E-2</v>
      </c>
      <c r="W111" s="13">
        <f t="shared" si="39"/>
        <v>1</v>
      </c>
      <c r="Y111" s="14">
        <f t="shared" si="40"/>
        <v>346</v>
      </c>
      <c r="Z111" s="14">
        <f t="shared" si="41"/>
        <v>929026.4099999998</v>
      </c>
      <c r="AA111" s="14">
        <f t="shared" si="42"/>
        <v>2377268.0100000002</v>
      </c>
    </row>
    <row r="112" spans="5:27" outlineLevel="1" x14ac:dyDescent="0.25">
      <c r="E112" s="4" t="s">
        <v>4</v>
      </c>
      <c r="F112" s="4">
        <v>4</v>
      </c>
      <c r="G112" s="21">
        <v>362</v>
      </c>
      <c r="H112" s="21">
        <v>379</v>
      </c>
      <c r="I112" s="21">
        <v>383.71999999999997</v>
      </c>
      <c r="J112" s="21">
        <v>964938.15000000014</v>
      </c>
      <c r="K112" s="21">
        <v>1057224.2600000005</v>
      </c>
      <c r="L112" s="21">
        <v>1044785.2</v>
      </c>
      <c r="M112" s="21">
        <v>2478108.1000000006</v>
      </c>
      <c r="N112" s="21">
        <v>2722589.0300000003</v>
      </c>
      <c r="O112" s="21">
        <v>2673846.85</v>
      </c>
      <c r="S112" s="25">
        <f t="shared" si="43"/>
        <v>-7.7627239581973706E-2</v>
      </c>
      <c r="T112" s="26">
        <f t="shared" si="44"/>
        <v>-5.955788083934932E-2</v>
      </c>
      <c r="U112" s="27">
        <f t="shared" si="45"/>
        <v>-7.8875603530421334E-2</v>
      </c>
      <c r="W112" s="13">
        <f t="shared" si="39"/>
        <v>1</v>
      </c>
      <c r="Y112" s="14">
        <f t="shared" si="40"/>
        <v>379</v>
      </c>
      <c r="Z112" s="14">
        <f t="shared" si="41"/>
        <v>1057224.2600000005</v>
      </c>
      <c r="AA112" s="14">
        <f t="shared" si="42"/>
        <v>2722589.0300000003</v>
      </c>
    </row>
    <row r="113" spans="5:27" outlineLevel="1" x14ac:dyDescent="0.25">
      <c r="E113" s="4" t="s">
        <v>4</v>
      </c>
      <c r="F113" s="4">
        <v>5</v>
      </c>
      <c r="G113" s="21">
        <v>378</v>
      </c>
      <c r="H113" s="21">
        <v>400</v>
      </c>
      <c r="I113" s="21">
        <v>406.97000000000014</v>
      </c>
      <c r="J113" s="21">
        <v>997212.2</v>
      </c>
      <c r="K113" s="21">
        <v>1108518.8599999999</v>
      </c>
      <c r="L113" s="21">
        <v>1108089.7799999998</v>
      </c>
      <c r="M113" s="21">
        <v>2497564.9699999997</v>
      </c>
      <c r="N113" s="21">
        <v>2749098.8499999996</v>
      </c>
      <c r="O113" s="21">
        <v>2845119.0100000002</v>
      </c>
      <c r="S113" s="25">
        <f t="shared" si="43"/>
        <v>-7.7627239581973706E-2</v>
      </c>
      <c r="T113" s="26">
        <f t="shared" si="44"/>
        <v>-5.955788083934932E-2</v>
      </c>
      <c r="U113" s="27">
        <f t="shared" si="45"/>
        <v>-7.8875603530421334E-2</v>
      </c>
      <c r="W113" s="13">
        <f t="shared" si="39"/>
        <v>1</v>
      </c>
      <c r="Y113" s="14">
        <f t="shared" si="40"/>
        <v>400</v>
      </c>
      <c r="Z113" s="14">
        <f t="shared" si="41"/>
        <v>1108518.8599999999</v>
      </c>
      <c r="AA113" s="14">
        <f t="shared" si="42"/>
        <v>2749098.8499999996</v>
      </c>
    </row>
    <row r="114" spans="5:27" outlineLevel="1" x14ac:dyDescent="0.25">
      <c r="E114" s="4" t="s">
        <v>4</v>
      </c>
      <c r="F114" s="4">
        <v>6</v>
      </c>
      <c r="G114" s="21">
        <v>341</v>
      </c>
      <c r="H114" s="21">
        <v>348</v>
      </c>
      <c r="I114" s="21">
        <v>422.03</v>
      </c>
      <c r="J114" s="21">
        <v>911716.14000000025</v>
      </c>
      <c r="K114" s="21">
        <v>964428.84999999963</v>
      </c>
      <c r="L114" s="21">
        <v>1149094.7999999996</v>
      </c>
      <c r="M114" s="21">
        <v>2255014.7599999998</v>
      </c>
      <c r="N114" s="21">
        <v>2377870.5099999998</v>
      </c>
      <c r="O114" s="21">
        <v>2933229.0099999988</v>
      </c>
      <c r="S114" s="25">
        <f t="shared" si="43"/>
        <v>-7.7627239581973706E-2</v>
      </c>
      <c r="T114" s="26">
        <f t="shared" si="44"/>
        <v>-5.955788083934932E-2</v>
      </c>
      <c r="U114" s="27">
        <f t="shared" si="45"/>
        <v>-7.8875603530421334E-2</v>
      </c>
      <c r="W114" s="13">
        <f t="shared" si="39"/>
        <v>1</v>
      </c>
      <c r="Y114" s="14">
        <f t="shared" si="40"/>
        <v>348</v>
      </c>
      <c r="Z114" s="14">
        <f t="shared" si="41"/>
        <v>964428.84999999963</v>
      </c>
      <c r="AA114" s="14">
        <f t="shared" si="42"/>
        <v>2377870.5099999998</v>
      </c>
    </row>
    <row r="115" spans="5:27" outlineLevel="1" x14ac:dyDescent="0.25">
      <c r="E115" s="4" t="s">
        <v>4</v>
      </c>
      <c r="F115" s="4">
        <v>7</v>
      </c>
      <c r="G115" s="21">
        <v>361</v>
      </c>
      <c r="H115" s="21"/>
      <c r="I115" s="21">
        <v>345.93</v>
      </c>
      <c r="J115" s="21">
        <v>975717.27999999991</v>
      </c>
      <c r="K115" s="21"/>
      <c r="L115" s="21">
        <v>941891.29</v>
      </c>
      <c r="M115" s="21">
        <v>2413006.3000000003</v>
      </c>
      <c r="N115" s="21"/>
      <c r="O115" s="21">
        <v>2451140.5499999998</v>
      </c>
      <c r="S115" s="25">
        <f t="shared" si="43"/>
        <v>-7.7627239581973706E-2</v>
      </c>
      <c r="T115" s="26">
        <f t="shared" si="44"/>
        <v>-5.955788083934932E-2</v>
      </c>
      <c r="U115" s="27">
        <f t="shared" si="45"/>
        <v>-7.8875603530421334E-2</v>
      </c>
      <c r="W115" s="13">
        <f t="shared" si="39"/>
        <v>0</v>
      </c>
      <c r="Y115" s="14">
        <f t="shared" si="40"/>
        <v>319.07640901140786</v>
      </c>
      <c r="Z115" s="14">
        <f t="shared" si="41"/>
        <v>885794.24078655906</v>
      </c>
      <c r="AA115" s="14">
        <f t="shared" si="42"/>
        <v>2257805.3597808611</v>
      </c>
    </row>
    <row r="116" spans="5:27" outlineLevel="1" x14ac:dyDescent="0.25">
      <c r="E116" s="4" t="s">
        <v>4</v>
      </c>
      <c r="F116" s="4">
        <v>8</v>
      </c>
      <c r="G116" s="21">
        <v>366</v>
      </c>
      <c r="H116" s="21"/>
      <c r="I116" s="21">
        <v>391.53999999999979</v>
      </c>
      <c r="J116" s="21">
        <v>959925.70999999973</v>
      </c>
      <c r="K116" s="21"/>
      <c r="L116" s="21">
        <v>1066077.27</v>
      </c>
      <c r="M116" s="21">
        <v>2457039.7399999998</v>
      </c>
      <c r="N116" s="21"/>
      <c r="O116" s="21">
        <v>2752959.6799999997</v>
      </c>
      <c r="S116" s="25">
        <f t="shared" si="43"/>
        <v>-7.7627239581973706E-2</v>
      </c>
      <c r="T116" s="26">
        <f t="shared" si="44"/>
        <v>-5.955788083934932E-2</v>
      </c>
      <c r="U116" s="27">
        <f t="shared" si="45"/>
        <v>-7.8875603530421334E-2</v>
      </c>
      <c r="W116" s="13">
        <f t="shared" si="39"/>
        <v>0</v>
      </c>
      <c r="Y116" s="14">
        <f t="shared" si="40"/>
        <v>361.14583061407382</v>
      </c>
      <c r="Z116" s="14">
        <f t="shared" si="41"/>
        <v>1002583.9669878011</v>
      </c>
      <c r="AA116" s="14">
        <f t="shared" si="42"/>
        <v>2535818.323745084</v>
      </c>
    </row>
    <row r="117" spans="5:27" outlineLevel="1" x14ac:dyDescent="0.25">
      <c r="E117" s="4" t="s">
        <v>4</v>
      </c>
      <c r="F117" s="4">
        <v>9</v>
      </c>
      <c r="G117" s="21">
        <v>320</v>
      </c>
      <c r="H117" s="21"/>
      <c r="I117" s="21">
        <v>405.69999999999993</v>
      </c>
      <c r="J117" s="21">
        <v>849034.89999999991</v>
      </c>
      <c r="K117" s="21"/>
      <c r="L117" s="21">
        <v>1104631.8700000001</v>
      </c>
      <c r="M117" s="21">
        <v>2135739.8900000006</v>
      </c>
      <c r="N117" s="21"/>
      <c r="O117" s="21">
        <v>2845093.5700000008</v>
      </c>
      <c r="S117" s="25">
        <f t="shared" si="43"/>
        <v>-7.7627239581973706E-2</v>
      </c>
      <c r="T117" s="26">
        <f t="shared" si="44"/>
        <v>-5.955788083934932E-2</v>
      </c>
      <c r="U117" s="27">
        <f t="shared" si="45"/>
        <v>-7.8875603530421334E-2</v>
      </c>
      <c r="W117" s="13">
        <f t="shared" si="39"/>
        <v>0</v>
      </c>
      <c r="Y117" s="14">
        <f t="shared" si="40"/>
        <v>374.20662890159321</v>
      </c>
      <c r="Z117" s="14">
        <f t="shared" si="41"/>
        <v>1038842.3367151925</v>
      </c>
      <c r="AA117" s="14">
        <f t="shared" si="42"/>
        <v>2620685.0975657296</v>
      </c>
    </row>
    <row r="118" spans="5:27" outlineLevel="1" x14ac:dyDescent="0.25">
      <c r="E118" s="4" t="s">
        <v>4</v>
      </c>
      <c r="F118" s="4">
        <v>10</v>
      </c>
      <c r="G118" s="21">
        <v>370</v>
      </c>
      <c r="H118" s="21"/>
      <c r="I118" s="21">
        <v>409.82999999999993</v>
      </c>
      <c r="J118" s="21">
        <v>980072.91999999981</v>
      </c>
      <c r="K118" s="21"/>
      <c r="L118" s="21">
        <v>1115876.9600000002</v>
      </c>
      <c r="M118" s="21">
        <v>2478520.91</v>
      </c>
      <c r="N118" s="21"/>
      <c r="O118" s="21">
        <v>2868992.8599999994</v>
      </c>
      <c r="S118" s="25">
        <f t="shared" si="43"/>
        <v>-7.7627239581973706E-2</v>
      </c>
      <c r="T118" s="26">
        <f t="shared" si="44"/>
        <v>-5.955788083934932E-2</v>
      </c>
      <c r="U118" s="27">
        <f t="shared" si="45"/>
        <v>-7.8875603530421334E-2</v>
      </c>
      <c r="W118" s="13">
        <f t="shared" si="39"/>
        <v>0</v>
      </c>
      <c r="Y118" s="14">
        <f t="shared" si="40"/>
        <v>378.01602840211967</v>
      </c>
      <c r="Z118" s="14">
        <f t="shared" si="41"/>
        <v>1049417.6929849449</v>
      </c>
      <c r="AA118" s="14">
        <f t="shared" si="42"/>
        <v>2642699.3166430299</v>
      </c>
    </row>
    <row r="119" spans="5:27" outlineLevel="1" x14ac:dyDescent="0.25">
      <c r="E119" s="4" t="s">
        <v>4</v>
      </c>
      <c r="F119" s="4">
        <v>11</v>
      </c>
      <c r="G119" s="21">
        <v>515</v>
      </c>
      <c r="H119" s="21"/>
      <c r="I119" s="21">
        <v>440.92999999999995</v>
      </c>
      <c r="J119" s="21">
        <v>1440893.4799999995</v>
      </c>
      <c r="K119" s="21"/>
      <c r="L119" s="21">
        <v>1200555.4400000002</v>
      </c>
      <c r="M119" s="21">
        <v>3649011.3899999987</v>
      </c>
      <c r="N119" s="21"/>
      <c r="O119" s="21">
        <v>3088022.1700000013</v>
      </c>
      <c r="S119" s="25">
        <f t="shared" si="43"/>
        <v>-7.7627239581973706E-2</v>
      </c>
      <c r="T119" s="26">
        <f t="shared" si="44"/>
        <v>-5.955788083934932E-2</v>
      </c>
      <c r="U119" s="27">
        <f t="shared" si="45"/>
        <v>-7.8875603530421334E-2</v>
      </c>
      <c r="W119" s="13">
        <f t="shared" si="39"/>
        <v>0</v>
      </c>
      <c r="Y119" s="14">
        <f t="shared" si="40"/>
        <v>406.70182125112029</v>
      </c>
      <c r="Z119" s="14">
        <f t="shared" si="41"/>
        <v>1129052.9021634476</v>
      </c>
      <c r="AA119" s="14">
        <f t="shared" si="42"/>
        <v>2844452.5576259298</v>
      </c>
    </row>
    <row r="120" spans="5:27" outlineLevel="1" x14ac:dyDescent="0.25">
      <c r="E120" s="4" t="s">
        <v>4</v>
      </c>
      <c r="F120" s="4">
        <v>12</v>
      </c>
      <c r="G120" s="21">
        <v>540</v>
      </c>
      <c r="H120" s="21"/>
      <c r="I120" s="21">
        <v>456.47</v>
      </c>
      <c r="J120" s="21">
        <v>1431039.5299999993</v>
      </c>
      <c r="K120" s="21"/>
      <c r="L120" s="21">
        <v>1242867.3999999994</v>
      </c>
      <c r="M120" s="21">
        <v>3596538.0899999975</v>
      </c>
      <c r="N120" s="21"/>
      <c r="O120" s="21">
        <v>3193156.17</v>
      </c>
      <c r="S120" s="28">
        <f t="shared" si="43"/>
        <v>-7.7627239581973706E-2</v>
      </c>
      <c r="T120" s="29">
        <f t="shared" si="44"/>
        <v>-5.955788083934932E-2</v>
      </c>
      <c r="U120" s="30">
        <f t="shared" si="45"/>
        <v>-7.8875603530421334E-2</v>
      </c>
      <c r="W120" s="13">
        <f t="shared" si="39"/>
        <v>0</v>
      </c>
      <c r="Y120" s="14">
        <f t="shared" si="40"/>
        <v>421.03549394801649</v>
      </c>
      <c r="Z120" s="14">
        <f t="shared" si="41"/>
        <v>1168844.8514916876</v>
      </c>
      <c r="AA120" s="14">
        <f t="shared" si="42"/>
        <v>2941294.0499243611</v>
      </c>
    </row>
    <row r="121" spans="5:27" outlineLevel="1" x14ac:dyDescent="0.25">
      <c r="E121" s="4" t="s">
        <v>5</v>
      </c>
      <c r="F121" s="4">
        <v>1</v>
      </c>
      <c r="G121" s="21">
        <v>564</v>
      </c>
      <c r="H121" s="21">
        <v>586</v>
      </c>
      <c r="I121" s="21">
        <v>740.92999999999984</v>
      </c>
      <c r="J121" s="21">
        <v>3048079.9800000004</v>
      </c>
      <c r="K121" s="21">
        <v>3285316.9700000007</v>
      </c>
      <c r="L121" s="21">
        <v>4015633.08</v>
      </c>
      <c r="M121" s="21">
        <v>9407945.0200000014</v>
      </c>
      <c r="N121" s="21">
        <v>10299095.560000002</v>
      </c>
      <c r="O121" s="21">
        <v>12432829.579999998</v>
      </c>
      <c r="S121" s="22">
        <f t="shared" ref="S121:S132" si="46">IFERROR(SUMPRODUCT(H$121:H$132,$W$121:$W$132)/SUMPRODUCT(I$121:I$132,$W$121:$W$132)-1,"")</f>
        <v>-9.768064331642301E-2</v>
      </c>
      <c r="T121" s="23">
        <f t="shared" ref="T121:T132" si="47">IFERROR(SUMPRODUCT(K$121:K$132,$W$121:$W$132)/SUMPRODUCT(L$121:L$132,$W$121:$W$132)-1,"")</f>
        <v>-7.770001631131418E-2</v>
      </c>
      <c r="U121" s="24">
        <f t="shared" ref="U121:U132" si="48">IFERROR(SUMPRODUCT(N$121:N$132,$W$121:$W$132)/SUMPRODUCT(O$121:O$132,$W$121:$W$132)-1,"")</f>
        <v>-8.902528980523694E-2</v>
      </c>
      <c r="W121" s="13">
        <f t="shared" si="39"/>
        <v>1</v>
      </c>
      <c r="Y121" s="14">
        <f t="shared" si="40"/>
        <v>586</v>
      </c>
      <c r="Z121" s="14">
        <f t="shared" si="41"/>
        <v>3285316.9700000007</v>
      </c>
      <c r="AA121" s="14">
        <f t="shared" si="42"/>
        <v>10299095.560000002</v>
      </c>
    </row>
    <row r="122" spans="5:27" outlineLevel="1" x14ac:dyDescent="0.25">
      <c r="E122" s="4" t="s">
        <v>5</v>
      </c>
      <c r="F122" s="4">
        <v>2</v>
      </c>
      <c r="G122" s="21">
        <v>485</v>
      </c>
      <c r="H122" s="21">
        <v>505</v>
      </c>
      <c r="I122" s="21">
        <v>698.41999999999985</v>
      </c>
      <c r="J122" s="21">
        <v>2555398.5299999998</v>
      </c>
      <c r="K122" s="21">
        <v>2782816.5199999996</v>
      </c>
      <c r="L122" s="21">
        <v>3785240.8000000007</v>
      </c>
      <c r="M122" s="21">
        <v>7972604.5800000029</v>
      </c>
      <c r="N122" s="21">
        <v>8744722.5999999996</v>
      </c>
      <c r="O122" s="21">
        <v>11755909.919999998</v>
      </c>
      <c r="S122" s="25">
        <f t="shared" si="46"/>
        <v>-9.768064331642301E-2</v>
      </c>
      <c r="T122" s="26">
        <f t="shared" si="47"/>
        <v>-7.770001631131418E-2</v>
      </c>
      <c r="U122" s="27">
        <f t="shared" si="48"/>
        <v>-8.902528980523694E-2</v>
      </c>
      <c r="W122" s="13">
        <f t="shared" si="39"/>
        <v>1</v>
      </c>
      <c r="Y122" s="14">
        <f t="shared" si="40"/>
        <v>505</v>
      </c>
      <c r="Z122" s="14">
        <f t="shared" si="41"/>
        <v>2782816.5199999996</v>
      </c>
      <c r="AA122" s="14">
        <f t="shared" si="42"/>
        <v>8744722.5999999996</v>
      </c>
    </row>
    <row r="123" spans="5:27" outlineLevel="1" x14ac:dyDescent="0.25">
      <c r="E123" s="4" t="s">
        <v>5</v>
      </c>
      <c r="F123" s="4">
        <v>3</v>
      </c>
      <c r="G123" s="21">
        <v>739</v>
      </c>
      <c r="H123" s="21">
        <v>788</v>
      </c>
      <c r="I123" s="21">
        <v>699.44000000000017</v>
      </c>
      <c r="J123" s="21">
        <v>3954732.86</v>
      </c>
      <c r="K123" s="21">
        <v>4403326.1999999983</v>
      </c>
      <c r="L123" s="21">
        <v>3790768.9200000004</v>
      </c>
      <c r="M123" s="21">
        <v>12037543.529999997</v>
      </c>
      <c r="N123" s="21">
        <v>13432858.719999997</v>
      </c>
      <c r="O123" s="21">
        <v>11767601.549999999</v>
      </c>
      <c r="S123" s="25">
        <f t="shared" si="46"/>
        <v>-9.768064331642301E-2</v>
      </c>
      <c r="T123" s="26">
        <f t="shared" si="47"/>
        <v>-7.770001631131418E-2</v>
      </c>
      <c r="U123" s="27">
        <f t="shared" si="48"/>
        <v>-8.902528980523694E-2</v>
      </c>
      <c r="W123" s="13">
        <f t="shared" si="39"/>
        <v>1</v>
      </c>
      <c r="Y123" s="14">
        <f t="shared" si="40"/>
        <v>788</v>
      </c>
      <c r="Z123" s="14">
        <f t="shared" si="41"/>
        <v>4403326.1999999983</v>
      </c>
      <c r="AA123" s="14">
        <f t="shared" si="42"/>
        <v>13432858.719999997</v>
      </c>
    </row>
    <row r="124" spans="5:27" outlineLevel="1" x14ac:dyDescent="0.25">
      <c r="E124" s="4" t="s">
        <v>5</v>
      </c>
      <c r="F124" s="4">
        <v>4</v>
      </c>
      <c r="G124" s="21">
        <v>639</v>
      </c>
      <c r="H124" s="21">
        <v>657</v>
      </c>
      <c r="I124" s="21">
        <v>716.46</v>
      </c>
      <c r="J124" s="21">
        <v>3422925.6000000006</v>
      </c>
      <c r="K124" s="21">
        <v>3673838.2599999993</v>
      </c>
      <c r="L124" s="21">
        <v>3883012.5999999996</v>
      </c>
      <c r="M124" s="21">
        <v>10512206.740000002</v>
      </c>
      <c r="N124" s="21">
        <v>11193928.249999994</v>
      </c>
      <c r="O124" s="21">
        <v>12090769.229999997</v>
      </c>
      <c r="S124" s="25">
        <f t="shared" si="46"/>
        <v>-9.768064331642301E-2</v>
      </c>
      <c r="T124" s="26">
        <f t="shared" si="47"/>
        <v>-7.770001631131418E-2</v>
      </c>
      <c r="U124" s="27">
        <f t="shared" si="48"/>
        <v>-8.902528980523694E-2</v>
      </c>
      <c r="W124" s="13">
        <f t="shared" si="39"/>
        <v>1</v>
      </c>
      <c r="Y124" s="14">
        <f t="shared" si="40"/>
        <v>657</v>
      </c>
      <c r="Z124" s="14">
        <f t="shared" si="41"/>
        <v>3673838.2599999993</v>
      </c>
      <c r="AA124" s="14">
        <f t="shared" si="42"/>
        <v>11193928.249999994</v>
      </c>
    </row>
    <row r="125" spans="5:27" outlineLevel="1" x14ac:dyDescent="0.25">
      <c r="E125" s="4" t="s">
        <v>5</v>
      </c>
      <c r="F125" s="4">
        <v>5</v>
      </c>
      <c r="G125" s="21">
        <v>683</v>
      </c>
      <c r="H125" s="21">
        <v>715</v>
      </c>
      <c r="I125" s="21">
        <v>727.0999999999998</v>
      </c>
      <c r="J125" s="21">
        <v>3549558.1899999995</v>
      </c>
      <c r="K125" s="21">
        <v>3862857.5299999989</v>
      </c>
      <c r="L125" s="21">
        <v>3940678.41</v>
      </c>
      <c r="M125" s="21">
        <v>10786204.849999998</v>
      </c>
      <c r="N125" s="21">
        <v>11699373.259999996</v>
      </c>
      <c r="O125" s="21">
        <v>12301036.970000004</v>
      </c>
      <c r="S125" s="25">
        <f t="shared" si="46"/>
        <v>-9.768064331642301E-2</v>
      </c>
      <c r="T125" s="26">
        <f t="shared" si="47"/>
        <v>-7.770001631131418E-2</v>
      </c>
      <c r="U125" s="27">
        <f t="shared" si="48"/>
        <v>-8.902528980523694E-2</v>
      </c>
      <c r="W125" s="13">
        <f t="shared" si="39"/>
        <v>1</v>
      </c>
      <c r="Y125" s="14">
        <f t="shared" si="40"/>
        <v>715</v>
      </c>
      <c r="Z125" s="14">
        <f t="shared" si="41"/>
        <v>3862857.5299999989</v>
      </c>
      <c r="AA125" s="14">
        <f t="shared" si="42"/>
        <v>11699373.259999996</v>
      </c>
    </row>
    <row r="126" spans="5:27" outlineLevel="1" x14ac:dyDescent="0.25">
      <c r="E126" s="4" t="s">
        <v>5</v>
      </c>
      <c r="F126" s="4">
        <v>6</v>
      </c>
      <c r="G126" s="21">
        <v>614</v>
      </c>
      <c r="H126" s="21">
        <v>646</v>
      </c>
      <c r="I126" s="21">
        <v>736.52</v>
      </c>
      <c r="J126" s="21">
        <v>3276447.4000000008</v>
      </c>
      <c r="K126" s="21">
        <v>3580181.1099999994</v>
      </c>
      <c r="L126" s="21">
        <v>3991732.1900000013</v>
      </c>
      <c r="M126" s="21">
        <v>9926494.2600000016</v>
      </c>
      <c r="N126" s="21">
        <v>10883250.379999997</v>
      </c>
      <c r="O126" s="21">
        <v>12379699.119999995</v>
      </c>
      <c r="S126" s="25">
        <f t="shared" si="46"/>
        <v>-9.768064331642301E-2</v>
      </c>
      <c r="T126" s="26">
        <f t="shared" si="47"/>
        <v>-7.770001631131418E-2</v>
      </c>
      <c r="U126" s="27">
        <f t="shared" si="48"/>
        <v>-8.902528980523694E-2</v>
      </c>
      <c r="W126" s="13">
        <f t="shared" si="39"/>
        <v>1</v>
      </c>
      <c r="Y126" s="14">
        <f t="shared" si="40"/>
        <v>646</v>
      </c>
      <c r="Z126" s="14">
        <f t="shared" si="41"/>
        <v>3580181.1099999994</v>
      </c>
      <c r="AA126" s="14">
        <f t="shared" si="42"/>
        <v>10883250.379999997</v>
      </c>
    </row>
    <row r="127" spans="5:27" outlineLevel="1" x14ac:dyDescent="0.25">
      <c r="E127" s="4" t="s">
        <v>5</v>
      </c>
      <c r="F127" s="4">
        <v>7</v>
      </c>
      <c r="G127" s="21">
        <v>625</v>
      </c>
      <c r="H127" s="21"/>
      <c r="I127" s="21">
        <v>724.38000000000011</v>
      </c>
      <c r="J127" s="21">
        <v>3282537.2300000009</v>
      </c>
      <c r="K127" s="21"/>
      <c r="L127" s="21">
        <v>3925936.8000000003</v>
      </c>
      <c r="M127" s="21">
        <v>9910447.6300000008</v>
      </c>
      <c r="N127" s="21"/>
      <c r="O127" s="21">
        <v>12204032.129999999</v>
      </c>
      <c r="S127" s="25">
        <f t="shared" si="46"/>
        <v>-9.768064331642301E-2</v>
      </c>
      <c r="T127" s="26">
        <f t="shared" si="47"/>
        <v>-7.770001631131418E-2</v>
      </c>
      <c r="U127" s="27">
        <f t="shared" si="48"/>
        <v>-8.902528980523694E-2</v>
      </c>
      <c r="W127" s="13">
        <f t="shared" si="39"/>
        <v>0</v>
      </c>
      <c r="Y127" s="14">
        <f t="shared" si="40"/>
        <v>653.62209559444955</v>
      </c>
      <c r="Z127" s="14">
        <f t="shared" si="41"/>
        <v>3620891.4466028116</v>
      </c>
      <c r="AA127" s="14">
        <f t="shared" si="42"/>
        <v>11117564.632834326</v>
      </c>
    </row>
    <row r="128" spans="5:27" outlineLevel="1" x14ac:dyDescent="0.25">
      <c r="E128" s="4" t="s">
        <v>5</v>
      </c>
      <c r="F128" s="4">
        <v>8</v>
      </c>
      <c r="G128" s="21">
        <v>564</v>
      </c>
      <c r="H128" s="21"/>
      <c r="I128" s="21">
        <v>727.12000000000012</v>
      </c>
      <c r="J128" s="21">
        <v>2996190.8799999985</v>
      </c>
      <c r="K128" s="21"/>
      <c r="L128" s="21">
        <v>3940786.81</v>
      </c>
      <c r="M128" s="21">
        <v>9156084.6999999974</v>
      </c>
      <c r="N128" s="21"/>
      <c r="O128" s="21">
        <v>12288990.870000005</v>
      </c>
      <c r="S128" s="25">
        <f t="shared" si="46"/>
        <v>-9.768064331642301E-2</v>
      </c>
      <c r="T128" s="26">
        <f t="shared" si="47"/>
        <v>-7.770001631131418E-2</v>
      </c>
      <c r="U128" s="27">
        <f t="shared" si="48"/>
        <v>-8.902528980523694E-2</v>
      </c>
      <c r="W128" s="13">
        <f t="shared" si="39"/>
        <v>0</v>
      </c>
      <c r="Y128" s="14">
        <f t="shared" si="40"/>
        <v>656.09445063176258</v>
      </c>
      <c r="Z128" s="14">
        <f t="shared" si="41"/>
        <v>3634587.6105835885</v>
      </c>
      <c r="AA128" s="14">
        <f t="shared" si="42"/>
        <v>11194959.896384344</v>
      </c>
    </row>
    <row r="129" spans="5:27" outlineLevel="1" x14ac:dyDescent="0.25">
      <c r="E129" s="4" t="s">
        <v>5</v>
      </c>
      <c r="F129" s="4">
        <v>9</v>
      </c>
      <c r="G129" s="21">
        <v>710</v>
      </c>
      <c r="H129" s="21"/>
      <c r="I129" s="21">
        <v>745.93000000000018</v>
      </c>
      <c r="J129" s="21">
        <v>3758090.79</v>
      </c>
      <c r="K129" s="21"/>
      <c r="L129" s="21">
        <v>4042731.7200000007</v>
      </c>
      <c r="M129" s="21">
        <v>11424334.42</v>
      </c>
      <c r="N129" s="21"/>
      <c r="O129" s="21">
        <v>12606323.779999999</v>
      </c>
      <c r="S129" s="25">
        <f t="shared" si="46"/>
        <v>-9.768064331642301E-2</v>
      </c>
      <c r="T129" s="26">
        <f t="shared" si="47"/>
        <v>-7.770001631131418E-2</v>
      </c>
      <c r="U129" s="27">
        <f t="shared" si="48"/>
        <v>-8.902528980523694E-2</v>
      </c>
      <c r="W129" s="13">
        <f t="shared" ref="W129:W160" si="49">IFERROR(_xlfn.XLOOKUP(F129,$F$13:$F$24,$W$13:$W$24),"")</f>
        <v>0</v>
      </c>
      <c r="Y129" s="14">
        <f t="shared" ref="Y129:Y160" si="50">IFERROR(IF($W129=1,H129,I129*(1+S129)),"")</f>
        <v>673.06707773098071</v>
      </c>
      <c r="Z129" s="14">
        <f t="shared" ref="Z129:Z160" si="51">IFERROR(IF($W129=1,K129,L129*(1+T129)),"")</f>
        <v>3728611.3994137333</v>
      </c>
      <c r="AA129" s="14">
        <f t="shared" ref="AA129:AA160" si="52">IFERROR(IF($W129=1,N129,O129*(1+U129)),"")</f>
        <v>11484042.152106849</v>
      </c>
    </row>
    <row r="130" spans="5:27" outlineLevel="1" x14ac:dyDescent="0.25">
      <c r="E130" s="4" t="s">
        <v>5</v>
      </c>
      <c r="F130" s="4">
        <v>10</v>
      </c>
      <c r="G130" s="21">
        <v>775</v>
      </c>
      <c r="H130" s="21"/>
      <c r="I130" s="21">
        <v>779.3900000000001</v>
      </c>
      <c r="J130" s="21">
        <v>4066210.6499999994</v>
      </c>
      <c r="K130" s="21"/>
      <c r="L130" s="21">
        <v>4224075.5600000005</v>
      </c>
      <c r="M130" s="21">
        <v>12513946.460000005</v>
      </c>
      <c r="N130" s="21"/>
      <c r="O130" s="21">
        <v>13146802.539999997</v>
      </c>
      <c r="S130" s="25">
        <f t="shared" si="46"/>
        <v>-9.768064331642301E-2</v>
      </c>
      <c r="T130" s="26">
        <f t="shared" si="47"/>
        <v>-7.770001631131418E-2</v>
      </c>
      <c r="U130" s="27">
        <f t="shared" si="48"/>
        <v>-8.902528980523694E-2</v>
      </c>
      <c r="W130" s="13">
        <f t="shared" si="49"/>
        <v>0</v>
      </c>
      <c r="Y130" s="14">
        <f t="shared" si="50"/>
        <v>703.25868340561317</v>
      </c>
      <c r="Z130" s="14">
        <f t="shared" si="51"/>
        <v>3895864.820087777</v>
      </c>
      <c r="AA130" s="14">
        <f t="shared" si="52"/>
        <v>11976404.633864272</v>
      </c>
    </row>
    <row r="131" spans="5:27" outlineLevel="1" x14ac:dyDescent="0.25">
      <c r="E131" s="4" t="s">
        <v>5</v>
      </c>
      <c r="F131" s="4">
        <v>11</v>
      </c>
      <c r="G131" s="21">
        <v>915</v>
      </c>
      <c r="H131" s="21"/>
      <c r="I131" s="21">
        <v>797.10000000000014</v>
      </c>
      <c r="J131" s="21">
        <v>4903969.82</v>
      </c>
      <c r="K131" s="21"/>
      <c r="L131" s="21">
        <v>4320058.790000001</v>
      </c>
      <c r="M131" s="21">
        <v>14922347.609999998</v>
      </c>
      <c r="N131" s="21"/>
      <c r="O131" s="21">
        <v>13447180.889999995</v>
      </c>
      <c r="S131" s="25">
        <f t="shared" si="46"/>
        <v>-9.768064331642301E-2</v>
      </c>
      <c r="T131" s="26">
        <f t="shared" si="47"/>
        <v>-7.770001631131418E-2</v>
      </c>
      <c r="U131" s="27">
        <f t="shared" si="48"/>
        <v>-8.902528980523694E-2</v>
      </c>
      <c r="W131" s="13">
        <f t="shared" si="49"/>
        <v>0</v>
      </c>
      <c r="Y131" s="14">
        <f t="shared" si="50"/>
        <v>719.23875921247929</v>
      </c>
      <c r="Z131" s="14">
        <f t="shared" si="51"/>
        <v>3984390.1515511647</v>
      </c>
      <c r="AA131" s="14">
        <f t="shared" si="52"/>
        <v>12250041.714204302</v>
      </c>
    </row>
    <row r="132" spans="5:27" outlineLevel="1" x14ac:dyDescent="0.25">
      <c r="E132" s="4" t="s">
        <v>5</v>
      </c>
      <c r="F132" s="4">
        <v>12</v>
      </c>
      <c r="G132" s="21">
        <v>1137</v>
      </c>
      <c r="H132" s="21"/>
      <c r="I132" s="21">
        <v>807.06000000000017</v>
      </c>
      <c r="J132" s="21">
        <v>6002906.1000000006</v>
      </c>
      <c r="K132" s="21"/>
      <c r="L132" s="21">
        <v>4374039.1800000006</v>
      </c>
      <c r="M132" s="21">
        <v>18295778.439999998</v>
      </c>
      <c r="N132" s="21"/>
      <c r="O132" s="21">
        <v>13696270.339999994</v>
      </c>
      <c r="S132" s="28">
        <f t="shared" si="46"/>
        <v>-9.768064331642301E-2</v>
      </c>
      <c r="T132" s="29">
        <f t="shared" si="47"/>
        <v>-7.770001631131418E-2</v>
      </c>
      <c r="U132" s="30">
        <f t="shared" si="48"/>
        <v>-8.902528980523694E-2</v>
      </c>
      <c r="W132" s="13">
        <f t="shared" si="49"/>
        <v>0</v>
      </c>
      <c r="Y132" s="14">
        <f t="shared" si="50"/>
        <v>728.22586000504782</v>
      </c>
      <c r="Z132" s="14">
        <f t="shared" si="51"/>
        <v>4034176.2643676731</v>
      </c>
      <c r="AA132" s="14">
        <f t="shared" si="52"/>
        <v>12476955.903730623</v>
      </c>
    </row>
    <row r="133" spans="5:27" outlineLevel="1" x14ac:dyDescent="0.25">
      <c r="E133" s="4" t="s">
        <v>6</v>
      </c>
      <c r="F133" s="4">
        <v>1</v>
      </c>
      <c r="G133" s="21">
        <v>499</v>
      </c>
      <c r="H133" s="21">
        <v>518</v>
      </c>
      <c r="I133" s="21">
        <v>657</v>
      </c>
      <c r="J133" s="21">
        <v>2917823.3299999996</v>
      </c>
      <c r="K133" s="21">
        <v>3162321.6399999997</v>
      </c>
      <c r="L133" s="21">
        <v>3957636.64</v>
      </c>
      <c r="M133" s="21">
        <v>9493699.959999999</v>
      </c>
      <c r="N133" s="21">
        <v>10482620.970000003</v>
      </c>
      <c r="O133" s="21">
        <v>13233772.060000001</v>
      </c>
      <c r="S133" s="22">
        <f t="shared" ref="S133:S144" si="53">IFERROR(SUMPRODUCT(H$133:H$144,$W$133:$W$144)/SUMPRODUCT(I$133:I$144,$W$133:$W$144)-1,"")</f>
        <v>-6.9485106765655114E-2</v>
      </c>
      <c r="T133" s="23">
        <f t="shared" ref="T133:T144" si="54">IFERROR(SUMPRODUCT(K$133:K$144,$W$133:$W$144)/SUMPRODUCT(L$133:L$144,$W$133:$W$144)-1,"")</f>
        <v>-4.3509057688675523E-2</v>
      </c>
      <c r="U133" s="24">
        <f t="shared" ref="U133:U144" si="55">IFERROR(SUMPRODUCT(N$133:N$144,$W$133:$W$144)/SUMPRODUCT(O$133:O$144,$W$133:$W$144)-1,"")</f>
        <v>-4.9434314409186775E-2</v>
      </c>
      <c r="W133" s="13">
        <f t="shared" si="49"/>
        <v>1</v>
      </c>
      <c r="Y133" s="14">
        <f t="shared" si="50"/>
        <v>518</v>
      </c>
      <c r="Z133" s="14">
        <f t="shared" si="51"/>
        <v>3162321.6399999997</v>
      </c>
      <c r="AA133" s="14">
        <f t="shared" si="52"/>
        <v>10482620.970000003</v>
      </c>
    </row>
    <row r="134" spans="5:27" outlineLevel="1" x14ac:dyDescent="0.25">
      <c r="E134" s="4" t="s">
        <v>6</v>
      </c>
      <c r="F134" s="4">
        <v>2</v>
      </c>
      <c r="G134" s="21">
        <v>538</v>
      </c>
      <c r="H134" s="21">
        <v>559</v>
      </c>
      <c r="I134" s="21">
        <v>652.23999999999978</v>
      </c>
      <c r="J134" s="21">
        <v>3214397.6599999992</v>
      </c>
      <c r="K134" s="21">
        <v>3508069.36</v>
      </c>
      <c r="L134" s="21">
        <v>3928963.3200000008</v>
      </c>
      <c r="M134" s="21">
        <v>10524696.540000001</v>
      </c>
      <c r="N134" s="21">
        <v>11694583.689999999</v>
      </c>
      <c r="O134" s="21">
        <v>13169035.52</v>
      </c>
      <c r="S134" s="25">
        <f t="shared" si="53"/>
        <v>-6.9485106765655114E-2</v>
      </c>
      <c r="T134" s="26">
        <f t="shared" si="54"/>
        <v>-4.3509057688675523E-2</v>
      </c>
      <c r="U134" s="27">
        <f t="shared" si="55"/>
        <v>-4.9434314409186775E-2</v>
      </c>
      <c r="W134" s="13">
        <f t="shared" si="49"/>
        <v>1</v>
      </c>
      <c r="Y134" s="14">
        <f t="shared" si="50"/>
        <v>559</v>
      </c>
      <c r="Z134" s="14">
        <f t="shared" si="51"/>
        <v>3508069.36</v>
      </c>
      <c r="AA134" s="14">
        <f t="shared" si="52"/>
        <v>11694583.689999999</v>
      </c>
    </row>
    <row r="135" spans="5:27" outlineLevel="1" x14ac:dyDescent="0.25">
      <c r="E135" s="4" t="s">
        <v>6</v>
      </c>
      <c r="F135" s="4">
        <v>3</v>
      </c>
      <c r="G135" s="21">
        <v>617</v>
      </c>
      <c r="H135" s="21">
        <v>641</v>
      </c>
      <c r="I135" s="21">
        <v>671.73</v>
      </c>
      <c r="J135" s="21">
        <v>3680396.0500000003</v>
      </c>
      <c r="K135" s="21">
        <v>4016574.100000002</v>
      </c>
      <c r="L135" s="21">
        <v>4046367.149999999</v>
      </c>
      <c r="M135" s="21">
        <v>12074304.520000001</v>
      </c>
      <c r="N135" s="21">
        <v>13367666.129999997</v>
      </c>
      <c r="O135" s="21">
        <v>13574399.510000005</v>
      </c>
      <c r="S135" s="25">
        <f t="shared" si="53"/>
        <v>-6.9485106765655114E-2</v>
      </c>
      <c r="T135" s="26">
        <f t="shared" si="54"/>
        <v>-4.3509057688675523E-2</v>
      </c>
      <c r="U135" s="27">
        <f t="shared" si="55"/>
        <v>-4.9434314409186775E-2</v>
      </c>
      <c r="W135" s="13">
        <f t="shared" si="49"/>
        <v>1</v>
      </c>
      <c r="Y135" s="14">
        <f t="shared" si="50"/>
        <v>641</v>
      </c>
      <c r="Z135" s="14">
        <f t="shared" si="51"/>
        <v>4016574.100000002</v>
      </c>
      <c r="AA135" s="14">
        <f t="shared" si="52"/>
        <v>13367666.129999997</v>
      </c>
    </row>
    <row r="136" spans="5:27" outlineLevel="1" x14ac:dyDescent="0.25">
      <c r="E136" s="4" t="s">
        <v>6</v>
      </c>
      <c r="F136" s="4">
        <v>4</v>
      </c>
      <c r="G136" s="21">
        <v>606</v>
      </c>
      <c r="H136" s="21">
        <v>641</v>
      </c>
      <c r="I136" s="21">
        <v>667.6099999999999</v>
      </c>
      <c r="J136" s="21">
        <v>3591482.24</v>
      </c>
      <c r="K136" s="21">
        <v>3978491.25</v>
      </c>
      <c r="L136" s="21">
        <v>4021549.0800000005</v>
      </c>
      <c r="M136" s="21">
        <v>11933667.730000002</v>
      </c>
      <c r="N136" s="21">
        <v>13342233.98</v>
      </c>
      <c r="O136" s="21">
        <v>13462125.089999994</v>
      </c>
      <c r="S136" s="25">
        <f t="shared" si="53"/>
        <v>-6.9485106765655114E-2</v>
      </c>
      <c r="T136" s="26">
        <f t="shared" si="54"/>
        <v>-4.3509057688675523E-2</v>
      </c>
      <c r="U136" s="27">
        <f t="shared" si="55"/>
        <v>-4.9434314409186775E-2</v>
      </c>
      <c r="W136" s="13">
        <f t="shared" si="49"/>
        <v>1</v>
      </c>
      <c r="Y136" s="14">
        <f t="shared" si="50"/>
        <v>641</v>
      </c>
      <c r="Z136" s="14">
        <f t="shared" si="51"/>
        <v>3978491.25</v>
      </c>
      <c r="AA136" s="14">
        <f t="shared" si="52"/>
        <v>13342233.98</v>
      </c>
    </row>
    <row r="137" spans="5:27" outlineLevel="1" x14ac:dyDescent="0.25">
      <c r="E137" s="4" t="s">
        <v>6</v>
      </c>
      <c r="F137" s="4">
        <v>5</v>
      </c>
      <c r="G137" s="21">
        <v>538</v>
      </c>
      <c r="H137" s="21">
        <v>573</v>
      </c>
      <c r="I137" s="21">
        <v>681.86000000000024</v>
      </c>
      <c r="J137" s="21">
        <v>3152449.4200000009</v>
      </c>
      <c r="K137" s="21">
        <v>3502810.21</v>
      </c>
      <c r="L137" s="21">
        <v>4107388.2800000012</v>
      </c>
      <c r="M137" s="21">
        <v>10668772.409999995</v>
      </c>
      <c r="N137" s="21">
        <v>11989245.589999998</v>
      </c>
      <c r="O137" s="21">
        <v>13750376.570000002</v>
      </c>
      <c r="S137" s="25">
        <f t="shared" si="53"/>
        <v>-6.9485106765655114E-2</v>
      </c>
      <c r="T137" s="26">
        <f t="shared" si="54"/>
        <v>-4.3509057688675523E-2</v>
      </c>
      <c r="U137" s="27">
        <f t="shared" si="55"/>
        <v>-4.9434314409186775E-2</v>
      </c>
      <c r="W137" s="13">
        <f t="shared" si="49"/>
        <v>1</v>
      </c>
      <c r="Y137" s="14">
        <f t="shared" si="50"/>
        <v>573</v>
      </c>
      <c r="Z137" s="14">
        <f t="shared" si="51"/>
        <v>3502810.21</v>
      </c>
      <c r="AA137" s="14">
        <f t="shared" si="52"/>
        <v>11989245.589999998</v>
      </c>
    </row>
    <row r="138" spans="5:27" outlineLevel="1" x14ac:dyDescent="0.25">
      <c r="E138" s="4" t="s">
        <v>6</v>
      </c>
      <c r="F138" s="4">
        <v>6</v>
      </c>
      <c r="G138" s="21">
        <v>755</v>
      </c>
      <c r="H138" s="21">
        <v>793</v>
      </c>
      <c r="I138" s="21">
        <v>672.7199999999998</v>
      </c>
      <c r="J138" s="21">
        <v>4449914.9699999988</v>
      </c>
      <c r="K138" s="21">
        <v>4896780.9799999977</v>
      </c>
      <c r="L138" s="21">
        <v>4052330.72</v>
      </c>
      <c r="M138" s="21">
        <v>14383819.129999999</v>
      </c>
      <c r="N138" s="21">
        <v>15908663.619999995</v>
      </c>
      <c r="O138" s="21">
        <v>13588521.669999996</v>
      </c>
      <c r="S138" s="25">
        <f t="shared" si="53"/>
        <v>-6.9485106765655114E-2</v>
      </c>
      <c r="T138" s="26">
        <f t="shared" si="54"/>
        <v>-4.3509057688675523E-2</v>
      </c>
      <c r="U138" s="27">
        <f t="shared" si="55"/>
        <v>-4.9434314409186775E-2</v>
      </c>
      <c r="W138" s="13">
        <f t="shared" si="49"/>
        <v>1</v>
      </c>
      <c r="Y138" s="14">
        <f t="shared" si="50"/>
        <v>793</v>
      </c>
      <c r="Z138" s="14">
        <f t="shared" si="51"/>
        <v>4896780.9799999977</v>
      </c>
      <c r="AA138" s="14">
        <f t="shared" si="52"/>
        <v>15908663.619999995</v>
      </c>
    </row>
    <row r="139" spans="5:27" outlineLevel="1" x14ac:dyDescent="0.25">
      <c r="E139" s="4" t="s">
        <v>6</v>
      </c>
      <c r="F139" s="4">
        <v>7</v>
      </c>
      <c r="G139" s="21">
        <v>607</v>
      </c>
      <c r="H139" s="21"/>
      <c r="I139" s="21">
        <v>699.03999999999974</v>
      </c>
      <c r="J139" s="21">
        <v>3582974.09</v>
      </c>
      <c r="K139" s="21"/>
      <c r="L139" s="21">
        <v>4210877.12</v>
      </c>
      <c r="M139" s="21">
        <v>11642983.329999996</v>
      </c>
      <c r="N139" s="21"/>
      <c r="O139" s="21">
        <v>14106110.059999999</v>
      </c>
      <c r="S139" s="25">
        <f t="shared" si="53"/>
        <v>-6.9485106765655114E-2</v>
      </c>
      <c r="T139" s="26">
        <f t="shared" si="54"/>
        <v>-4.3509057688675523E-2</v>
      </c>
      <c r="U139" s="27">
        <f t="shared" si="55"/>
        <v>-4.9434314409186775E-2</v>
      </c>
      <c r="W139" s="13">
        <f t="shared" si="49"/>
        <v>0</v>
      </c>
      <c r="Y139" s="14">
        <f t="shared" si="50"/>
        <v>650.46713096653616</v>
      </c>
      <c r="Z139" s="14">
        <f t="shared" si="51"/>
        <v>4027665.8244659961</v>
      </c>
      <c r="AA139" s="14">
        <f t="shared" si="52"/>
        <v>13408784.180203367</v>
      </c>
    </row>
    <row r="140" spans="5:27" outlineLevel="1" x14ac:dyDescent="0.25">
      <c r="E140" s="4" t="s">
        <v>6</v>
      </c>
      <c r="F140" s="4">
        <v>8</v>
      </c>
      <c r="G140" s="21">
        <v>561</v>
      </c>
      <c r="H140" s="21"/>
      <c r="I140" s="21">
        <v>673.25999999999976</v>
      </c>
      <c r="J140" s="21">
        <v>3281530.3100000005</v>
      </c>
      <c r="K140" s="21"/>
      <c r="L140" s="21">
        <v>4055583.62</v>
      </c>
      <c r="M140" s="21">
        <v>10928357.25</v>
      </c>
      <c r="N140" s="21"/>
      <c r="O140" s="21">
        <v>13606135.309999997</v>
      </c>
      <c r="S140" s="25">
        <f t="shared" si="53"/>
        <v>-6.9485106765655114E-2</v>
      </c>
      <c r="T140" s="26">
        <f t="shared" si="54"/>
        <v>-4.3509057688675523E-2</v>
      </c>
      <c r="U140" s="27">
        <f t="shared" si="55"/>
        <v>-4.9434314409186775E-2</v>
      </c>
      <c r="W140" s="13">
        <f t="shared" si="49"/>
        <v>0</v>
      </c>
      <c r="Y140" s="14">
        <f t="shared" si="50"/>
        <v>626.47845701895483</v>
      </c>
      <c r="Z140" s="14">
        <f t="shared" si="51"/>
        <v>3879128.9983161725</v>
      </c>
      <c r="AA140" s="14">
        <f t="shared" si="52"/>
        <v>12933525.339191519</v>
      </c>
    </row>
    <row r="141" spans="5:27" outlineLevel="1" x14ac:dyDescent="0.25">
      <c r="E141" s="4" t="s">
        <v>6</v>
      </c>
      <c r="F141" s="4">
        <v>9</v>
      </c>
      <c r="G141" s="21">
        <v>656</v>
      </c>
      <c r="H141" s="21"/>
      <c r="I141" s="21">
        <v>715.84999999999991</v>
      </c>
      <c r="J141" s="21">
        <v>3867603.17</v>
      </c>
      <c r="K141" s="21"/>
      <c r="L141" s="21">
        <v>4312137.1800000006</v>
      </c>
      <c r="M141" s="21">
        <v>12564301.67</v>
      </c>
      <c r="N141" s="21"/>
      <c r="O141" s="21">
        <v>14474308.539999995</v>
      </c>
      <c r="S141" s="25">
        <f t="shared" si="53"/>
        <v>-6.9485106765655114E-2</v>
      </c>
      <c r="T141" s="26">
        <f t="shared" si="54"/>
        <v>-4.3509057688675523E-2</v>
      </c>
      <c r="U141" s="27">
        <f t="shared" si="55"/>
        <v>-4.9434314409186775E-2</v>
      </c>
      <c r="W141" s="13">
        <f t="shared" si="49"/>
        <v>0</v>
      </c>
      <c r="Y141" s="14">
        <f t="shared" si="50"/>
        <v>666.10908632180565</v>
      </c>
      <c r="Z141" s="14">
        <f t="shared" si="51"/>
        <v>4124520.1546738981</v>
      </c>
      <c r="AA141" s="14">
        <f t="shared" si="52"/>
        <v>13758781.020778058</v>
      </c>
    </row>
    <row r="142" spans="5:27" outlineLevel="1" x14ac:dyDescent="0.25">
      <c r="E142" s="4" t="s">
        <v>6</v>
      </c>
      <c r="F142" s="4">
        <v>10</v>
      </c>
      <c r="G142" s="21">
        <v>709</v>
      </c>
      <c r="H142" s="21"/>
      <c r="I142" s="21">
        <v>740.00000000000011</v>
      </c>
      <c r="J142" s="21">
        <v>4159812.78</v>
      </c>
      <c r="K142" s="21"/>
      <c r="L142" s="21">
        <v>4457612.04</v>
      </c>
      <c r="M142" s="21">
        <v>13486511.190000003</v>
      </c>
      <c r="N142" s="21"/>
      <c r="O142" s="21">
        <v>14918893.050000003</v>
      </c>
      <c r="S142" s="25">
        <f t="shared" si="53"/>
        <v>-6.9485106765655114E-2</v>
      </c>
      <c r="T142" s="26">
        <f t="shared" si="54"/>
        <v>-4.3509057688675523E-2</v>
      </c>
      <c r="U142" s="27">
        <f t="shared" si="55"/>
        <v>-4.9434314409186775E-2</v>
      </c>
      <c r="W142" s="13">
        <f t="shared" si="49"/>
        <v>0</v>
      </c>
      <c r="Y142" s="14">
        <f t="shared" si="50"/>
        <v>688.58102099341534</v>
      </c>
      <c r="Z142" s="14">
        <f t="shared" si="51"/>
        <v>4263665.5405979054</v>
      </c>
      <c r="AA142" s="14">
        <f t="shared" si="52"/>
        <v>14181387.800329272</v>
      </c>
    </row>
    <row r="143" spans="5:27" outlineLevel="1" x14ac:dyDescent="0.25">
      <c r="E143" s="4" t="s">
        <v>6</v>
      </c>
      <c r="F143" s="4">
        <v>11</v>
      </c>
      <c r="G143" s="21">
        <v>874</v>
      </c>
      <c r="H143" s="21"/>
      <c r="I143" s="21">
        <v>783.07999999999993</v>
      </c>
      <c r="J143" s="21">
        <v>5227106.3999999985</v>
      </c>
      <c r="K143" s="21"/>
      <c r="L143" s="21">
        <v>4717117.3399999989</v>
      </c>
      <c r="M143" s="21">
        <v>17152526.800000001</v>
      </c>
      <c r="N143" s="21"/>
      <c r="O143" s="21">
        <v>15783236.17</v>
      </c>
      <c r="S143" s="25">
        <f t="shared" si="53"/>
        <v>-6.9485106765655114E-2</v>
      </c>
      <c r="T143" s="26">
        <f t="shared" si="54"/>
        <v>-4.3509057688675523E-2</v>
      </c>
      <c r="U143" s="27">
        <f t="shared" si="55"/>
        <v>-4.9434314409186775E-2</v>
      </c>
      <c r="W143" s="13">
        <f t="shared" si="49"/>
        <v>0</v>
      </c>
      <c r="Y143" s="14">
        <f t="shared" si="50"/>
        <v>728.66760259395073</v>
      </c>
      <c r="Z143" s="14">
        <f t="shared" si="51"/>
        <v>4511880.0095296875</v>
      </c>
      <c r="AA143" s="14">
        <f t="shared" si="52"/>
        <v>15003002.710777771</v>
      </c>
    </row>
    <row r="144" spans="5:27" outlineLevel="1" x14ac:dyDescent="0.25">
      <c r="E144" s="4" t="s">
        <v>6</v>
      </c>
      <c r="F144" s="4">
        <v>12</v>
      </c>
      <c r="G144" s="21">
        <v>1041</v>
      </c>
      <c r="H144" s="21"/>
      <c r="I144" s="21">
        <v>804.08999999999992</v>
      </c>
      <c r="J144" s="21">
        <v>6178492.5100000016</v>
      </c>
      <c r="K144" s="21"/>
      <c r="L144" s="21">
        <v>4843677.3299999991</v>
      </c>
      <c r="M144" s="21">
        <v>20166127.560000006</v>
      </c>
      <c r="N144" s="21"/>
      <c r="O144" s="21">
        <v>16168569.260000004</v>
      </c>
      <c r="S144" s="28">
        <f t="shared" si="53"/>
        <v>-6.9485106765655114E-2</v>
      </c>
      <c r="T144" s="29">
        <f t="shared" si="54"/>
        <v>-4.3509057688675523E-2</v>
      </c>
      <c r="U144" s="30">
        <f t="shared" si="55"/>
        <v>-4.9434314409186775E-2</v>
      </c>
      <c r="W144" s="13">
        <f t="shared" si="49"/>
        <v>0</v>
      </c>
      <c r="Y144" s="14">
        <f t="shared" si="50"/>
        <v>748.21772050080426</v>
      </c>
      <c r="Z144" s="14">
        <f t="shared" si="51"/>
        <v>4632933.4936236991</v>
      </c>
      <c r="AA144" s="14">
        <f t="shared" si="52"/>
        <v>15369287.123654451</v>
      </c>
    </row>
    <row r="145" spans="5:27" outlineLevel="1" x14ac:dyDescent="0.25">
      <c r="E145" s="4" t="s">
        <v>7</v>
      </c>
      <c r="F145" s="4">
        <v>1</v>
      </c>
      <c r="G145" s="21">
        <v>524</v>
      </c>
      <c r="H145" s="21">
        <v>558</v>
      </c>
      <c r="I145" s="21">
        <v>598.19999999999993</v>
      </c>
      <c r="J145" s="21">
        <v>2740943.48</v>
      </c>
      <c r="K145" s="21">
        <v>2996521.3499999996</v>
      </c>
      <c r="L145" s="21">
        <v>3153788.1100000003</v>
      </c>
      <c r="M145" s="21">
        <v>8881302.7699999996</v>
      </c>
      <c r="N145" s="21">
        <v>9895999.9699999988</v>
      </c>
      <c r="O145" s="21">
        <v>10317370.439999999</v>
      </c>
      <c r="S145" s="22">
        <f t="shared" ref="S145:S156" si="56">IFERROR(SUMPRODUCT(H$145:H$156,$W$145:$W$156)/SUMPRODUCT(I$145:I$156,$W$145:$W$156)-1,"")</f>
        <v>-4.8971726635436252E-2</v>
      </c>
      <c r="T145" s="23">
        <f t="shared" ref="T145:T156" si="57">IFERROR(SUMPRODUCT(K$145:K$156,$W$145:$W$156)/SUMPRODUCT(L$145:L$156,$W$145:$W$156)-1,"")</f>
        <v>-3.8600590743740115E-2</v>
      </c>
      <c r="U145" s="24">
        <f t="shared" ref="U145:U156" si="58">IFERROR(SUMPRODUCT(N$145:N$156,$W$145:$W$156)/SUMPRODUCT(O$145:O$156,$W$145:$W$156)-1,"")</f>
        <v>-4.8604169066613245E-2</v>
      </c>
      <c r="W145" s="13">
        <f t="shared" si="49"/>
        <v>1</v>
      </c>
      <c r="Y145" s="14">
        <f t="shared" si="50"/>
        <v>558</v>
      </c>
      <c r="Z145" s="14">
        <f t="shared" si="51"/>
        <v>2996521.3499999996</v>
      </c>
      <c r="AA145" s="14">
        <f t="shared" si="52"/>
        <v>9895999.9699999988</v>
      </c>
    </row>
    <row r="146" spans="5:27" outlineLevel="1" x14ac:dyDescent="0.25">
      <c r="E146" s="4" t="s">
        <v>7</v>
      </c>
      <c r="F146" s="4">
        <v>2</v>
      </c>
      <c r="G146" s="21">
        <v>475</v>
      </c>
      <c r="H146" s="21">
        <v>500</v>
      </c>
      <c r="I146" s="21">
        <v>592.71999999999991</v>
      </c>
      <c r="J146" s="21">
        <v>2458763.0099999988</v>
      </c>
      <c r="K146" s="21">
        <v>2651903.5700000003</v>
      </c>
      <c r="L146" s="21">
        <v>3124896.8599999989</v>
      </c>
      <c r="M146" s="21">
        <v>7799895.8400000036</v>
      </c>
      <c r="N146" s="21">
        <v>8562748.4300000016</v>
      </c>
      <c r="O146" s="21">
        <v>10216333.950000001</v>
      </c>
      <c r="S146" s="25">
        <f t="shared" si="56"/>
        <v>-4.8971726635436252E-2</v>
      </c>
      <c r="T146" s="26">
        <f t="shared" si="57"/>
        <v>-3.8600590743740115E-2</v>
      </c>
      <c r="U146" s="27">
        <f t="shared" si="58"/>
        <v>-4.8604169066613245E-2</v>
      </c>
      <c r="W146" s="13">
        <f t="shared" si="49"/>
        <v>1</v>
      </c>
      <c r="Y146" s="14">
        <f t="shared" si="50"/>
        <v>500</v>
      </c>
      <c r="Z146" s="14">
        <f t="shared" si="51"/>
        <v>2651903.5700000003</v>
      </c>
      <c r="AA146" s="14">
        <f t="shared" si="52"/>
        <v>8562748.4300000016</v>
      </c>
    </row>
    <row r="147" spans="5:27" outlineLevel="1" x14ac:dyDescent="0.25">
      <c r="E147" s="4" t="s">
        <v>7</v>
      </c>
      <c r="F147" s="4">
        <v>3</v>
      </c>
      <c r="G147" s="21">
        <v>560</v>
      </c>
      <c r="H147" s="21">
        <v>584</v>
      </c>
      <c r="I147" s="21">
        <v>584.04999999999973</v>
      </c>
      <c r="J147" s="21">
        <v>2952716.350000001</v>
      </c>
      <c r="K147" s="21">
        <v>3146171.350000001</v>
      </c>
      <c r="L147" s="21">
        <v>3079187.5399999991</v>
      </c>
      <c r="M147" s="21">
        <v>9567278.889999995</v>
      </c>
      <c r="N147" s="21">
        <v>10337250.400000002</v>
      </c>
      <c r="O147" s="21">
        <v>10135584.08</v>
      </c>
      <c r="S147" s="25">
        <f t="shared" si="56"/>
        <v>-4.8971726635436252E-2</v>
      </c>
      <c r="T147" s="26">
        <f t="shared" si="57"/>
        <v>-3.8600590743740115E-2</v>
      </c>
      <c r="U147" s="27">
        <f t="shared" si="58"/>
        <v>-4.8604169066613245E-2</v>
      </c>
      <c r="W147" s="13">
        <f t="shared" si="49"/>
        <v>1</v>
      </c>
      <c r="Y147" s="14">
        <f t="shared" si="50"/>
        <v>584</v>
      </c>
      <c r="Z147" s="14">
        <f t="shared" si="51"/>
        <v>3146171.350000001</v>
      </c>
      <c r="AA147" s="14">
        <f t="shared" si="52"/>
        <v>10337250.400000002</v>
      </c>
    </row>
    <row r="148" spans="5:27" outlineLevel="1" x14ac:dyDescent="0.25">
      <c r="E148" s="4" t="s">
        <v>7</v>
      </c>
      <c r="F148" s="4">
        <v>4</v>
      </c>
      <c r="G148" s="21">
        <v>560</v>
      </c>
      <c r="H148" s="21">
        <v>585</v>
      </c>
      <c r="I148" s="21">
        <v>604.38</v>
      </c>
      <c r="J148" s="21">
        <v>2862892.2300000009</v>
      </c>
      <c r="K148" s="21">
        <v>3085497.8699999992</v>
      </c>
      <c r="L148" s="21">
        <v>3186369.9299999997</v>
      </c>
      <c r="M148" s="21">
        <v>9296516.6199999992</v>
      </c>
      <c r="N148" s="21">
        <v>10060934.830000004</v>
      </c>
      <c r="O148" s="21">
        <v>10461890.02</v>
      </c>
      <c r="S148" s="25">
        <f t="shared" si="56"/>
        <v>-4.8971726635436252E-2</v>
      </c>
      <c r="T148" s="26">
        <f t="shared" si="57"/>
        <v>-3.8600590743740115E-2</v>
      </c>
      <c r="U148" s="27">
        <f t="shared" si="58"/>
        <v>-4.8604169066613245E-2</v>
      </c>
      <c r="W148" s="13">
        <f t="shared" si="49"/>
        <v>1</v>
      </c>
      <c r="Y148" s="14">
        <f t="shared" si="50"/>
        <v>585</v>
      </c>
      <c r="Z148" s="14">
        <f t="shared" si="51"/>
        <v>3085497.8699999992</v>
      </c>
      <c r="AA148" s="14">
        <f t="shared" si="52"/>
        <v>10060934.830000004</v>
      </c>
    </row>
    <row r="149" spans="5:27" outlineLevel="1" x14ac:dyDescent="0.25">
      <c r="E149" s="4" t="s">
        <v>7</v>
      </c>
      <c r="F149" s="4">
        <v>5</v>
      </c>
      <c r="G149" s="21">
        <v>575</v>
      </c>
      <c r="H149" s="21">
        <v>594</v>
      </c>
      <c r="I149" s="21">
        <v>611.68000000000006</v>
      </c>
      <c r="J149" s="21">
        <v>2977433.6399999997</v>
      </c>
      <c r="K149" s="21">
        <v>3162701.72</v>
      </c>
      <c r="L149" s="21">
        <v>3224856.4699999988</v>
      </c>
      <c r="M149" s="21">
        <v>9451502.0499999989</v>
      </c>
      <c r="N149" s="21">
        <v>9966208.8099999987</v>
      </c>
      <c r="O149" s="21">
        <v>10564278.509999994</v>
      </c>
      <c r="S149" s="25">
        <f t="shared" si="56"/>
        <v>-4.8971726635436252E-2</v>
      </c>
      <c r="T149" s="26">
        <f t="shared" si="57"/>
        <v>-3.8600590743740115E-2</v>
      </c>
      <c r="U149" s="27">
        <f t="shared" si="58"/>
        <v>-4.8604169066613245E-2</v>
      </c>
      <c r="W149" s="13">
        <f t="shared" si="49"/>
        <v>1</v>
      </c>
      <c r="Y149" s="14">
        <f t="shared" si="50"/>
        <v>594</v>
      </c>
      <c r="Z149" s="14">
        <f t="shared" si="51"/>
        <v>3162701.72</v>
      </c>
      <c r="AA149" s="14">
        <f t="shared" si="52"/>
        <v>9966208.8099999987</v>
      </c>
    </row>
    <row r="150" spans="5:27" outlineLevel="1" x14ac:dyDescent="0.25">
      <c r="E150" s="4" t="s">
        <v>7</v>
      </c>
      <c r="F150" s="4">
        <v>6</v>
      </c>
      <c r="G150" s="21">
        <v>582</v>
      </c>
      <c r="H150" s="21">
        <v>614</v>
      </c>
      <c r="I150" s="21">
        <v>620.85</v>
      </c>
      <c r="J150" s="21">
        <v>3029871.98</v>
      </c>
      <c r="K150" s="21">
        <v>3264460.8800000004</v>
      </c>
      <c r="L150" s="21">
        <v>3273201.8900000006</v>
      </c>
      <c r="M150" s="21">
        <v>9701115.9700000025</v>
      </c>
      <c r="N150" s="21">
        <v>10539745.989999998</v>
      </c>
      <c r="O150" s="21">
        <v>10700116.430000003</v>
      </c>
      <c r="S150" s="25">
        <f t="shared" si="56"/>
        <v>-4.8971726635436252E-2</v>
      </c>
      <c r="T150" s="26">
        <f t="shared" si="57"/>
        <v>-3.8600590743740115E-2</v>
      </c>
      <c r="U150" s="27">
        <f t="shared" si="58"/>
        <v>-4.8604169066613245E-2</v>
      </c>
      <c r="W150" s="13">
        <f t="shared" si="49"/>
        <v>1</v>
      </c>
      <c r="Y150" s="14">
        <f t="shared" si="50"/>
        <v>614</v>
      </c>
      <c r="Z150" s="14">
        <f t="shared" si="51"/>
        <v>3264460.8800000004</v>
      </c>
      <c r="AA150" s="14">
        <f t="shared" si="52"/>
        <v>10539745.989999998</v>
      </c>
    </row>
    <row r="151" spans="5:27" outlineLevel="1" x14ac:dyDescent="0.25">
      <c r="E151" s="4" t="s">
        <v>7</v>
      </c>
      <c r="F151" s="4">
        <v>7</v>
      </c>
      <c r="G151" s="21">
        <v>539</v>
      </c>
      <c r="H151" s="21"/>
      <c r="I151" s="21">
        <v>610.56999999999971</v>
      </c>
      <c r="J151" s="21">
        <v>2785262.6600000011</v>
      </c>
      <c r="K151" s="21"/>
      <c r="L151" s="21">
        <v>3219004.4500000011</v>
      </c>
      <c r="M151" s="21">
        <v>8901863.5700000022</v>
      </c>
      <c r="N151" s="21"/>
      <c r="O151" s="21">
        <v>10573035.100000001</v>
      </c>
      <c r="S151" s="25">
        <f t="shared" si="56"/>
        <v>-4.8971726635436252E-2</v>
      </c>
      <c r="T151" s="26">
        <f t="shared" si="57"/>
        <v>-3.8600590743740115E-2</v>
      </c>
      <c r="U151" s="27">
        <f t="shared" si="58"/>
        <v>-4.8604169066613245E-2</v>
      </c>
      <c r="W151" s="13">
        <f t="shared" si="49"/>
        <v>0</v>
      </c>
      <c r="Y151" s="14">
        <f t="shared" si="50"/>
        <v>580.66933286820142</v>
      </c>
      <c r="Z151" s="14">
        <f t="shared" si="51"/>
        <v>3094748.976623273</v>
      </c>
      <c r="AA151" s="14">
        <f t="shared" si="52"/>
        <v>10059141.514452366</v>
      </c>
    </row>
    <row r="152" spans="5:27" outlineLevel="1" x14ac:dyDescent="0.25">
      <c r="E152" s="4" t="s">
        <v>7</v>
      </c>
      <c r="F152" s="4">
        <v>8</v>
      </c>
      <c r="G152" s="21">
        <v>524</v>
      </c>
      <c r="H152" s="21"/>
      <c r="I152" s="21">
        <v>656.4799999999999</v>
      </c>
      <c r="J152" s="21">
        <v>2721043.4799999995</v>
      </c>
      <c r="K152" s="21"/>
      <c r="L152" s="21">
        <v>3461047.9299999997</v>
      </c>
      <c r="M152" s="21">
        <v>8672572.9999999981</v>
      </c>
      <c r="N152" s="21"/>
      <c r="O152" s="21">
        <v>11319088.68</v>
      </c>
      <c r="S152" s="25">
        <f t="shared" si="56"/>
        <v>-4.8971726635436252E-2</v>
      </c>
      <c r="T152" s="26">
        <f t="shared" si="57"/>
        <v>-3.8600590743740115E-2</v>
      </c>
      <c r="U152" s="27">
        <f t="shared" si="58"/>
        <v>-4.8604169066613245E-2</v>
      </c>
      <c r="W152" s="13">
        <f t="shared" si="49"/>
        <v>0</v>
      </c>
      <c r="Y152" s="14">
        <f t="shared" si="50"/>
        <v>624.33104089836877</v>
      </c>
      <c r="Z152" s="14">
        <f t="shared" si="51"/>
        <v>3327449.435309601</v>
      </c>
      <c r="AA152" s="14">
        <f t="shared" si="52"/>
        <v>10768933.780117292</v>
      </c>
    </row>
    <row r="153" spans="5:27" outlineLevel="1" x14ac:dyDescent="0.25">
      <c r="E153" s="4" t="s">
        <v>7</v>
      </c>
      <c r="F153" s="4">
        <v>9</v>
      </c>
      <c r="G153" s="21">
        <v>569</v>
      </c>
      <c r="H153" s="21"/>
      <c r="I153" s="21">
        <v>634.51</v>
      </c>
      <c r="J153" s="21">
        <v>2968673.19</v>
      </c>
      <c r="K153" s="21"/>
      <c r="L153" s="21">
        <v>3345219.2100000009</v>
      </c>
      <c r="M153" s="21">
        <v>9471614.8499999996</v>
      </c>
      <c r="N153" s="21"/>
      <c r="O153" s="21">
        <v>10898321.84</v>
      </c>
      <c r="S153" s="25">
        <f t="shared" si="56"/>
        <v>-4.8971726635436252E-2</v>
      </c>
      <c r="T153" s="26">
        <f t="shared" si="57"/>
        <v>-3.8600590743740115E-2</v>
      </c>
      <c r="U153" s="27">
        <f t="shared" si="58"/>
        <v>-4.8604169066613245E-2</v>
      </c>
      <c r="W153" s="13">
        <f t="shared" si="49"/>
        <v>0</v>
      </c>
      <c r="Y153" s="14">
        <f t="shared" si="50"/>
        <v>603.43694973254935</v>
      </c>
      <c r="Z153" s="14">
        <f t="shared" si="51"/>
        <v>3216091.7723266934</v>
      </c>
      <c r="AA153" s="14">
        <f t="shared" si="52"/>
        <v>10368617.962746276</v>
      </c>
    </row>
    <row r="154" spans="5:27" outlineLevel="1" x14ac:dyDescent="0.25">
      <c r="E154" s="4" t="s">
        <v>7</v>
      </c>
      <c r="F154" s="4">
        <v>10</v>
      </c>
      <c r="G154" s="21">
        <v>627</v>
      </c>
      <c r="H154" s="21"/>
      <c r="I154" s="21">
        <v>685.72</v>
      </c>
      <c r="J154" s="21">
        <v>3264119.5700000008</v>
      </c>
      <c r="K154" s="21"/>
      <c r="L154" s="21">
        <v>3615204.9899999988</v>
      </c>
      <c r="M154" s="21">
        <v>10302461.489999996</v>
      </c>
      <c r="N154" s="21"/>
      <c r="O154" s="21">
        <v>11785195.379999995</v>
      </c>
      <c r="S154" s="25">
        <f t="shared" si="56"/>
        <v>-4.8971726635436252E-2</v>
      </c>
      <c r="T154" s="26">
        <f t="shared" si="57"/>
        <v>-3.8600590743740115E-2</v>
      </c>
      <c r="U154" s="27">
        <f t="shared" si="58"/>
        <v>-4.8604169066613245E-2</v>
      </c>
      <c r="W154" s="13">
        <f t="shared" si="49"/>
        <v>0</v>
      </c>
      <c r="Y154" s="14">
        <f t="shared" si="50"/>
        <v>652.13910761154864</v>
      </c>
      <c r="Z154" s="14">
        <f t="shared" si="51"/>
        <v>3475655.9417262818</v>
      </c>
      <c r="AA154" s="14">
        <f t="shared" si="52"/>
        <v>11212385.751267405</v>
      </c>
    </row>
    <row r="155" spans="5:27" outlineLevel="1" x14ac:dyDescent="0.25">
      <c r="E155" s="4" t="s">
        <v>7</v>
      </c>
      <c r="F155" s="4">
        <v>11</v>
      </c>
      <c r="G155" s="21">
        <v>839</v>
      </c>
      <c r="H155" s="21"/>
      <c r="I155" s="21">
        <v>767.56</v>
      </c>
      <c r="J155" s="21">
        <v>4299308.57</v>
      </c>
      <c r="K155" s="21"/>
      <c r="L155" s="21">
        <v>4046676.1599999978</v>
      </c>
      <c r="M155" s="21">
        <v>13588289.179999996</v>
      </c>
      <c r="N155" s="21"/>
      <c r="O155" s="21">
        <v>13184824.810000001</v>
      </c>
      <c r="S155" s="25">
        <f t="shared" si="56"/>
        <v>-4.8971726635436252E-2</v>
      </c>
      <c r="T155" s="26">
        <f t="shared" si="57"/>
        <v>-3.8600590743740115E-2</v>
      </c>
      <c r="U155" s="27">
        <f t="shared" si="58"/>
        <v>-4.8604169066613245E-2</v>
      </c>
      <c r="W155" s="13">
        <f t="shared" si="49"/>
        <v>0</v>
      </c>
      <c r="Y155" s="14">
        <f t="shared" si="50"/>
        <v>729.97126150370445</v>
      </c>
      <c r="Z155" s="14">
        <f t="shared" si="51"/>
        <v>3890472.0696753883</v>
      </c>
      <c r="AA155" s="14">
        <f t="shared" si="52"/>
        <v>12543987.355821084</v>
      </c>
    </row>
    <row r="156" spans="5:27" outlineLevel="1" x14ac:dyDescent="0.25">
      <c r="E156" s="4" t="s">
        <v>7</v>
      </c>
      <c r="F156" s="4">
        <v>12</v>
      </c>
      <c r="G156" s="21">
        <v>959</v>
      </c>
      <c r="H156" s="21"/>
      <c r="I156" s="21">
        <v>753.07999999999993</v>
      </c>
      <c r="J156" s="21">
        <v>4967245.7</v>
      </c>
      <c r="K156" s="21"/>
      <c r="L156" s="21">
        <v>3970335.669999999</v>
      </c>
      <c r="M156" s="21">
        <v>15932823.799999997</v>
      </c>
      <c r="N156" s="21"/>
      <c r="O156" s="21">
        <v>12951835.909999995</v>
      </c>
      <c r="S156" s="28">
        <f t="shared" si="56"/>
        <v>-4.8971726635436252E-2</v>
      </c>
      <c r="T156" s="29">
        <f t="shared" si="57"/>
        <v>-3.8600590743740115E-2</v>
      </c>
      <c r="U156" s="30">
        <f t="shared" si="58"/>
        <v>-4.8604169066613245E-2</v>
      </c>
      <c r="W156" s="13">
        <f t="shared" si="49"/>
        <v>0</v>
      </c>
      <c r="Y156" s="14">
        <f t="shared" si="50"/>
        <v>716.20037210538555</v>
      </c>
      <c r="Z156" s="14">
        <f t="shared" si="51"/>
        <v>3817078.3676870558</v>
      </c>
      <c r="AA156" s="14">
        <f t="shared" si="52"/>
        <v>12322322.687707322</v>
      </c>
    </row>
    <row r="157" spans="5:27" outlineLevel="1" x14ac:dyDescent="0.25">
      <c r="E157" s="4" t="s">
        <v>8</v>
      </c>
      <c r="F157" s="4">
        <v>1</v>
      </c>
      <c r="G157" s="21">
        <v>368</v>
      </c>
      <c r="H157" s="21">
        <v>390</v>
      </c>
      <c r="I157" s="21">
        <v>499.8599999999999</v>
      </c>
      <c r="J157" s="21">
        <v>2002406.68</v>
      </c>
      <c r="K157" s="21">
        <v>2269063.1899999995</v>
      </c>
      <c r="L157" s="21">
        <v>2797671.4400000018</v>
      </c>
      <c r="M157" s="21">
        <v>5926122.4299999997</v>
      </c>
      <c r="N157" s="21">
        <v>6779081.4999999991</v>
      </c>
      <c r="O157" s="21">
        <v>8395122.7399999965</v>
      </c>
      <c r="S157" s="22">
        <f t="shared" ref="S157:S168" si="59">IFERROR(SUMPRODUCT(H$157:H$168,$W$157:$W$168)/SUMPRODUCT(I$157:I$168,$W$157:$W$168)-1,"")</f>
        <v>-0.11787671140668565</v>
      </c>
      <c r="T157" s="23">
        <f t="shared" ref="T157:T168" si="60">IFERROR(SUMPRODUCT(K$157:K$168,$W$157:$W$168)/SUMPRODUCT(L$157:L$168,$W$157:$W$168)-1,"")</f>
        <v>-7.919861289520258E-2</v>
      </c>
      <c r="U157" s="24">
        <f t="shared" ref="U157:U168" si="61">IFERROR(SUMPRODUCT(N$157:N$168,$W$157:$W$168)/SUMPRODUCT(O$157:O$168,$W$157:$W$168)-1,"")</f>
        <v>-0.10263166004020752</v>
      </c>
      <c r="W157" s="13">
        <f t="shared" si="49"/>
        <v>1</v>
      </c>
      <c r="Y157" s="14">
        <f t="shared" si="50"/>
        <v>390</v>
      </c>
      <c r="Z157" s="14">
        <f t="shared" si="51"/>
        <v>2269063.1899999995</v>
      </c>
      <c r="AA157" s="14">
        <f t="shared" si="52"/>
        <v>6779081.4999999991</v>
      </c>
    </row>
    <row r="158" spans="5:27" outlineLevel="1" x14ac:dyDescent="0.25">
      <c r="E158" s="4" t="s">
        <v>8</v>
      </c>
      <c r="F158" s="4">
        <v>2</v>
      </c>
      <c r="G158" s="21">
        <v>367</v>
      </c>
      <c r="H158" s="21">
        <v>383</v>
      </c>
      <c r="I158" s="21">
        <v>477.64000000000004</v>
      </c>
      <c r="J158" s="21">
        <v>2010628.22</v>
      </c>
      <c r="K158" s="21">
        <v>2234243.15</v>
      </c>
      <c r="L158" s="21">
        <v>2673308.08</v>
      </c>
      <c r="M158" s="21">
        <v>5945537.040000001</v>
      </c>
      <c r="N158" s="21">
        <v>6614729.669999999</v>
      </c>
      <c r="O158" s="21">
        <v>8040375.950000002</v>
      </c>
      <c r="S158" s="25">
        <f t="shared" si="59"/>
        <v>-0.11787671140668565</v>
      </c>
      <c r="T158" s="26">
        <f t="shared" si="60"/>
        <v>-7.919861289520258E-2</v>
      </c>
      <c r="U158" s="27">
        <f t="shared" si="61"/>
        <v>-0.10263166004020752</v>
      </c>
      <c r="W158" s="13">
        <f t="shared" si="49"/>
        <v>1</v>
      </c>
      <c r="Y158" s="14">
        <f t="shared" si="50"/>
        <v>383</v>
      </c>
      <c r="Z158" s="14">
        <f t="shared" si="51"/>
        <v>2234243.15</v>
      </c>
      <c r="AA158" s="14">
        <f t="shared" si="52"/>
        <v>6614729.669999999</v>
      </c>
    </row>
    <row r="159" spans="5:27" outlineLevel="1" x14ac:dyDescent="0.25">
      <c r="E159" s="4" t="s">
        <v>8</v>
      </c>
      <c r="F159" s="4">
        <v>3</v>
      </c>
      <c r="G159" s="21">
        <v>483</v>
      </c>
      <c r="H159" s="21">
        <v>506</v>
      </c>
      <c r="I159" s="21">
        <v>483.16000000000008</v>
      </c>
      <c r="J159" s="21">
        <v>2634733.41</v>
      </c>
      <c r="K159" s="21">
        <v>2945858.9600000014</v>
      </c>
      <c r="L159" s="21">
        <v>2704203.0300000003</v>
      </c>
      <c r="M159" s="21">
        <v>7782339.9799999967</v>
      </c>
      <c r="N159" s="21">
        <v>8606340.9499999974</v>
      </c>
      <c r="O159" s="21">
        <v>8106543.2200000016</v>
      </c>
      <c r="S159" s="25">
        <f t="shared" si="59"/>
        <v>-0.11787671140668565</v>
      </c>
      <c r="T159" s="26">
        <f t="shared" si="60"/>
        <v>-7.919861289520258E-2</v>
      </c>
      <c r="U159" s="27">
        <f t="shared" si="61"/>
        <v>-0.10263166004020752</v>
      </c>
      <c r="W159" s="13">
        <f t="shared" si="49"/>
        <v>1</v>
      </c>
      <c r="Y159" s="14">
        <f t="shared" si="50"/>
        <v>506</v>
      </c>
      <c r="Z159" s="14">
        <f t="shared" si="51"/>
        <v>2945858.9600000014</v>
      </c>
      <c r="AA159" s="14">
        <f t="shared" si="52"/>
        <v>8606340.9499999974</v>
      </c>
    </row>
    <row r="160" spans="5:27" outlineLevel="1" x14ac:dyDescent="0.25">
      <c r="E160" s="4" t="s">
        <v>8</v>
      </c>
      <c r="F160" s="4">
        <v>4</v>
      </c>
      <c r="G160" s="21">
        <v>421</v>
      </c>
      <c r="H160" s="21">
        <v>438</v>
      </c>
      <c r="I160" s="21">
        <v>473.92</v>
      </c>
      <c r="J160" s="21">
        <v>2307882.2700000005</v>
      </c>
      <c r="K160" s="21">
        <v>2556472.1099999994</v>
      </c>
      <c r="L160" s="21">
        <v>2652487.61</v>
      </c>
      <c r="M160" s="21">
        <v>6595935.7399999984</v>
      </c>
      <c r="N160" s="21">
        <v>7227345.2000000011</v>
      </c>
      <c r="O160" s="21">
        <v>7952225.3199999975</v>
      </c>
      <c r="S160" s="25">
        <f t="shared" si="59"/>
        <v>-0.11787671140668565</v>
      </c>
      <c r="T160" s="26">
        <f t="shared" si="60"/>
        <v>-7.919861289520258E-2</v>
      </c>
      <c r="U160" s="27">
        <f t="shared" si="61"/>
        <v>-0.10263166004020752</v>
      </c>
      <c r="W160" s="13">
        <f t="shared" si="49"/>
        <v>1</v>
      </c>
      <c r="Y160" s="14">
        <f t="shared" si="50"/>
        <v>438</v>
      </c>
      <c r="Z160" s="14">
        <f t="shared" si="51"/>
        <v>2556472.1099999994</v>
      </c>
      <c r="AA160" s="14">
        <f t="shared" si="52"/>
        <v>7227345.2000000011</v>
      </c>
    </row>
    <row r="161" spans="5:27" outlineLevel="1" x14ac:dyDescent="0.25">
      <c r="E161" s="4" t="s">
        <v>8</v>
      </c>
      <c r="F161" s="4">
        <v>5</v>
      </c>
      <c r="G161" s="21">
        <v>458</v>
      </c>
      <c r="H161" s="21">
        <v>482</v>
      </c>
      <c r="I161" s="21">
        <v>525.83000000000004</v>
      </c>
      <c r="J161" s="21">
        <v>2531441.4200000009</v>
      </c>
      <c r="K161" s="21">
        <v>2839728.8699999996</v>
      </c>
      <c r="L161" s="21">
        <v>2943023.1999999988</v>
      </c>
      <c r="M161" s="21">
        <v>7594673.8400000036</v>
      </c>
      <c r="N161" s="21">
        <v>8332929.6500000004</v>
      </c>
      <c r="O161" s="21">
        <v>8765940.3499999996</v>
      </c>
      <c r="S161" s="25">
        <f t="shared" si="59"/>
        <v>-0.11787671140668565</v>
      </c>
      <c r="T161" s="26">
        <f t="shared" si="60"/>
        <v>-7.919861289520258E-2</v>
      </c>
      <c r="U161" s="27">
        <f t="shared" si="61"/>
        <v>-0.10263166004020752</v>
      </c>
      <c r="W161" s="13">
        <f t="shared" ref="W161:W192" si="62">IFERROR(_xlfn.XLOOKUP(F161,$F$13:$F$24,$W$13:$W$24),"")</f>
        <v>1</v>
      </c>
      <c r="Y161" s="14">
        <f t="shared" ref="Y161:Y192" si="63">IFERROR(IF($W161=1,H161,I161*(1+S161)),"")</f>
        <v>482</v>
      </c>
      <c r="Z161" s="14">
        <f t="shared" ref="Z161:Z192" si="64">IFERROR(IF($W161=1,K161,L161*(1+T161)),"")</f>
        <v>2839728.8699999996</v>
      </c>
      <c r="AA161" s="14">
        <f t="shared" ref="AA161:AA192" si="65">IFERROR(IF($W161=1,N161,O161*(1+U161)),"")</f>
        <v>8332929.6500000004</v>
      </c>
    </row>
    <row r="162" spans="5:27" outlineLevel="1" x14ac:dyDescent="0.25">
      <c r="E162" s="4" t="s">
        <v>8</v>
      </c>
      <c r="F162" s="4">
        <v>6</v>
      </c>
      <c r="G162" s="21">
        <v>403</v>
      </c>
      <c r="H162" s="21">
        <v>422</v>
      </c>
      <c r="I162" s="21">
        <v>510.83000000000015</v>
      </c>
      <c r="J162" s="21">
        <v>2222928.83</v>
      </c>
      <c r="K162" s="21">
        <v>2467342.5299999993</v>
      </c>
      <c r="L162" s="21">
        <v>2859069.6100000003</v>
      </c>
      <c r="M162" s="21">
        <v>6554087.3099999987</v>
      </c>
      <c r="N162" s="21">
        <v>7151495.9800000023</v>
      </c>
      <c r="O162" s="21">
        <v>8565400.2100000009</v>
      </c>
      <c r="S162" s="25">
        <f t="shared" si="59"/>
        <v>-0.11787671140668565</v>
      </c>
      <c r="T162" s="26">
        <f t="shared" si="60"/>
        <v>-7.919861289520258E-2</v>
      </c>
      <c r="U162" s="27">
        <f t="shared" si="61"/>
        <v>-0.10263166004020752</v>
      </c>
      <c r="W162" s="13">
        <f t="shared" si="62"/>
        <v>1</v>
      </c>
      <c r="Y162" s="14">
        <f t="shared" si="63"/>
        <v>422</v>
      </c>
      <c r="Z162" s="14">
        <f t="shared" si="64"/>
        <v>2467342.5299999993</v>
      </c>
      <c r="AA162" s="14">
        <f t="shared" si="65"/>
        <v>7151495.9800000023</v>
      </c>
    </row>
    <row r="163" spans="5:27" outlineLevel="1" x14ac:dyDescent="0.25">
      <c r="E163" s="4" t="s">
        <v>8</v>
      </c>
      <c r="F163" s="4">
        <v>7</v>
      </c>
      <c r="G163" s="21">
        <v>512</v>
      </c>
      <c r="H163" s="21"/>
      <c r="I163" s="21">
        <v>502.58</v>
      </c>
      <c r="J163" s="21">
        <v>2784600.8599999994</v>
      </c>
      <c r="K163" s="21"/>
      <c r="L163" s="21">
        <v>2812895.0500000003</v>
      </c>
      <c r="M163" s="21">
        <v>8083310.5699999994</v>
      </c>
      <c r="N163" s="21"/>
      <c r="O163" s="21">
        <v>8454280.6099999994</v>
      </c>
      <c r="S163" s="25">
        <f t="shared" si="59"/>
        <v>-0.11787671140668565</v>
      </c>
      <c r="T163" s="26">
        <f t="shared" si="60"/>
        <v>-7.919861289520258E-2</v>
      </c>
      <c r="U163" s="27">
        <f t="shared" si="61"/>
        <v>-0.10263166004020752</v>
      </c>
      <c r="W163" s="13">
        <f t="shared" si="62"/>
        <v>0</v>
      </c>
      <c r="Y163" s="14">
        <f t="shared" si="63"/>
        <v>443.33752238122793</v>
      </c>
      <c r="Z163" s="14">
        <f t="shared" si="64"/>
        <v>2590117.6638202188</v>
      </c>
      <c r="AA163" s="14">
        <f t="shared" si="65"/>
        <v>7586603.7565499609</v>
      </c>
    </row>
    <row r="164" spans="5:27" outlineLevel="1" x14ac:dyDescent="0.25">
      <c r="E164" s="4" t="s">
        <v>8</v>
      </c>
      <c r="F164" s="4">
        <v>8</v>
      </c>
      <c r="G164" s="21">
        <v>463</v>
      </c>
      <c r="H164" s="21"/>
      <c r="I164" s="21">
        <v>488.41000000000014</v>
      </c>
      <c r="J164" s="21">
        <v>2569248.65</v>
      </c>
      <c r="K164" s="21"/>
      <c r="L164" s="21">
        <v>2733586.8399999994</v>
      </c>
      <c r="M164" s="21">
        <v>7500810.1700000018</v>
      </c>
      <c r="N164" s="21"/>
      <c r="O164" s="21">
        <v>8207524.5300000003</v>
      </c>
      <c r="S164" s="25">
        <f t="shared" si="59"/>
        <v>-0.11787671140668565</v>
      </c>
      <c r="T164" s="26">
        <f t="shared" si="60"/>
        <v>-7.919861289520258E-2</v>
      </c>
      <c r="U164" s="27">
        <f t="shared" si="61"/>
        <v>-0.10263166004020752</v>
      </c>
      <c r="W164" s="13">
        <f t="shared" si="62"/>
        <v>0</v>
      </c>
      <c r="Y164" s="14">
        <f t="shared" si="63"/>
        <v>430.83783538186077</v>
      </c>
      <c r="Z164" s="14">
        <f t="shared" si="64"/>
        <v>2517090.5540434192</v>
      </c>
      <c r="AA164" s="14">
        <f t="shared" si="65"/>
        <v>7365172.6626653764</v>
      </c>
    </row>
    <row r="165" spans="5:27" outlineLevel="1" x14ac:dyDescent="0.25">
      <c r="E165" s="4" t="s">
        <v>8</v>
      </c>
      <c r="F165" s="4">
        <v>9</v>
      </c>
      <c r="G165" s="21">
        <v>437</v>
      </c>
      <c r="H165" s="21"/>
      <c r="I165" s="21">
        <v>487.7399999999999</v>
      </c>
      <c r="J165" s="21">
        <v>2400303.3699999996</v>
      </c>
      <c r="K165" s="21"/>
      <c r="L165" s="21">
        <v>2729836.8899999997</v>
      </c>
      <c r="M165" s="21">
        <v>7176384.5</v>
      </c>
      <c r="N165" s="21"/>
      <c r="O165" s="21">
        <v>8245906.3999999994</v>
      </c>
      <c r="S165" s="25">
        <f t="shared" si="59"/>
        <v>-0.11787671140668565</v>
      </c>
      <c r="T165" s="26">
        <f t="shared" si="60"/>
        <v>-7.919861289520258E-2</v>
      </c>
      <c r="U165" s="27">
        <f t="shared" si="61"/>
        <v>-0.10263166004020752</v>
      </c>
      <c r="W165" s="13">
        <f t="shared" si="62"/>
        <v>0</v>
      </c>
      <c r="Y165" s="14">
        <f t="shared" si="63"/>
        <v>430.24681277850306</v>
      </c>
      <c r="Z165" s="14">
        <f t="shared" si="64"/>
        <v>2513637.5948818461</v>
      </c>
      <c r="AA165" s="14">
        <f t="shared" si="65"/>
        <v>7399615.3376318282</v>
      </c>
    </row>
    <row r="166" spans="5:27" outlineLevel="1" x14ac:dyDescent="0.25">
      <c r="E166" s="4" t="s">
        <v>8</v>
      </c>
      <c r="F166" s="4">
        <v>10</v>
      </c>
      <c r="G166" s="21">
        <v>514</v>
      </c>
      <c r="H166" s="21"/>
      <c r="I166" s="21">
        <v>515.84000000000015</v>
      </c>
      <c r="J166" s="21">
        <v>2784494.7199999993</v>
      </c>
      <c r="K166" s="21"/>
      <c r="L166" s="21">
        <v>2887110.0699999994</v>
      </c>
      <c r="M166" s="21">
        <v>8138501.0000000009</v>
      </c>
      <c r="N166" s="21"/>
      <c r="O166" s="21">
        <v>8656101.6600000001</v>
      </c>
      <c r="S166" s="25">
        <f t="shared" si="59"/>
        <v>-0.11787671140668565</v>
      </c>
      <c r="T166" s="26">
        <f t="shared" si="60"/>
        <v>-7.919861289520258E-2</v>
      </c>
      <c r="U166" s="27">
        <f t="shared" si="61"/>
        <v>-0.10263166004020752</v>
      </c>
      <c r="W166" s="13">
        <f t="shared" si="62"/>
        <v>0</v>
      </c>
      <c r="Y166" s="14">
        <f t="shared" si="63"/>
        <v>455.03447718797543</v>
      </c>
      <c r="Z166" s="14">
        <f t="shared" si="64"/>
        <v>2658454.9571802281</v>
      </c>
      <c r="AA166" s="14">
        <f t="shared" si="65"/>
        <v>7767711.5771574043</v>
      </c>
    </row>
    <row r="167" spans="5:27" outlineLevel="1" x14ac:dyDescent="0.25">
      <c r="E167" s="4" t="s">
        <v>8</v>
      </c>
      <c r="F167" s="4">
        <v>11</v>
      </c>
      <c r="G167" s="21">
        <v>638</v>
      </c>
      <c r="H167" s="21"/>
      <c r="I167" s="21">
        <v>568.82000000000016</v>
      </c>
      <c r="J167" s="21">
        <v>3468957.3700000006</v>
      </c>
      <c r="K167" s="21"/>
      <c r="L167" s="21">
        <v>3183634.35</v>
      </c>
      <c r="M167" s="21">
        <v>10201161.200000001</v>
      </c>
      <c r="N167" s="21"/>
      <c r="O167" s="21">
        <v>9498694.5699999984</v>
      </c>
      <c r="S167" s="25">
        <f t="shared" si="59"/>
        <v>-0.11787671140668565</v>
      </c>
      <c r="T167" s="26">
        <f t="shared" si="60"/>
        <v>-7.919861289520258E-2</v>
      </c>
      <c r="U167" s="27">
        <f t="shared" si="61"/>
        <v>-0.10263166004020752</v>
      </c>
      <c r="W167" s="13">
        <f t="shared" si="62"/>
        <v>0</v>
      </c>
      <c r="Y167" s="14">
        <f t="shared" si="63"/>
        <v>501.76936901764924</v>
      </c>
      <c r="Z167" s="14">
        <f t="shared" si="64"/>
        <v>2931494.9255144801</v>
      </c>
      <c r="AA167" s="14">
        <f t="shared" si="65"/>
        <v>8523827.7780659944</v>
      </c>
    </row>
    <row r="168" spans="5:27" outlineLevel="1" x14ac:dyDescent="0.25">
      <c r="E168" s="4" t="s">
        <v>8</v>
      </c>
      <c r="F168" s="4">
        <v>12</v>
      </c>
      <c r="G168" s="21">
        <v>728</v>
      </c>
      <c r="H168" s="21"/>
      <c r="I168" s="21">
        <v>558.45000000000005</v>
      </c>
      <c r="J168" s="21">
        <v>4020698.9299999997</v>
      </c>
      <c r="K168" s="21"/>
      <c r="L168" s="21">
        <v>3125594.4100000011</v>
      </c>
      <c r="M168" s="21">
        <v>11873907.139999997</v>
      </c>
      <c r="N168" s="21"/>
      <c r="O168" s="21">
        <v>9385544.6399999969</v>
      </c>
      <c r="S168" s="28">
        <f t="shared" si="59"/>
        <v>-0.11787671140668565</v>
      </c>
      <c r="T168" s="29">
        <f t="shared" si="60"/>
        <v>-7.919861289520258E-2</v>
      </c>
      <c r="U168" s="30">
        <f t="shared" si="61"/>
        <v>-0.10263166004020752</v>
      </c>
      <c r="W168" s="13">
        <f t="shared" si="62"/>
        <v>0</v>
      </c>
      <c r="Y168" s="14">
        <f t="shared" si="63"/>
        <v>492.62175051493642</v>
      </c>
      <c r="Z168" s="14">
        <f t="shared" si="64"/>
        <v>2878051.6682550018</v>
      </c>
      <c r="AA168" s="14">
        <f t="shared" si="65"/>
        <v>8422290.6132153254</v>
      </c>
    </row>
    <row r="169" spans="5:27" outlineLevel="1" x14ac:dyDescent="0.25">
      <c r="E169" s="4" t="s">
        <v>9</v>
      </c>
      <c r="F169" s="4">
        <v>1</v>
      </c>
      <c r="G169" s="21">
        <v>424</v>
      </c>
      <c r="H169" s="21">
        <v>447</v>
      </c>
      <c r="I169" s="21">
        <v>520.19999999999993</v>
      </c>
      <c r="J169" s="21">
        <v>1095586.0900000001</v>
      </c>
      <c r="K169" s="21">
        <v>1204911.8400000001</v>
      </c>
      <c r="L169" s="21">
        <v>1381271.4700000002</v>
      </c>
      <c r="M169" s="21">
        <v>2730769.3099999996</v>
      </c>
      <c r="N169" s="21">
        <v>3050935.05</v>
      </c>
      <c r="O169" s="21">
        <v>3528439.290000001</v>
      </c>
      <c r="S169" s="22">
        <f t="shared" ref="S169:S180" si="66">IFERROR(SUMPRODUCT(H$169:H$180,$W$169:$W$180)/SUMPRODUCT(I$169:I$180,$W$169:$W$180)-1,"")</f>
        <v>-9.6656484715949009E-2</v>
      </c>
      <c r="T169" s="23">
        <f t="shared" ref="T169:T180" si="67">IFERROR(SUMPRODUCT(K$169:K$180,$W$169:$W$180)/SUMPRODUCT(L$169:L$180,$W$169:$W$180)-1,"")</f>
        <v>-6.9298110159070725E-2</v>
      </c>
      <c r="U169" s="24">
        <f t="shared" ref="U169:U180" si="68">IFERROR(SUMPRODUCT(N$169:N$180,$W$169:$W$180)/SUMPRODUCT(O$169:O$180,$W$169:$W$180)-1,"")</f>
        <v>-8.7525598416074324E-2</v>
      </c>
      <c r="W169" s="13">
        <f t="shared" si="62"/>
        <v>1</v>
      </c>
      <c r="Y169" s="14">
        <f t="shared" si="63"/>
        <v>447</v>
      </c>
      <c r="Z169" s="14">
        <f t="shared" si="64"/>
        <v>1204911.8400000001</v>
      </c>
      <c r="AA169" s="14">
        <f t="shared" si="65"/>
        <v>3050935.05</v>
      </c>
    </row>
    <row r="170" spans="5:27" outlineLevel="1" x14ac:dyDescent="0.25">
      <c r="E170" s="4" t="s">
        <v>9</v>
      </c>
      <c r="F170" s="4">
        <v>2</v>
      </c>
      <c r="G170" s="21">
        <v>454</v>
      </c>
      <c r="H170" s="21">
        <v>471</v>
      </c>
      <c r="I170" s="21">
        <v>522.64</v>
      </c>
      <c r="J170" s="21">
        <v>1177365.0799999998</v>
      </c>
      <c r="K170" s="21">
        <v>1278656.0199999998</v>
      </c>
      <c r="L170" s="21">
        <v>1387750.28</v>
      </c>
      <c r="M170" s="21">
        <v>2922361.58</v>
      </c>
      <c r="N170" s="21">
        <v>3194723.040000001</v>
      </c>
      <c r="O170" s="21">
        <v>3544270.8800000004</v>
      </c>
      <c r="S170" s="25">
        <f t="shared" si="66"/>
        <v>-9.6656484715949009E-2</v>
      </c>
      <c r="T170" s="26">
        <f t="shared" si="67"/>
        <v>-6.9298110159070725E-2</v>
      </c>
      <c r="U170" s="27">
        <f t="shared" si="68"/>
        <v>-8.7525598416074324E-2</v>
      </c>
      <c r="W170" s="13">
        <f t="shared" si="62"/>
        <v>1</v>
      </c>
      <c r="Y170" s="14">
        <f t="shared" si="63"/>
        <v>471</v>
      </c>
      <c r="Z170" s="14">
        <f t="shared" si="64"/>
        <v>1278656.0199999998</v>
      </c>
      <c r="AA170" s="14">
        <f t="shared" si="65"/>
        <v>3194723.040000001</v>
      </c>
    </row>
    <row r="171" spans="5:27" outlineLevel="1" x14ac:dyDescent="0.25">
      <c r="E171" s="4" t="s">
        <v>9</v>
      </c>
      <c r="F171" s="4">
        <v>3</v>
      </c>
      <c r="G171" s="21">
        <v>448</v>
      </c>
      <c r="H171" s="21">
        <v>468</v>
      </c>
      <c r="I171" s="21">
        <v>535.96</v>
      </c>
      <c r="J171" s="21">
        <v>1178006.0599999994</v>
      </c>
      <c r="K171" s="21">
        <v>1289282.8899999999</v>
      </c>
      <c r="L171" s="21">
        <v>1423118.4699999997</v>
      </c>
      <c r="M171" s="21">
        <v>2958643.0199999991</v>
      </c>
      <c r="N171" s="21">
        <v>3249231.0899999994</v>
      </c>
      <c r="O171" s="21">
        <v>3644245.7200000007</v>
      </c>
      <c r="S171" s="25">
        <f t="shared" si="66"/>
        <v>-9.6656484715949009E-2</v>
      </c>
      <c r="T171" s="26">
        <f t="shared" si="67"/>
        <v>-6.9298110159070725E-2</v>
      </c>
      <c r="U171" s="27">
        <f t="shared" si="68"/>
        <v>-8.7525598416074324E-2</v>
      </c>
      <c r="W171" s="13">
        <f t="shared" si="62"/>
        <v>1</v>
      </c>
      <c r="Y171" s="14">
        <f t="shared" si="63"/>
        <v>468</v>
      </c>
      <c r="Z171" s="14">
        <f t="shared" si="64"/>
        <v>1289282.8899999999</v>
      </c>
      <c r="AA171" s="14">
        <f t="shared" si="65"/>
        <v>3249231.0899999994</v>
      </c>
    </row>
    <row r="172" spans="5:27" outlineLevel="1" x14ac:dyDescent="0.25">
      <c r="E172" s="4" t="s">
        <v>9</v>
      </c>
      <c r="F172" s="4">
        <v>4</v>
      </c>
      <c r="G172" s="21">
        <v>418</v>
      </c>
      <c r="H172" s="21">
        <v>442</v>
      </c>
      <c r="I172" s="21">
        <v>523.26</v>
      </c>
      <c r="J172" s="21">
        <v>1099187.5000000005</v>
      </c>
      <c r="K172" s="21">
        <v>1218389.73</v>
      </c>
      <c r="L172" s="21">
        <v>1389396.6500000004</v>
      </c>
      <c r="M172" s="21">
        <v>2777099.72</v>
      </c>
      <c r="N172" s="21">
        <v>3081336.9999999986</v>
      </c>
      <c r="O172" s="21">
        <v>3547648.7200000007</v>
      </c>
      <c r="S172" s="25">
        <f t="shared" si="66"/>
        <v>-9.6656484715949009E-2</v>
      </c>
      <c r="T172" s="26">
        <f t="shared" si="67"/>
        <v>-6.9298110159070725E-2</v>
      </c>
      <c r="U172" s="27">
        <f t="shared" si="68"/>
        <v>-8.7525598416074324E-2</v>
      </c>
      <c r="W172" s="13">
        <f t="shared" si="62"/>
        <v>1</v>
      </c>
      <c r="Y172" s="14">
        <f t="shared" si="63"/>
        <v>442</v>
      </c>
      <c r="Z172" s="14">
        <f t="shared" si="64"/>
        <v>1218389.73</v>
      </c>
      <c r="AA172" s="14">
        <f t="shared" si="65"/>
        <v>3081336.9999999986</v>
      </c>
    </row>
    <row r="173" spans="5:27" outlineLevel="1" x14ac:dyDescent="0.25">
      <c r="E173" s="4" t="s">
        <v>9</v>
      </c>
      <c r="F173" s="4">
        <v>5</v>
      </c>
      <c r="G173" s="21">
        <v>449</v>
      </c>
      <c r="H173" s="21">
        <v>466</v>
      </c>
      <c r="I173" s="21">
        <v>521.85</v>
      </c>
      <c r="J173" s="21">
        <v>1156476.7799999998</v>
      </c>
      <c r="K173" s="21">
        <v>1256530.9899999998</v>
      </c>
      <c r="L173" s="21">
        <v>1385652.6600000004</v>
      </c>
      <c r="M173" s="21">
        <v>2894779.1300000004</v>
      </c>
      <c r="N173" s="21">
        <v>3129362.6099999989</v>
      </c>
      <c r="O173" s="21">
        <v>3550380.7599999984</v>
      </c>
      <c r="S173" s="25">
        <f t="shared" si="66"/>
        <v>-9.6656484715949009E-2</v>
      </c>
      <c r="T173" s="26">
        <f t="shared" si="67"/>
        <v>-6.9298110159070725E-2</v>
      </c>
      <c r="U173" s="27">
        <f t="shared" si="68"/>
        <v>-8.7525598416074324E-2</v>
      </c>
      <c r="W173" s="13">
        <f t="shared" si="62"/>
        <v>1</v>
      </c>
      <c r="Y173" s="14">
        <f t="shared" si="63"/>
        <v>466</v>
      </c>
      <c r="Z173" s="14">
        <f t="shared" si="64"/>
        <v>1256530.9899999998</v>
      </c>
      <c r="AA173" s="14">
        <f t="shared" si="65"/>
        <v>3129362.6099999989</v>
      </c>
    </row>
    <row r="174" spans="5:27" outlineLevel="1" x14ac:dyDescent="0.25">
      <c r="E174" s="4" t="s">
        <v>9</v>
      </c>
      <c r="F174" s="4">
        <v>6</v>
      </c>
      <c r="G174" s="21">
        <v>525</v>
      </c>
      <c r="H174" s="21">
        <v>548</v>
      </c>
      <c r="I174" s="21">
        <v>522.18000000000006</v>
      </c>
      <c r="J174" s="21">
        <v>1398612.2899999996</v>
      </c>
      <c r="K174" s="21">
        <v>1527050.06</v>
      </c>
      <c r="L174" s="21">
        <v>1386528.9000000006</v>
      </c>
      <c r="M174" s="21">
        <v>3489394.1599999997</v>
      </c>
      <c r="N174" s="21">
        <v>3789532.5099999993</v>
      </c>
      <c r="O174" s="21">
        <v>3550130.4800000004</v>
      </c>
      <c r="S174" s="25">
        <f t="shared" si="66"/>
        <v>-9.6656484715949009E-2</v>
      </c>
      <c r="T174" s="26">
        <f t="shared" si="67"/>
        <v>-6.9298110159070725E-2</v>
      </c>
      <c r="U174" s="27">
        <f t="shared" si="68"/>
        <v>-8.7525598416074324E-2</v>
      </c>
      <c r="W174" s="13">
        <f t="shared" si="62"/>
        <v>1</v>
      </c>
      <c r="Y174" s="14">
        <f t="shared" si="63"/>
        <v>548</v>
      </c>
      <c r="Z174" s="14">
        <f t="shared" si="64"/>
        <v>1527050.06</v>
      </c>
      <c r="AA174" s="14">
        <f t="shared" si="65"/>
        <v>3789532.5099999993</v>
      </c>
    </row>
    <row r="175" spans="5:27" outlineLevel="1" x14ac:dyDescent="0.25">
      <c r="E175" s="4" t="s">
        <v>9</v>
      </c>
      <c r="F175" s="4">
        <v>7</v>
      </c>
      <c r="G175" s="21">
        <v>469</v>
      </c>
      <c r="H175" s="21"/>
      <c r="I175" s="21">
        <v>520.67999999999995</v>
      </c>
      <c r="J175" s="21">
        <v>1209561.3999999999</v>
      </c>
      <c r="K175" s="21"/>
      <c r="L175" s="21">
        <v>1382545.9999999998</v>
      </c>
      <c r="M175" s="21">
        <v>3066640.49</v>
      </c>
      <c r="N175" s="21"/>
      <c r="O175" s="21">
        <v>3551960.6499999994</v>
      </c>
      <c r="S175" s="25">
        <f t="shared" si="66"/>
        <v>-9.6656484715949009E-2</v>
      </c>
      <c r="T175" s="26">
        <f t="shared" si="67"/>
        <v>-6.9298110159070725E-2</v>
      </c>
      <c r="U175" s="27">
        <f t="shared" si="68"/>
        <v>-8.7525598416074324E-2</v>
      </c>
      <c r="W175" s="13">
        <f t="shared" si="62"/>
        <v>0</v>
      </c>
      <c r="Y175" s="14">
        <f t="shared" si="63"/>
        <v>470.35290153809962</v>
      </c>
      <c r="Z175" s="14">
        <f t="shared" si="64"/>
        <v>1286738.1749920172</v>
      </c>
      <c r="AA175" s="14">
        <f t="shared" si="65"/>
        <v>3241073.1685584011</v>
      </c>
    </row>
    <row r="176" spans="5:27" outlineLevel="1" x14ac:dyDescent="0.25">
      <c r="E176" s="4" t="s">
        <v>9</v>
      </c>
      <c r="F176" s="4">
        <v>8</v>
      </c>
      <c r="G176" s="21">
        <v>473</v>
      </c>
      <c r="H176" s="21"/>
      <c r="I176" s="21">
        <v>525.35</v>
      </c>
      <c r="J176" s="21">
        <v>1238234.96</v>
      </c>
      <c r="K176" s="21"/>
      <c r="L176" s="21">
        <v>1394946.07</v>
      </c>
      <c r="M176" s="21">
        <v>3063316.4900000007</v>
      </c>
      <c r="N176" s="21"/>
      <c r="O176" s="21">
        <v>3572375.7000000016</v>
      </c>
      <c r="S176" s="25">
        <f t="shared" si="66"/>
        <v>-9.6656484715949009E-2</v>
      </c>
      <c r="T176" s="26">
        <f t="shared" si="67"/>
        <v>-6.9298110159070725E-2</v>
      </c>
      <c r="U176" s="27">
        <f t="shared" si="68"/>
        <v>-8.7525598416074324E-2</v>
      </c>
      <c r="W176" s="13">
        <f t="shared" si="62"/>
        <v>0</v>
      </c>
      <c r="Y176" s="14">
        <f t="shared" si="63"/>
        <v>474.5715157544762</v>
      </c>
      <c r="Z176" s="14">
        <f t="shared" si="64"/>
        <v>1298278.9435751773</v>
      </c>
      <c r="AA176" s="14">
        <f t="shared" si="65"/>
        <v>3259701.3790904591</v>
      </c>
    </row>
    <row r="177" spans="5:27" outlineLevel="1" x14ac:dyDescent="0.25">
      <c r="E177" s="4" t="s">
        <v>9</v>
      </c>
      <c r="F177" s="4">
        <v>9</v>
      </c>
      <c r="G177" s="21">
        <v>429</v>
      </c>
      <c r="H177" s="21"/>
      <c r="I177" s="21">
        <v>527.49</v>
      </c>
      <c r="J177" s="21">
        <v>1122906.1300000001</v>
      </c>
      <c r="K177" s="21"/>
      <c r="L177" s="21">
        <v>1400628.3899999997</v>
      </c>
      <c r="M177" s="21">
        <v>2850425.75</v>
      </c>
      <c r="N177" s="21"/>
      <c r="O177" s="21">
        <v>3598165.03</v>
      </c>
      <c r="S177" s="25">
        <f t="shared" si="66"/>
        <v>-9.6656484715949009E-2</v>
      </c>
      <c r="T177" s="26">
        <f t="shared" si="67"/>
        <v>-6.9298110159070725E-2</v>
      </c>
      <c r="U177" s="27">
        <f t="shared" si="68"/>
        <v>-8.7525598416074324E-2</v>
      </c>
      <c r="W177" s="13">
        <f t="shared" si="62"/>
        <v>0</v>
      </c>
      <c r="Y177" s="14">
        <f t="shared" si="63"/>
        <v>476.50467087718408</v>
      </c>
      <c r="Z177" s="14">
        <f t="shared" si="64"/>
        <v>1303567.4895378577</v>
      </c>
      <c r="AA177" s="14">
        <f t="shared" si="65"/>
        <v>3283233.4825494578</v>
      </c>
    </row>
    <row r="178" spans="5:27" outlineLevel="1" x14ac:dyDescent="0.25">
      <c r="E178" s="4" t="s">
        <v>9</v>
      </c>
      <c r="F178" s="4">
        <v>10</v>
      </c>
      <c r="G178" s="21">
        <v>483</v>
      </c>
      <c r="H178" s="21"/>
      <c r="I178" s="21">
        <v>524.54</v>
      </c>
      <c r="J178" s="21">
        <v>1261388.9299999997</v>
      </c>
      <c r="K178" s="21"/>
      <c r="L178" s="21">
        <v>1392795.31</v>
      </c>
      <c r="M178" s="21">
        <v>3201079.9499999997</v>
      </c>
      <c r="N178" s="21"/>
      <c r="O178" s="21">
        <v>3584195.0400000014</v>
      </c>
      <c r="S178" s="25">
        <f t="shared" si="66"/>
        <v>-9.6656484715949009E-2</v>
      </c>
      <c r="T178" s="26">
        <f t="shared" si="67"/>
        <v>-6.9298110159070725E-2</v>
      </c>
      <c r="U178" s="27">
        <f t="shared" si="68"/>
        <v>-8.7525598416074324E-2</v>
      </c>
      <c r="W178" s="13">
        <f t="shared" si="62"/>
        <v>0</v>
      </c>
      <c r="Y178" s="14">
        <f t="shared" si="63"/>
        <v>473.83980750709605</v>
      </c>
      <c r="Z178" s="14">
        <f t="shared" si="64"/>
        <v>1296277.2271785829</v>
      </c>
      <c r="AA178" s="14">
        <f t="shared" si="65"/>
        <v>3270486.2242840757</v>
      </c>
    </row>
    <row r="179" spans="5:27" outlineLevel="1" x14ac:dyDescent="0.25">
      <c r="E179" s="4" t="s">
        <v>9</v>
      </c>
      <c r="F179" s="4">
        <v>11</v>
      </c>
      <c r="G179" s="21">
        <v>710</v>
      </c>
      <c r="H179" s="21"/>
      <c r="I179" s="21">
        <v>554.63</v>
      </c>
      <c r="J179" s="21">
        <v>1875519.1499999997</v>
      </c>
      <c r="K179" s="21"/>
      <c r="L179" s="21">
        <v>1472692.44</v>
      </c>
      <c r="M179" s="21">
        <v>4673669.1899999985</v>
      </c>
      <c r="N179" s="21"/>
      <c r="O179" s="21">
        <v>3775536.5300000003</v>
      </c>
      <c r="S179" s="25">
        <f t="shared" si="66"/>
        <v>-9.6656484715949009E-2</v>
      </c>
      <c r="T179" s="26">
        <f t="shared" si="67"/>
        <v>-6.9298110159070725E-2</v>
      </c>
      <c r="U179" s="27">
        <f t="shared" si="68"/>
        <v>-8.7525598416074324E-2</v>
      </c>
      <c r="W179" s="13">
        <f t="shared" si="62"/>
        <v>0</v>
      </c>
      <c r="Y179" s="14">
        <f t="shared" si="63"/>
        <v>501.02141388199317</v>
      </c>
      <c r="Z179" s="14">
        <f t="shared" si="64"/>
        <v>1370637.6370624492</v>
      </c>
      <c r="AA179" s="14">
        <f t="shared" si="65"/>
        <v>3445080.4358700016</v>
      </c>
    </row>
    <row r="180" spans="5:27" outlineLevel="1" x14ac:dyDescent="0.25">
      <c r="E180" s="4" t="s">
        <v>9</v>
      </c>
      <c r="F180" s="4">
        <v>12</v>
      </c>
      <c r="G180" s="21">
        <v>739</v>
      </c>
      <c r="H180" s="21"/>
      <c r="I180" s="21">
        <v>541.35000000000014</v>
      </c>
      <c r="J180" s="21">
        <v>1937733.11</v>
      </c>
      <c r="K180" s="21"/>
      <c r="L180" s="21">
        <v>1437430.4200000002</v>
      </c>
      <c r="M180" s="21">
        <v>4840088.68</v>
      </c>
      <c r="N180" s="21"/>
      <c r="O180" s="21">
        <v>3679328.12</v>
      </c>
      <c r="S180" s="28">
        <f t="shared" si="66"/>
        <v>-9.6656484715949009E-2</v>
      </c>
      <c r="T180" s="29">
        <f t="shared" si="67"/>
        <v>-6.9298110159070725E-2</v>
      </c>
      <c r="U180" s="30">
        <f t="shared" si="68"/>
        <v>-8.7525598416074324E-2</v>
      </c>
      <c r="W180" s="13">
        <f t="shared" si="62"/>
        <v>0</v>
      </c>
      <c r="Y180" s="14">
        <f t="shared" si="63"/>
        <v>489.0250119990211</v>
      </c>
      <c r="Z180" s="14">
        <f t="shared" si="64"/>
        <v>1337819.2084088409</v>
      </c>
      <c r="AA180" s="14">
        <f t="shared" si="65"/>
        <v>3357292.7245279104</v>
      </c>
    </row>
    <row r="181" spans="5:27" outlineLevel="1" x14ac:dyDescent="0.25">
      <c r="E181" s="4" t="s">
        <v>10</v>
      </c>
      <c r="F181" s="4">
        <v>1</v>
      </c>
      <c r="G181" s="21">
        <v>397</v>
      </c>
      <c r="H181" s="21">
        <v>414</v>
      </c>
      <c r="I181" s="21">
        <v>514.95000000000016</v>
      </c>
      <c r="J181" s="21">
        <v>1933404.4000000008</v>
      </c>
      <c r="K181" s="21">
        <v>2128691.1999999997</v>
      </c>
      <c r="L181" s="21">
        <v>2445363.6399999992</v>
      </c>
      <c r="M181" s="21">
        <v>5260617.1699999981</v>
      </c>
      <c r="N181" s="21">
        <v>5751356.7199999997</v>
      </c>
      <c r="O181" s="21">
        <v>6917145.8600000013</v>
      </c>
      <c r="S181" s="22">
        <f t="shared" ref="S181:S192" si="69">IFERROR(SUMPRODUCT(H$181:H$192,$W$181:$W$192)/SUMPRODUCT(I$181:I$192,$W$181:$W$192)-1,"")</f>
        <v>-0.12036644062787849</v>
      </c>
      <c r="T181" s="23">
        <f t="shared" ref="T181:T192" si="70">IFERROR(SUMPRODUCT(K$181:K$192,$W$181:$W$192)/SUMPRODUCT(L$181:L$192,$W$181:$W$192)-1,"")</f>
        <v>-8.8606518774147602E-2</v>
      </c>
      <c r="U181" s="24">
        <f t="shared" ref="U181:U192" si="71">IFERROR(SUMPRODUCT(N$181:N$192,$W$181:$W$192)/SUMPRODUCT(O$181:O$192,$W$181:$W$192)-1,"")</f>
        <v>-0.1192032898459422</v>
      </c>
      <c r="W181" s="13">
        <f t="shared" si="62"/>
        <v>1</v>
      </c>
      <c r="Y181" s="14">
        <f t="shared" si="63"/>
        <v>414</v>
      </c>
      <c r="Z181" s="14">
        <f t="shared" si="64"/>
        <v>2128691.1999999997</v>
      </c>
      <c r="AA181" s="14">
        <f t="shared" si="65"/>
        <v>5751356.7199999997</v>
      </c>
    </row>
    <row r="182" spans="5:27" outlineLevel="1" x14ac:dyDescent="0.25">
      <c r="E182" s="4" t="s">
        <v>10</v>
      </c>
      <c r="F182" s="4">
        <v>2</v>
      </c>
      <c r="G182" s="21">
        <v>432</v>
      </c>
      <c r="H182" s="21">
        <v>456</v>
      </c>
      <c r="I182" s="21">
        <v>512.45999999999992</v>
      </c>
      <c r="J182" s="21">
        <v>1962457.9699999997</v>
      </c>
      <c r="K182" s="21">
        <v>2175526.6999999997</v>
      </c>
      <c r="L182" s="21">
        <v>2433539.2800000007</v>
      </c>
      <c r="M182" s="21">
        <v>5391381.8600000013</v>
      </c>
      <c r="N182" s="21">
        <v>5973120.5600000005</v>
      </c>
      <c r="O182" s="21">
        <v>6882893.9199999971</v>
      </c>
      <c r="S182" s="25">
        <f t="shared" si="69"/>
        <v>-0.12036644062787849</v>
      </c>
      <c r="T182" s="26">
        <f t="shared" si="70"/>
        <v>-8.8606518774147602E-2</v>
      </c>
      <c r="U182" s="27">
        <f t="shared" si="71"/>
        <v>-0.1192032898459422</v>
      </c>
      <c r="W182" s="13">
        <f t="shared" si="62"/>
        <v>1</v>
      </c>
      <c r="Y182" s="14">
        <f t="shared" si="63"/>
        <v>456</v>
      </c>
      <c r="Z182" s="14">
        <f t="shared" si="64"/>
        <v>2175526.6999999997</v>
      </c>
      <c r="AA182" s="14">
        <f t="shared" si="65"/>
        <v>5973120.5600000005</v>
      </c>
    </row>
    <row r="183" spans="5:27" outlineLevel="1" x14ac:dyDescent="0.25">
      <c r="E183" s="4" t="s">
        <v>10</v>
      </c>
      <c r="F183" s="4">
        <v>3</v>
      </c>
      <c r="G183" s="21">
        <v>499</v>
      </c>
      <c r="H183" s="21">
        <v>521</v>
      </c>
      <c r="I183" s="21">
        <v>544.38999999999987</v>
      </c>
      <c r="J183" s="21">
        <v>2270447.5300000007</v>
      </c>
      <c r="K183" s="21">
        <v>2486164.3299999991</v>
      </c>
      <c r="L183" s="21">
        <v>2585166.6199999996</v>
      </c>
      <c r="M183" s="21">
        <v>6342328.6399999987</v>
      </c>
      <c r="N183" s="21">
        <v>6883891.870000002</v>
      </c>
      <c r="O183" s="21">
        <v>7298016.7300000004</v>
      </c>
      <c r="S183" s="25">
        <f t="shared" si="69"/>
        <v>-0.12036644062787849</v>
      </c>
      <c r="T183" s="26">
        <f t="shared" si="70"/>
        <v>-8.8606518774147602E-2</v>
      </c>
      <c r="U183" s="27">
        <f t="shared" si="71"/>
        <v>-0.1192032898459422</v>
      </c>
      <c r="W183" s="13">
        <f t="shared" si="62"/>
        <v>1</v>
      </c>
      <c r="Y183" s="14">
        <f t="shared" si="63"/>
        <v>521</v>
      </c>
      <c r="Z183" s="14">
        <f t="shared" si="64"/>
        <v>2486164.3299999991</v>
      </c>
      <c r="AA183" s="14">
        <f t="shared" si="65"/>
        <v>6883891.870000002</v>
      </c>
    </row>
    <row r="184" spans="5:27" outlineLevel="1" x14ac:dyDescent="0.25">
      <c r="E184" s="4" t="s">
        <v>10</v>
      </c>
      <c r="F184" s="4">
        <v>4</v>
      </c>
      <c r="G184" s="21">
        <v>420</v>
      </c>
      <c r="H184" s="21">
        <v>441</v>
      </c>
      <c r="I184" s="21">
        <v>525.07000000000005</v>
      </c>
      <c r="J184" s="21">
        <v>1994421.11</v>
      </c>
      <c r="K184" s="21">
        <v>2211866.35</v>
      </c>
      <c r="L184" s="21">
        <v>2493420.94</v>
      </c>
      <c r="M184" s="21">
        <v>5599652.5099999998</v>
      </c>
      <c r="N184" s="21">
        <v>6087284.3400000008</v>
      </c>
      <c r="O184" s="21">
        <v>7056733.9800000004</v>
      </c>
      <c r="S184" s="25">
        <f t="shared" si="69"/>
        <v>-0.12036644062787849</v>
      </c>
      <c r="T184" s="26">
        <f t="shared" si="70"/>
        <v>-8.8606518774147602E-2</v>
      </c>
      <c r="U184" s="27">
        <f t="shared" si="71"/>
        <v>-0.1192032898459422</v>
      </c>
      <c r="W184" s="13">
        <f t="shared" si="62"/>
        <v>1</v>
      </c>
      <c r="Y184" s="14">
        <f t="shared" si="63"/>
        <v>441</v>
      </c>
      <c r="Z184" s="14">
        <f t="shared" si="64"/>
        <v>2211866.35</v>
      </c>
      <c r="AA184" s="14">
        <f t="shared" si="65"/>
        <v>6087284.3400000008</v>
      </c>
    </row>
    <row r="185" spans="5:27" outlineLevel="1" x14ac:dyDescent="0.25">
      <c r="E185" s="4" t="s">
        <v>10</v>
      </c>
      <c r="F185" s="4">
        <v>5</v>
      </c>
      <c r="G185" s="21">
        <v>491</v>
      </c>
      <c r="H185" s="21">
        <v>516</v>
      </c>
      <c r="I185" s="21">
        <v>543.84</v>
      </c>
      <c r="J185" s="21">
        <v>2284106.419999999</v>
      </c>
      <c r="K185" s="21">
        <v>2530621.48</v>
      </c>
      <c r="L185" s="21">
        <v>2582554.7600000007</v>
      </c>
      <c r="M185" s="21">
        <v>6341528.0699999984</v>
      </c>
      <c r="N185" s="21">
        <v>6885332.4300000006</v>
      </c>
      <c r="O185" s="21">
        <v>7348549.3599999985</v>
      </c>
      <c r="S185" s="25">
        <f t="shared" si="69"/>
        <v>-0.12036644062787849</v>
      </c>
      <c r="T185" s="26">
        <f t="shared" si="70"/>
        <v>-8.8606518774147602E-2</v>
      </c>
      <c r="U185" s="27">
        <f t="shared" si="71"/>
        <v>-0.1192032898459422</v>
      </c>
      <c r="W185" s="13">
        <f t="shared" si="62"/>
        <v>1</v>
      </c>
      <c r="Y185" s="14">
        <f t="shared" si="63"/>
        <v>516</v>
      </c>
      <c r="Z185" s="14">
        <f t="shared" si="64"/>
        <v>2530621.48</v>
      </c>
      <c r="AA185" s="14">
        <f t="shared" si="65"/>
        <v>6885332.4300000006</v>
      </c>
    </row>
    <row r="186" spans="5:27" outlineLevel="1" x14ac:dyDescent="0.25">
      <c r="E186" s="4" t="s">
        <v>10</v>
      </c>
      <c r="F186" s="4">
        <v>6</v>
      </c>
      <c r="G186" s="21">
        <v>431</v>
      </c>
      <c r="H186" s="21">
        <v>450</v>
      </c>
      <c r="I186" s="21">
        <v>540.16000000000008</v>
      </c>
      <c r="J186" s="21">
        <v>2034269.3099999996</v>
      </c>
      <c r="K186" s="21">
        <v>2233842.0700000003</v>
      </c>
      <c r="L186" s="21">
        <v>2565079.4000000004</v>
      </c>
      <c r="M186" s="21">
        <v>5648274.5600000005</v>
      </c>
      <c r="N186" s="21">
        <v>6075159.0599999996</v>
      </c>
      <c r="O186" s="21">
        <v>7249028.0299999993</v>
      </c>
      <c r="S186" s="25">
        <f t="shared" si="69"/>
        <v>-0.12036644062787849</v>
      </c>
      <c r="T186" s="26">
        <f t="shared" si="70"/>
        <v>-8.8606518774147602E-2</v>
      </c>
      <c r="U186" s="27">
        <f t="shared" si="71"/>
        <v>-0.1192032898459422</v>
      </c>
      <c r="W186" s="13">
        <f t="shared" si="62"/>
        <v>1</v>
      </c>
      <c r="Y186" s="14">
        <f t="shared" si="63"/>
        <v>450</v>
      </c>
      <c r="Z186" s="14">
        <f t="shared" si="64"/>
        <v>2233842.0700000003</v>
      </c>
      <c r="AA186" s="14">
        <f t="shared" si="65"/>
        <v>6075159.0599999996</v>
      </c>
    </row>
    <row r="187" spans="5:27" outlineLevel="1" x14ac:dyDescent="0.25">
      <c r="E187" s="4" t="s">
        <v>10</v>
      </c>
      <c r="F187" s="4">
        <v>7</v>
      </c>
      <c r="G187" s="21">
        <v>445</v>
      </c>
      <c r="H187" s="21"/>
      <c r="I187" s="21">
        <v>519.79000000000008</v>
      </c>
      <c r="J187" s="21">
        <v>2042064.6800000002</v>
      </c>
      <c r="K187" s="21"/>
      <c r="L187" s="21">
        <v>2468347.56</v>
      </c>
      <c r="M187" s="21">
        <v>5626345.4799999995</v>
      </c>
      <c r="N187" s="21"/>
      <c r="O187" s="21">
        <v>6989094.4000000022</v>
      </c>
      <c r="S187" s="25">
        <f t="shared" si="69"/>
        <v>-0.12036644062787849</v>
      </c>
      <c r="T187" s="26">
        <f t="shared" si="70"/>
        <v>-8.8606518774147602E-2</v>
      </c>
      <c r="U187" s="27">
        <f t="shared" si="71"/>
        <v>-0.1192032898459422</v>
      </c>
      <c r="W187" s="13">
        <f t="shared" si="62"/>
        <v>0</v>
      </c>
      <c r="Y187" s="14">
        <f t="shared" si="63"/>
        <v>457.22472782603512</v>
      </c>
      <c r="Z187" s="14">
        <f t="shared" si="64"/>
        <v>2249635.8755837386</v>
      </c>
      <c r="AA187" s="14">
        <f t="shared" si="65"/>
        <v>6155971.3544761501</v>
      </c>
    </row>
    <row r="188" spans="5:27" outlineLevel="1" x14ac:dyDescent="0.25">
      <c r="E188" s="4" t="s">
        <v>10</v>
      </c>
      <c r="F188" s="4">
        <v>8</v>
      </c>
      <c r="G188" s="21">
        <v>481</v>
      </c>
      <c r="H188" s="21"/>
      <c r="I188" s="21">
        <v>534.47</v>
      </c>
      <c r="J188" s="21">
        <v>2289902.3099999991</v>
      </c>
      <c r="K188" s="21"/>
      <c r="L188" s="21">
        <v>2538059.02</v>
      </c>
      <c r="M188" s="21">
        <v>6380725.620000001</v>
      </c>
      <c r="N188" s="21"/>
      <c r="O188" s="21">
        <v>7162462.2199999988</v>
      </c>
      <c r="S188" s="25">
        <f t="shared" si="69"/>
        <v>-0.12036644062787849</v>
      </c>
      <c r="T188" s="26">
        <f t="shared" si="70"/>
        <v>-8.8606518774147602E-2</v>
      </c>
      <c r="U188" s="27">
        <f t="shared" si="71"/>
        <v>-0.1192032898459422</v>
      </c>
      <c r="W188" s="13">
        <f t="shared" si="62"/>
        <v>0</v>
      </c>
      <c r="Y188" s="14">
        <f t="shared" si="63"/>
        <v>470.13774847761783</v>
      </c>
      <c r="Z188" s="14">
        <f t="shared" si="64"/>
        <v>2313170.4457944753</v>
      </c>
      <c r="AA188" s="14">
        <f t="shared" si="65"/>
        <v>6308673.1599787287</v>
      </c>
    </row>
    <row r="189" spans="5:27" outlineLevel="1" x14ac:dyDescent="0.25">
      <c r="E189" s="4" t="s">
        <v>10</v>
      </c>
      <c r="F189" s="4">
        <v>9</v>
      </c>
      <c r="G189" s="21">
        <v>490</v>
      </c>
      <c r="H189" s="21"/>
      <c r="I189" s="21">
        <v>543.68999999999994</v>
      </c>
      <c r="J189" s="21">
        <v>2266824.7299999995</v>
      </c>
      <c r="K189" s="21"/>
      <c r="L189" s="21">
        <v>2581842.4600000009</v>
      </c>
      <c r="M189" s="21">
        <v>6376466.1400000006</v>
      </c>
      <c r="N189" s="21"/>
      <c r="O189" s="21">
        <v>7317410.1600000001</v>
      </c>
      <c r="S189" s="25">
        <f t="shared" si="69"/>
        <v>-0.12036644062787849</v>
      </c>
      <c r="T189" s="26">
        <f t="shared" si="70"/>
        <v>-8.8606518774147602E-2</v>
      </c>
      <c r="U189" s="27">
        <f t="shared" si="71"/>
        <v>-0.1192032898459422</v>
      </c>
      <c r="W189" s="13">
        <f t="shared" si="62"/>
        <v>0</v>
      </c>
      <c r="Y189" s="14">
        <f t="shared" si="63"/>
        <v>478.24796989502869</v>
      </c>
      <c r="Z189" s="14">
        <f t="shared" si="64"/>
        <v>2353074.3875961192</v>
      </c>
      <c r="AA189" s="14">
        <f t="shared" si="65"/>
        <v>6445150.7957758782</v>
      </c>
    </row>
    <row r="190" spans="5:27" outlineLevel="1" x14ac:dyDescent="0.25">
      <c r="E190" s="4" t="s">
        <v>10</v>
      </c>
      <c r="F190" s="4">
        <v>10</v>
      </c>
      <c r="G190" s="21">
        <v>568</v>
      </c>
      <c r="H190" s="21"/>
      <c r="I190" s="21">
        <v>564.43000000000018</v>
      </c>
      <c r="J190" s="21">
        <v>2681425.14</v>
      </c>
      <c r="K190" s="21"/>
      <c r="L190" s="21">
        <v>2680331.3399999994</v>
      </c>
      <c r="M190" s="21">
        <v>7442734.2699999996</v>
      </c>
      <c r="N190" s="21"/>
      <c r="O190" s="21">
        <v>7544775.8400000017</v>
      </c>
      <c r="S190" s="25">
        <f t="shared" si="69"/>
        <v>-0.12036644062787849</v>
      </c>
      <c r="T190" s="26">
        <f t="shared" si="70"/>
        <v>-8.8606518774147602E-2</v>
      </c>
      <c r="U190" s="27">
        <f t="shared" si="71"/>
        <v>-0.1192032898459422</v>
      </c>
      <c r="W190" s="13">
        <f t="shared" si="62"/>
        <v>0</v>
      </c>
      <c r="Y190" s="14">
        <f t="shared" si="63"/>
        <v>496.49156991640672</v>
      </c>
      <c r="Z190" s="14">
        <f t="shared" si="64"/>
        <v>2442836.510801353</v>
      </c>
      <c r="AA190" s="14">
        <f t="shared" si="65"/>
        <v>6645413.7387218196</v>
      </c>
    </row>
    <row r="191" spans="5:27" outlineLevel="1" x14ac:dyDescent="0.25">
      <c r="E191" s="4" t="s">
        <v>10</v>
      </c>
      <c r="F191" s="4">
        <v>11</v>
      </c>
      <c r="G191" s="21">
        <v>721</v>
      </c>
      <c r="H191" s="21"/>
      <c r="I191" s="21">
        <v>600.92999999999995</v>
      </c>
      <c r="J191" s="21">
        <v>3278487.11</v>
      </c>
      <c r="K191" s="21"/>
      <c r="L191" s="21">
        <v>2853660.32</v>
      </c>
      <c r="M191" s="21">
        <v>9045852.4900000002</v>
      </c>
      <c r="N191" s="21"/>
      <c r="O191" s="21">
        <v>8059490.2299999986</v>
      </c>
      <c r="S191" s="25">
        <f t="shared" si="69"/>
        <v>-0.12036644062787849</v>
      </c>
      <c r="T191" s="26">
        <f t="shared" si="70"/>
        <v>-8.8606518774147602E-2</v>
      </c>
      <c r="U191" s="27">
        <f t="shared" si="71"/>
        <v>-0.1192032898459422</v>
      </c>
      <c r="W191" s="13">
        <f t="shared" si="62"/>
        <v>0</v>
      </c>
      <c r="Y191" s="14">
        <f t="shared" si="63"/>
        <v>528.59819483348895</v>
      </c>
      <c r="Z191" s="14">
        <f t="shared" si="64"/>
        <v>2600807.4132808796</v>
      </c>
      <c r="AA191" s="14">
        <f t="shared" si="65"/>
        <v>7098772.4801027691</v>
      </c>
    </row>
    <row r="192" spans="5:27" outlineLevel="1" x14ac:dyDescent="0.25">
      <c r="E192" s="4" t="s">
        <v>10</v>
      </c>
      <c r="F192" s="4">
        <v>12</v>
      </c>
      <c r="G192" s="21">
        <v>852</v>
      </c>
      <c r="H192" s="21"/>
      <c r="I192" s="21">
        <v>609.25999999999976</v>
      </c>
      <c r="J192" s="21">
        <v>4008825.7400000012</v>
      </c>
      <c r="K192" s="21"/>
      <c r="L192" s="21">
        <v>2893217.35</v>
      </c>
      <c r="M192" s="21">
        <v>10990580.449999996</v>
      </c>
      <c r="N192" s="21"/>
      <c r="O192" s="21">
        <v>8145972.879999999</v>
      </c>
      <c r="S192" s="28">
        <f t="shared" si="69"/>
        <v>-0.12036644062787849</v>
      </c>
      <c r="T192" s="29">
        <f t="shared" si="70"/>
        <v>-8.8606518774147602E-2</v>
      </c>
      <c r="U192" s="30">
        <f t="shared" si="71"/>
        <v>-0.1192032898459422</v>
      </c>
      <c r="W192" s="13">
        <f t="shared" si="62"/>
        <v>0</v>
      </c>
      <c r="Y192" s="14">
        <f t="shared" si="63"/>
        <v>535.92554238305854</v>
      </c>
      <c r="Z192" s="14">
        <f t="shared" si="64"/>
        <v>2636859.4325595354</v>
      </c>
      <c r="AA192" s="14">
        <f t="shared" si="65"/>
        <v>7174946.1137081748</v>
      </c>
    </row>
    <row r="193" spans="5:27" outlineLevel="1" x14ac:dyDescent="0.25">
      <c r="E193" s="4" t="s">
        <v>11</v>
      </c>
      <c r="F193" s="4">
        <v>1</v>
      </c>
      <c r="G193" s="21">
        <v>585</v>
      </c>
      <c r="H193" s="21">
        <v>621</v>
      </c>
      <c r="I193" s="21">
        <v>766.54999999999973</v>
      </c>
      <c r="J193" s="21">
        <v>1978951.2499999993</v>
      </c>
      <c r="K193" s="21">
        <v>2217116.6799999997</v>
      </c>
      <c r="L193" s="21">
        <v>2580330.0099999998</v>
      </c>
      <c r="M193" s="21">
        <v>5141725.9000000013</v>
      </c>
      <c r="N193" s="21">
        <v>5748529.2299999967</v>
      </c>
      <c r="O193" s="21">
        <v>6790321.5900000017</v>
      </c>
      <c r="S193" s="22">
        <f t="shared" ref="S193:S204" si="72">IFERROR(SUMPRODUCT(H$193:H$204,$W$193:$W$204)/SUMPRODUCT(I$193:I$204,$W$193:$W$204)-1,"")</f>
        <v>-9.5517699040706949E-2</v>
      </c>
      <c r="T193" s="23">
        <f t="shared" ref="T193:T204" si="73">IFERROR(SUMPRODUCT(K$193:K$204,$W$193:$W$204)/SUMPRODUCT(L$193:L$204,$W$193:$W$204)-1,"")</f>
        <v>-5.9257488042541828E-2</v>
      </c>
      <c r="U193" s="24">
        <f t="shared" ref="U193:U204" si="74">IFERROR(SUMPRODUCT(N$193:N$204,$W$193:$W$204)/SUMPRODUCT(O$193:O$204,$W$193:$W$204)-1,"")</f>
        <v>-8.7534720810082067E-2</v>
      </c>
      <c r="W193" s="13">
        <f t="shared" ref="W193:W216" si="75">IFERROR(_xlfn.XLOOKUP(F193,$F$13:$F$24,$W$13:$W$24),"")</f>
        <v>1</v>
      </c>
      <c r="Y193" s="14">
        <f t="shared" ref="Y193:Y216" si="76">IFERROR(IF($W193=1,H193,I193*(1+S193)),"")</f>
        <v>621</v>
      </c>
      <c r="Z193" s="14">
        <f t="shared" ref="Z193:Z216" si="77">IFERROR(IF($W193=1,K193,L193*(1+T193)),"")</f>
        <v>2217116.6799999997</v>
      </c>
      <c r="AA193" s="14">
        <f t="shared" ref="AA193:AA216" si="78">IFERROR(IF($W193=1,N193,O193*(1+U193)),"")</f>
        <v>5748529.2299999967</v>
      </c>
    </row>
    <row r="194" spans="5:27" outlineLevel="1" x14ac:dyDescent="0.25">
      <c r="E194" s="4" t="s">
        <v>11</v>
      </c>
      <c r="F194" s="4">
        <v>2</v>
      </c>
      <c r="G194" s="21">
        <v>604</v>
      </c>
      <c r="H194" s="21">
        <v>633</v>
      </c>
      <c r="I194" s="21">
        <v>769.96000000000015</v>
      </c>
      <c r="J194" s="21">
        <v>2012062.8099999996</v>
      </c>
      <c r="K194" s="21">
        <v>2230248.89</v>
      </c>
      <c r="L194" s="21">
        <v>2591808.5399999991</v>
      </c>
      <c r="M194" s="21">
        <v>5236457.9700000007</v>
      </c>
      <c r="N194" s="21">
        <v>5774669.1800000016</v>
      </c>
      <c r="O194" s="21">
        <v>6813303.5299999965</v>
      </c>
      <c r="S194" s="25">
        <f t="shared" si="72"/>
        <v>-9.5517699040706949E-2</v>
      </c>
      <c r="T194" s="26">
        <f t="shared" si="73"/>
        <v>-5.9257488042541828E-2</v>
      </c>
      <c r="U194" s="27">
        <f t="shared" si="74"/>
        <v>-8.7534720810082067E-2</v>
      </c>
      <c r="W194" s="13">
        <f t="shared" si="75"/>
        <v>1</v>
      </c>
      <c r="Y194" s="14">
        <f t="shared" si="76"/>
        <v>633</v>
      </c>
      <c r="Z194" s="14">
        <f t="shared" si="77"/>
        <v>2230248.89</v>
      </c>
      <c r="AA194" s="14">
        <f t="shared" si="78"/>
        <v>5774669.1800000016</v>
      </c>
    </row>
    <row r="195" spans="5:27" outlineLevel="1" x14ac:dyDescent="0.25">
      <c r="E195" s="4" t="s">
        <v>11</v>
      </c>
      <c r="F195" s="4">
        <v>3</v>
      </c>
      <c r="G195" s="21">
        <v>737</v>
      </c>
      <c r="H195" s="21">
        <v>774</v>
      </c>
      <c r="I195" s="21">
        <v>825.2700000000001</v>
      </c>
      <c r="J195" s="21">
        <v>2395031.5</v>
      </c>
      <c r="K195" s="21">
        <v>2639123.14</v>
      </c>
      <c r="L195" s="21">
        <v>2777990.82</v>
      </c>
      <c r="M195" s="21">
        <v>6110997.6500000022</v>
      </c>
      <c r="N195" s="21">
        <v>6683884.0299999975</v>
      </c>
      <c r="O195" s="21">
        <v>7239224.8300000001</v>
      </c>
      <c r="S195" s="25">
        <f t="shared" si="72"/>
        <v>-9.5517699040706949E-2</v>
      </c>
      <c r="T195" s="26">
        <f t="shared" si="73"/>
        <v>-5.9257488042541828E-2</v>
      </c>
      <c r="U195" s="27">
        <f t="shared" si="74"/>
        <v>-8.7534720810082067E-2</v>
      </c>
      <c r="W195" s="13">
        <f t="shared" si="75"/>
        <v>1</v>
      </c>
      <c r="Y195" s="14">
        <f t="shared" si="76"/>
        <v>774</v>
      </c>
      <c r="Z195" s="14">
        <f t="shared" si="77"/>
        <v>2639123.14</v>
      </c>
      <c r="AA195" s="14">
        <f t="shared" si="78"/>
        <v>6683884.0299999975</v>
      </c>
    </row>
    <row r="196" spans="5:27" outlineLevel="1" x14ac:dyDescent="0.25">
      <c r="E196" s="4" t="s">
        <v>11</v>
      </c>
      <c r="F196" s="4">
        <v>4</v>
      </c>
      <c r="G196" s="21">
        <v>679</v>
      </c>
      <c r="H196" s="21">
        <v>716</v>
      </c>
      <c r="I196" s="21">
        <v>773.95</v>
      </c>
      <c r="J196" s="21">
        <v>2251630.3800000004</v>
      </c>
      <c r="K196" s="21">
        <v>2507574.2399999993</v>
      </c>
      <c r="L196" s="21">
        <v>2605239.52</v>
      </c>
      <c r="M196" s="21">
        <v>5799724.1300000027</v>
      </c>
      <c r="N196" s="21">
        <v>6347682.0500000007</v>
      </c>
      <c r="O196" s="21">
        <v>6856509.8100000024</v>
      </c>
      <c r="S196" s="25">
        <f t="shared" si="72"/>
        <v>-9.5517699040706949E-2</v>
      </c>
      <c r="T196" s="26">
        <f t="shared" si="73"/>
        <v>-5.9257488042541828E-2</v>
      </c>
      <c r="U196" s="27">
        <f t="shared" si="74"/>
        <v>-8.7534720810082067E-2</v>
      </c>
      <c r="W196" s="13">
        <f t="shared" si="75"/>
        <v>1</v>
      </c>
      <c r="Y196" s="14">
        <f t="shared" si="76"/>
        <v>716</v>
      </c>
      <c r="Z196" s="14">
        <f t="shared" si="77"/>
        <v>2507574.2399999993</v>
      </c>
      <c r="AA196" s="14">
        <f t="shared" si="78"/>
        <v>6347682.0500000007</v>
      </c>
    </row>
    <row r="197" spans="5:27" outlineLevel="1" x14ac:dyDescent="0.25">
      <c r="E197" s="4" t="s">
        <v>11</v>
      </c>
      <c r="F197" s="4">
        <v>5</v>
      </c>
      <c r="G197" s="21">
        <v>802</v>
      </c>
      <c r="H197" s="21">
        <v>845</v>
      </c>
      <c r="I197" s="21">
        <v>808.30000000000007</v>
      </c>
      <c r="J197" s="21">
        <v>2676192.3399999994</v>
      </c>
      <c r="K197" s="21">
        <v>2971691.7400000007</v>
      </c>
      <c r="L197" s="21">
        <v>2720867.1199999992</v>
      </c>
      <c r="M197" s="21">
        <v>6789157.450000003</v>
      </c>
      <c r="N197" s="21">
        <v>7358198.8199999994</v>
      </c>
      <c r="O197" s="21">
        <v>7119494.410000002</v>
      </c>
      <c r="S197" s="25">
        <f t="shared" si="72"/>
        <v>-9.5517699040706949E-2</v>
      </c>
      <c r="T197" s="26">
        <f t="shared" si="73"/>
        <v>-5.9257488042541828E-2</v>
      </c>
      <c r="U197" s="27">
        <f t="shared" si="74"/>
        <v>-8.7534720810082067E-2</v>
      </c>
      <c r="W197" s="13">
        <f t="shared" si="75"/>
        <v>1</v>
      </c>
      <c r="Y197" s="14">
        <f t="shared" si="76"/>
        <v>845</v>
      </c>
      <c r="Z197" s="14">
        <f t="shared" si="77"/>
        <v>2971691.7400000007</v>
      </c>
      <c r="AA197" s="14">
        <f t="shared" si="78"/>
        <v>7358198.8199999994</v>
      </c>
    </row>
    <row r="198" spans="5:27" outlineLevel="1" x14ac:dyDescent="0.25">
      <c r="E198" s="4" t="s">
        <v>11</v>
      </c>
      <c r="F198" s="4">
        <v>6</v>
      </c>
      <c r="G198" s="21">
        <v>684</v>
      </c>
      <c r="H198" s="21">
        <v>718</v>
      </c>
      <c r="I198" s="21">
        <v>817.81000000000006</v>
      </c>
      <c r="J198" s="21">
        <v>2266722.8800000018</v>
      </c>
      <c r="K198" s="21">
        <v>2513515.5300000003</v>
      </c>
      <c r="L198" s="21">
        <v>2752879.3200000003</v>
      </c>
      <c r="M198" s="21">
        <v>5895574.6599999983</v>
      </c>
      <c r="N198" s="21">
        <v>6420114.1799999997</v>
      </c>
      <c r="O198" s="21">
        <v>7191596.3800000008</v>
      </c>
      <c r="S198" s="25">
        <f t="shared" si="72"/>
        <v>-9.5517699040706949E-2</v>
      </c>
      <c r="T198" s="26">
        <f t="shared" si="73"/>
        <v>-5.9257488042541828E-2</v>
      </c>
      <c r="U198" s="27">
        <f t="shared" si="74"/>
        <v>-8.7534720810082067E-2</v>
      </c>
      <c r="W198" s="13">
        <f t="shared" si="75"/>
        <v>1</v>
      </c>
      <c r="Y198" s="14">
        <f t="shared" si="76"/>
        <v>718</v>
      </c>
      <c r="Z198" s="14">
        <f t="shared" si="77"/>
        <v>2513515.5300000003</v>
      </c>
      <c r="AA198" s="14">
        <f t="shared" si="78"/>
        <v>6420114.1799999997</v>
      </c>
    </row>
    <row r="199" spans="5:27" outlineLevel="1" x14ac:dyDescent="0.25">
      <c r="E199" s="4" t="s">
        <v>11</v>
      </c>
      <c r="F199" s="4">
        <v>7</v>
      </c>
      <c r="G199" s="21">
        <v>648</v>
      </c>
      <c r="H199" s="21"/>
      <c r="I199" s="21">
        <v>783.3</v>
      </c>
      <c r="J199" s="21">
        <v>2151622.5299999998</v>
      </c>
      <c r="K199" s="21"/>
      <c r="L199" s="21">
        <v>2636713.16</v>
      </c>
      <c r="M199" s="21">
        <v>5595711.7299999995</v>
      </c>
      <c r="N199" s="21"/>
      <c r="O199" s="21">
        <v>6911294.9200000018</v>
      </c>
      <c r="S199" s="25">
        <f t="shared" si="72"/>
        <v>-9.5517699040706949E-2</v>
      </c>
      <c r="T199" s="26">
        <f t="shared" si="73"/>
        <v>-5.9257488042541828E-2</v>
      </c>
      <c r="U199" s="27">
        <f t="shared" si="74"/>
        <v>-8.7534720810082067E-2</v>
      </c>
      <c r="W199" s="13">
        <f t="shared" si="75"/>
        <v>0</v>
      </c>
      <c r="Y199" s="14">
        <f t="shared" si="76"/>
        <v>708.48098634141422</v>
      </c>
      <c r="Z199" s="14">
        <f t="shared" si="77"/>
        <v>2480468.1614496876</v>
      </c>
      <c r="AA199" s="14">
        <f t="shared" si="78"/>
        <v>6306316.6487416634</v>
      </c>
    </row>
    <row r="200" spans="5:27" outlineLevel="1" x14ac:dyDescent="0.25">
      <c r="E200" s="4" t="s">
        <v>11</v>
      </c>
      <c r="F200" s="4">
        <v>8</v>
      </c>
      <c r="G200" s="21">
        <v>639</v>
      </c>
      <c r="H200" s="21"/>
      <c r="I200" s="21">
        <v>782.28</v>
      </c>
      <c r="J200" s="21">
        <v>2072065.9500000004</v>
      </c>
      <c r="K200" s="21"/>
      <c r="L200" s="21">
        <v>2633279.6600000006</v>
      </c>
      <c r="M200" s="21">
        <v>5253784.870000002</v>
      </c>
      <c r="N200" s="21"/>
      <c r="O200" s="21">
        <v>6909717.1800000006</v>
      </c>
      <c r="S200" s="25">
        <f t="shared" si="72"/>
        <v>-9.5517699040706949E-2</v>
      </c>
      <c r="T200" s="26">
        <f t="shared" si="73"/>
        <v>-5.9257488042541828E-2</v>
      </c>
      <c r="U200" s="27">
        <f t="shared" si="74"/>
        <v>-8.7534720810082067E-2</v>
      </c>
      <c r="W200" s="13">
        <f t="shared" si="75"/>
        <v>0</v>
      </c>
      <c r="Y200" s="14">
        <f t="shared" si="76"/>
        <v>707.55841439443577</v>
      </c>
      <c r="Z200" s="14">
        <f t="shared" si="77"/>
        <v>2477238.1220348822</v>
      </c>
      <c r="AA200" s="14">
        <f t="shared" si="78"/>
        <v>6304877.0157720726</v>
      </c>
    </row>
    <row r="201" spans="5:27" outlineLevel="1" x14ac:dyDescent="0.25">
      <c r="E201" s="4" t="s">
        <v>11</v>
      </c>
      <c r="F201" s="4">
        <v>9</v>
      </c>
      <c r="G201" s="21">
        <v>833</v>
      </c>
      <c r="H201" s="21"/>
      <c r="I201" s="21">
        <v>837.09000000000015</v>
      </c>
      <c r="J201" s="21">
        <v>2735192.0799999991</v>
      </c>
      <c r="K201" s="21"/>
      <c r="L201" s="21">
        <v>2817778.8500000006</v>
      </c>
      <c r="M201" s="21">
        <v>6972066.0600000024</v>
      </c>
      <c r="N201" s="21"/>
      <c r="O201" s="21">
        <v>7386772.0299999993</v>
      </c>
      <c r="S201" s="25">
        <f t="shared" si="72"/>
        <v>-9.5517699040706949E-2</v>
      </c>
      <c r="T201" s="26">
        <f t="shared" si="73"/>
        <v>-5.9257488042541828E-2</v>
      </c>
      <c r="U201" s="27">
        <f t="shared" si="74"/>
        <v>-8.7534720810082067E-2</v>
      </c>
      <c r="W201" s="13">
        <f t="shared" si="75"/>
        <v>0</v>
      </c>
      <c r="Y201" s="14">
        <f t="shared" si="76"/>
        <v>757.13308931001473</v>
      </c>
      <c r="Z201" s="14">
        <f t="shared" si="77"/>
        <v>2650804.3534895983</v>
      </c>
      <c r="AA201" s="14">
        <f t="shared" si="78"/>
        <v>6740173.0026662266</v>
      </c>
    </row>
    <row r="202" spans="5:27" outlineLevel="1" x14ac:dyDescent="0.25">
      <c r="E202" s="4" t="s">
        <v>11</v>
      </c>
      <c r="F202" s="4">
        <v>10</v>
      </c>
      <c r="G202" s="21">
        <v>831</v>
      </c>
      <c r="H202" s="21"/>
      <c r="I202" s="21">
        <v>823.0200000000001</v>
      </c>
      <c r="J202" s="21">
        <v>2748174.2</v>
      </c>
      <c r="K202" s="21"/>
      <c r="L202" s="21">
        <v>2770417.0600000005</v>
      </c>
      <c r="M202" s="21">
        <v>6951221.3100000005</v>
      </c>
      <c r="N202" s="21"/>
      <c r="O202" s="21">
        <v>7269891.9699999997</v>
      </c>
      <c r="S202" s="25">
        <f t="shared" si="72"/>
        <v>-9.5517699040706949E-2</v>
      </c>
      <c r="T202" s="26">
        <f t="shared" si="73"/>
        <v>-5.9257488042541828E-2</v>
      </c>
      <c r="U202" s="27">
        <f t="shared" si="74"/>
        <v>-8.7534720810082067E-2</v>
      </c>
      <c r="W202" s="13">
        <f t="shared" si="75"/>
        <v>0</v>
      </c>
      <c r="Y202" s="14">
        <f t="shared" si="76"/>
        <v>744.40702333551747</v>
      </c>
      <c r="Z202" s="14">
        <f t="shared" si="77"/>
        <v>2606249.1041941964</v>
      </c>
      <c r="AA202" s="14">
        <f t="shared" si="78"/>
        <v>6633524.0060865926</v>
      </c>
    </row>
    <row r="203" spans="5:27" outlineLevel="1" x14ac:dyDescent="0.25">
      <c r="E203" s="4" t="s">
        <v>11</v>
      </c>
      <c r="F203" s="4">
        <v>11</v>
      </c>
      <c r="G203" s="21">
        <v>996</v>
      </c>
      <c r="H203" s="21"/>
      <c r="I203" s="21">
        <v>872.84000000000015</v>
      </c>
      <c r="J203" s="21">
        <v>3311363.3400000008</v>
      </c>
      <c r="K203" s="21"/>
      <c r="L203" s="21">
        <v>2938119.09</v>
      </c>
      <c r="M203" s="21">
        <v>8429344.2799999975</v>
      </c>
      <c r="N203" s="21"/>
      <c r="O203" s="21">
        <v>7686337.959999999</v>
      </c>
      <c r="S203" s="25">
        <f t="shared" si="72"/>
        <v>-9.5517699040706949E-2</v>
      </c>
      <c r="T203" s="26">
        <f t="shared" si="73"/>
        <v>-5.9257488042541828E-2</v>
      </c>
      <c r="U203" s="27">
        <f t="shared" si="74"/>
        <v>-8.7534720810082067E-2</v>
      </c>
      <c r="W203" s="13">
        <f t="shared" si="75"/>
        <v>0</v>
      </c>
      <c r="Y203" s="14">
        <f t="shared" si="76"/>
        <v>789.4683315693095</v>
      </c>
      <c r="Z203" s="14">
        <f t="shared" si="77"/>
        <v>2764013.533156761</v>
      </c>
      <c r="AA203" s="14">
        <f t="shared" si="78"/>
        <v>7013516.5126194637</v>
      </c>
    </row>
    <row r="204" spans="5:27" outlineLevel="1" x14ac:dyDescent="0.25">
      <c r="E204" s="4" t="s">
        <v>11</v>
      </c>
      <c r="F204" s="4">
        <v>12</v>
      </c>
      <c r="G204" s="21">
        <v>1252</v>
      </c>
      <c r="H204" s="21"/>
      <c r="I204" s="21">
        <v>924.32999999999993</v>
      </c>
      <c r="J204" s="21">
        <v>4120549.3200000003</v>
      </c>
      <c r="K204" s="21"/>
      <c r="L204" s="21">
        <v>3111442.6600000006</v>
      </c>
      <c r="M204" s="21">
        <v>10487009.42</v>
      </c>
      <c r="N204" s="21"/>
      <c r="O204" s="21">
        <v>8110021.7300000014</v>
      </c>
      <c r="S204" s="28">
        <f t="shared" si="72"/>
        <v>-9.5517699040706949E-2</v>
      </c>
      <c r="T204" s="29">
        <f t="shared" si="73"/>
        <v>-5.9257488042541828E-2</v>
      </c>
      <c r="U204" s="30">
        <f t="shared" si="74"/>
        <v>-8.7534720810082067E-2</v>
      </c>
      <c r="W204" s="13">
        <f t="shared" si="75"/>
        <v>0</v>
      </c>
      <c r="Y204" s="14">
        <f t="shared" si="76"/>
        <v>836.04012524570328</v>
      </c>
      <c r="Z204" s="14">
        <f t="shared" si="77"/>
        <v>2927066.3837799961</v>
      </c>
      <c r="AA204" s="14">
        <f t="shared" si="78"/>
        <v>7400113.2421007529</v>
      </c>
    </row>
    <row r="205" spans="5:27" outlineLevel="1" x14ac:dyDescent="0.25">
      <c r="E205" s="4" t="s">
        <v>12</v>
      </c>
      <c r="F205" s="4">
        <v>1</v>
      </c>
      <c r="G205" s="21">
        <v>505</v>
      </c>
      <c r="H205" s="21">
        <v>534</v>
      </c>
      <c r="I205" s="21">
        <v>590.00000000000011</v>
      </c>
      <c r="J205" s="21">
        <v>1348240.1399999997</v>
      </c>
      <c r="K205" s="21">
        <v>1521814.53</v>
      </c>
      <c r="L205" s="21">
        <v>1592887.8799999994</v>
      </c>
      <c r="M205" s="21">
        <v>3336828.05</v>
      </c>
      <c r="N205" s="21">
        <v>3732255.2199999997</v>
      </c>
      <c r="O205" s="21">
        <v>4008855.3600000017</v>
      </c>
      <c r="S205" s="22">
        <f t="shared" ref="S205:S216" si="79">IFERROR(SUMPRODUCT(H$205:H$216,$W$205:$W$216)/SUMPRODUCT(I$205:I$216,$W$205:$W$216)-1,"")</f>
        <v>-8.3033616533232268E-2</v>
      </c>
      <c r="T205" s="23">
        <f t="shared" ref="T205:T216" si="80">IFERROR(SUMPRODUCT(K$205:K$216,$W$205:$W$216)/SUMPRODUCT(L$205:L$216,$W$205:$W$216)-1,"")</f>
        <v>-4.4188777082816433E-2</v>
      </c>
      <c r="U205" s="24">
        <f t="shared" ref="U205:U216" si="81">IFERROR(SUMPRODUCT(N$205:N$216,$W$205:$W$216)/SUMPRODUCT(O$205:O$216,$W$205:$W$216)-1,"")</f>
        <v>-8.5172446167209093E-2</v>
      </c>
      <c r="W205" s="13">
        <f t="shared" si="75"/>
        <v>1</v>
      </c>
      <c r="Y205" s="14">
        <f t="shared" si="76"/>
        <v>534</v>
      </c>
      <c r="Z205" s="14">
        <f t="shared" si="77"/>
        <v>1521814.53</v>
      </c>
      <c r="AA205" s="14">
        <f t="shared" si="78"/>
        <v>3732255.2199999997</v>
      </c>
    </row>
    <row r="206" spans="5:27" outlineLevel="1" x14ac:dyDescent="0.25">
      <c r="E206" s="4" t="s">
        <v>12</v>
      </c>
      <c r="F206" s="4">
        <v>2</v>
      </c>
      <c r="G206" s="21">
        <v>443</v>
      </c>
      <c r="H206" s="21">
        <v>466</v>
      </c>
      <c r="I206" s="21">
        <v>594.13000000000011</v>
      </c>
      <c r="J206" s="21">
        <v>1173756.3</v>
      </c>
      <c r="K206" s="21">
        <v>1317727.1199999999</v>
      </c>
      <c r="L206" s="21">
        <v>1604038.1300000001</v>
      </c>
      <c r="M206" s="21">
        <v>2897467.6799999992</v>
      </c>
      <c r="N206" s="21">
        <v>3194533.830000001</v>
      </c>
      <c r="O206" s="21">
        <v>4049892.8999999994</v>
      </c>
      <c r="S206" s="25">
        <f t="shared" si="79"/>
        <v>-8.3033616533232268E-2</v>
      </c>
      <c r="T206" s="26">
        <f t="shared" si="80"/>
        <v>-4.4188777082816433E-2</v>
      </c>
      <c r="U206" s="27">
        <f t="shared" si="81"/>
        <v>-8.5172446167209093E-2</v>
      </c>
      <c r="W206" s="13">
        <f t="shared" si="75"/>
        <v>1</v>
      </c>
      <c r="Y206" s="14">
        <f t="shared" si="76"/>
        <v>466</v>
      </c>
      <c r="Z206" s="14">
        <f t="shared" si="77"/>
        <v>1317727.1199999999</v>
      </c>
      <c r="AA206" s="14">
        <f t="shared" si="78"/>
        <v>3194533.830000001</v>
      </c>
    </row>
    <row r="207" spans="5:27" outlineLevel="1" x14ac:dyDescent="0.25">
      <c r="E207" s="4" t="s">
        <v>12</v>
      </c>
      <c r="F207" s="4">
        <v>3</v>
      </c>
      <c r="G207" s="21">
        <v>506</v>
      </c>
      <c r="H207" s="21">
        <v>524</v>
      </c>
      <c r="I207" s="21">
        <v>606.99999999999989</v>
      </c>
      <c r="J207" s="21">
        <v>1281491.8799999999</v>
      </c>
      <c r="K207" s="21">
        <v>1416618.3899999997</v>
      </c>
      <c r="L207" s="21">
        <v>1638784.6399999997</v>
      </c>
      <c r="M207" s="21">
        <v>3200783.52</v>
      </c>
      <c r="N207" s="21">
        <v>3477938.8699999996</v>
      </c>
      <c r="O207" s="21">
        <v>4125335.0300000003</v>
      </c>
      <c r="S207" s="25">
        <f t="shared" si="79"/>
        <v>-8.3033616533232268E-2</v>
      </c>
      <c r="T207" s="26">
        <f t="shared" si="80"/>
        <v>-4.4188777082816433E-2</v>
      </c>
      <c r="U207" s="27">
        <f t="shared" si="81"/>
        <v>-8.5172446167209093E-2</v>
      </c>
      <c r="W207" s="13">
        <f t="shared" si="75"/>
        <v>1</v>
      </c>
      <c r="Y207" s="14">
        <f t="shared" si="76"/>
        <v>524</v>
      </c>
      <c r="Z207" s="14">
        <f t="shared" si="77"/>
        <v>1416618.3899999997</v>
      </c>
      <c r="AA207" s="14">
        <f t="shared" si="78"/>
        <v>3477938.8699999996</v>
      </c>
    </row>
    <row r="208" spans="5:27" outlineLevel="1" x14ac:dyDescent="0.25">
      <c r="E208" s="4" t="s">
        <v>12</v>
      </c>
      <c r="F208" s="4">
        <v>4</v>
      </c>
      <c r="G208" s="21">
        <v>588</v>
      </c>
      <c r="H208" s="21">
        <v>617</v>
      </c>
      <c r="I208" s="21">
        <v>579.33000000000015</v>
      </c>
      <c r="J208" s="21">
        <v>1584339.62</v>
      </c>
      <c r="K208" s="21">
        <v>1775380.3699999999</v>
      </c>
      <c r="L208" s="21">
        <v>1564080.8999999994</v>
      </c>
      <c r="M208" s="21">
        <v>3904244.2799999993</v>
      </c>
      <c r="N208" s="21">
        <v>4243423.9899999993</v>
      </c>
      <c r="O208" s="21">
        <v>3938420.39</v>
      </c>
      <c r="S208" s="25">
        <f t="shared" si="79"/>
        <v>-8.3033616533232268E-2</v>
      </c>
      <c r="T208" s="26">
        <f t="shared" si="80"/>
        <v>-4.4188777082816433E-2</v>
      </c>
      <c r="U208" s="27">
        <f t="shared" si="81"/>
        <v>-8.5172446167209093E-2</v>
      </c>
      <c r="W208" s="13">
        <f t="shared" si="75"/>
        <v>1</v>
      </c>
      <c r="Y208" s="14">
        <f t="shared" si="76"/>
        <v>617</v>
      </c>
      <c r="Z208" s="14">
        <f t="shared" si="77"/>
        <v>1775380.3699999999</v>
      </c>
      <c r="AA208" s="14">
        <f t="shared" si="78"/>
        <v>4243423.9899999993</v>
      </c>
    </row>
    <row r="209" spans="4:27" outlineLevel="1" x14ac:dyDescent="0.25">
      <c r="E209" s="4" t="s">
        <v>12</v>
      </c>
      <c r="F209" s="4">
        <v>5</v>
      </c>
      <c r="G209" s="21">
        <v>596</v>
      </c>
      <c r="H209" s="21">
        <v>624</v>
      </c>
      <c r="I209" s="21">
        <v>603.91999999999996</v>
      </c>
      <c r="J209" s="21">
        <v>1571366.5700000003</v>
      </c>
      <c r="K209" s="21">
        <v>1752041.4699999995</v>
      </c>
      <c r="L209" s="21">
        <v>1630469.2699999996</v>
      </c>
      <c r="M209" s="21">
        <v>3917021.6600000011</v>
      </c>
      <c r="N209" s="21">
        <v>4223142.2300000004</v>
      </c>
      <c r="O209" s="21">
        <v>4115344.5800000005</v>
      </c>
      <c r="S209" s="25">
        <f t="shared" si="79"/>
        <v>-8.3033616533232268E-2</v>
      </c>
      <c r="T209" s="26">
        <f t="shared" si="80"/>
        <v>-4.4188777082816433E-2</v>
      </c>
      <c r="U209" s="27">
        <f t="shared" si="81"/>
        <v>-8.5172446167209093E-2</v>
      </c>
      <c r="W209" s="13">
        <f t="shared" si="75"/>
        <v>1</v>
      </c>
      <c r="Y209" s="14">
        <f t="shared" si="76"/>
        <v>624</v>
      </c>
      <c r="Z209" s="14">
        <f t="shared" si="77"/>
        <v>1752041.4699999995</v>
      </c>
      <c r="AA209" s="14">
        <f t="shared" si="78"/>
        <v>4223142.2300000004</v>
      </c>
    </row>
    <row r="210" spans="4:27" outlineLevel="1" x14ac:dyDescent="0.25">
      <c r="E210" s="4" t="s">
        <v>12</v>
      </c>
      <c r="F210" s="4">
        <v>6</v>
      </c>
      <c r="G210" s="21">
        <v>513</v>
      </c>
      <c r="H210" s="21">
        <v>529</v>
      </c>
      <c r="I210" s="21">
        <v>617.89999999999986</v>
      </c>
      <c r="J210" s="21">
        <v>1345099.6299999997</v>
      </c>
      <c r="K210" s="21">
        <v>1486327.8599999996</v>
      </c>
      <c r="L210" s="21">
        <v>1668212.5999999996</v>
      </c>
      <c r="M210" s="21">
        <v>3276239.4600000023</v>
      </c>
      <c r="N210" s="21">
        <v>3498032.9699999988</v>
      </c>
      <c r="O210" s="21">
        <v>4214112.129999999</v>
      </c>
      <c r="S210" s="25">
        <f t="shared" si="79"/>
        <v>-8.3033616533232268E-2</v>
      </c>
      <c r="T210" s="26">
        <f t="shared" si="80"/>
        <v>-4.4188777082816433E-2</v>
      </c>
      <c r="U210" s="27">
        <f t="shared" si="81"/>
        <v>-8.5172446167209093E-2</v>
      </c>
      <c r="W210" s="13">
        <f t="shared" si="75"/>
        <v>1</v>
      </c>
      <c r="Y210" s="14">
        <f t="shared" si="76"/>
        <v>529</v>
      </c>
      <c r="Z210" s="14">
        <f t="shared" si="77"/>
        <v>1486327.8599999996</v>
      </c>
      <c r="AA210" s="14">
        <f t="shared" si="78"/>
        <v>3498032.9699999988</v>
      </c>
    </row>
    <row r="211" spans="4:27" outlineLevel="1" x14ac:dyDescent="0.25">
      <c r="E211" s="4" t="s">
        <v>12</v>
      </c>
      <c r="F211" s="4">
        <v>7</v>
      </c>
      <c r="G211" s="21">
        <v>534</v>
      </c>
      <c r="H211" s="21"/>
      <c r="I211" s="21">
        <v>575.36999999999978</v>
      </c>
      <c r="J211" s="21">
        <v>1402203.5000000005</v>
      </c>
      <c r="K211" s="21"/>
      <c r="L211" s="21">
        <v>1553389.69</v>
      </c>
      <c r="M211" s="21">
        <v>3400087.02</v>
      </c>
      <c r="N211" s="21"/>
      <c r="O211" s="21">
        <v>3918176.4499999993</v>
      </c>
      <c r="S211" s="25">
        <f t="shared" si="79"/>
        <v>-8.3033616533232268E-2</v>
      </c>
      <c r="T211" s="26">
        <f t="shared" si="80"/>
        <v>-4.4188777082816433E-2</v>
      </c>
      <c r="U211" s="27">
        <f t="shared" si="81"/>
        <v>-8.5172446167209093E-2</v>
      </c>
      <c r="W211" s="13">
        <f t="shared" si="75"/>
        <v>0</v>
      </c>
      <c r="Y211" s="14">
        <f t="shared" si="76"/>
        <v>527.5949480552739</v>
      </c>
      <c r="Z211" s="14">
        <f t="shared" si="77"/>
        <v>1484747.2992658445</v>
      </c>
      <c r="AA211" s="14">
        <f t="shared" si="78"/>
        <v>3584455.777238748</v>
      </c>
    </row>
    <row r="212" spans="4:27" outlineLevel="1" x14ac:dyDescent="0.25">
      <c r="E212" s="4" t="s">
        <v>12</v>
      </c>
      <c r="F212" s="4">
        <v>8</v>
      </c>
      <c r="G212" s="21">
        <v>546</v>
      </c>
      <c r="H212" s="21"/>
      <c r="I212" s="21">
        <v>622.18999999999971</v>
      </c>
      <c r="J212" s="21">
        <v>1451465.83</v>
      </c>
      <c r="K212" s="21"/>
      <c r="L212" s="21">
        <v>1679794.8000000005</v>
      </c>
      <c r="M212" s="21">
        <v>3603737.4500000011</v>
      </c>
      <c r="N212" s="21"/>
      <c r="O212" s="21">
        <v>4221569.5100000007</v>
      </c>
      <c r="S212" s="25">
        <f t="shared" si="79"/>
        <v>-8.3033616533232268E-2</v>
      </c>
      <c r="T212" s="26">
        <f t="shared" si="80"/>
        <v>-4.4188777082816433E-2</v>
      </c>
      <c r="U212" s="27">
        <f t="shared" si="81"/>
        <v>-8.5172446167209093E-2</v>
      </c>
      <c r="W212" s="13">
        <f t="shared" si="75"/>
        <v>0</v>
      </c>
      <c r="Y212" s="14">
        <f t="shared" si="76"/>
        <v>570.52731412918797</v>
      </c>
      <c r="Z212" s="14">
        <f t="shared" si="77"/>
        <v>1605566.7220379263</v>
      </c>
      <c r="AA212" s="14">
        <f t="shared" si="78"/>
        <v>3862008.1081683943</v>
      </c>
    </row>
    <row r="213" spans="4:27" outlineLevel="1" x14ac:dyDescent="0.25">
      <c r="E213" s="4" t="s">
        <v>12</v>
      </c>
      <c r="F213" s="4">
        <v>9</v>
      </c>
      <c r="G213" s="21">
        <v>555</v>
      </c>
      <c r="H213" s="21"/>
      <c r="I213" s="21">
        <v>595.63000000000011</v>
      </c>
      <c r="J213" s="21">
        <v>1464979.4300000006</v>
      </c>
      <c r="K213" s="21"/>
      <c r="L213" s="21">
        <v>1608087.8</v>
      </c>
      <c r="M213" s="21">
        <v>3606584.67</v>
      </c>
      <c r="N213" s="21"/>
      <c r="O213" s="21">
        <v>4069774.5599999996</v>
      </c>
      <c r="S213" s="25">
        <f t="shared" si="79"/>
        <v>-8.3033616533232268E-2</v>
      </c>
      <c r="T213" s="26">
        <f t="shared" si="80"/>
        <v>-4.4188777082816433E-2</v>
      </c>
      <c r="U213" s="27">
        <f t="shared" si="81"/>
        <v>-8.5172446167209093E-2</v>
      </c>
      <c r="W213" s="13">
        <f t="shared" si="75"/>
        <v>0</v>
      </c>
      <c r="Y213" s="14">
        <f t="shared" si="76"/>
        <v>546.17268698431099</v>
      </c>
      <c r="Z213" s="14">
        <f t="shared" si="77"/>
        <v>1537028.3666762034</v>
      </c>
      <c r="AA213" s="14">
        <f t="shared" si="78"/>
        <v>3723141.9053757223</v>
      </c>
    </row>
    <row r="214" spans="4:27" outlineLevel="1" x14ac:dyDescent="0.25">
      <c r="E214" s="4" t="s">
        <v>12</v>
      </c>
      <c r="F214" s="4">
        <v>10</v>
      </c>
      <c r="G214" s="21">
        <v>579</v>
      </c>
      <c r="H214" s="21"/>
      <c r="I214" s="21">
        <v>619.61000000000013</v>
      </c>
      <c r="J214" s="21">
        <v>1527342.65</v>
      </c>
      <c r="K214" s="21"/>
      <c r="L214" s="21">
        <v>1672829.29</v>
      </c>
      <c r="M214" s="21">
        <v>3806672.0100000007</v>
      </c>
      <c r="N214" s="21"/>
      <c r="O214" s="21">
        <v>4227296.13</v>
      </c>
      <c r="S214" s="25">
        <f t="shared" si="79"/>
        <v>-8.3033616533232268E-2</v>
      </c>
      <c r="T214" s="26">
        <f t="shared" si="80"/>
        <v>-4.4188777082816433E-2</v>
      </c>
      <c r="U214" s="27">
        <f t="shared" si="81"/>
        <v>-8.5172446167209093E-2</v>
      </c>
      <c r="W214" s="13">
        <f t="shared" si="75"/>
        <v>0</v>
      </c>
      <c r="Y214" s="14">
        <f t="shared" si="76"/>
        <v>568.16154085984408</v>
      </c>
      <c r="Z214" s="14">
        <f t="shared" si="77"/>
        <v>1598909.0094065838</v>
      </c>
      <c r="AA214" s="14">
        <f t="shared" si="78"/>
        <v>3867246.9779347237</v>
      </c>
    </row>
    <row r="215" spans="4:27" outlineLevel="1" x14ac:dyDescent="0.25">
      <c r="E215" s="4" t="s">
        <v>12</v>
      </c>
      <c r="F215" s="4">
        <v>11</v>
      </c>
      <c r="G215" s="21">
        <v>732</v>
      </c>
      <c r="H215" s="21"/>
      <c r="I215" s="21">
        <v>666.67000000000007</v>
      </c>
      <c r="J215" s="21">
        <v>1932491.5700000003</v>
      </c>
      <c r="K215" s="21"/>
      <c r="L215" s="21">
        <v>1799882.33</v>
      </c>
      <c r="M215" s="21">
        <v>4792359.1900000023</v>
      </c>
      <c r="N215" s="21"/>
      <c r="O215" s="21">
        <v>4544231.129999999</v>
      </c>
      <c r="S215" s="25">
        <f t="shared" si="79"/>
        <v>-8.3033616533232268E-2</v>
      </c>
      <c r="T215" s="26">
        <f t="shared" si="80"/>
        <v>-4.4188777082816433E-2</v>
      </c>
      <c r="U215" s="27">
        <f t="shared" si="81"/>
        <v>-8.5172446167209093E-2</v>
      </c>
      <c r="W215" s="13">
        <f t="shared" si="75"/>
        <v>0</v>
      </c>
      <c r="Y215" s="14">
        <f t="shared" si="76"/>
        <v>611.31397886579009</v>
      </c>
      <c r="Z215" s="14">
        <f t="shared" si="77"/>
        <v>1720347.7309443299</v>
      </c>
      <c r="AA215" s="14">
        <f t="shared" si="78"/>
        <v>4157187.8487087181</v>
      </c>
    </row>
    <row r="216" spans="4:27" outlineLevel="1" x14ac:dyDescent="0.25">
      <c r="E216" s="4" t="s">
        <v>12</v>
      </c>
      <c r="F216" s="4">
        <v>12</v>
      </c>
      <c r="G216" s="21">
        <v>885</v>
      </c>
      <c r="H216" s="21"/>
      <c r="I216" s="21">
        <v>675.56000000000006</v>
      </c>
      <c r="J216" s="21">
        <v>2366333.6099999994</v>
      </c>
      <c r="K216" s="21"/>
      <c r="L216" s="21">
        <v>1823883.6400000001</v>
      </c>
      <c r="M216" s="21">
        <v>5842546.8499999987</v>
      </c>
      <c r="N216" s="21"/>
      <c r="O216" s="21">
        <v>4618293.7799999993</v>
      </c>
      <c r="S216" s="28">
        <f t="shared" si="79"/>
        <v>-8.3033616533232268E-2</v>
      </c>
      <c r="T216" s="29">
        <f t="shared" si="80"/>
        <v>-4.4188777082816433E-2</v>
      </c>
      <c r="U216" s="30">
        <f t="shared" si="81"/>
        <v>-8.5172446167209093E-2</v>
      </c>
      <c r="W216" s="13">
        <f t="shared" si="75"/>
        <v>0</v>
      </c>
      <c r="Y216" s="14">
        <f t="shared" si="76"/>
        <v>619.46581001480968</v>
      </c>
      <c r="Z216" s="14">
        <f t="shared" si="77"/>
        <v>1743288.4524070444</v>
      </c>
      <c r="AA216" s="14">
        <f t="shared" si="78"/>
        <v>4224942.4016385926</v>
      </c>
    </row>
    <row r="217" spans="4:27" x14ac:dyDescent="0.25">
      <c r="E217" s="4" t="s">
        <v>1</v>
      </c>
      <c r="G217" s="21">
        <v>70972</v>
      </c>
      <c r="H217" s="21">
        <v>32888</v>
      </c>
      <c r="I217" s="21">
        <v>74712.840000000011</v>
      </c>
      <c r="J217" s="21">
        <v>322300531.08999979</v>
      </c>
      <c r="K217" s="21">
        <v>156640261.47</v>
      </c>
      <c r="L217" s="21">
        <v>345851990.06999999</v>
      </c>
      <c r="M217" s="21">
        <v>952787356.0399996</v>
      </c>
      <c r="N217" s="21">
        <v>462709055.24000001</v>
      </c>
      <c r="O217" s="21">
        <v>1044312160.7699999</v>
      </c>
      <c r="S217" s="77"/>
      <c r="T217" s="77"/>
      <c r="U217" s="77"/>
      <c r="V217" s="74"/>
      <c r="W217" s="76"/>
      <c r="X217" s="74"/>
      <c r="Y217" s="73">
        <f>IFERROR(SUM(Y97:Y216),"")</f>
        <v>68052.927297366987</v>
      </c>
      <c r="Z217" s="73">
        <f>IFERROR(SUM(Z97:Z216),"")</f>
        <v>325014895.09941703</v>
      </c>
      <c r="AA217" s="73">
        <f>IFERROR(SUM(AA97:AA216),"")</f>
        <v>961177350.31394625</v>
      </c>
    </row>
    <row r="218" spans="4:27" x14ac:dyDescent="0.25">
      <c r="D218" s="68" t="str">
        <f>E218</f>
        <v>Atelier</v>
      </c>
      <c r="E218" s="12" t="s">
        <v>3</v>
      </c>
      <c r="G218" s="14">
        <f>SUMIF($E$97:$E$216,$E218,G$97:G$216)</f>
        <v>8364</v>
      </c>
      <c r="H218" s="14">
        <f t="shared" ref="H218:O227" si="82">SUMIF($E$97:$E$216,$E218,H$97:H$216)</f>
        <v>3849</v>
      </c>
      <c r="I218" s="14">
        <f t="shared" si="82"/>
        <v>8807.23</v>
      </c>
      <c r="J218" s="14">
        <f t="shared" si="82"/>
        <v>54387432.24000001</v>
      </c>
      <c r="K218" s="14">
        <f t="shared" si="82"/>
        <v>26590824.830000002</v>
      </c>
      <c r="L218" s="14">
        <f t="shared" si="82"/>
        <v>58445306.800000004</v>
      </c>
      <c r="M218" s="14">
        <f t="shared" si="82"/>
        <v>171464385.38000003</v>
      </c>
      <c r="N218" s="14">
        <f t="shared" si="82"/>
        <v>82923694.810000002</v>
      </c>
      <c r="O218" s="14">
        <f t="shared" si="82"/>
        <v>188256741.18000001</v>
      </c>
      <c r="S218" s="31"/>
      <c r="T218" s="31"/>
      <c r="U218" s="31"/>
      <c r="Y218" s="14">
        <f t="shared" ref="Y218:AA227" si="83">IFERROR(SUMIF($E$97:$E$216,$E218,Y$97:Y$216),"")</f>
        <v>8012.8559842858431</v>
      </c>
      <c r="Z218" s="14">
        <f t="shared" si="83"/>
        <v>55356832.842215739</v>
      </c>
      <c r="AA218" s="14">
        <f t="shared" si="83"/>
        <v>172550588.78850916</v>
      </c>
    </row>
    <row r="219" spans="4:27" x14ac:dyDescent="0.25">
      <c r="D219" s="68" t="str">
        <f>E219</f>
        <v>Aventus</v>
      </c>
      <c r="E219" s="12" t="s">
        <v>4</v>
      </c>
      <c r="G219" s="14">
        <f t="shared" ref="G219:G227" si="84">SUMIF($E$97:$E$216,$E219,G$97:G$216)</f>
        <v>4512</v>
      </c>
      <c r="H219" s="14">
        <f t="shared" si="82"/>
        <v>2120</v>
      </c>
      <c r="I219" s="14">
        <f t="shared" si="82"/>
        <v>4748.82</v>
      </c>
      <c r="J219" s="14">
        <f t="shared" si="82"/>
        <v>12059586.060000001</v>
      </c>
      <c r="K219" s="14">
        <f t="shared" si="82"/>
        <v>5885373.3399999999</v>
      </c>
      <c r="L219" s="14">
        <f t="shared" si="82"/>
        <v>12929992.27</v>
      </c>
      <c r="M219" s="14">
        <f t="shared" si="82"/>
        <v>30335153.379999995</v>
      </c>
      <c r="N219" s="14">
        <f t="shared" si="82"/>
        <v>14818635.420000002</v>
      </c>
      <c r="O219" s="14">
        <f t="shared" si="82"/>
        <v>33286915.689999998</v>
      </c>
      <c r="S219" s="31"/>
      <c r="T219" s="31"/>
      <c r="U219" s="31"/>
      <c r="Y219" s="14">
        <f t="shared" si="83"/>
        <v>4380.1822121283321</v>
      </c>
      <c r="Z219" s="14">
        <f t="shared" si="83"/>
        <v>12159909.331129631</v>
      </c>
      <c r="AA219" s="14">
        <f t="shared" si="83"/>
        <v>30661390.125285</v>
      </c>
    </row>
    <row r="220" spans="4:27" x14ac:dyDescent="0.25">
      <c r="D220" s="68" t="str">
        <f t="shared" ref="D220:D227" si="85">E220</f>
        <v>Celeste</v>
      </c>
      <c r="E220" s="12" t="s">
        <v>5</v>
      </c>
      <c r="G220" s="14">
        <f t="shared" si="84"/>
        <v>8450</v>
      </c>
      <c r="H220" s="14">
        <f t="shared" si="82"/>
        <v>3897</v>
      </c>
      <c r="I220" s="14">
        <f t="shared" si="82"/>
        <v>8899.85</v>
      </c>
      <c r="J220" s="14">
        <f t="shared" si="82"/>
        <v>44817048.030000001</v>
      </c>
      <c r="K220" s="14">
        <f t="shared" si="82"/>
        <v>21588336.589999996</v>
      </c>
      <c r="L220" s="14">
        <f t="shared" si="82"/>
        <v>48234694.860000007</v>
      </c>
      <c r="M220" s="14">
        <f t="shared" si="82"/>
        <v>136865938.24000001</v>
      </c>
      <c r="N220" s="14">
        <f t="shared" si="82"/>
        <v>66253228.769999988</v>
      </c>
      <c r="O220" s="14">
        <f t="shared" si="82"/>
        <v>150117446.91999999</v>
      </c>
      <c r="S220" s="31"/>
      <c r="T220" s="31"/>
      <c r="U220" s="31"/>
      <c r="Y220" s="14">
        <f t="shared" si="83"/>
        <v>8030.506926580334</v>
      </c>
      <c r="Z220" s="14">
        <f t="shared" si="83"/>
        <v>44486858.282606743</v>
      </c>
      <c r="AA220" s="14">
        <f t="shared" si="83"/>
        <v>136753197.7031247</v>
      </c>
    </row>
    <row r="221" spans="4:27" x14ac:dyDescent="0.25">
      <c r="D221" s="68" t="str">
        <f t="shared" si="85"/>
        <v>Grand Complication</v>
      </c>
      <c r="E221" s="12" t="s">
        <v>6</v>
      </c>
      <c r="G221" s="14">
        <f t="shared" si="84"/>
        <v>8001</v>
      </c>
      <c r="H221" s="14">
        <f t="shared" si="82"/>
        <v>3725</v>
      </c>
      <c r="I221" s="14">
        <f t="shared" si="82"/>
        <v>8418.48</v>
      </c>
      <c r="J221" s="14">
        <f t="shared" si="82"/>
        <v>47303982.930000007</v>
      </c>
      <c r="K221" s="14">
        <f t="shared" si="82"/>
        <v>23065047.539999999</v>
      </c>
      <c r="L221" s="14">
        <f t="shared" si="82"/>
        <v>50711239.819999993</v>
      </c>
      <c r="M221" s="14">
        <f t="shared" si="82"/>
        <v>155019768.09</v>
      </c>
      <c r="N221" s="14">
        <f t="shared" si="82"/>
        <v>76785013.979999989</v>
      </c>
      <c r="O221" s="14">
        <f t="shared" si="82"/>
        <v>169835482.80999997</v>
      </c>
      <c r="S221" s="31"/>
      <c r="T221" s="31"/>
      <c r="U221" s="31"/>
      <c r="Y221" s="14">
        <f t="shared" si="83"/>
        <v>7833.5210183954678</v>
      </c>
      <c r="Z221" s="14">
        <f t="shared" si="83"/>
        <v>48504841.561207362</v>
      </c>
      <c r="AA221" s="14">
        <f t="shared" si="83"/>
        <v>161439782.15493441</v>
      </c>
    </row>
    <row r="222" spans="4:27" x14ac:dyDescent="0.25">
      <c r="D222" s="68" t="str">
        <f t="shared" si="85"/>
        <v>Heritage</v>
      </c>
      <c r="E222" s="12" t="s">
        <v>7</v>
      </c>
      <c r="G222" s="14">
        <f t="shared" si="84"/>
        <v>7333</v>
      </c>
      <c r="H222" s="14">
        <f t="shared" si="82"/>
        <v>3435</v>
      </c>
      <c r="I222" s="14">
        <f t="shared" si="82"/>
        <v>7719.7999999999993</v>
      </c>
      <c r="J222" s="14">
        <f t="shared" si="82"/>
        <v>38028273.860000007</v>
      </c>
      <c r="K222" s="14">
        <f t="shared" si="82"/>
        <v>18307256.740000002</v>
      </c>
      <c r="L222" s="14">
        <f t="shared" si="82"/>
        <v>40699789.210000001</v>
      </c>
      <c r="M222" s="14">
        <f t="shared" si="82"/>
        <v>121567238.02999997</v>
      </c>
      <c r="N222" s="14">
        <f t="shared" si="82"/>
        <v>59362888.429999992</v>
      </c>
      <c r="O222" s="14">
        <f t="shared" si="82"/>
        <v>133107875.15000001</v>
      </c>
      <c r="S222" s="31"/>
      <c r="T222" s="31"/>
      <c r="U222" s="31"/>
      <c r="Y222" s="14">
        <f t="shared" si="83"/>
        <v>7341.7480647197581</v>
      </c>
      <c r="Z222" s="14">
        <f t="shared" si="83"/>
        <v>39128753.303348295</v>
      </c>
      <c r="AA222" s="14">
        <f t="shared" si="83"/>
        <v>126638277.48211174</v>
      </c>
    </row>
    <row r="223" spans="4:27" x14ac:dyDescent="0.25">
      <c r="D223" s="68" t="str">
        <f t="shared" si="85"/>
        <v>Lumina</v>
      </c>
      <c r="E223" s="12" t="s">
        <v>8</v>
      </c>
      <c r="G223" s="14">
        <f t="shared" si="84"/>
        <v>5792</v>
      </c>
      <c r="H223" s="14">
        <f t="shared" si="82"/>
        <v>2621</v>
      </c>
      <c r="I223" s="14">
        <f t="shared" si="82"/>
        <v>6093.0800000000008</v>
      </c>
      <c r="J223" s="14">
        <f t="shared" si="82"/>
        <v>31738324.730000004</v>
      </c>
      <c r="K223" s="14">
        <f t="shared" si="82"/>
        <v>15312708.809999999</v>
      </c>
      <c r="L223" s="14">
        <f t="shared" si="82"/>
        <v>34102420.580000006</v>
      </c>
      <c r="M223" s="14">
        <f t="shared" si="82"/>
        <v>93372770.920000017</v>
      </c>
      <c r="N223" s="14">
        <f t="shared" si="82"/>
        <v>44711922.950000003</v>
      </c>
      <c r="O223" s="14">
        <f t="shared" si="82"/>
        <v>102273660.19999999</v>
      </c>
      <c r="S223" s="31"/>
      <c r="T223" s="31"/>
      <c r="U223" s="31"/>
      <c r="Y223" s="14">
        <f t="shared" si="83"/>
        <v>5374.847767262153</v>
      </c>
      <c r="Z223" s="14">
        <f t="shared" si="83"/>
        <v>31401556.173695192</v>
      </c>
      <c r="AA223" s="14">
        <f t="shared" si="83"/>
        <v>91777144.675285891</v>
      </c>
    </row>
    <row r="224" spans="4:27" x14ac:dyDescent="0.25">
      <c r="D224" s="68" t="str">
        <f t="shared" si="85"/>
        <v>Meridian Classic</v>
      </c>
      <c r="E224" s="12" t="s">
        <v>9</v>
      </c>
      <c r="G224" s="14">
        <f t="shared" si="84"/>
        <v>6021</v>
      </c>
      <c r="H224" s="14">
        <f t="shared" si="82"/>
        <v>2842</v>
      </c>
      <c r="I224" s="14">
        <f t="shared" si="82"/>
        <v>6340.13</v>
      </c>
      <c r="J224" s="14">
        <f t="shared" si="82"/>
        <v>15750577.48</v>
      </c>
      <c r="K224" s="14">
        <f t="shared" si="82"/>
        <v>7774821.5300000012</v>
      </c>
      <c r="L224" s="14">
        <f t="shared" si="82"/>
        <v>16834757.060000002</v>
      </c>
      <c r="M224" s="14">
        <f t="shared" si="82"/>
        <v>39468267.469999999</v>
      </c>
      <c r="N224" s="14">
        <f t="shared" si="82"/>
        <v>19495121.299999997</v>
      </c>
      <c r="O224" s="14">
        <f t="shared" si="82"/>
        <v>43126676.920000002</v>
      </c>
      <c r="S224" s="31"/>
      <c r="T224" s="31"/>
      <c r="U224" s="31"/>
      <c r="Y224" s="14">
        <f t="shared" si="83"/>
        <v>5727.3153215578704</v>
      </c>
      <c r="Z224" s="14">
        <f t="shared" si="83"/>
        <v>15668140.210754927</v>
      </c>
      <c r="AA224" s="14">
        <f t="shared" si="83"/>
        <v>39351988.714880303</v>
      </c>
    </row>
    <row r="225" spans="4:27" x14ac:dyDescent="0.25">
      <c r="D225" s="68" t="str">
        <f t="shared" si="85"/>
        <v>Nautique</v>
      </c>
      <c r="E225" s="12" t="s">
        <v>10</v>
      </c>
      <c r="G225" s="14">
        <f t="shared" si="84"/>
        <v>6227</v>
      </c>
      <c r="H225" s="14">
        <f t="shared" si="82"/>
        <v>2798</v>
      </c>
      <c r="I225" s="14">
        <f t="shared" si="82"/>
        <v>6553.4400000000005</v>
      </c>
      <c r="J225" s="14">
        <f t="shared" si="82"/>
        <v>29046636.449999999</v>
      </c>
      <c r="K225" s="14">
        <f t="shared" si="82"/>
        <v>13766712.129999999</v>
      </c>
      <c r="L225" s="14">
        <f t="shared" si="82"/>
        <v>31120582.690000001</v>
      </c>
      <c r="M225" s="14">
        <f t="shared" si="82"/>
        <v>80446487.25999999</v>
      </c>
      <c r="N225" s="14">
        <f t="shared" si="82"/>
        <v>37656144.980000004</v>
      </c>
      <c r="O225" s="14">
        <f t="shared" si="82"/>
        <v>87971573.609999999</v>
      </c>
      <c r="S225" s="31"/>
      <c r="T225" s="31"/>
      <c r="U225" s="31"/>
      <c r="Y225" s="14">
        <f t="shared" si="83"/>
        <v>5764.6257533316357</v>
      </c>
      <c r="Z225" s="14">
        <f t="shared" si="83"/>
        <v>28363096.195616096</v>
      </c>
      <c r="AA225" s="14">
        <f t="shared" si="83"/>
        <v>77485072.622763515</v>
      </c>
    </row>
    <row r="226" spans="4:27" x14ac:dyDescent="0.25">
      <c r="D226" s="68" t="str">
        <f t="shared" si="85"/>
        <v>Sportivo</v>
      </c>
      <c r="E226" s="12" t="s">
        <v>11</v>
      </c>
      <c r="G226" s="14">
        <f t="shared" si="84"/>
        <v>9290</v>
      </c>
      <c r="H226" s="14">
        <f t="shared" si="82"/>
        <v>4307</v>
      </c>
      <c r="I226" s="14">
        <f t="shared" si="82"/>
        <v>9784.7000000000007</v>
      </c>
      <c r="J226" s="14">
        <f t="shared" si="82"/>
        <v>30719558.579999998</v>
      </c>
      <c r="K226" s="14">
        <f t="shared" si="82"/>
        <v>15079270.219999999</v>
      </c>
      <c r="L226" s="14">
        <f t="shared" si="82"/>
        <v>32936865.810000002</v>
      </c>
      <c r="M226" s="14">
        <f t="shared" si="82"/>
        <v>78662775.430000007</v>
      </c>
      <c r="N226" s="14">
        <f t="shared" si="82"/>
        <v>38333077.489999995</v>
      </c>
      <c r="O226" s="14">
        <f t="shared" si="82"/>
        <v>86284486.340000004</v>
      </c>
      <c r="S226" s="31"/>
      <c r="T226" s="31"/>
      <c r="U226" s="31"/>
      <c r="Y226" s="14">
        <f t="shared" si="83"/>
        <v>8850.087970196395</v>
      </c>
      <c r="Z226" s="14">
        <f t="shared" si="83"/>
        <v>30985109.878105115</v>
      </c>
      <c r="AA226" s="14">
        <f t="shared" si="83"/>
        <v>78731597.91798678</v>
      </c>
    </row>
    <row r="227" spans="4:27" x14ac:dyDescent="0.25">
      <c r="D227" s="68" t="str">
        <f t="shared" si="85"/>
        <v>Terra</v>
      </c>
      <c r="E227" s="12" t="s">
        <v>12</v>
      </c>
      <c r="G227" s="14">
        <f t="shared" si="84"/>
        <v>6982</v>
      </c>
      <c r="H227" s="14">
        <f t="shared" si="82"/>
        <v>3294</v>
      </c>
      <c r="I227" s="14">
        <f t="shared" si="82"/>
        <v>7347.31</v>
      </c>
      <c r="J227" s="14">
        <f t="shared" si="82"/>
        <v>18449110.730000004</v>
      </c>
      <c r="K227" s="14">
        <f t="shared" si="82"/>
        <v>9269909.7399999984</v>
      </c>
      <c r="L227" s="14">
        <f t="shared" si="82"/>
        <v>19836340.969999999</v>
      </c>
      <c r="M227" s="14">
        <f t="shared" si="82"/>
        <v>45584571.840000004</v>
      </c>
      <c r="N227" s="14">
        <f t="shared" si="82"/>
        <v>22369327.109999999</v>
      </c>
      <c r="O227" s="14">
        <f t="shared" si="82"/>
        <v>50051301.950000003</v>
      </c>
      <c r="S227" s="31"/>
      <c r="T227" s="31"/>
      <c r="U227" s="31"/>
      <c r="Y227" s="14">
        <f t="shared" si="83"/>
        <v>6737.2362789092167</v>
      </c>
      <c r="Z227" s="14">
        <f t="shared" si="83"/>
        <v>18959797.320737932</v>
      </c>
      <c r="AA227" s="14">
        <f t="shared" si="83"/>
        <v>45788310.129064895</v>
      </c>
    </row>
    <row r="232" spans="4:27" x14ac:dyDescent="0.25">
      <c r="E232" s="4" t="s">
        <v>75</v>
      </c>
    </row>
    <row r="233" spans="4:27" x14ac:dyDescent="0.25">
      <c r="G233" s="19" t="s">
        <v>26</v>
      </c>
      <c r="H233" s="19" t="s">
        <v>27</v>
      </c>
      <c r="S233" s="76"/>
      <c r="T233" s="76"/>
      <c r="U233" s="76"/>
      <c r="V233" s="74"/>
      <c r="W233" s="76"/>
      <c r="X233" s="74"/>
      <c r="Y233" s="74"/>
      <c r="Z233" s="74"/>
      <c r="AA233" s="74"/>
    </row>
    <row r="234" spans="4:27" x14ac:dyDescent="0.25">
      <c r="G234" s="4" t="s">
        <v>13</v>
      </c>
      <c r="J234" s="4" t="s">
        <v>15</v>
      </c>
      <c r="M234" s="4" t="s">
        <v>16</v>
      </c>
      <c r="S234" s="69" t="s">
        <v>13</v>
      </c>
      <c r="T234" s="69" t="s">
        <v>15</v>
      </c>
      <c r="U234" s="69" t="s">
        <v>16</v>
      </c>
      <c r="V234" s="74"/>
      <c r="W234" s="75" t="s">
        <v>94</v>
      </c>
      <c r="X234" s="74"/>
      <c r="Y234" s="72" t="s">
        <v>96</v>
      </c>
      <c r="Z234" s="72"/>
      <c r="AA234" s="72"/>
    </row>
    <row r="235" spans="4:27" x14ac:dyDescent="0.25">
      <c r="E235" s="19" t="s">
        <v>37</v>
      </c>
      <c r="F235" s="19" t="s">
        <v>14</v>
      </c>
      <c r="G235" s="4" t="s">
        <v>24</v>
      </c>
      <c r="H235" s="4" t="s">
        <v>22</v>
      </c>
      <c r="I235" s="4" t="s">
        <v>23</v>
      </c>
      <c r="J235" s="4" t="s">
        <v>24</v>
      </c>
      <c r="K235" s="4" t="s">
        <v>22</v>
      </c>
      <c r="L235" s="4" t="s">
        <v>23</v>
      </c>
      <c r="M235" s="4" t="s">
        <v>24</v>
      </c>
      <c r="N235" s="4" t="s">
        <v>22</v>
      </c>
      <c r="O235" s="4" t="s">
        <v>23</v>
      </c>
      <c r="S235" s="70" t="s">
        <v>93</v>
      </c>
      <c r="T235" s="70" t="s">
        <v>93</v>
      </c>
      <c r="U235" s="70" t="s">
        <v>93</v>
      </c>
      <c r="V235" s="74"/>
      <c r="W235" s="75" t="s">
        <v>95</v>
      </c>
      <c r="X235" s="74"/>
      <c r="Y235" s="70" t="s">
        <v>98</v>
      </c>
      <c r="Z235" s="70" t="s">
        <v>99</v>
      </c>
      <c r="AA235" s="70" t="s">
        <v>100</v>
      </c>
    </row>
    <row r="236" spans="4:27" outlineLevel="1" x14ac:dyDescent="0.25">
      <c r="E236" s="4" t="s">
        <v>38</v>
      </c>
      <c r="F236" s="4">
        <v>1</v>
      </c>
      <c r="G236" s="21">
        <v>1447</v>
      </c>
      <c r="H236" s="21">
        <v>1550</v>
      </c>
      <c r="I236" s="21">
        <v>1816.7200000000003</v>
      </c>
      <c r="J236" s="21">
        <v>6512525.0600000005</v>
      </c>
      <c r="K236" s="21">
        <v>7307588.7700000005</v>
      </c>
      <c r="L236" s="21">
        <v>8387250.4800000014</v>
      </c>
      <c r="M236" s="21">
        <v>18876506.969999988</v>
      </c>
      <c r="N236" s="21">
        <v>21325604.289999977</v>
      </c>
      <c r="O236" s="21">
        <v>24902231.850000001</v>
      </c>
      <c r="S236" s="22">
        <f t="shared" ref="S236:S247" si="86">IFERROR(SUMPRODUCT(H$236:H$247,$W$236:$W$247)/SUMPRODUCT(I$236:I$247,$W$236:$W$247)-1,"")</f>
        <v>-7.9459318721052385E-2</v>
      </c>
      <c r="T236" s="23">
        <f t="shared" ref="T236:T247" si="87">IFERROR(SUMPRODUCT(K$236:K$247,$W$236:$W$247)/SUMPRODUCT(L$236:L$247,$W$236:$W$247)-1,"")</f>
        <v>-4.9148207780851827E-2</v>
      </c>
      <c r="U236" s="24">
        <f t="shared" ref="U236:U247" si="88">IFERROR(SUMPRODUCT(N$236:N$247,$W$236:$W$247)/SUMPRODUCT(O$236:O$247,$W$236:$W$247)-1,"")</f>
        <v>-7.6343280458809892E-2</v>
      </c>
      <c r="W236" s="13">
        <f t="shared" ref="W236:W283" si="89">IFERROR(_xlfn.XLOOKUP(F236,$F$13:$F$24,$W$13:$W$24),"")</f>
        <v>1</v>
      </c>
      <c r="Y236" s="14">
        <f t="shared" ref="Y236:Y283" si="90">IFERROR(IF($W236=1,H236,I236*(1+S236)),"")</f>
        <v>1550</v>
      </c>
      <c r="Z236" s="14">
        <f t="shared" ref="Z236:Z283" si="91">IFERROR(IF($W236=1,K236,L236*(1+T236)),"")</f>
        <v>7307588.7700000005</v>
      </c>
      <c r="AA236" s="14">
        <f t="shared" ref="AA236:AA283" si="92">IFERROR(IF($W236=1,N236,O236*(1+U236)),"")</f>
        <v>21325604.289999977</v>
      </c>
    </row>
    <row r="237" spans="4:27" outlineLevel="1" x14ac:dyDescent="0.25">
      <c r="E237" s="4" t="s">
        <v>38</v>
      </c>
      <c r="F237" s="4">
        <v>2</v>
      </c>
      <c r="G237" s="21">
        <v>1327</v>
      </c>
      <c r="H237" s="21">
        <v>1407</v>
      </c>
      <c r="I237" s="21">
        <v>1756.22</v>
      </c>
      <c r="J237" s="21">
        <v>5881947.2800000049</v>
      </c>
      <c r="K237" s="21">
        <v>6539251.5100000063</v>
      </c>
      <c r="L237" s="21">
        <v>8093166.4000000032</v>
      </c>
      <c r="M237" s="21">
        <v>17083476.769999988</v>
      </c>
      <c r="N237" s="21">
        <v>19138481.370000001</v>
      </c>
      <c r="O237" s="21">
        <v>24082299.170000009</v>
      </c>
      <c r="S237" s="25">
        <f t="shared" si="86"/>
        <v>-7.9459318721052385E-2</v>
      </c>
      <c r="T237" s="26">
        <f t="shared" si="87"/>
        <v>-4.9148207780851827E-2</v>
      </c>
      <c r="U237" s="27">
        <f t="shared" si="88"/>
        <v>-7.6343280458809892E-2</v>
      </c>
      <c r="W237" s="13">
        <f t="shared" si="89"/>
        <v>1</v>
      </c>
      <c r="Y237" s="14">
        <f t="shared" si="90"/>
        <v>1407</v>
      </c>
      <c r="Z237" s="14">
        <f t="shared" si="91"/>
        <v>6539251.5100000063</v>
      </c>
      <c r="AA237" s="14">
        <f t="shared" si="92"/>
        <v>19138481.370000001</v>
      </c>
    </row>
    <row r="238" spans="4:27" outlineLevel="1" x14ac:dyDescent="0.25">
      <c r="E238" s="4" t="s">
        <v>38</v>
      </c>
      <c r="F238" s="4">
        <v>3</v>
      </c>
      <c r="G238" s="21">
        <v>1704</v>
      </c>
      <c r="H238" s="21">
        <v>1819</v>
      </c>
      <c r="I238" s="21">
        <v>1801.5800000000002</v>
      </c>
      <c r="J238" s="21">
        <v>7716938.8799999952</v>
      </c>
      <c r="K238" s="21">
        <v>8631101.1100000031</v>
      </c>
      <c r="L238" s="21">
        <v>8263752.0900000017</v>
      </c>
      <c r="M238" s="21">
        <v>22428258.609999992</v>
      </c>
      <c r="N238" s="21">
        <v>25141703.679999992</v>
      </c>
      <c r="O238" s="21">
        <v>24530781.110000003</v>
      </c>
      <c r="S238" s="25">
        <f t="shared" si="86"/>
        <v>-7.9459318721052385E-2</v>
      </c>
      <c r="T238" s="26">
        <f t="shared" si="87"/>
        <v>-4.9148207780851827E-2</v>
      </c>
      <c r="U238" s="27">
        <f t="shared" si="88"/>
        <v>-7.6343280458809892E-2</v>
      </c>
      <c r="W238" s="13">
        <f t="shared" si="89"/>
        <v>1</v>
      </c>
      <c r="Y238" s="14">
        <f t="shared" si="90"/>
        <v>1819</v>
      </c>
      <c r="Z238" s="14">
        <f t="shared" si="91"/>
        <v>8631101.1100000031</v>
      </c>
      <c r="AA238" s="14">
        <f t="shared" si="92"/>
        <v>25141703.679999992</v>
      </c>
    </row>
    <row r="239" spans="4:27" outlineLevel="1" x14ac:dyDescent="0.25">
      <c r="E239" s="4" t="s">
        <v>38</v>
      </c>
      <c r="F239" s="4">
        <v>4</v>
      </c>
      <c r="G239" s="21">
        <v>1460</v>
      </c>
      <c r="H239" s="21">
        <v>1574</v>
      </c>
      <c r="I239" s="21">
        <v>1820.899999999999</v>
      </c>
      <c r="J239" s="21">
        <v>6557451.7099999944</v>
      </c>
      <c r="K239" s="21">
        <v>7427733.9700000063</v>
      </c>
      <c r="L239" s="21">
        <v>8284672.8500000052</v>
      </c>
      <c r="M239" s="21">
        <v>19098083.159999985</v>
      </c>
      <c r="N239" s="21">
        <v>21549191.580000013</v>
      </c>
      <c r="O239" s="21">
        <v>24652829.799999986</v>
      </c>
      <c r="S239" s="25">
        <f t="shared" si="86"/>
        <v>-7.9459318721052385E-2</v>
      </c>
      <c r="T239" s="26">
        <f t="shared" si="87"/>
        <v>-4.9148207780851827E-2</v>
      </c>
      <c r="U239" s="27">
        <f t="shared" si="88"/>
        <v>-7.6343280458809892E-2</v>
      </c>
      <c r="W239" s="13">
        <f t="shared" si="89"/>
        <v>1</v>
      </c>
      <c r="Y239" s="14">
        <f t="shared" si="90"/>
        <v>1574</v>
      </c>
      <c r="Z239" s="14">
        <f t="shared" si="91"/>
        <v>7427733.9700000063</v>
      </c>
      <c r="AA239" s="14">
        <f t="shared" si="92"/>
        <v>21549191.580000013</v>
      </c>
    </row>
    <row r="240" spans="4:27" outlineLevel="1" x14ac:dyDescent="0.25">
      <c r="E240" s="4" t="s">
        <v>38</v>
      </c>
      <c r="F240" s="4">
        <v>5</v>
      </c>
      <c r="G240" s="21">
        <v>1779</v>
      </c>
      <c r="H240" s="21">
        <v>1895</v>
      </c>
      <c r="I240" s="21">
        <v>1856.1999999999994</v>
      </c>
      <c r="J240" s="21">
        <v>8011398.4800000042</v>
      </c>
      <c r="K240" s="21">
        <v>8945469.4499999937</v>
      </c>
      <c r="L240" s="21">
        <v>8501205.7200000044</v>
      </c>
      <c r="M240" s="21">
        <v>23143717.599999994</v>
      </c>
      <c r="N240" s="21">
        <v>25329095.880000014</v>
      </c>
      <c r="O240" s="21">
        <v>25297485.510000005</v>
      </c>
      <c r="S240" s="25">
        <f t="shared" si="86"/>
        <v>-7.9459318721052385E-2</v>
      </c>
      <c r="T240" s="26">
        <f t="shared" si="87"/>
        <v>-4.9148207780851827E-2</v>
      </c>
      <c r="U240" s="27">
        <f t="shared" si="88"/>
        <v>-7.6343280458809892E-2</v>
      </c>
      <c r="W240" s="13">
        <f t="shared" si="89"/>
        <v>1</v>
      </c>
      <c r="Y240" s="14">
        <f t="shared" si="90"/>
        <v>1895</v>
      </c>
      <c r="Z240" s="14">
        <f t="shared" si="91"/>
        <v>8945469.4499999937</v>
      </c>
      <c r="AA240" s="14">
        <f t="shared" si="92"/>
        <v>25329095.880000014</v>
      </c>
    </row>
    <row r="241" spans="5:27" outlineLevel="1" x14ac:dyDescent="0.25">
      <c r="E241" s="4" t="s">
        <v>38</v>
      </c>
      <c r="F241" s="4">
        <v>6</v>
      </c>
      <c r="G241" s="21">
        <v>1689</v>
      </c>
      <c r="H241" s="21">
        <v>1796</v>
      </c>
      <c r="I241" s="21">
        <v>1856.0999999999995</v>
      </c>
      <c r="J241" s="21">
        <v>7795634.5400000038</v>
      </c>
      <c r="K241" s="21">
        <v>8738223.2100000046</v>
      </c>
      <c r="L241" s="21">
        <v>8519148.7799999993</v>
      </c>
      <c r="M241" s="21">
        <v>22475829.780000001</v>
      </c>
      <c r="N241" s="21">
        <v>24941262.989999998</v>
      </c>
      <c r="O241" s="21">
        <v>25318370.859999996</v>
      </c>
      <c r="S241" s="25">
        <f t="shared" si="86"/>
        <v>-7.9459318721052385E-2</v>
      </c>
      <c r="T241" s="26">
        <f t="shared" si="87"/>
        <v>-4.9148207780851827E-2</v>
      </c>
      <c r="U241" s="27">
        <f t="shared" si="88"/>
        <v>-7.6343280458809892E-2</v>
      </c>
      <c r="W241" s="13">
        <f t="shared" si="89"/>
        <v>1</v>
      </c>
      <c r="Y241" s="14">
        <f t="shared" si="90"/>
        <v>1796</v>
      </c>
      <c r="Z241" s="14">
        <f t="shared" si="91"/>
        <v>8738223.2100000046</v>
      </c>
      <c r="AA241" s="14">
        <f t="shared" si="92"/>
        <v>24941262.989999998</v>
      </c>
    </row>
    <row r="242" spans="5:27" outlineLevel="1" x14ac:dyDescent="0.25">
      <c r="E242" s="4" t="s">
        <v>38</v>
      </c>
      <c r="F242" s="4">
        <v>7</v>
      </c>
      <c r="G242" s="21">
        <v>1741</v>
      </c>
      <c r="H242" s="21"/>
      <c r="I242" s="21">
        <v>1822.7599999999993</v>
      </c>
      <c r="J242" s="21">
        <v>7913724.070000004</v>
      </c>
      <c r="K242" s="21"/>
      <c r="L242" s="21">
        <v>8395891.9299999941</v>
      </c>
      <c r="M242" s="21">
        <v>22810767.03999998</v>
      </c>
      <c r="N242" s="21"/>
      <c r="O242" s="21">
        <v>24988493.050000012</v>
      </c>
      <c r="S242" s="25">
        <f t="shared" si="86"/>
        <v>-7.9459318721052385E-2</v>
      </c>
      <c r="T242" s="26">
        <f t="shared" si="87"/>
        <v>-4.9148207780851827E-2</v>
      </c>
      <c r="U242" s="27">
        <f t="shared" si="88"/>
        <v>-7.6343280458809892E-2</v>
      </c>
      <c r="W242" s="13">
        <f t="shared" si="89"/>
        <v>0</v>
      </c>
      <c r="Y242" s="14">
        <f t="shared" si="90"/>
        <v>1677.9247322080139</v>
      </c>
      <c r="Z242" s="14">
        <f t="shared" si="91"/>
        <v>7983248.888918777</v>
      </c>
      <c r="AA242" s="14">
        <f t="shared" si="92"/>
        <v>23080789.516840838</v>
      </c>
    </row>
    <row r="243" spans="5:27" outlineLevel="1" x14ac:dyDescent="0.25">
      <c r="E243" s="4" t="s">
        <v>38</v>
      </c>
      <c r="F243" s="4">
        <v>8</v>
      </c>
      <c r="G243" s="21">
        <v>1580</v>
      </c>
      <c r="H243" s="21"/>
      <c r="I243" s="21">
        <v>1817.579999999999</v>
      </c>
      <c r="J243" s="21">
        <v>6966248.7100000018</v>
      </c>
      <c r="K243" s="21"/>
      <c r="L243" s="21">
        <v>8390095.6500000041</v>
      </c>
      <c r="M243" s="21">
        <v>20238239.050000001</v>
      </c>
      <c r="N243" s="21"/>
      <c r="O243" s="21">
        <v>25026209.070000011</v>
      </c>
      <c r="S243" s="25">
        <f t="shared" si="86"/>
        <v>-7.9459318721052385E-2</v>
      </c>
      <c r="T243" s="26">
        <f t="shared" si="87"/>
        <v>-4.9148207780851827E-2</v>
      </c>
      <c r="U243" s="27">
        <f t="shared" si="88"/>
        <v>-7.6343280458809892E-2</v>
      </c>
      <c r="W243" s="13">
        <f t="shared" si="89"/>
        <v>0</v>
      </c>
      <c r="Y243" s="14">
        <f t="shared" si="90"/>
        <v>1673.1563314789887</v>
      </c>
      <c r="Z243" s="14">
        <f t="shared" si="91"/>
        <v>7977737.485692583</v>
      </c>
      <c r="AA243" s="14">
        <f t="shared" si="92"/>
        <v>23115626.17214819</v>
      </c>
    </row>
    <row r="244" spans="5:27" outlineLevel="1" x14ac:dyDescent="0.25">
      <c r="E244" s="4" t="s">
        <v>38</v>
      </c>
      <c r="F244" s="4">
        <v>9</v>
      </c>
      <c r="G244" s="21">
        <v>1705</v>
      </c>
      <c r="H244" s="21"/>
      <c r="I244" s="21">
        <v>1899.6399999999992</v>
      </c>
      <c r="J244" s="21">
        <v>7599890.7499999972</v>
      </c>
      <c r="K244" s="21"/>
      <c r="L244" s="21">
        <v>8789451.0200000051</v>
      </c>
      <c r="M244" s="21">
        <v>22068665.370000001</v>
      </c>
      <c r="N244" s="21"/>
      <c r="O244" s="21">
        <v>26258249.490000002</v>
      </c>
      <c r="S244" s="25">
        <f t="shared" si="86"/>
        <v>-7.9459318721052385E-2</v>
      </c>
      <c r="T244" s="26">
        <f t="shared" si="87"/>
        <v>-4.9148207780851827E-2</v>
      </c>
      <c r="U244" s="27">
        <f t="shared" si="88"/>
        <v>-7.6343280458809892E-2</v>
      </c>
      <c r="W244" s="13">
        <f t="shared" si="89"/>
        <v>0</v>
      </c>
      <c r="Y244" s="14">
        <f t="shared" si="90"/>
        <v>1748.6958997847394</v>
      </c>
      <c r="Z244" s="14">
        <f t="shared" si="91"/>
        <v>8357465.2549894247</v>
      </c>
      <c r="AA244" s="14">
        <f t="shared" si="92"/>
        <v>24253608.584827531</v>
      </c>
    </row>
    <row r="245" spans="5:27" outlineLevel="1" x14ac:dyDescent="0.25">
      <c r="E245" s="4" t="s">
        <v>38</v>
      </c>
      <c r="F245" s="4">
        <v>10</v>
      </c>
      <c r="G245" s="21">
        <v>1844</v>
      </c>
      <c r="H245" s="21"/>
      <c r="I245" s="21">
        <v>1969.46</v>
      </c>
      <c r="J245" s="21">
        <v>8539678.3899999987</v>
      </c>
      <c r="K245" s="21"/>
      <c r="L245" s="21">
        <v>9079449.9599999953</v>
      </c>
      <c r="M245" s="21">
        <v>24678286.310000002</v>
      </c>
      <c r="N245" s="21"/>
      <c r="O245" s="21">
        <v>27007679.20999999</v>
      </c>
      <c r="S245" s="25">
        <f t="shared" si="86"/>
        <v>-7.9459318721052385E-2</v>
      </c>
      <c r="T245" s="26">
        <f t="shared" si="87"/>
        <v>-4.9148207780851827E-2</v>
      </c>
      <c r="U245" s="27">
        <f t="shared" si="88"/>
        <v>-7.6343280458809892E-2</v>
      </c>
      <c r="W245" s="13">
        <f t="shared" si="89"/>
        <v>0</v>
      </c>
      <c r="Y245" s="14">
        <f t="shared" si="90"/>
        <v>1812.9680501516361</v>
      </c>
      <c r="Z245" s="14">
        <f t="shared" si="91"/>
        <v>8633211.2668300681</v>
      </c>
      <c r="AA245" s="14">
        <f t="shared" si="92"/>
        <v>24945824.381529391</v>
      </c>
    </row>
    <row r="246" spans="5:27" outlineLevel="1" x14ac:dyDescent="0.25">
      <c r="E246" s="4" t="s">
        <v>38</v>
      </c>
      <c r="F246" s="4">
        <v>11</v>
      </c>
      <c r="G246" s="21">
        <v>2326</v>
      </c>
      <c r="H246" s="21"/>
      <c r="I246" s="21">
        <v>2100.7299999999987</v>
      </c>
      <c r="J246" s="21">
        <v>10552729.120000012</v>
      </c>
      <c r="K246" s="21"/>
      <c r="L246" s="21">
        <v>9756739.3500000034</v>
      </c>
      <c r="M246" s="21">
        <v>30638575.189999986</v>
      </c>
      <c r="N246" s="21"/>
      <c r="O246" s="21">
        <v>28970712.129999999</v>
      </c>
      <c r="S246" s="25">
        <f t="shared" si="86"/>
        <v>-7.9459318721052385E-2</v>
      </c>
      <c r="T246" s="26">
        <f t="shared" si="87"/>
        <v>-4.9148207780851827E-2</v>
      </c>
      <c r="U246" s="27">
        <f t="shared" si="88"/>
        <v>-7.6343280458809892E-2</v>
      </c>
      <c r="W246" s="13">
        <f t="shared" si="89"/>
        <v>0</v>
      </c>
      <c r="Y246" s="14">
        <f t="shared" si="90"/>
        <v>1933.8074253831223</v>
      </c>
      <c r="Z246" s="14">
        <f t="shared" si="91"/>
        <v>9277213.0971625894</v>
      </c>
      <c r="AA246" s="14">
        <f t="shared" si="92"/>
        <v>26758992.928767964</v>
      </c>
    </row>
    <row r="247" spans="5:27" outlineLevel="1" x14ac:dyDescent="0.25">
      <c r="E247" s="4" t="s">
        <v>38</v>
      </c>
      <c r="F247" s="4">
        <v>12</v>
      </c>
      <c r="G247" s="21">
        <v>2876</v>
      </c>
      <c r="H247" s="21"/>
      <c r="I247" s="21">
        <v>2092.1799999999998</v>
      </c>
      <c r="J247" s="21">
        <v>13126702.739999996</v>
      </c>
      <c r="K247" s="21"/>
      <c r="L247" s="21">
        <v>9647945.0199999977</v>
      </c>
      <c r="M247" s="21">
        <v>38063092.670000002</v>
      </c>
      <c r="N247" s="21"/>
      <c r="O247" s="21">
        <v>28749956.500000011</v>
      </c>
      <c r="S247" s="28">
        <f t="shared" si="86"/>
        <v>-7.9459318721052385E-2</v>
      </c>
      <c r="T247" s="29">
        <f t="shared" si="87"/>
        <v>-4.9148207780851827E-2</v>
      </c>
      <c r="U247" s="30">
        <f t="shared" si="88"/>
        <v>-7.6343280458809892E-2</v>
      </c>
      <c r="W247" s="13">
        <f t="shared" si="89"/>
        <v>0</v>
      </c>
      <c r="Y247" s="14">
        <f t="shared" si="90"/>
        <v>1925.9368025581884</v>
      </c>
      <c r="Z247" s="14">
        <f t="shared" si="91"/>
        <v>9173765.8134988025</v>
      </c>
      <c r="AA247" s="14">
        <f t="shared" si="92"/>
        <v>26555090.507741924</v>
      </c>
    </row>
    <row r="248" spans="5:27" outlineLevel="1" x14ac:dyDescent="0.25">
      <c r="E248" s="4" t="s">
        <v>39</v>
      </c>
      <c r="F248" s="4">
        <v>1</v>
      </c>
      <c r="G248" s="21">
        <v>2254</v>
      </c>
      <c r="H248" s="21">
        <v>2352</v>
      </c>
      <c r="I248" s="21">
        <v>2754.03</v>
      </c>
      <c r="J248" s="21">
        <v>10133149.489999995</v>
      </c>
      <c r="K248" s="21">
        <v>11077635.169999998</v>
      </c>
      <c r="L248" s="21">
        <v>12736256.809999995</v>
      </c>
      <c r="M248" s="21">
        <v>30201812.919999994</v>
      </c>
      <c r="N248" s="21">
        <v>33370574.489999998</v>
      </c>
      <c r="O248" s="21">
        <v>38780914.419999994</v>
      </c>
      <c r="S248" s="22">
        <f t="shared" ref="S248:S259" si="93">IFERROR(SUMPRODUCT(H$248:H$259,$W$248:$W$259)/SUMPRODUCT(I$248:I$259,$W$248:$W$259)-1,"")</f>
        <v>-9.3549641307910991E-2</v>
      </c>
      <c r="T248" s="23">
        <f t="shared" ref="T248:T259" si="94">IFERROR(SUMPRODUCT(K$248:K$259,$W$248:$W$259)/SUMPRODUCT(L$248:L$259,$W$248:$W$259)-1,"")</f>
        <v>-6.6638072781679214E-2</v>
      </c>
      <c r="U248" s="24">
        <f t="shared" ref="U248:U259" si="95">IFERROR(SUMPRODUCT(N$248:N$259,$W$248:$W$259)/SUMPRODUCT(O$248:O$259,$W$248:$W$259)-1,"")</f>
        <v>-7.9341147113476396E-2</v>
      </c>
      <c r="W248" s="13">
        <f t="shared" si="89"/>
        <v>1</v>
      </c>
      <c r="Y248" s="14">
        <f t="shared" si="90"/>
        <v>2352</v>
      </c>
      <c r="Z248" s="14">
        <f t="shared" si="91"/>
        <v>11077635.169999998</v>
      </c>
      <c r="AA248" s="14">
        <f t="shared" si="92"/>
        <v>33370574.489999998</v>
      </c>
    </row>
    <row r="249" spans="5:27" outlineLevel="1" x14ac:dyDescent="0.25">
      <c r="E249" s="4" t="s">
        <v>39</v>
      </c>
      <c r="F249" s="4">
        <v>2</v>
      </c>
      <c r="G249" s="21">
        <v>2220</v>
      </c>
      <c r="H249" s="21">
        <v>2313</v>
      </c>
      <c r="I249" s="21">
        <v>2774.55</v>
      </c>
      <c r="J249" s="21">
        <v>9963912.7100000009</v>
      </c>
      <c r="K249" s="21">
        <v>10896051.219999993</v>
      </c>
      <c r="L249" s="21">
        <v>12740007.280000009</v>
      </c>
      <c r="M249" s="21">
        <v>29697813.430000003</v>
      </c>
      <c r="N249" s="21">
        <v>32645156.699999984</v>
      </c>
      <c r="O249" s="21">
        <v>38834124.299999967</v>
      </c>
      <c r="S249" s="25">
        <f t="shared" si="93"/>
        <v>-9.3549641307910991E-2</v>
      </c>
      <c r="T249" s="26">
        <f t="shared" si="94"/>
        <v>-6.6638072781679214E-2</v>
      </c>
      <c r="U249" s="27">
        <f t="shared" si="95"/>
        <v>-7.9341147113476396E-2</v>
      </c>
      <c r="W249" s="13">
        <f t="shared" si="89"/>
        <v>1</v>
      </c>
      <c r="Y249" s="14">
        <f t="shared" si="90"/>
        <v>2313</v>
      </c>
      <c r="Z249" s="14">
        <f t="shared" si="91"/>
        <v>10896051.219999993</v>
      </c>
      <c r="AA249" s="14">
        <f t="shared" si="92"/>
        <v>32645156.699999984</v>
      </c>
    </row>
    <row r="250" spans="5:27" outlineLevel="1" x14ac:dyDescent="0.25">
      <c r="E250" s="4" t="s">
        <v>39</v>
      </c>
      <c r="F250" s="4">
        <v>3</v>
      </c>
      <c r="G250" s="21">
        <v>2714</v>
      </c>
      <c r="H250" s="21">
        <v>2837</v>
      </c>
      <c r="I250" s="21">
        <v>2885.3</v>
      </c>
      <c r="J250" s="21">
        <v>12560238.959999988</v>
      </c>
      <c r="K250" s="21">
        <v>13820639.769999996</v>
      </c>
      <c r="L250" s="21">
        <v>13260632.279999986</v>
      </c>
      <c r="M250" s="21">
        <v>37985873.539999992</v>
      </c>
      <c r="N250" s="21">
        <v>41593919.560000025</v>
      </c>
      <c r="O250" s="21">
        <v>40342545.209999971</v>
      </c>
      <c r="S250" s="25">
        <f t="shared" si="93"/>
        <v>-9.3549641307910991E-2</v>
      </c>
      <c r="T250" s="26">
        <f t="shared" si="94"/>
        <v>-6.6638072781679214E-2</v>
      </c>
      <c r="U250" s="27">
        <f t="shared" si="95"/>
        <v>-7.9341147113476396E-2</v>
      </c>
      <c r="W250" s="13">
        <f t="shared" si="89"/>
        <v>1</v>
      </c>
      <c r="Y250" s="14">
        <f t="shared" si="90"/>
        <v>2837</v>
      </c>
      <c r="Z250" s="14">
        <f t="shared" si="91"/>
        <v>13820639.769999996</v>
      </c>
      <c r="AA250" s="14">
        <f t="shared" si="92"/>
        <v>41593919.560000025</v>
      </c>
    </row>
    <row r="251" spans="5:27" outlineLevel="1" x14ac:dyDescent="0.25">
      <c r="E251" s="4" t="s">
        <v>39</v>
      </c>
      <c r="F251" s="4">
        <v>4</v>
      </c>
      <c r="G251" s="21">
        <v>2576</v>
      </c>
      <c r="H251" s="21">
        <v>2669</v>
      </c>
      <c r="I251" s="21">
        <v>2809.5200000000009</v>
      </c>
      <c r="J251" s="21">
        <v>11674293.9</v>
      </c>
      <c r="K251" s="21">
        <v>12691525.269999994</v>
      </c>
      <c r="L251" s="21">
        <v>13034029.270000003</v>
      </c>
      <c r="M251" s="21">
        <v>34881575.139999963</v>
      </c>
      <c r="N251" s="21">
        <v>37557405.450000018</v>
      </c>
      <c r="O251" s="21">
        <v>39704761.810000025</v>
      </c>
      <c r="S251" s="25">
        <f t="shared" si="93"/>
        <v>-9.3549641307910991E-2</v>
      </c>
      <c r="T251" s="26">
        <f t="shared" si="94"/>
        <v>-6.6638072781679214E-2</v>
      </c>
      <c r="U251" s="27">
        <f t="shared" si="95"/>
        <v>-7.9341147113476396E-2</v>
      </c>
      <c r="W251" s="13">
        <f t="shared" si="89"/>
        <v>1</v>
      </c>
      <c r="Y251" s="14">
        <f t="shared" si="90"/>
        <v>2669</v>
      </c>
      <c r="Z251" s="14">
        <f t="shared" si="91"/>
        <v>12691525.269999994</v>
      </c>
      <c r="AA251" s="14">
        <f t="shared" si="92"/>
        <v>37557405.450000018</v>
      </c>
    </row>
    <row r="252" spans="5:27" outlineLevel="1" x14ac:dyDescent="0.25">
      <c r="E252" s="4" t="s">
        <v>39</v>
      </c>
      <c r="F252" s="4">
        <v>5</v>
      </c>
      <c r="G252" s="21">
        <v>2608</v>
      </c>
      <c r="H252" s="21">
        <v>2721</v>
      </c>
      <c r="I252" s="21">
        <v>2905.5699999999993</v>
      </c>
      <c r="J252" s="21">
        <v>11692055.090000017</v>
      </c>
      <c r="K252" s="21">
        <v>12794925.169999998</v>
      </c>
      <c r="L252" s="21">
        <v>13453573.9</v>
      </c>
      <c r="M252" s="21">
        <v>35089674.369999975</v>
      </c>
      <c r="N252" s="21">
        <v>38521182.820000015</v>
      </c>
      <c r="O252" s="21">
        <v>40938693.209999986</v>
      </c>
      <c r="S252" s="25">
        <f t="shared" si="93"/>
        <v>-9.3549641307910991E-2</v>
      </c>
      <c r="T252" s="26">
        <f t="shared" si="94"/>
        <v>-6.6638072781679214E-2</v>
      </c>
      <c r="U252" s="27">
        <f t="shared" si="95"/>
        <v>-7.9341147113476396E-2</v>
      </c>
      <c r="W252" s="13">
        <f t="shared" si="89"/>
        <v>1</v>
      </c>
      <c r="Y252" s="14">
        <f t="shared" si="90"/>
        <v>2721</v>
      </c>
      <c r="Z252" s="14">
        <f t="shared" si="91"/>
        <v>12794925.169999998</v>
      </c>
      <c r="AA252" s="14">
        <f t="shared" si="92"/>
        <v>38521182.820000015</v>
      </c>
    </row>
    <row r="253" spans="5:27" outlineLevel="1" x14ac:dyDescent="0.25">
      <c r="E253" s="4" t="s">
        <v>39</v>
      </c>
      <c r="F253" s="4">
        <v>6</v>
      </c>
      <c r="G253" s="21">
        <v>2453</v>
      </c>
      <c r="H253" s="21">
        <v>2565</v>
      </c>
      <c r="I253" s="21">
        <v>2923.2599999999984</v>
      </c>
      <c r="J253" s="21">
        <v>11078343.83</v>
      </c>
      <c r="K253" s="21">
        <v>12142836.990000002</v>
      </c>
      <c r="L253" s="21">
        <v>13441247.849999998</v>
      </c>
      <c r="M253" s="21">
        <v>33406059.409999955</v>
      </c>
      <c r="N253" s="21">
        <v>36719105.389999993</v>
      </c>
      <c r="O253" s="21">
        <v>40800715.25999999</v>
      </c>
      <c r="S253" s="25">
        <f t="shared" si="93"/>
        <v>-9.3549641307910991E-2</v>
      </c>
      <c r="T253" s="26">
        <f t="shared" si="94"/>
        <v>-6.6638072781679214E-2</v>
      </c>
      <c r="U253" s="27">
        <f t="shared" si="95"/>
        <v>-7.9341147113476396E-2</v>
      </c>
      <c r="W253" s="13">
        <f t="shared" si="89"/>
        <v>1</v>
      </c>
      <c r="Y253" s="14">
        <f t="shared" si="90"/>
        <v>2565</v>
      </c>
      <c r="Z253" s="14">
        <f t="shared" si="91"/>
        <v>12142836.990000002</v>
      </c>
      <c r="AA253" s="14">
        <f t="shared" si="92"/>
        <v>36719105.389999993</v>
      </c>
    </row>
    <row r="254" spans="5:27" outlineLevel="1" x14ac:dyDescent="0.25">
      <c r="E254" s="4" t="s">
        <v>39</v>
      </c>
      <c r="F254" s="4">
        <v>7</v>
      </c>
      <c r="G254" s="21">
        <v>2529</v>
      </c>
      <c r="H254" s="21"/>
      <c r="I254" s="21">
        <v>2837.1699999999983</v>
      </c>
      <c r="J254" s="21">
        <v>11529381.010000009</v>
      </c>
      <c r="K254" s="21"/>
      <c r="L254" s="21">
        <v>13178454.910000009</v>
      </c>
      <c r="M254" s="21">
        <v>34527312.919999972</v>
      </c>
      <c r="N254" s="21"/>
      <c r="O254" s="21">
        <v>40233336.610000007</v>
      </c>
      <c r="S254" s="25">
        <f t="shared" si="93"/>
        <v>-9.3549641307910991E-2</v>
      </c>
      <c r="T254" s="26">
        <f t="shared" si="94"/>
        <v>-6.6638072781679214E-2</v>
      </c>
      <c r="U254" s="27">
        <f t="shared" si="95"/>
        <v>-7.9341147113476396E-2</v>
      </c>
      <c r="W254" s="13">
        <f t="shared" si="89"/>
        <v>0</v>
      </c>
      <c r="Y254" s="14">
        <f t="shared" si="90"/>
        <v>2571.7537641704325</v>
      </c>
      <c r="Z254" s="14">
        <f t="shared" si="91"/>
        <v>12300268.072557351</v>
      </c>
      <c r="AA254" s="14">
        <f t="shared" si="92"/>
        <v>37041177.531159982</v>
      </c>
    </row>
    <row r="255" spans="5:27" outlineLevel="1" x14ac:dyDescent="0.25">
      <c r="E255" s="4" t="s">
        <v>39</v>
      </c>
      <c r="F255" s="4">
        <v>8</v>
      </c>
      <c r="G255" s="21">
        <v>2516</v>
      </c>
      <c r="H255" s="21"/>
      <c r="I255" s="21">
        <v>2882.2700000000018</v>
      </c>
      <c r="J255" s="21">
        <v>11229734.950000007</v>
      </c>
      <c r="K255" s="21"/>
      <c r="L255" s="21">
        <v>13252474.290000012</v>
      </c>
      <c r="M255" s="21">
        <v>33446962.04999999</v>
      </c>
      <c r="N255" s="21"/>
      <c r="O255" s="21">
        <v>40371922.049999967</v>
      </c>
      <c r="S255" s="25">
        <f t="shared" si="93"/>
        <v>-9.3549641307910991E-2</v>
      </c>
      <c r="T255" s="26">
        <f t="shared" si="94"/>
        <v>-6.6638072781679214E-2</v>
      </c>
      <c r="U255" s="27">
        <f t="shared" si="95"/>
        <v>-7.9341147113476396E-2</v>
      </c>
      <c r="W255" s="13">
        <f t="shared" si="89"/>
        <v>0</v>
      </c>
      <c r="Y255" s="14">
        <f t="shared" si="90"/>
        <v>2612.634675347449</v>
      </c>
      <c r="Z255" s="14">
        <f t="shared" si="91"/>
        <v>12369354.943725659</v>
      </c>
      <c r="AA255" s="14">
        <f t="shared" si="92"/>
        <v>37168767.443377115</v>
      </c>
    </row>
    <row r="256" spans="5:27" outlineLevel="1" x14ac:dyDescent="0.25">
      <c r="E256" s="4" t="s">
        <v>39</v>
      </c>
      <c r="F256" s="4">
        <v>9</v>
      </c>
      <c r="G256" s="21">
        <v>2679</v>
      </c>
      <c r="H256" s="21"/>
      <c r="I256" s="21">
        <v>2914.4599999999987</v>
      </c>
      <c r="J256" s="21">
        <v>12245618.720000004</v>
      </c>
      <c r="K256" s="21"/>
      <c r="L256" s="21">
        <v>13453875.470000016</v>
      </c>
      <c r="M256" s="21">
        <v>37117891.539999992</v>
      </c>
      <c r="N256" s="21"/>
      <c r="O256" s="21">
        <v>40997165.490000002</v>
      </c>
      <c r="S256" s="25">
        <f t="shared" si="93"/>
        <v>-9.3549641307910991E-2</v>
      </c>
      <c r="T256" s="26">
        <f t="shared" si="94"/>
        <v>-6.6638072781679214E-2</v>
      </c>
      <c r="U256" s="27">
        <f t="shared" si="95"/>
        <v>-7.9341147113476396E-2</v>
      </c>
      <c r="W256" s="13">
        <f t="shared" si="89"/>
        <v>0</v>
      </c>
      <c r="Y256" s="14">
        <f t="shared" si="90"/>
        <v>2641.8133123937446</v>
      </c>
      <c r="Z256" s="14">
        <f t="shared" si="91"/>
        <v>12557335.137234505</v>
      </c>
      <c r="AA256" s="14">
        <f t="shared" si="92"/>
        <v>37744403.351622373</v>
      </c>
    </row>
    <row r="257" spans="5:27" outlineLevel="1" x14ac:dyDescent="0.25">
      <c r="E257" s="4" t="s">
        <v>39</v>
      </c>
      <c r="F257" s="4">
        <v>10</v>
      </c>
      <c r="G257" s="21">
        <v>2980</v>
      </c>
      <c r="H257" s="21"/>
      <c r="I257" s="21">
        <v>3007.4000000000015</v>
      </c>
      <c r="J257" s="21">
        <v>13599762.260000007</v>
      </c>
      <c r="K257" s="21"/>
      <c r="L257" s="21">
        <v>14061234.879999992</v>
      </c>
      <c r="M257" s="21">
        <v>40573298.649999969</v>
      </c>
      <c r="N257" s="21"/>
      <c r="O257" s="21">
        <v>42839233.960000001</v>
      </c>
      <c r="S257" s="25">
        <f t="shared" si="93"/>
        <v>-9.3549641307910991E-2</v>
      </c>
      <c r="T257" s="26">
        <f t="shared" si="94"/>
        <v>-6.6638072781679214E-2</v>
      </c>
      <c r="U257" s="27">
        <f t="shared" si="95"/>
        <v>-7.9341147113476396E-2</v>
      </c>
      <c r="W257" s="13">
        <f t="shared" si="89"/>
        <v>0</v>
      </c>
      <c r="Y257" s="14">
        <f t="shared" si="90"/>
        <v>2726.0588087305896</v>
      </c>
      <c r="Z257" s="14">
        <f t="shared" si="91"/>
        <v>13124221.286666265</v>
      </c>
      <c r="AA257" s="14">
        <f t="shared" si="92"/>
        <v>39440319.996151008</v>
      </c>
    </row>
    <row r="258" spans="5:27" outlineLevel="1" x14ac:dyDescent="0.25">
      <c r="E258" s="4" t="s">
        <v>39</v>
      </c>
      <c r="F258" s="4">
        <v>11</v>
      </c>
      <c r="G258" s="21">
        <v>3710</v>
      </c>
      <c r="H258" s="21"/>
      <c r="I258" s="21">
        <v>3174.6199999999985</v>
      </c>
      <c r="J258" s="21">
        <v>16625404.479999999</v>
      </c>
      <c r="K258" s="21"/>
      <c r="L258" s="21">
        <v>14745507.520000014</v>
      </c>
      <c r="M258" s="21">
        <v>49525103.100000016</v>
      </c>
      <c r="N258" s="21"/>
      <c r="O258" s="21">
        <v>44908101.280000031</v>
      </c>
      <c r="S258" s="25">
        <f t="shared" si="93"/>
        <v>-9.3549641307910991E-2</v>
      </c>
      <c r="T258" s="26">
        <f t="shared" si="94"/>
        <v>-6.6638072781679214E-2</v>
      </c>
      <c r="U258" s="27">
        <f t="shared" si="95"/>
        <v>-7.9341147113476396E-2</v>
      </c>
      <c r="W258" s="13">
        <f t="shared" si="89"/>
        <v>0</v>
      </c>
      <c r="Y258" s="14">
        <f t="shared" si="90"/>
        <v>2877.6354377110783</v>
      </c>
      <c r="Z258" s="14">
        <f t="shared" si="91"/>
        <v>13762895.316679455</v>
      </c>
      <c r="AA258" s="14">
        <f t="shared" si="92"/>
        <v>41345041.009756655</v>
      </c>
    </row>
    <row r="259" spans="5:27" outlineLevel="1" x14ac:dyDescent="0.25">
      <c r="E259" s="4" t="s">
        <v>39</v>
      </c>
      <c r="F259" s="4">
        <v>12</v>
      </c>
      <c r="G259" s="21">
        <v>4217</v>
      </c>
      <c r="H259" s="21"/>
      <c r="I259" s="21">
        <v>3262.1299999999997</v>
      </c>
      <c r="J259" s="21">
        <v>19122048.589999996</v>
      </c>
      <c r="K259" s="21"/>
      <c r="L259" s="21">
        <v>15161214.509999998</v>
      </c>
      <c r="M259" s="21">
        <v>57126901.849999949</v>
      </c>
      <c r="N259" s="21"/>
      <c r="O259" s="21">
        <v>46111345.330000013</v>
      </c>
      <c r="S259" s="28">
        <f t="shared" si="93"/>
        <v>-9.3549641307910991E-2</v>
      </c>
      <c r="T259" s="29">
        <f t="shared" si="94"/>
        <v>-6.6638072781679214E-2</v>
      </c>
      <c r="U259" s="30">
        <f t="shared" si="95"/>
        <v>-7.9341147113476396E-2</v>
      </c>
      <c r="W259" s="13">
        <f t="shared" si="89"/>
        <v>0</v>
      </c>
      <c r="Y259" s="14">
        <f t="shared" si="90"/>
        <v>2956.9589086002238</v>
      </c>
      <c r="Z259" s="14">
        <f t="shared" si="91"/>
        <v>14150900.394023968</v>
      </c>
      <c r="AA259" s="14">
        <f t="shared" si="92"/>
        <v>42452818.296572171</v>
      </c>
    </row>
    <row r="260" spans="5:27" outlineLevel="1" x14ac:dyDescent="0.25">
      <c r="E260" s="4" t="s">
        <v>40</v>
      </c>
      <c r="F260" s="4">
        <v>1</v>
      </c>
      <c r="G260" s="21">
        <v>345</v>
      </c>
      <c r="H260" s="21">
        <v>356</v>
      </c>
      <c r="I260" s="21">
        <v>399.61</v>
      </c>
      <c r="J260" s="21">
        <v>1610649.3800000001</v>
      </c>
      <c r="K260" s="21">
        <v>1753713.7199999997</v>
      </c>
      <c r="L260" s="21">
        <v>1857281.5199999998</v>
      </c>
      <c r="M260" s="21">
        <v>4650346.7300000023</v>
      </c>
      <c r="N260" s="21">
        <v>5098865.9099999983</v>
      </c>
      <c r="O260" s="21">
        <v>5510436.4299999997</v>
      </c>
      <c r="S260" s="22">
        <f t="shared" ref="S260:S271" si="96">IFERROR(SUMPRODUCT(H$260:H$271,$W$260:$W$271)/SUMPRODUCT(I$260:I$271,$W$260:$W$271)-1,"")</f>
        <v>-0.11910575155564307</v>
      </c>
      <c r="T260" s="23">
        <f t="shared" ref="T260:T271" si="97">IFERROR(SUMPRODUCT(K$260:K$271,$W$260:$W$271)/SUMPRODUCT(L$260:L$271,$W$260:$W$271)-1,"")</f>
        <v>-8.316672803794023E-2</v>
      </c>
      <c r="U260" s="24">
        <f t="shared" ref="U260:U271" si="98">IFERROR(SUMPRODUCT(N$260:N$271,$W$260:$W$271)/SUMPRODUCT(O$260:O$271,$W$260:$W$271)-1,"")</f>
        <v>-0.11198515381673535</v>
      </c>
      <c r="W260" s="13">
        <f t="shared" si="89"/>
        <v>1</v>
      </c>
      <c r="Y260" s="14">
        <f t="shared" si="90"/>
        <v>356</v>
      </c>
      <c r="Z260" s="14">
        <f t="shared" si="91"/>
        <v>1753713.7199999997</v>
      </c>
      <c r="AA260" s="14">
        <f t="shared" si="92"/>
        <v>5098865.9099999983</v>
      </c>
    </row>
    <row r="261" spans="5:27" outlineLevel="1" x14ac:dyDescent="0.25">
      <c r="E261" s="4" t="s">
        <v>40</v>
      </c>
      <c r="F261" s="4">
        <v>2</v>
      </c>
      <c r="G261" s="21">
        <v>274</v>
      </c>
      <c r="H261" s="21">
        <v>281</v>
      </c>
      <c r="I261" s="21">
        <v>401.16999999999996</v>
      </c>
      <c r="J261" s="21">
        <v>1275908.99</v>
      </c>
      <c r="K261" s="21">
        <v>1367496.4799999997</v>
      </c>
      <c r="L261" s="21">
        <v>1866323.4499999997</v>
      </c>
      <c r="M261" s="21">
        <v>3688542.32</v>
      </c>
      <c r="N261" s="21">
        <v>3991479.48</v>
      </c>
      <c r="O261" s="21">
        <v>5508161.7300000032</v>
      </c>
      <c r="S261" s="25">
        <f t="shared" si="96"/>
        <v>-0.11910575155564307</v>
      </c>
      <c r="T261" s="26">
        <f t="shared" si="97"/>
        <v>-8.316672803794023E-2</v>
      </c>
      <c r="U261" s="27">
        <f t="shared" si="98"/>
        <v>-0.11198515381673535</v>
      </c>
      <c r="W261" s="13">
        <f t="shared" si="89"/>
        <v>1</v>
      </c>
      <c r="Y261" s="14">
        <f t="shared" si="90"/>
        <v>281</v>
      </c>
      <c r="Z261" s="14">
        <f t="shared" si="91"/>
        <v>1367496.4799999997</v>
      </c>
      <c r="AA261" s="14">
        <f t="shared" si="92"/>
        <v>3991479.48</v>
      </c>
    </row>
    <row r="262" spans="5:27" outlineLevel="1" x14ac:dyDescent="0.25">
      <c r="E262" s="4" t="s">
        <v>40</v>
      </c>
      <c r="F262" s="4">
        <v>3</v>
      </c>
      <c r="G262" s="21">
        <v>385</v>
      </c>
      <c r="H262" s="21">
        <v>392</v>
      </c>
      <c r="I262" s="21">
        <v>423.79999999999984</v>
      </c>
      <c r="J262" s="21">
        <v>1816987.6200000006</v>
      </c>
      <c r="K262" s="21">
        <v>1941110.5599999998</v>
      </c>
      <c r="L262" s="21">
        <v>1955145.5499999993</v>
      </c>
      <c r="M262" s="21">
        <v>5158984.330000001</v>
      </c>
      <c r="N262" s="21">
        <v>5562058.4800000004</v>
      </c>
      <c r="O262" s="21">
        <v>5728892.2200000025</v>
      </c>
      <c r="S262" s="25">
        <f t="shared" si="96"/>
        <v>-0.11910575155564307</v>
      </c>
      <c r="T262" s="26">
        <f t="shared" si="97"/>
        <v>-8.316672803794023E-2</v>
      </c>
      <c r="U262" s="27">
        <f t="shared" si="98"/>
        <v>-0.11198515381673535</v>
      </c>
      <c r="W262" s="13">
        <f t="shared" si="89"/>
        <v>1</v>
      </c>
      <c r="Y262" s="14">
        <f t="shared" si="90"/>
        <v>392</v>
      </c>
      <c r="Z262" s="14">
        <f t="shared" si="91"/>
        <v>1941110.5599999998</v>
      </c>
      <c r="AA262" s="14">
        <f t="shared" si="92"/>
        <v>5562058.4800000004</v>
      </c>
    </row>
    <row r="263" spans="5:27" outlineLevel="1" x14ac:dyDescent="0.25">
      <c r="E263" s="4" t="s">
        <v>40</v>
      </c>
      <c r="F263" s="4">
        <v>4</v>
      </c>
      <c r="G263" s="21">
        <v>321</v>
      </c>
      <c r="H263" s="21">
        <v>337</v>
      </c>
      <c r="I263" s="21">
        <v>401.64999999999992</v>
      </c>
      <c r="J263" s="21">
        <v>1414318.9200000004</v>
      </c>
      <c r="K263" s="21">
        <v>1569276.0999999999</v>
      </c>
      <c r="L263" s="21">
        <v>1871284.2699999993</v>
      </c>
      <c r="M263" s="21">
        <v>4204266.4700000007</v>
      </c>
      <c r="N263" s="21">
        <v>4597008.3400000017</v>
      </c>
      <c r="O263" s="21">
        <v>5560818.8599999994</v>
      </c>
      <c r="S263" s="25">
        <f t="shared" si="96"/>
        <v>-0.11910575155564307</v>
      </c>
      <c r="T263" s="26">
        <f t="shared" si="97"/>
        <v>-8.316672803794023E-2</v>
      </c>
      <c r="U263" s="27">
        <f t="shared" si="98"/>
        <v>-0.11198515381673535</v>
      </c>
      <c r="W263" s="13">
        <f t="shared" si="89"/>
        <v>1</v>
      </c>
      <c r="Y263" s="14">
        <f t="shared" si="90"/>
        <v>337</v>
      </c>
      <c r="Z263" s="14">
        <f t="shared" si="91"/>
        <v>1569276.0999999999</v>
      </c>
      <c r="AA263" s="14">
        <f t="shared" si="92"/>
        <v>4597008.3400000017</v>
      </c>
    </row>
    <row r="264" spans="5:27" outlineLevel="1" x14ac:dyDescent="0.25">
      <c r="E264" s="4" t="s">
        <v>40</v>
      </c>
      <c r="F264" s="4">
        <v>5</v>
      </c>
      <c r="G264" s="21">
        <v>352</v>
      </c>
      <c r="H264" s="21">
        <v>365</v>
      </c>
      <c r="I264" s="21">
        <v>431.74999999999989</v>
      </c>
      <c r="J264" s="21">
        <v>1536495.76</v>
      </c>
      <c r="K264" s="21">
        <v>1684809.42</v>
      </c>
      <c r="L264" s="21">
        <v>2021585.1200000006</v>
      </c>
      <c r="M264" s="21">
        <v>4560097.33</v>
      </c>
      <c r="N264" s="21">
        <v>4900960.3199999984</v>
      </c>
      <c r="O264" s="21">
        <v>6006172.3700000001</v>
      </c>
      <c r="S264" s="25">
        <f t="shared" si="96"/>
        <v>-0.11910575155564307</v>
      </c>
      <c r="T264" s="26">
        <f t="shared" si="97"/>
        <v>-8.316672803794023E-2</v>
      </c>
      <c r="U264" s="27">
        <f t="shared" si="98"/>
        <v>-0.11198515381673535</v>
      </c>
      <c r="W264" s="13">
        <f t="shared" si="89"/>
        <v>1</v>
      </c>
      <c r="Y264" s="14">
        <f t="shared" si="90"/>
        <v>365</v>
      </c>
      <c r="Z264" s="14">
        <f t="shared" si="91"/>
        <v>1684809.42</v>
      </c>
      <c r="AA264" s="14">
        <f t="shared" si="92"/>
        <v>4900960.3199999984</v>
      </c>
    </row>
    <row r="265" spans="5:27" outlineLevel="1" x14ac:dyDescent="0.25">
      <c r="E265" s="4" t="s">
        <v>40</v>
      </c>
      <c r="F265" s="4">
        <v>6</v>
      </c>
      <c r="G265" s="21">
        <v>453</v>
      </c>
      <c r="H265" s="21">
        <v>459</v>
      </c>
      <c r="I265" s="21">
        <v>428.12999999999994</v>
      </c>
      <c r="J265" s="21">
        <v>2146093.9000000004</v>
      </c>
      <c r="K265" s="21">
        <v>2287236.9399999995</v>
      </c>
      <c r="L265" s="21">
        <v>1993888.8300000008</v>
      </c>
      <c r="M265" s="21">
        <v>5965075.3399999999</v>
      </c>
      <c r="N265" s="21">
        <v>6231672.5000000009</v>
      </c>
      <c r="O265" s="21">
        <v>5898961.0600000005</v>
      </c>
      <c r="S265" s="25">
        <f t="shared" si="96"/>
        <v>-0.11910575155564307</v>
      </c>
      <c r="T265" s="26">
        <f t="shared" si="97"/>
        <v>-8.316672803794023E-2</v>
      </c>
      <c r="U265" s="27">
        <f t="shared" si="98"/>
        <v>-0.11198515381673535</v>
      </c>
      <c r="W265" s="13">
        <f t="shared" si="89"/>
        <v>1</v>
      </c>
      <c r="Y265" s="14">
        <f t="shared" si="90"/>
        <v>459</v>
      </c>
      <c r="Z265" s="14">
        <f t="shared" si="91"/>
        <v>2287236.9399999995</v>
      </c>
      <c r="AA265" s="14">
        <f t="shared" si="92"/>
        <v>6231672.5000000009</v>
      </c>
    </row>
    <row r="266" spans="5:27" outlineLevel="1" x14ac:dyDescent="0.25">
      <c r="E266" s="4" t="s">
        <v>40</v>
      </c>
      <c r="F266" s="4">
        <v>7</v>
      </c>
      <c r="G266" s="21">
        <v>303</v>
      </c>
      <c r="H266" s="21"/>
      <c r="I266" s="21">
        <v>417.52000000000015</v>
      </c>
      <c r="J266" s="21">
        <v>1316607.76</v>
      </c>
      <c r="K266" s="21"/>
      <c r="L266" s="21">
        <v>1962558.4199999995</v>
      </c>
      <c r="M266" s="21">
        <v>3694322.5500000003</v>
      </c>
      <c r="N266" s="21"/>
      <c r="O266" s="21">
        <v>5854039.0400000028</v>
      </c>
      <c r="S266" s="25">
        <f t="shared" si="96"/>
        <v>-0.11910575155564307</v>
      </c>
      <c r="T266" s="26">
        <f t="shared" si="97"/>
        <v>-8.316672803794023E-2</v>
      </c>
      <c r="U266" s="27">
        <f t="shared" si="98"/>
        <v>-0.11198515381673535</v>
      </c>
      <c r="W266" s="13">
        <f t="shared" si="89"/>
        <v>0</v>
      </c>
      <c r="Y266" s="14">
        <f t="shared" si="90"/>
        <v>367.79096661048806</v>
      </c>
      <c r="Z266" s="14">
        <f t="shared" si="91"/>
        <v>1799338.8576252898</v>
      </c>
      <c r="AA266" s="14">
        <f t="shared" si="92"/>
        <v>5198473.5776564283</v>
      </c>
    </row>
    <row r="267" spans="5:27" outlineLevel="1" x14ac:dyDescent="0.25">
      <c r="E267" s="4" t="s">
        <v>40</v>
      </c>
      <c r="F267" s="4">
        <v>8</v>
      </c>
      <c r="G267" s="21">
        <v>344</v>
      </c>
      <c r="H267" s="21"/>
      <c r="I267" s="21">
        <v>432.75000000000011</v>
      </c>
      <c r="J267" s="21">
        <v>1603916.95</v>
      </c>
      <c r="K267" s="21"/>
      <c r="L267" s="21">
        <v>2033753.5399999998</v>
      </c>
      <c r="M267" s="21">
        <v>4550865.9600000028</v>
      </c>
      <c r="N267" s="21"/>
      <c r="O267" s="21">
        <v>6022045.870000002</v>
      </c>
      <c r="S267" s="25">
        <f t="shared" si="96"/>
        <v>-0.11910575155564307</v>
      </c>
      <c r="T267" s="26">
        <f t="shared" si="97"/>
        <v>-8.316672803794023E-2</v>
      </c>
      <c r="U267" s="27">
        <f t="shared" si="98"/>
        <v>-0.11198515381673535</v>
      </c>
      <c r="W267" s="13">
        <f t="shared" si="89"/>
        <v>0</v>
      </c>
      <c r="Y267" s="14">
        <f t="shared" si="90"/>
        <v>381.20698601429558</v>
      </c>
      <c r="Z267" s="14">
        <f t="shared" si="91"/>
        <v>1864612.9124426215</v>
      </c>
      <c r="AA267" s="14">
        <f t="shared" si="92"/>
        <v>5347666.1369566163</v>
      </c>
    </row>
    <row r="268" spans="5:27" outlineLevel="1" x14ac:dyDescent="0.25">
      <c r="E268" s="4" t="s">
        <v>40</v>
      </c>
      <c r="F268" s="4">
        <v>9</v>
      </c>
      <c r="G268" s="21">
        <v>366</v>
      </c>
      <c r="H268" s="21"/>
      <c r="I268" s="21">
        <v>444.22000000000008</v>
      </c>
      <c r="J268" s="21">
        <v>1626060.3699999996</v>
      </c>
      <c r="K268" s="21"/>
      <c r="L268" s="21">
        <v>2064740.2399999993</v>
      </c>
      <c r="M268" s="21">
        <v>4440330.9500000011</v>
      </c>
      <c r="N268" s="21"/>
      <c r="O268" s="21">
        <v>6100909.8699999992</v>
      </c>
      <c r="S268" s="25">
        <f t="shared" si="96"/>
        <v>-0.11910575155564307</v>
      </c>
      <c r="T268" s="26">
        <f t="shared" si="97"/>
        <v>-8.316672803794023E-2</v>
      </c>
      <c r="U268" s="27">
        <f t="shared" si="98"/>
        <v>-0.11198515381673535</v>
      </c>
      <c r="W268" s="13">
        <f t="shared" si="89"/>
        <v>0</v>
      </c>
      <c r="Y268" s="14">
        <f t="shared" si="90"/>
        <v>391.31084304395233</v>
      </c>
      <c r="Z268" s="14">
        <f t="shared" si="91"/>
        <v>1893022.5499909278</v>
      </c>
      <c r="AA268" s="14">
        <f t="shared" si="92"/>
        <v>5417698.53978601</v>
      </c>
    </row>
    <row r="269" spans="5:27" outlineLevel="1" x14ac:dyDescent="0.25">
      <c r="E269" s="4" t="s">
        <v>40</v>
      </c>
      <c r="F269" s="4">
        <v>10</v>
      </c>
      <c r="G269" s="21">
        <v>439</v>
      </c>
      <c r="H269" s="21"/>
      <c r="I269" s="21">
        <v>447.46000000000021</v>
      </c>
      <c r="J269" s="21">
        <v>2061078.79</v>
      </c>
      <c r="K269" s="21"/>
      <c r="L269" s="21">
        <v>2103476.63</v>
      </c>
      <c r="M269" s="21">
        <v>5962174.9099999992</v>
      </c>
      <c r="N269" s="21"/>
      <c r="O269" s="21">
        <v>6236621.0399999972</v>
      </c>
      <c r="S269" s="25">
        <f t="shared" si="96"/>
        <v>-0.11910575155564307</v>
      </c>
      <c r="T269" s="26">
        <f t="shared" si="97"/>
        <v>-8.316672803794023E-2</v>
      </c>
      <c r="U269" s="27">
        <f t="shared" si="98"/>
        <v>-0.11198515381673535</v>
      </c>
      <c r="W269" s="13">
        <f t="shared" si="89"/>
        <v>0</v>
      </c>
      <c r="Y269" s="14">
        <f t="shared" si="90"/>
        <v>394.16494040891212</v>
      </c>
      <c r="Z269" s="14">
        <f t="shared" si="91"/>
        <v>1928537.3611786268</v>
      </c>
      <c r="AA269" s="14">
        <f t="shared" si="92"/>
        <v>5538212.0735389097</v>
      </c>
    </row>
    <row r="270" spans="5:27" outlineLevel="1" x14ac:dyDescent="0.25">
      <c r="E270" s="4" t="s">
        <v>40</v>
      </c>
      <c r="F270" s="4">
        <v>11</v>
      </c>
      <c r="G270" s="21">
        <v>582</v>
      </c>
      <c r="H270" s="21"/>
      <c r="I270" s="21">
        <v>462.94999999999982</v>
      </c>
      <c r="J270" s="21">
        <v>2771033.8400000012</v>
      </c>
      <c r="K270" s="21"/>
      <c r="L270" s="21">
        <v>2150690.77</v>
      </c>
      <c r="M270" s="21">
        <v>7817713.2900000019</v>
      </c>
      <c r="N270" s="21"/>
      <c r="O270" s="21">
        <v>6367882.0599999987</v>
      </c>
      <c r="S270" s="25">
        <f t="shared" si="96"/>
        <v>-0.11910575155564307</v>
      </c>
      <c r="T270" s="26">
        <f t="shared" si="97"/>
        <v>-8.316672803794023E-2</v>
      </c>
      <c r="U270" s="27">
        <f t="shared" si="98"/>
        <v>-0.11198515381673535</v>
      </c>
      <c r="W270" s="13">
        <f t="shared" si="89"/>
        <v>0</v>
      </c>
      <c r="Y270" s="14">
        <f t="shared" si="90"/>
        <v>407.80999231731488</v>
      </c>
      <c r="Z270" s="14">
        <f t="shared" si="91"/>
        <v>1971824.8556377017</v>
      </c>
      <c r="AA270" s="14">
        <f t="shared" si="92"/>
        <v>5654773.8080240693</v>
      </c>
    </row>
    <row r="271" spans="5:27" outlineLevel="1" x14ac:dyDescent="0.25">
      <c r="E271" s="4" t="s">
        <v>40</v>
      </c>
      <c r="F271" s="4">
        <v>12</v>
      </c>
      <c r="G271" s="21">
        <v>633</v>
      </c>
      <c r="H271" s="21"/>
      <c r="I271" s="21">
        <v>471.49000000000018</v>
      </c>
      <c r="J271" s="21">
        <v>2898477.6899999995</v>
      </c>
      <c r="K271" s="21"/>
      <c r="L271" s="21">
        <v>2187748.7800000003</v>
      </c>
      <c r="M271" s="21">
        <v>7998575.4899999984</v>
      </c>
      <c r="N271" s="21"/>
      <c r="O271" s="21">
        <v>6443475.7200000016</v>
      </c>
      <c r="S271" s="28">
        <f t="shared" si="96"/>
        <v>-0.11910575155564307</v>
      </c>
      <c r="T271" s="29">
        <f t="shared" si="97"/>
        <v>-8.316672803794023E-2</v>
      </c>
      <c r="U271" s="30">
        <f t="shared" si="98"/>
        <v>-0.11198515381673535</v>
      </c>
      <c r="W271" s="13">
        <f t="shared" si="89"/>
        <v>0</v>
      </c>
      <c r="Y271" s="14">
        <f t="shared" si="90"/>
        <v>415.33282919903002</v>
      </c>
      <c r="Z271" s="14">
        <f t="shared" si="91"/>
        <v>2005800.8721984047</v>
      </c>
      <c r="AA271" s="14">
        <f t="shared" si="92"/>
        <v>5721902.1003814023</v>
      </c>
    </row>
    <row r="272" spans="5:27" outlineLevel="1" x14ac:dyDescent="0.25">
      <c r="E272" s="4" t="s">
        <v>41</v>
      </c>
      <c r="F272" s="4">
        <v>1</v>
      </c>
      <c r="G272" s="21">
        <v>728</v>
      </c>
      <c r="H272" s="21">
        <v>756</v>
      </c>
      <c r="I272" s="21">
        <v>928.88000000000022</v>
      </c>
      <c r="J272" s="21">
        <v>3391584.0399999986</v>
      </c>
      <c r="K272" s="21">
        <v>3713986.7199999988</v>
      </c>
      <c r="L272" s="21">
        <v>4337685.459999999</v>
      </c>
      <c r="M272" s="21">
        <v>10167824.57</v>
      </c>
      <c r="N272" s="21">
        <v>11163513.960000003</v>
      </c>
      <c r="O272" s="21">
        <v>13188861.950000005</v>
      </c>
      <c r="S272" s="22">
        <f t="shared" ref="S272:S283" si="99">IFERROR(SUMPRODUCT(H$272:H$283,$W$272:$W$283)/SUMPRODUCT(I$272:I$283,$W$272:$W$283)-1,"")</f>
        <v>-8.2758146254213738E-2</v>
      </c>
      <c r="T272" s="23">
        <f t="shared" ref="T272:T283" si="100">IFERROR(SUMPRODUCT(K$272:K$283,$W$272:$W$283)/SUMPRODUCT(L$272:L$283,$W$272:$W$283)-1,"")</f>
        <v>-5.3276034898537827E-2</v>
      </c>
      <c r="U272" s="24">
        <f t="shared" ref="U272:U283" si="101">IFERROR(SUMPRODUCT(N$272:N$283,$W$272:$W$283)/SUMPRODUCT(O$272:O$283,$W$272:$W$283)-1,"")</f>
        <v>-7.4227494054779797E-2</v>
      </c>
      <c r="W272" s="13">
        <f t="shared" si="89"/>
        <v>1</v>
      </c>
      <c r="Y272" s="14">
        <f t="shared" si="90"/>
        <v>756</v>
      </c>
      <c r="Z272" s="14">
        <f t="shared" si="91"/>
        <v>3713986.7199999988</v>
      </c>
      <c r="AA272" s="14">
        <f t="shared" si="92"/>
        <v>11163513.960000003</v>
      </c>
    </row>
    <row r="273" spans="4:27" outlineLevel="1" x14ac:dyDescent="0.25">
      <c r="E273" s="4" t="s">
        <v>41</v>
      </c>
      <c r="F273" s="4">
        <v>2</v>
      </c>
      <c r="G273" s="21">
        <v>790</v>
      </c>
      <c r="H273" s="21">
        <v>819</v>
      </c>
      <c r="I273" s="21">
        <v>925.96999999999991</v>
      </c>
      <c r="J273" s="21">
        <v>3666660.870000001</v>
      </c>
      <c r="K273" s="21">
        <v>3999128.8000000003</v>
      </c>
      <c r="L273" s="21">
        <v>4316859.59</v>
      </c>
      <c r="M273" s="21">
        <v>10959161.170000006</v>
      </c>
      <c r="N273" s="21">
        <v>11973751.230000002</v>
      </c>
      <c r="O273" s="21">
        <v>13129567.519999992</v>
      </c>
      <c r="S273" s="25">
        <f t="shared" si="99"/>
        <v>-8.2758146254213738E-2</v>
      </c>
      <c r="T273" s="26">
        <f t="shared" si="100"/>
        <v>-5.3276034898537827E-2</v>
      </c>
      <c r="U273" s="27">
        <f t="shared" si="101"/>
        <v>-7.4227494054779797E-2</v>
      </c>
      <c r="W273" s="13">
        <f t="shared" si="89"/>
        <v>1</v>
      </c>
      <c r="Y273" s="14">
        <f t="shared" si="90"/>
        <v>819</v>
      </c>
      <c r="Z273" s="14">
        <f t="shared" si="91"/>
        <v>3999128.8000000003</v>
      </c>
      <c r="AA273" s="14">
        <f t="shared" si="92"/>
        <v>11973751.230000002</v>
      </c>
    </row>
    <row r="274" spans="4:27" outlineLevel="1" x14ac:dyDescent="0.25">
      <c r="E274" s="4" t="s">
        <v>41</v>
      </c>
      <c r="F274" s="4">
        <v>3</v>
      </c>
      <c r="G274" s="21">
        <v>835</v>
      </c>
      <c r="H274" s="21">
        <v>861</v>
      </c>
      <c r="I274" s="21">
        <v>936.3300000000005</v>
      </c>
      <c r="J274" s="21">
        <v>3742489.9199999981</v>
      </c>
      <c r="K274" s="21">
        <v>4065292.3900000011</v>
      </c>
      <c r="L274" s="21">
        <v>4308839.8699999992</v>
      </c>
      <c r="M274" s="21">
        <v>11198736.139999999</v>
      </c>
      <c r="N274" s="21">
        <v>12293438.300000006</v>
      </c>
      <c r="O274" s="21">
        <v>13095449.59999999</v>
      </c>
      <c r="S274" s="25">
        <f t="shared" si="99"/>
        <v>-8.2758146254213738E-2</v>
      </c>
      <c r="T274" s="26">
        <f t="shared" si="100"/>
        <v>-5.3276034898537827E-2</v>
      </c>
      <c r="U274" s="27">
        <f t="shared" si="101"/>
        <v>-7.4227494054779797E-2</v>
      </c>
      <c r="W274" s="13">
        <f t="shared" si="89"/>
        <v>1</v>
      </c>
      <c r="Y274" s="14">
        <f t="shared" si="90"/>
        <v>861</v>
      </c>
      <c r="Z274" s="14">
        <f t="shared" si="91"/>
        <v>4065292.3900000011</v>
      </c>
      <c r="AA274" s="14">
        <f t="shared" si="92"/>
        <v>12293438.300000006</v>
      </c>
    </row>
    <row r="275" spans="4:27" outlineLevel="1" x14ac:dyDescent="0.25">
      <c r="E275" s="4" t="s">
        <v>41</v>
      </c>
      <c r="F275" s="4">
        <v>4</v>
      </c>
      <c r="G275" s="21">
        <v>918</v>
      </c>
      <c r="H275" s="21">
        <v>945</v>
      </c>
      <c r="I275" s="21">
        <v>924.63000000000034</v>
      </c>
      <c r="J275" s="21">
        <v>4280396.26</v>
      </c>
      <c r="K275" s="21">
        <v>4661771.83</v>
      </c>
      <c r="L275" s="21">
        <v>4355322.59</v>
      </c>
      <c r="M275" s="21">
        <v>12923957.399999995</v>
      </c>
      <c r="N275" s="21">
        <v>13970271.640000004</v>
      </c>
      <c r="O275" s="21">
        <v>13266991.030000001</v>
      </c>
      <c r="S275" s="25">
        <f t="shared" si="99"/>
        <v>-8.2758146254213738E-2</v>
      </c>
      <c r="T275" s="26">
        <f t="shared" si="100"/>
        <v>-5.3276034898537827E-2</v>
      </c>
      <c r="U275" s="27">
        <f t="shared" si="101"/>
        <v>-7.4227494054779797E-2</v>
      </c>
      <c r="W275" s="13">
        <f t="shared" si="89"/>
        <v>1</v>
      </c>
      <c r="Y275" s="14">
        <f t="shared" si="90"/>
        <v>945</v>
      </c>
      <c r="Z275" s="14">
        <f t="shared" si="91"/>
        <v>4661771.83</v>
      </c>
      <c r="AA275" s="14">
        <f t="shared" si="92"/>
        <v>13970271.640000004</v>
      </c>
    </row>
    <row r="276" spans="4:27" outlineLevel="1" x14ac:dyDescent="0.25">
      <c r="E276" s="4" t="s">
        <v>41</v>
      </c>
      <c r="F276" s="4">
        <v>5</v>
      </c>
      <c r="G276" s="21">
        <v>922</v>
      </c>
      <c r="H276" s="21">
        <v>953</v>
      </c>
      <c r="I276" s="21">
        <v>969.89000000000033</v>
      </c>
      <c r="J276" s="21">
        <v>4192732.9299999992</v>
      </c>
      <c r="K276" s="21">
        <v>4565664.1500000004</v>
      </c>
      <c r="L276" s="21">
        <v>4525209.3</v>
      </c>
      <c r="M276" s="21">
        <v>12649940.690000005</v>
      </c>
      <c r="N276" s="21">
        <v>13277486.56000001</v>
      </c>
      <c r="O276" s="21">
        <v>13803064.639999993</v>
      </c>
      <c r="S276" s="25">
        <f t="shared" si="99"/>
        <v>-8.2758146254213738E-2</v>
      </c>
      <c r="T276" s="26">
        <f t="shared" si="100"/>
        <v>-5.3276034898537827E-2</v>
      </c>
      <c r="U276" s="27">
        <f t="shared" si="101"/>
        <v>-7.4227494054779797E-2</v>
      </c>
      <c r="W276" s="13">
        <f t="shared" si="89"/>
        <v>1</v>
      </c>
      <c r="Y276" s="14">
        <f t="shared" si="90"/>
        <v>953</v>
      </c>
      <c r="Z276" s="14">
        <f t="shared" si="91"/>
        <v>4565664.1500000004</v>
      </c>
      <c r="AA276" s="14">
        <f t="shared" si="92"/>
        <v>13277486.56000001</v>
      </c>
    </row>
    <row r="277" spans="4:27" outlineLevel="1" x14ac:dyDescent="0.25">
      <c r="E277" s="4" t="s">
        <v>41</v>
      </c>
      <c r="F277" s="4">
        <v>6</v>
      </c>
      <c r="G277" s="21">
        <v>837</v>
      </c>
      <c r="H277" s="21">
        <v>866</v>
      </c>
      <c r="I277" s="21">
        <v>983.46999999999969</v>
      </c>
      <c r="J277" s="21">
        <v>3697387.1499999994</v>
      </c>
      <c r="K277" s="21">
        <v>4017792.7500000019</v>
      </c>
      <c r="L277" s="21">
        <v>4587902.3500000006</v>
      </c>
      <c r="M277" s="21">
        <v>11134138.809999995</v>
      </c>
      <c r="N277" s="21">
        <v>11815864.32</v>
      </c>
      <c r="O277" s="21">
        <v>13983270.250000006</v>
      </c>
      <c r="S277" s="25">
        <f t="shared" si="99"/>
        <v>-8.2758146254213738E-2</v>
      </c>
      <c r="T277" s="26">
        <f t="shared" si="100"/>
        <v>-5.3276034898537827E-2</v>
      </c>
      <c r="U277" s="27">
        <f t="shared" si="101"/>
        <v>-7.4227494054779797E-2</v>
      </c>
      <c r="W277" s="13">
        <f t="shared" si="89"/>
        <v>1</v>
      </c>
      <c r="Y277" s="14">
        <f t="shared" si="90"/>
        <v>866</v>
      </c>
      <c r="Z277" s="14">
        <f t="shared" si="91"/>
        <v>4017792.7500000019</v>
      </c>
      <c r="AA277" s="14">
        <f t="shared" si="92"/>
        <v>11815864.32</v>
      </c>
    </row>
    <row r="278" spans="4:27" outlineLevel="1" x14ac:dyDescent="0.25">
      <c r="E278" s="4" t="s">
        <v>41</v>
      </c>
      <c r="F278" s="4">
        <v>7</v>
      </c>
      <c r="G278" s="21">
        <v>822</v>
      </c>
      <c r="H278" s="21"/>
      <c r="I278" s="21">
        <v>919.37999999999988</v>
      </c>
      <c r="J278" s="21">
        <v>3717952.5000000005</v>
      </c>
      <c r="K278" s="21"/>
      <c r="L278" s="21">
        <v>4360739.5999999987</v>
      </c>
      <c r="M278" s="21">
        <v>10983010.09</v>
      </c>
      <c r="N278" s="21"/>
      <c r="O278" s="21">
        <v>13372454.759999996</v>
      </c>
      <c r="S278" s="25">
        <f t="shared" si="99"/>
        <v>-8.2758146254213738E-2</v>
      </c>
      <c r="T278" s="26">
        <f t="shared" si="100"/>
        <v>-5.3276034898537827E-2</v>
      </c>
      <c r="U278" s="27">
        <f t="shared" si="101"/>
        <v>-7.4227494054779797E-2</v>
      </c>
      <c r="W278" s="13">
        <f t="shared" si="89"/>
        <v>0</v>
      </c>
      <c r="Y278" s="14">
        <f t="shared" si="90"/>
        <v>843.2938154968009</v>
      </c>
      <c r="Z278" s="14">
        <f t="shared" si="91"/>
        <v>4128416.6848869631</v>
      </c>
      <c r="AA278" s="14">
        <f t="shared" si="92"/>
        <v>12379850.953804284</v>
      </c>
    </row>
    <row r="279" spans="4:27" outlineLevel="1" x14ac:dyDescent="0.25">
      <c r="E279" s="4" t="s">
        <v>41</v>
      </c>
      <c r="F279" s="4">
        <v>8</v>
      </c>
      <c r="G279" s="21">
        <v>797</v>
      </c>
      <c r="H279" s="21"/>
      <c r="I279" s="21">
        <v>981.34999999999945</v>
      </c>
      <c r="J279" s="21">
        <v>3770891.1800000006</v>
      </c>
      <c r="K279" s="21"/>
      <c r="L279" s="21">
        <v>4557353.9400000004</v>
      </c>
      <c r="M279" s="21">
        <v>11421098.360000001</v>
      </c>
      <c r="N279" s="21"/>
      <c r="O279" s="21">
        <v>13873784.070000004</v>
      </c>
      <c r="S279" s="25">
        <f t="shared" si="99"/>
        <v>-8.2758146254213738E-2</v>
      </c>
      <c r="T279" s="26">
        <f t="shared" si="100"/>
        <v>-5.3276034898537827E-2</v>
      </c>
      <c r="U279" s="27">
        <f t="shared" si="101"/>
        <v>-7.4227494054779797E-2</v>
      </c>
      <c r="W279" s="13">
        <f t="shared" si="89"/>
        <v>0</v>
      </c>
      <c r="Y279" s="14">
        <f t="shared" si="90"/>
        <v>900.13529317342682</v>
      </c>
      <c r="Z279" s="14">
        <f t="shared" si="91"/>
        <v>4314556.1924475711</v>
      </c>
      <c r="AA279" s="14">
        <f t="shared" si="92"/>
        <v>12843967.845426779</v>
      </c>
    </row>
    <row r="280" spans="4:27" outlineLevel="1" x14ac:dyDescent="0.25">
      <c r="E280" s="4" t="s">
        <v>41</v>
      </c>
      <c r="F280" s="4">
        <v>9</v>
      </c>
      <c r="G280" s="21">
        <v>909</v>
      </c>
      <c r="H280" s="21"/>
      <c r="I280" s="21">
        <v>979.67999999999972</v>
      </c>
      <c r="J280" s="21">
        <v>4231594.2799999975</v>
      </c>
      <c r="K280" s="21"/>
      <c r="L280" s="21">
        <v>4574511.6099999994</v>
      </c>
      <c r="M280" s="21">
        <v>12675646.130000001</v>
      </c>
      <c r="N280" s="21"/>
      <c r="O280" s="21">
        <v>14021028.439999998</v>
      </c>
      <c r="S280" s="25">
        <f t="shared" si="99"/>
        <v>-8.2758146254213738E-2</v>
      </c>
      <c r="T280" s="26">
        <f t="shared" si="100"/>
        <v>-5.3276034898537827E-2</v>
      </c>
      <c r="U280" s="27">
        <f t="shared" si="101"/>
        <v>-7.4227494054779797E-2</v>
      </c>
      <c r="W280" s="13">
        <f t="shared" si="89"/>
        <v>0</v>
      </c>
      <c r="Y280" s="14">
        <f t="shared" si="90"/>
        <v>898.60349927767163</v>
      </c>
      <c r="Z280" s="14">
        <f t="shared" si="91"/>
        <v>4330799.7698218729</v>
      </c>
      <c r="AA280" s="14">
        <f t="shared" si="92"/>
        <v>12980282.634827999</v>
      </c>
    </row>
    <row r="281" spans="4:27" outlineLevel="1" x14ac:dyDescent="0.25">
      <c r="E281" s="4" t="s">
        <v>41</v>
      </c>
      <c r="F281" s="4">
        <v>10</v>
      </c>
      <c r="G281" s="21">
        <v>950</v>
      </c>
      <c r="H281" s="21"/>
      <c r="I281" s="21">
        <v>1035.0500000000002</v>
      </c>
      <c r="J281" s="21">
        <v>4181600.5899999994</v>
      </c>
      <c r="K281" s="21"/>
      <c r="L281" s="21">
        <v>4860964.620000001</v>
      </c>
      <c r="M281" s="21">
        <v>12514563.52</v>
      </c>
      <c r="N281" s="21"/>
      <c r="O281" s="21">
        <v>14890418.049999997</v>
      </c>
      <c r="S281" s="25">
        <f t="shared" si="99"/>
        <v>-8.2758146254213738E-2</v>
      </c>
      <c r="T281" s="26">
        <f t="shared" si="100"/>
        <v>-5.3276034898537827E-2</v>
      </c>
      <c r="U281" s="27">
        <f t="shared" si="101"/>
        <v>-7.4227494054779797E-2</v>
      </c>
      <c r="W281" s="13">
        <f t="shared" si="89"/>
        <v>0</v>
      </c>
      <c r="Y281" s="14">
        <f t="shared" si="90"/>
        <v>949.39118071957625</v>
      </c>
      <c r="Z281" s="14">
        <f t="shared" si="91"/>
        <v>4601991.6992643233</v>
      </c>
      <c r="AA281" s="14">
        <f t="shared" si="92"/>
        <v>13785139.632720437</v>
      </c>
    </row>
    <row r="282" spans="4:27" outlineLevel="1" x14ac:dyDescent="0.25">
      <c r="E282" s="4" t="s">
        <v>41</v>
      </c>
      <c r="F282" s="4">
        <v>11</v>
      </c>
      <c r="G282" s="21">
        <v>1265</v>
      </c>
      <c r="H282" s="21"/>
      <c r="I282" s="21">
        <v>1119.8700000000003</v>
      </c>
      <c r="J282" s="21">
        <v>5912872.2400000021</v>
      </c>
      <c r="K282" s="21"/>
      <c r="L282" s="21">
        <v>5225534.91</v>
      </c>
      <c r="M282" s="21">
        <v>17715498.569999997</v>
      </c>
      <c r="N282" s="21"/>
      <c r="O282" s="21">
        <v>16032883.090000009</v>
      </c>
      <c r="S282" s="25">
        <f t="shared" si="99"/>
        <v>-8.2758146254213738E-2</v>
      </c>
      <c r="T282" s="26">
        <f t="shared" si="100"/>
        <v>-5.3276034898537827E-2</v>
      </c>
      <c r="U282" s="27">
        <f t="shared" si="101"/>
        <v>-7.4227494054779797E-2</v>
      </c>
      <c r="W282" s="13">
        <f t="shared" si="89"/>
        <v>0</v>
      </c>
      <c r="Y282" s="14">
        <f t="shared" si="90"/>
        <v>1027.191634754294</v>
      </c>
      <c r="Z282" s="14">
        <f t="shared" si="91"/>
        <v>4947139.1297713127</v>
      </c>
      <c r="AA282" s="14">
        <f t="shared" si="92"/>
        <v>14842802.355756054</v>
      </c>
    </row>
    <row r="283" spans="4:27" outlineLevel="1" x14ac:dyDescent="0.25">
      <c r="E283" s="4" t="s">
        <v>41</v>
      </c>
      <c r="F283" s="4">
        <v>12</v>
      </c>
      <c r="G283" s="21">
        <v>1468</v>
      </c>
      <c r="H283" s="21"/>
      <c r="I283" s="21">
        <v>1105.49</v>
      </c>
      <c r="J283" s="21">
        <v>6807925.4399999985</v>
      </c>
      <c r="K283" s="21"/>
      <c r="L283" s="21">
        <v>5145310.8899999997</v>
      </c>
      <c r="M283" s="21">
        <v>20568707.479999997</v>
      </c>
      <c r="N283" s="21"/>
      <c r="O283" s="21">
        <v>15767814.42</v>
      </c>
      <c r="S283" s="28">
        <f t="shared" si="99"/>
        <v>-8.2758146254213738E-2</v>
      </c>
      <c r="T283" s="29">
        <f t="shared" si="100"/>
        <v>-5.3276034898537827E-2</v>
      </c>
      <c r="U283" s="30">
        <f t="shared" si="101"/>
        <v>-7.4227494054779797E-2</v>
      </c>
      <c r="W283" s="13">
        <f t="shared" si="89"/>
        <v>0</v>
      </c>
      <c r="Y283" s="14">
        <f t="shared" si="90"/>
        <v>1014.0016968974293</v>
      </c>
      <c r="Z283" s="14">
        <f t="shared" si="91"/>
        <v>4871189.1274605328</v>
      </c>
      <c r="AA283" s="14">
        <f t="shared" si="92"/>
        <v>14597409.068882579</v>
      </c>
    </row>
    <row r="284" spans="4:27" x14ac:dyDescent="0.25">
      <c r="E284" s="4" t="s">
        <v>1</v>
      </c>
      <c r="G284" s="21">
        <v>70972</v>
      </c>
      <c r="H284" s="21">
        <v>32888</v>
      </c>
      <c r="I284" s="21">
        <v>74712.839999999982</v>
      </c>
      <c r="J284" s="21">
        <v>322300531.09000003</v>
      </c>
      <c r="K284" s="21">
        <v>156640261.47000006</v>
      </c>
      <c r="L284" s="21">
        <v>345851990.07000005</v>
      </c>
      <c r="M284" s="21">
        <v>952787356.03999996</v>
      </c>
      <c r="N284" s="21">
        <v>462709055.24000001</v>
      </c>
      <c r="O284" s="21">
        <v>1044312160.7699997</v>
      </c>
      <c r="S284" s="77"/>
      <c r="T284" s="77"/>
      <c r="U284" s="77"/>
      <c r="V284" s="74"/>
      <c r="W284" s="76"/>
      <c r="X284" s="74"/>
      <c r="Y284" s="73">
        <f>IFERROR(SUM(Y236:Y283),"")</f>
        <v>68037.577826431399</v>
      </c>
      <c r="Z284" s="73">
        <f>IFERROR(SUM(Z236:Z283),"")</f>
        <v>324965108.44070554</v>
      </c>
      <c r="AA284" s="73">
        <f>IFERROR(SUM(AA236:AA283),"")</f>
        <v>960919693.68825674</v>
      </c>
    </row>
    <row r="285" spans="4:27" x14ac:dyDescent="0.25">
      <c r="D285" s="68" t="str">
        <f>E285</f>
        <v>APAC</v>
      </c>
      <c r="E285" s="32" t="s">
        <v>38</v>
      </c>
      <c r="G285" s="14">
        <f t="shared" ref="G285:O288" si="102">SUMIF($E$236:$E$283,$E285,G$236:G$283)</f>
        <v>21478</v>
      </c>
      <c r="H285" s="14">
        <f t="shared" si="102"/>
        <v>10041</v>
      </c>
      <c r="I285" s="14">
        <f t="shared" si="102"/>
        <v>22610.069999999992</v>
      </c>
      <c r="J285" s="14">
        <f t="shared" si="102"/>
        <v>97174869.730000004</v>
      </c>
      <c r="K285" s="14">
        <f t="shared" si="102"/>
        <v>47589368.020000011</v>
      </c>
      <c r="L285" s="14">
        <f t="shared" si="102"/>
        <v>104108769.25000001</v>
      </c>
      <c r="M285" s="14">
        <f t="shared" si="102"/>
        <v>281603498.51999998</v>
      </c>
      <c r="N285" s="14">
        <f t="shared" si="102"/>
        <v>137425339.78999999</v>
      </c>
      <c r="O285" s="14">
        <f t="shared" si="102"/>
        <v>309785297.75</v>
      </c>
      <c r="S285" s="31"/>
      <c r="T285" s="31"/>
      <c r="U285" s="31"/>
      <c r="Y285" s="14">
        <f t="shared" ref="Y285:AA288" si="103">IFERROR(SUMIF($E$236:$E$283,$E285,Y$236:Y$283),"")</f>
        <v>20813.48924156469</v>
      </c>
      <c r="Z285" s="14">
        <f t="shared" si="103"/>
        <v>98992009.82709226</v>
      </c>
      <c r="AA285" s="14">
        <f t="shared" si="103"/>
        <v>286135271.88185585</v>
      </c>
    </row>
    <row r="286" spans="4:27" x14ac:dyDescent="0.25">
      <c r="D286" s="68" t="str">
        <f>E286</f>
        <v>EMEA</v>
      </c>
      <c r="E286" s="12" t="s">
        <v>39</v>
      </c>
      <c r="G286" s="14">
        <f t="shared" si="102"/>
        <v>33456</v>
      </c>
      <c r="H286" s="14">
        <f t="shared" si="102"/>
        <v>15457</v>
      </c>
      <c r="I286" s="14">
        <f t="shared" si="102"/>
        <v>35130.28</v>
      </c>
      <c r="J286" s="14">
        <f t="shared" si="102"/>
        <v>151453943.99000001</v>
      </c>
      <c r="K286" s="14">
        <f t="shared" si="102"/>
        <v>73423613.589999974</v>
      </c>
      <c r="L286" s="14">
        <f t="shared" si="102"/>
        <v>162518508.97000003</v>
      </c>
      <c r="M286" s="14">
        <f t="shared" si="102"/>
        <v>453580278.91999978</v>
      </c>
      <c r="N286" s="14">
        <f t="shared" si="102"/>
        <v>220407344.41000003</v>
      </c>
      <c r="O286" s="14">
        <f t="shared" si="102"/>
        <v>494862858.92999995</v>
      </c>
      <c r="S286" s="31"/>
      <c r="T286" s="31"/>
      <c r="U286" s="31"/>
      <c r="Y286" s="14">
        <f t="shared" si="103"/>
        <v>31843.854906953515</v>
      </c>
      <c r="Z286" s="14">
        <f t="shared" si="103"/>
        <v>151688588.74088717</v>
      </c>
      <c r="AA286" s="14">
        <f t="shared" si="103"/>
        <v>455599872.03863937</v>
      </c>
    </row>
    <row r="287" spans="4:27" x14ac:dyDescent="0.25">
      <c r="D287" s="68" t="str">
        <f t="shared" ref="D287:D288" si="104">E287</f>
        <v>LATAM</v>
      </c>
      <c r="E287" s="32" t="s">
        <v>40</v>
      </c>
      <c r="G287" s="14">
        <f t="shared" si="102"/>
        <v>4797</v>
      </c>
      <c r="H287" s="14">
        <f t="shared" si="102"/>
        <v>2190</v>
      </c>
      <c r="I287" s="14">
        <f t="shared" si="102"/>
        <v>5162.5</v>
      </c>
      <c r="J287" s="14">
        <f t="shared" si="102"/>
        <v>22077629.969999999</v>
      </c>
      <c r="K287" s="14">
        <f t="shared" si="102"/>
        <v>10603643.219999999</v>
      </c>
      <c r="L287" s="14">
        <f t="shared" si="102"/>
        <v>24068477.119999997</v>
      </c>
      <c r="M287" s="14">
        <f t="shared" si="102"/>
        <v>62691295.670000002</v>
      </c>
      <c r="N287" s="14">
        <f t="shared" si="102"/>
        <v>30382045.030000001</v>
      </c>
      <c r="O287" s="14">
        <f t="shared" si="102"/>
        <v>71238416.270000011</v>
      </c>
      <c r="S287" s="31"/>
      <c r="T287" s="31"/>
      <c r="U287" s="31"/>
      <c r="Y287" s="14">
        <f t="shared" si="103"/>
        <v>4547.6165575939931</v>
      </c>
      <c r="Z287" s="14">
        <f t="shared" si="103"/>
        <v>22066780.629073575</v>
      </c>
      <c r="AA287" s="14">
        <f t="shared" si="103"/>
        <v>63260771.266343437</v>
      </c>
    </row>
    <row r="288" spans="4:27" x14ac:dyDescent="0.25">
      <c r="D288" s="68" t="str">
        <f t="shared" si="104"/>
        <v>NA</v>
      </c>
      <c r="E288" s="12" t="s">
        <v>41</v>
      </c>
      <c r="G288" s="14">
        <f t="shared" si="102"/>
        <v>11241</v>
      </c>
      <c r="H288" s="14">
        <f t="shared" si="102"/>
        <v>5200</v>
      </c>
      <c r="I288" s="14">
        <f t="shared" si="102"/>
        <v>11809.990000000002</v>
      </c>
      <c r="J288" s="14">
        <f t="shared" si="102"/>
        <v>51594087.399999991</v>
      </c>
      <c r="K288" s="14">
        <f t="shared" si="102"/>
        <v>25023636.640000001</v>
      </c>
      <c r="L288" s="14">
        <f t="shared" si="102"/>
        <v>55156234.729999989</v>
      </c>
      <c r="M288" s="14">
        <f t="shared" si="102"/>
        <v>154912282.92999998</v>
      </c>
      <c r="N288" s="14">
        <f t="shared" si="102"/>
        <v>74494326.01000002</v>
      </c>
      <c r="O288" s="14">
        <f t="shared" si="102"/>
        <v>168425587.81999999</v>
      </c>
      <c r="S288" s="31"/>
      <c r="T288" s="31"/>
      <c r="U288" s="31"/>
      <c r="Y288" s="14">
        <f t="shared" si="103"/>
        <v>10832.617120319197</v>
      </c>
      <c r="Z288" s="14">
        <f t="shared" si="103"/>
        <v>52217729.243652582</v>
      </c>
      <c r="AA288" s="14">
        <f t="shared" si="103"/>
        <v>155923778.50141817</v>
      </c>
    </row>
    <row r="291" spans="5:27" x14ac:dyDescent="0.25">
      <c r="E291" s="4" t="s">
        <v>36</v>
      </c>
    </row>
    <row r="292" spans="5:27" x14ac:dyDescent="0.25">
      <c r="G292" s="19" t="s">
        <v>26</v>
      </c>
      <c r="H292" s="19" t="s">
        <v>27</v>
      </c>
    </row>
    <row r="293" spans="5:27" x14ac:dyDescent="0.25">
      <c r="G293" s="4" t="s">
        <v>13</v>
      </c>
      <c r="J293" s="4" t="s">
        <v>15</v>
      </c>
      <c r="M293" s="4" t="s">
        <v>16</v>
      </c>
      <c r="S293" s="69" t="s">
        <v>13</v>
      </c>
      <c r="T293" s="69" t="s">
        <v>15</v>
      </c>
      <c r="U293" s="69" t="s">
        <v>16</v>
      </c>
      <c r="V293" s="74"/>
      <c r="W293" s="75" t="s">
        <v>94</v>
      </c>
      <c r="X293" s="74"/>
      <c r="Y293" s="72" t="s">
        <v>96</v>
      </c>
      <c r="Z293" s="72"/>
      <c r="AA293" s="72"/>
    </row>
    <row r="294" spans="5:27" x14ac:dyDescent="0.25">
      <c r="E294" s="19" t="s">
        <v>42</v>
      </c>
      <c r="F294" s="19" t="s">
        <v>14</v>
      </c>
      <c r="G294" s="4" t="s">
        <v>24</v>
      </c>
      <c r="H294" s="4" t="s">
        <v>22</v>
      </c>
      <c r="I294" s="4" t="s">
        <v>23</v>
      </c>
      <c r="J294" s="4" t="s">
        <v>24</v>
      </c>
      <c r="K294" s="4" t="s">
        <v>22</v>
      </c>
      <c r="L294" s="4" t="s">
        <v>23</v>
      </c>
      <c r="M294" s="4" t="s">
        <v>24</v>
      </c>
      <c r="N294" s="4" t="s">
        <v>22</v>
      </c>
      <c r="O294" s="4" t="s">
        <v>23</v>
      </c>
      <c r="S294" s="75" t="s">
        <v>93</v>
      </c>
      <c r="T294" s="75" t="s">
        <v>93</v>
      </c>
      <c r="U294" s="75" t="s">
        <v>93</v>
      </c>
      <c r="V294" s="74"/>
      <c r="W294" s="75" t="s">
        <v>95</v>
      </c>
      <c r="X294" s="74"/>
      <c r="Y294" s="70" t="s">
        <v>98</v>
      </c>
      <c r="Z294" s="70" t="s">
        <v>99</v>
      </c>
      <c r="AA294" s="70" t="s">
        <v>100</v>
      </c>
    </row>
    <row r="295" spans="5:27" outlineLevel="1" x14ac:dyDescent="0.25">
      <c r="E295" s="4" t="s">
        <v>43</v>
      </c>
      <c r="F295" s="4">
        <v>1</v>
      </c>
      <c r="G295" s="21">
        <v>24</v>
      </c>
      <c r="H295" s="21">
        <v>26</v>
      </c>
      <c r="I295" s="21">
        <v>36.56</v>
      </c>
      <c r="J295" s="21">
        <v>99374.88</v>
      </c>
      <c r="K295" s="21">
        <v>118281.41999999998</v>
      </c>
      <c r="L295" s="21">
        <v>165560.17000000001</v>
      </c>
      <c r="M295" s="21">
        <v>387159.27</v>
      </c>
      <c r="N295" s="21">
        <v>461412.05000000005</v>
      </c>
      <c r="O295" s="21">
        <v>550122.13</v>
      </c>
      <c r="S295" s="22">
        <f t="shared" ref="S295:S306" si="105">IFERROR(SUMPRODUCT(H$295:H$306,$W$295:$W$306)/SUMPRODUCT(I$295:I$306,$W$295:$W$306)-1,"")</f>
        <v>9.8853558295479038E-2</v>
      </c>
      <c r="T295" s="23">
        <f t="shared" ref="T295:T306" si="106">IFERROR(SUMPRODUCT(K$295:K$306,$W$295:$W$306)/SUMPRODUCT(L$295:L$306,$W$295:$W$306)-1,"")</f>
        <v>0.15746880142461817</v>
      </c>
      <c r="U295" s="24">
        <f t="shared" ref="U295:U306" si="107">IFERROR(SUMPRODUCT(N$295:N$306,$W$295:$W$306)/SUMPRODUCT(O$295:O$306,$W$295:$W$306)-1,"")</f>
        <v>0.16954395125714439</v>
      </c>
      <c r="W295" s="13">
        <f t="shared" ref="W295:W358" si="108">IFERROR(_xlfn.XLOOKUP(F295,$F$13:$F$24,$W$13:$W$24),"")</f>
        <v>1</v>
      </c>
      <c r="Y295" s="14">
        <f t="shared" ref="Y295:Y358" si="109">IFERROR(IF($W295=1,H295,I295*(1+S295)),"")</f>
        <v>26</v>
      </c>
      <c r="Z295" s="14">
        <f t="shared" ref="Z295:Z358" si="110">IFERROR(IF($W295=1,K295,L295*(1+T295)),"")</f>
        <v>118281.41999999998</v>
      </c>
      <c r="AA295" s="14">
        <f t="shared" ref="AA295:AA358" si="111">IFERROR(IF($W295=1,N295,O295*(1+U295)),"")</f>
        <v>461412.05000000005</v>
      </c>
    </row>
    <row r="296" spans="5:27" outlineLevel="1" x14ac:dyDescent="0.25">
      <c r="E296" s="4" t="s">
        <v>43</v>
      </c>
      <c r="F296" s="4">
        <v>2</v>
      </c>
      <c r="G296" s="21">
        <v>55</v>
      </c>
      <c r="H296" s="21">
        <v>57</v>
      </c>
      <c r="I296" s="21">
        <v>37.180000000000007</v>
      </c>
      <c r="J296" s="21">
        <v>258583.17</v>
      </c>
      <c r="K296" s="21">
        <v>279465.7</v>
      </c>
      <c r="L296" s="21">
        <v>168317.21</v>
      </c>
      <c r="M296" s="21">
        <v>855527.57000000007</v>
      </c>
      <c r="N296" s="21">
        <v>923966.00000000012</v>
      </c>
      <c r="O296" s="21">
        <v>559635.03</v>
      </c>
      <c r="S296" s="25">
        <f t="shared" si="105"/>
        <v>9.8853558295479038E-2</v>
      </c>
      <c r="T296" s="26">
        <f t="shared" si="106"/>
        <v>0.15746880142461817</v>
      </c>
      <c r="U296" s="27">
        <f t="shared" si="107"/>
        <v>0.16954395125714439</v>
      </c>
      <c r="W296" s="13">
        <f t="shared" si="108"/>
        <v>1</v>
      </c>
      <c r="Y296" s="14">
        <f t="shared" si="109"/>
        <v>57</v>
      </c>
      <c r="Z296" s="14">
        <f t="shared" si="110"/>
        <v>279465.7</v>
      </c>
      <c r="AA296" s="14">
        <f t="shared" si="111"/>
        <v>923966.00000000012</v>
      </c>
    </row>
    <row r="297" spans="5:27" outlineLevel="1" x14ac:dyDescent="0.25">
      <c r="E297" s="4" t="s">
        <v>43</v>
      </c>
      <c r="F297" s="4">
        <v>3</v>
      </c>
      <c r="G297" s="21">
        <v>40</v>
      </c>
      <c r="H297" s="21">
        <v>41</v>
      </c>
      <c r="I297" s="21">
        <v>37.830000000000005</v>
      </c>
      <c r="J297" s="21">
        <v>168436.41</v>
      </c>
      <c r="K297" s="21">
        <v>183632.71000000002</v>
      </c>
      <c r="L297" s="21">
        <v>171238.53999999998</v>
      </c>
      <c r="M297" s="21">
        <v>552139.25</v>
      </c>
      <c r="N297" s="21">
        <v>613605.21999999986</v>
      </c>
      <c r="O297" s="21">
        <v>570807.07999999996</v>
      </c>
      <c r="S297" s="25">
        <f t="shared" si="105"/>
        <v>9.8853558295479038E-2</v>
      </c>
      <c r="T297" s="26">
        <f t="shared" si="106"/>
        <v>0.15746880142461817</v>
      </c>
      <c r="U297" s="27">
        <f t="shared" si="107"/>
        <v>0.16954395125714439</v>
      </c>
      <c r="W297" s="13">
        <f t="shared" si="108"/>
        <v>1</v>
      </c>
      <c r="Y297" s="14">
        <f t="shared" si="109"/>
        <v>41</v>
      </c>
      <c r="Z297" s="14">
        <f t="shared" si="110"/>
        <v>183632.71000000002</v>
      </c>
      <c r="AA297" s="14">
        <f t="shared" si="111"/>
        <v>613605.21999999986</v>
      </c>
    </row>
    <row r="298" spans="5:27" outlineLevel="1" x14ac:dyDescent="0.25">
      <c r="E298" s="4" t="s">
        <v>43</v>
      </c>
      <c r="F298" s="4">
        <v>4</v>
      </c>
      <c r="G298" s="21">
        <v>40</v>
      </c>
      <c r="H298" s="21">
        <v>42</v>
      </c>
      <c r="I298" s="21">
        <v>38.869999999999997</v>
      </c>
      <c r="J298" s="21">
        <v>183375.39999999997</v>
      </c>
      <c r="K298" s="21">
        <v>204207.89</v>
      </c>
      <c r="L298" s="21">
        <v>176321.22</v>
      </c>
      <c r="M298" s="21">
        <v>651765.75999999989</v>
      </c>
      <c r="N298" s="21">
        <v>725562.91</v>
      </c>
      <c r="O298" s="21">
        <v>589938.62000000011</v>
      </c>
      <c r="S298" s="25">
        <f t="shared" si="105"/>
        <v>9.8853558295479038E-2</v>
      </c>
      <c r="T298" s="26">
        <f t="shared" si="106"/>
        <v>0.15746880142461817</v>
      </c>
      <c r="U298" s="27">
        <f t="shared" si="107"/>
        <v>0.16954395125714439</v>
      </c>
      <c r="W298" s="13">
        <f t="shared" si="108"/>
        <v>1</v>
      </c>
      <c r="Y298" s="14">
        <f t="shared" si="109"/>
        <v>42</v>
      </c>
      <c r="Z298" s="14">
        <f t="shared" si="110"/>
        <v>204207.89</v>
      </c>
      <c r="AA298" s="14">
        <f t="shared" si="111"/>
        <v>725562.91</v>
      </c>
    </row>
    <row r="299" spans="5:27" outlineLevel="1" x14ac:dyDescent="0.25">
      <c r="E299" s="4" t="s">
        <v>43</v>
      </c>
      <c r="F299" s="4">
        <v>5</v>
      </c>
      <c r="G299" s="21">
        <v>35</v>
      </c>
      <c r="H299" s="21">
        <v>39</v>
      </c>
      <c r="I299" s="21">
        <v>39.97</v>
      </c>
      <c r="J299" s="21">
        <v>153210.82999999999</v>
      </c>
      <c r="K299" s="21">
        <v>181783.4</v>
      </c>
      <c r="L299" s="21">
        <v>181729.66999999998</v>
      </c>
      <c r="M299" s="21">
        <v>561339.87</v>
      </c>
      <c r="N299" s="21">
        <v>661316.75</v>
      </c>
      <c r="O299" s="21">
        <v>610709.56000000006</v>
      </c>
      <c r="S299" s="25">
        <f t="shared" si="105"/>
        <v>9.8853558295479038E-2</v>
      </c>
      <c r="T299" s="26">
        <f t="shared" si="106"/>
        <v>0.15746880142461817</v>
      </c>
      <c r="U299" s="27">
        <f t="shared" si="107"/>
        <v>0.16954395125714439</v>
      </c>
      <c r="W299" s="13">
        <f t="shared" si="108"/>
        <v>1</v>
      </c>
      <c r="Y299" s="14">
        <f t="shared" si="109"/>
        <v>39</v>
      </c>
      <c r="Z299" s="14">
        <f t="shared" si="110"/>
        <v>181783.4</v>
      </c>
      <c r="AA299" s="14">
        <f t="shared" si="111"/>
        <v>661316.75</v>
      </c>
    </row>
    <row r="300" spans="5:27" outlineLevel="1" x14ac:dyDescent="0.25">
      <c r="E300" s="4" t="s">
        <v>43</v>
      </c>
      <c r="F300" s="4">
        <v>6</v>
      </c>
      <c r="G300" s="21">
        <v>48</v>
      </c>
      <c r="H300" s="21">
        <v>49</v>
      </c>
      <c r="I300" s="21">
        <v>40.739999999999995</v>
      </c>
      <c r="J300" s="21">
        <v>224232.86999999997</v>
      </c>
      <c r="K300" s="21">
        <v>246221.7</v>
      </c>
      <c r="L300" s="21">
        <v>185321.77000000002</v>
      </c>
      <c r="M300" s="21">
        <v>662479.09000000008</v>
      </c>
      <c r="N300" s="21">
        <v>713301.57</v>
      </c>
      <c r="O300" s="21">
        <v>623713.15000000026</v>
      </c>
      <c r="S300" s="25">
        <f t="shared" si="105"/>
        <v>9.8853558295479038E-2</v>
      </c>
      <c r="T300" s="26">
        <f t="shared" si="106"/>
        <v>0.15746880142461817</v>
      </c>
      <c r="U300" s="27">
        <f t="shared" si="107"/>
        <v>0.16954395125714439</v>
      </c>
      <c r="W300" s="13">
        <f t="shared" si="108"/>
        <v>1</v>
      </c>
      <c r="Y300" s="14">
        <f t="shared" si="109"/>
        <v>49</v>
      </c>
      <c r="Z300" s="14">
        <f t="shared" si="110"/>
        <v>246221.7</v>
      </c>
      <c r="AA300" s="14">
        <f t="shared" si="111"/>
        <v>713301.57</v>
      </c>
    </row>
    <row r="301" spans="5:27" outlineLevel="1" x14ac:dyDescent="0.25">
      <c r="E301" s="4" t="s">
        <v>43</v>
      </c>
      <c r="F301" s="4">
        <v>7</v>
      </c>
      <c r="G301" s="21">
        <v>28</v>
      </c>
      <c r="H301" s="21"/>
      <c r="I301" s="21">
        <v>41.51</v>
      </c>
      <c r="J301" s="21">
        <v>108944.47</v>
      </c>
      <c r="K301" s="21"/>
      <c r="L301" s="21">
        <v>188924.68</v>
      </c>
      <c r="M301" s="21">
        <v>355856.54</v>
      </c>
      <c r="N301" s="21"/>
      <c r="O301" s="21">
        <v>638024.47</v>
      </c>
      <c r="S301" s="25">
        <f t="shared" si="105"/>
        <v>9.8853558295479038E-2</v>
      </c>
      <c r="T301" s="26">
        <f t="shared" si="106"/>
        <v>0.15746880142461817</v>
      </c>
      <c r="U301" s="27">
        <f t="shared" si="107"/>
        <v>0.16954395125714439</v>
      </c>
      <c r="W301" s="13">
        <f t="shared" si="108"/>
        <v>0</v>
      </c>
      <c r="Y301" s="14">
        <f t="shared" si="109"/>
        <v>45.613411204845335</v>
      </c>
      <c r="Z301" s="14">
        <f t="shared" si="110"/>
        <v>218674.42291912952</v>
      </c>
      <c r="AA301" s="14">
        <f t="shared" si="111"/>
        <v>746197.65964254539</v>
      </c>
    </row>
    <row r="302" spans="5:27" outlineLevel="1" x14ac:dyDescent="0.25">
      <c r="E302" s="4" t="s">
        <v>43</v>
      </c>
      <c r="F302" s="4">
        <v>8</v>
      </c>
      <c r="G302" s="21">
        <v>26</v>
      </c>
      <c r="H302" s="21"/>
      <c r="I302" s="21">
        <v>43.010000000000005</v>
      </c>
      <c r="J302" s="21">
        <v>115683.31000000001</v>
      </c>
      <c r="K302" s="21"/>
      <c r="L302" s="21">
        <v>196510.11</v>
      </c>
      <c r="M302" s="21">
        <v>421524</v>
      </c>
      <c r="N302" s="21"/>
      <c r="O302" s="21">
        <v>666465.49000000011</v>
      </c>
      <c r="S302" s="25">
        <f t="shared" si="105"/>
        <v>9.8853558295479038E-2</v>
      </c>
      <c r="T302" s="26">
        <f t="shared" si="106"/>
        <v>0.15746880142461817</v>
      </c>
      <c r="U302" s="27">
        <f t="shared" si="107"/>
        <v>0.16954395125714439</v>
      </c>
      <c r="W302" s="13">
        <f t="shared" si="108"/>
        <v>0</v>
      </c>
      <c r="Y302" s="14">
        <f t="shared" si="109"/>
        <v>47.26169154228856</v>
      </c>
      <c r="Z302" s="14">
        <f t="shared" si="110"/>
        <v>227454.32148951985</v>
      </c>
      <c r="AA302" s="14">
        <f t="shared" si="111"/>
        <v>779460.68255112902</v>
      </c>
    </row>
    <row r="303" spans="5:27" outlineLevel="1" x14ac:dyDescent="0.25">
      <c r="E303" s="4" t="s">
        <v>43</v>
      </c>
      <c r="F303" s="4">
        <v>9</v>
      </c>
      <c r="G303" s="21">
        <v>43</v>
      </c>
      <c r="H303" s="21"/>
      <c r="I303" s="21">
        <v>41.27</v>
      </c>
      <c r="J303" s="21">
        <v>226146.34000000003</v>
      </c>
      <c r="K303" s="21"/>
      <c r="L303" s="21">
        <v>186043.83</v>
      </c>
      <c r="M303" s="21">
        <v>663767.34</v>
      </c>
      <c r="N303" s="21"/>
      <c r="O303" s="21">
        <v>622955.42000000004</v>
      </c>
      <c r="S303" s="25">
        <f t="shared" si="105"/>
        <v>9.8853558295479038E-2</v>
      </c>
      <c r="T303" s="26">
        <f t="shared" si="106"/>
        <v>0.15746880142461817</v>
      </c>
      <c r="U303" s="27">
        <f t="shared" si="107"/>
        <v>0.16954395125714439</v>
      </c>
      <c r="W303" s="13">
        <f t="shared" si="108"/>
        <v>0</v>
      </c>
      <c r="Y303" s="14">
        <f t="shared" si="109"/>
        <v>45.349686350854427</v>
      </c>
      <c r="Z303" s="14">
        <f t="shared" si="110"/>
        <v>215339.9289225454</v>
      </c>
      <c r="AA303" s="14">
        <f t="shared" si="111"/>
        <v>728573.74336385401</v>
      </c>
    </row>
    <row r="304" spans="5:27" outlineLevel="1" x14ac:dyDescent="0.25">
      <c r="E304" s="4" t="s">
        <v>43</v>
      </c>
      <c r="F304" s="4">
        <v>10</v>
      </c>
      <c r="G304" s="21">
        <v>27</v>
      </c>
      <c r="H304" s="21"/>
      <c r="I304" s="21">
        <v>43.74</v>
      </c>
      <c r="J304" s="21">
        <v>117292.51999999999</v>
      </c>
      <c r="K304" s="21"/>
      <c r="L304" s="21">
        <v>199166.12</v>
      </c>
      <c r="M304" s="21">
        <v>446371.10000000009</v>
      </c>
      <c r="N304" s="21"/>
      <c r="O304" s="21">
        <v>674524.62999999989</v>
      </c>
      <c r="S304" s="25">
        <f t="shared" si="105"/>
        <v>9.8853558295479038E-2</v>
      </c>
      <c r="T304" s="26">
        <f t="shared" si="106"/>
        <v>0.15746880142461817</v>
      </c>
      <c r="U304" s="27">
        <f t="shared" si="107"/>
        <v>0.16954395125714439</v>
      </c>
      <c r="W304" s="13">
        <f t="shared" si="108"/>
        <v>0</v>
      </c>
      <c r="Y304" s="14">
        <f t="shared" si="109"/>
        <v>48.063854639844259</v>
      </c>
      <c r="Z304" s="14">
        <f t="shared" si="110"/>
        <v>230528.57020079167</v>
      </c>
      <c r="AA304" s="14">
        <f t="shared" si="111"/>
        <v>788886.20099046326</v>
      </c>
    </row>
    <row r="305" spans="5:27" outlineLevel="1" x14ac:dyDescent="0.25">
      <c r="E305" s="4" t="s">
        <v>43</v>
      </c>
      <c r="F305" s="4">
        <v>11</v>
      </c>
      <c r="G305" s="21">
        <v>53</v>
      </c>
      <c r="H305" s="21"/>
      <c r="I305" s="21">
        <v>44.34</v>
      </c>
      <c r="J305" s="21">
        <v>213900.78999999998</v>
      </c>
      <c r="K305" s="21"/>
      <c r="L305" s="21">
        <v>201776.67999999996</v>
      </c>
      <c r="M305" s="21">
        <v>652898.20000000019</v>
      </c>
      <c r="N305" s="21"/>
      <c r="O305" s="21">
        <v>684037.52</v>
      </c>
      <c r="S305" s="25">
        <f t="shared" si="105"/>
        <v>9.8853558295479038E-2</v>
      </c>
      <c r="T305" s="26">
        <f t="shared" si="106"/>
        <v>0.15746880142461817</v>
      </c>
      <c r="U305" s="27">
        <f t="shared" si="107"/>
        <v>0.16954395125714439</v>
      </c>
      <c r="W305" s="13">
        <f t="shared" si="108"/>
        <v>0</v>
      </c>
      <c r="Y305" s="14">
        <f t="shared" si="109"/>
        <v>48.723166774821543</v>
      </c>
      <c r="Z305" s="14">
        <f t="shared" si="110"/>
        <v>233550.21195503869</v>
      </c>
      <c r="AA305" s="14">
        <f t="shared" si="111"/>
        <v>800011.94394893793</v>
      </c>
    </row>
    <row r="306" spans="5:27" outlineLevel="1" x14ac:dyDescent="0.25">
      <c r="E306" s="4" t="s">
        <v>43</v>
      </c>
      <c r="F306" s="4">
        <v>12</v>
      </c>
      <c r="G306" s="21">
        <v>49</v>
      </c>
      <c r="H306" s="21"/>
      <c r="I306" s="21">
        <v>45.019999999999996</v>
      </c>
      <c r="J306" s="21">
        <v>212172.04</v>
      </c>
      <c r="K306" s="21"/>
      <c r="L306" s="21">
        <v>204840.75999999989</v>
      </c>
      <c r="M306" s="21">
        <v>645034.83000000007</v>
      </c>
      <c r="N306" s="21"/>
      <c r="O306" s="21">
        <v>695209.57</v>
      </c>
      <c r="S306" s="28">
        <f t="shared" si="105"/>
        <v>9.8853558295479038E-2</v>
      </c>
      <c r="T306" s="29">
        <f t="shared" si="106"/>
        <v>0.15746880142461817</v>
      </c>
      <c r="U306" s="30">
        <f t="shared" si="107"/>
        <v>0.16954395125714439</v>
      </c>
      <c r="W306" s="13">
        <f t="shared" si="108"/>
        <v>0</v>
      </c>
      <c r="Y306" s="14">
        <f t="shared" si="109"/>
        <v>49.470387194462461</v>
      </c>
      <c r="Z306" s="14">
        <f t="shared" si="110"/>
        <v>237096.78896010775</v>
      </c>
      <c r="AA306" s="14">
        <f t="shared" si="111"/>
        <v>813078.14744958025</v>
      </c>
    </row>
    <row r="307" spans="5:27" outlineLevel="1" x14ac:dyDescent="0.25">
      <c r="E307" s="4" t="s">
        <v>44</v>
      </c>
      <c r="F307" s="4">
        <v>1</v>
      </c>
      <c r="G307" s="21">
        <v>130</v>
      </c>
      <c r="H307" s="21">
        <v>144</v>
      </c>
      <c r="I307" s="21">
        <v>175.30999999999997</v>
      </c>
      <c r="J307" s="21">
        <v>595562.79999999993</v>
      </c>
      <c r="K307" s="21">
        <v>687235.98999999987</v>
      </c>
      <c r="L307" s="21">
        <v>828207.38</v>
      </c>
      <c r="M307" s="21">
        <v>1812093.3000000003</v>
      </c>
      <c r="N307" s="21">
        <v>2097240.4</v>
      </c>
      <c r="O307" s="21">
        <v>2513805.08</v>
      </c>
      <c r="S307" s="22">
        <f t="shared" ref="S307:S318" si="112">IFERROR(SUMPRODUCT(H$307:H$318,$W$307:$W$318)/SUMPRODUCT(I$307:I$318,$W$307:$W$318)-1,"")</f>
        <v>4.6450286556571907E-3</v>
      </c>
      <c r="T307" s="23">
        <f t="shared" ref="T307:T318" si="113">IFERROR(SUMPRODUCT(K$307:K$318,$W$307:$W$318)/SUMPRODUCT(L$307:L$318,$W$307:$W$318)-1,"")</f>
        <v>3.288916256640273E-2</v>
      </c>
      <c r="U307" s="24">
        <f t="shared" ref="U307:U318" si="114">IFERROR(SUMPRODUCT(N$307:N$318,$W$307:$W$318)/SUMPRODUCT(O$307:O$318,$W$307:$W$318)-1,"")</f>
        <v>-9.0026600583880123E-3</v>
      </c>
      <c r="W307" s="13">
        <f t="shared" si="108"/>
        <v>1</v>
      </c>
      <c r="Y307" s="14">
        <f t="shared" si="109"/>
        <v>144</v>
      </c>
      <c r="Z307" s="14">
        <f t="shared" si="110"/>
        <v>687235.98999999987</v>
      </c>
      <c r="AA307" s="14">
        <f t="shared" si="111"/>
        <v>2097240.4</v>
      </c>
    </row>
    <row r="308" spans="5:27" outlineLevel="1" x14ac:dyDescent="0.25">
      <c r="E308" s="4" t="s">
        <v>44</v>
      </c>
      <c r="F308" s="4">
        <v>2</v>
      </c>
      <c r="G308" s="21">
        <v>83</v>
      </c>
      <c r="H308" s="21">
        <v>91</v>
      </c>
      <c r="I308" s="21">
        <v>170.17999999999998</v>
      </c>
      <c r="J308" s="21">
        <v>377982.09</v>
      </c>
      <c r="K308" s="21">
        <v>445414.04000000004</v>
      </c>
      <c r="L308" s="21">
        <v>784272.09999999986</v>
      </c>
      <c r="M308" s="21">
        <v>1172545.4500000002</v>
      </c>
      <c r="N308" s="21">
        <v>1398009.0899999999</v>
      </c>
      <c r="O308" s="21">
        <v>2385258.1999999997</v>
      </c>
      <c r="S308" s="25">
        <f t="shared" si="112"/>
        <v>4.6450286556571907E-3</v>
      </c>
      <c r="T308" s="26">
        <f t="shared" si="113"/>
        <v>3.288916256640273E-2</v>
      </c>
      <c r="U308" s="27">
        <f t="shared" si="114"/>
        <v>-9.0026600583880123E-3</v>
      </c>
      <c r="W308" s="13">
        <f t="shared" si="108"/>
        <v>1</v>
      </c>
      <c r="Y308" s="14">
        <f t="shared" si="109"/>
        <v>91</v>
      </c>
      <c r="Z308" s="14">
        <f t="shared" si="110"/>
        <v>445414.04000000004</v>
      </c>
      <c r="AA308" s="14">
        <f t="shared" si="111"/>
        <v>1398009.0899999999</v>
      </c>
    </row>
    <row r="309" spans="5:27" outlineLevel="1" x14ac:dyDescent="0.25">
      <c r="E309" s="4" t="s">
        <v>44</v>
      </c>
      <c r="F309" s="4">
        <v>3</v>
      </c>
      <c r="G309" s="21">
        <v>225</v>
      </c>
      <c r="H309" s="21">
        <v>240</v>
      </c>
      <c r="I309" s="21">
        <v>182.07000000000005</v>
      </c>
      <c r="J309" s="21">
        <v>1078554.53</v>
      </c>
      <c r="K309" s="21">
        <v>1193017.9800000002</v>
      </c>
      <c r="L309" s="21">
        <v>828290.8</v>
      </c>
      <c r="M309" s="21">
        <v>3118060.84</v>
      </c>
      <c r="N309" s="21">
        <v>3460096.71</v>
      </c>
      <c r="O309" s="21">
        <v>2483183.6000000006</v>
      </c>
      <c r="S309" s="25">
        <f t="shared" si="112"/>
        <v>4.6450286556571907E-3</v>
      </c>
      <c r="T309" s="26">
        <f t="shared" si="113"/>
        <v>3.288916256640273E-2</v>
      </c>
      <c r="U309" s="27">
        <f t="shared" si="114"/>
        <v>-9.0026600583880123E-3</v>
      </c>
      <c r="W309" s="13">
        <f t="shared" si="108"/>
        <v>1</v>
      </c>
      <c r="Y309" s="14">
        <f t="shared" si="109"/>
        <v>240</v>
      </c>
      <c r="Z309" s="14">
        <f t="shared" si="110"/>
        <v>1193017.9800000002</v>
      </c>
      <c r="AA309" s="14">
        <f t="shared" si="111"/>
        <v>3460096.71</v>
      </c>
    </row>
    <row r="310" spans="5:27" outlineLevel="1" x14ac:dyDescent="0.25">
      <c r="E310" s="4" t="s">
        <v>44</v>
      </c>
      <c r="F310" s="4">
        <v>4</v>
      </c>
      <c r="G310" s="21">
        <v>144</v>
      </c>
      <c r="H310" s="21">
        <v>155</v>
      </c>
      <c r="I310" s="21">
        <v>172.06</v>
      </c>
      <c r="J310" s="21">
        <v>593183.43999999994</v>
      </c>
      <c r="K310" s="21">
        <v>667603.50999999989</v>
      </c>
      <c r="L310" s="21">
        <v>788657.32</v>
      </c>
      <c r="M310" s="21">
        <v>1710487.47</v>
      </c>
      <c r="N310" s="21">
        <v>1886941.0299999998</v>
      </c>
      <c r="O310" s="21">
        <v>2391544.64</v>
      </c>
      <c r="S310" s="25">
        <f t="shared" si="112"/>
        <v>4.6450286556571907E-3</v>
      </c>
      <c r="T310" s="26">
        <f t="shared" si="113"/>
        <v>3.288916256640273E-2</v>
      </c>
      <c r="U310" s="27">
        <f t="shared" si="114"/>
        <v>-9.0026600583880123E-3</v>
      </c>
      <c r="W310" s="13">
        <f t="shared" si="108"/>
        <v>1</v>
      </c>
      <c r="Y310" s="14">
        <f t="shared" si="109"/>
        <v>155</v>
      </c>
      <c r="Z310" s="14">
        <f t="shared" si="110"/>
        <v>667603.50999999989</v>
      </c>
      <c r="AA310" s="14">
        <f t="shared" si="111"/>
        <v>1886941.0299999998</v>
      </c>
    </row>
    <row r="311" spans="5:27" outlineLevel="1" x14ac:dyDescent="0.25">
      <c r="E311" s="4" t="s">
        <v>44</v>
      </c>
      <c r="F311" s="4">
        <v>5</v>
      </c>
      <c r="G311" s="21">
        <v>189</v>
      </c>
      <c r="H311" s="21">
        <v>207</v>
      </c>
      <c r="I311" s="21">
        <v>165.29000000000002</v>
      </c>
      <c r="J311" s="21">
        <v>893975.08000000007</v>
      </c>
      <c r="K311" s="21">
        <v>1027861.7399999995</v>
      </c>
      <c r="L311" s="21">
        <v>765515.99999999988</v>
      </c>
      <c r="M311" s="21">
        <v>2650041.8500000015</v>
      </c>
      <c r="N311" s="21">
        <v>2919481.9800000014</v>
      </c>
      <c r="O311" s="21">
        <v>2346734.5700000003</v>
      </c>
      <c r="S311" s="25">
        <f t="shared" si="112"/>
        <v>4.6450286556571907E-3</v>
      </c>
      <c r="T311" s="26">
        <f t="shared" si="113"/>
        <v>3.288916256640273E-2</v>
      </c>
      <c r="U311" s="27">
        <f t="shared" si="114"/>
        <v>-9.0026600583880123E-3</v>
      </c>
      <c r="W311" s="13">
        <f t="shared" si="108"/>
        <v>1</v>
      </c>
      <c r="Y311" s="14">
        <f t="shared" si="109"/>
        <v>207</v>
      </c>
      <c r="Z311" s="14">
        <f t="shared" si="110"/>
        <v>1027861.7399999995</v>
      </c>
      <c r="AA311" s="14">
        <f t="shared" si="111"/>
        <v>2919481.9800000014</v>
      </c>
    </row>
    <row r="312" spans="5:27" outlineLevel="1" x14ac:dyDescent="0.25">
      <c r="E312" s="4" t="s">
        <v>44</v>
      </c>
      <c r="F312" s="4">
        <v>6</v>
      </c>
      <c r="G312" s="21">
        <v>190</v>
      </c>
      <c r="H312" s="21">
        <v>199</v>
      </c>
      <c r="I312" s="21">
        <v>166.3</v>
      </c>
      <c r="J312" s="21">
        <v>834348.85000000009</v>
      </c>
      <c r="K312" s="21">
        <v>923018.50999999989</v>
      </c>
      <c r="L312" s="21">
        <v>791776.94000000006</v>
      </c>
      <c r="M312" s="21">
        <v>2449460.84</v>
      </c>
      <c r="N312" s="21">
        <v>2667152.0100000007</v>
      </c>
      <c r="O312" s="21">
        <v>2439473.86</v>
      </c>
      <c r="S312" s="25">
        <f t="shared" si="112"/>
        <v>4.6450286556571907E-3</v>
      </c>
      <c r="T312" s="26">
        <f t="shared" si="113"/>
        <v>3.288916256640273E-2</v>
      </c>
      <c r="U312" s="27">
        <f t="shared" si="114"/>
        <v>-9.0026600583880123E-3</v>
      </c>
      <c r="W312" s="13">
        <f t="shared" si="108"/>
        <v>1</v>
      </c>
      <c r="Y312" s="14">
        <f t="shared" si="109"/>
        <v>199</v>
      </c>
      <c r="Z312" s="14">
        <f t="shared" si="110"/>
        <v>923018.50999999989</v>
      </c>
      <c r="AA312" s="14">
        <f t="shared" si="111"/>
        <v>2667152.0100000007</v>
      </c>
    </row>
    <row r="313" spans="5:27" outlineLevel="1" x14ac:dyDescent="0.25">
      <c r="E313" s="4" t="s">
        <v>44</v>
      </c>
      <c r="F313" s="4">
        <v>7</v>
      </c>
      <c r="G313" s="21">
        <v>152</v>
      </c>
      <c r="H313" s="21"/>
      <c r="I313" s="21">
        <v>168.54999999999998</v>
      </c>
      <c r="J313" s="21">
        <v>720053.84999999986</v>
      </c>
      <c r="K313" s="21"/>
      <c r="L313" s="21">
        <v>787549.22000000009</v>
      </c>
      <c r="M313" s="21">
        <v>2206227.6100000003</v>
      </c>
      <c r="N313" s="21"/>
      <c r="O313" s="21">
        <v>2418445.4899999993</v>
      </c>
      <c r="S313" s="25">
        <f t="shared" si="112"/>
        <v>4.6450286556571907E-3</v>
      </c>
      <c r="T313" s="26">
        <f t="shared" si="113"/>
        <v>3.288916256640273E-2</v>
      </c>
      <c r="U313" s="27">
        <f t="shared" si="114"/>
        <v>-9.0026600583880123E-3</v>
      </c>
      <c r="W313" s="13">
        <f t="shared" si="108"/>
        <v>0</v>
      </c>
      <c r="Y313" s="14">
        <f t="shared" si="109"/>
        <v>169.33291957991099</v>
      </c>
      <c r="Z313" s="14">
        <f t="shared" si="110"/>
        <v>813451.05432562379</v>
      </c>
      <c r="AA313" s="14">
        <f t="shared" si="111"/>
        <v>2396673.0473837876</v>
      </c>
    </row>
    <row r="314" spans="5:27" outlineLevel="1" x14ac:dyDescent="0.25">
      <c r="E314" s="4" t="s">
        <v>44</v>
      </c>
      <c r="F314" s="4">
        <v>8</v>
      </c>
      <c r="G314" s="21">
        <v>162</v>
      </c>
      <c r="H314" s="21"/>
      <c r="I314" s="21">
        <v>185.69</v>
      </c>
      <c r="J314" s="21">
        <v>679651.94</v>
      </c>
      <c r="K314" s="21"/>
      <c r="L314" s="21">
        <v>873761.48999999976</v>
      </c>
      <c r="M314" s="21">
        <v>2050259.9500000002</v>
      </c>
      <c r="N314" s="21"/>
      <c r="O314" s="21">
        <v>2677996.8100000005</v>
      </c>
      <c r="S314" s="25">
        <f t="shared" si="112"/>
        <v>4.6450286556571907E-3</v>
      </c>
      <c r="T314" s="26">
        <f t="shared" si="113"/>
        <v>3.288916256640273E-2</v>
      </c>
      <c r="U314" s="27">
        <f t="shared" si="114"/>
        <v>-9.0026600583880123E-3</v>
      </c>
      <c r="W314" s="13">
        <f t="shared" si="108"/>
        <v>0</v>
      </c>
      <c r="Y314" s="14">
        <f t="shared" si="109"/>
        <v>186.55253537106898</v>
      </c>
      <c r="Z314" s="14">
        <f t="shared" si="110"/>
        <v>902498.773688872</v>
      </c>
      <c r="AA314" s="14">
        <f t="shared" si="111"/>
        <v>2653887.7150821229</v>
      </c>
    </row>
    <row r="315" spans="5:27" outlineLevel="1" x14ac:dyDescent="0.25">
      <c r="E315" s="4" t="s">
        <v>44</v>
      </c>
      <c r="F315" s="4">
        <v>9</v>
      </c>
      <c r="G315" s="21">
        <v>137</v>
      </c>
      <c r="H315" s="21"/>
      <c r="I315" s="21">
        <v>172</v>
      </c>
      <c r="J315" s="21">
        <v>578857.19999999972</v>
      </c>
      <c r="K315" s="21"/>
      <c r="L315" s="21">
        <v>808724.94999999984</v>
      </c>
      <c r="M315" s="21">
        <v>1769513.96</v>
      </c>
      <c r="N315" s="21"/>
      <c r="O315" s="21">
        <v>2474737.4999999986</v>
      </c>
      <c r="S315" s="25">
        <f t="shared" si="112"/>
        <v>4.6450286556571907E-3</v>
      </c>
      <c r="T315" s="26">
        <f t="shared" si="113"/>
        <v>3.288916256640273E-2</v>
      </c>
      <c r="U315" s="27">
        <f t="shared" si="114"/>
        <v>-9.0026600583880123E-3</v>
      </c>
      <c r="W315" s="13">
        <f t="shared" si="108"/>
        <v>0</v>
      </c>
      <c r="Y315" s="14">
        <f t="shared" si="109"/>
        <v>172.79894492877304</v>
      </c>
      <c r="Z315" s="14">
        <f t="shared" si="110"/>
        <v>835323.2363520558</v>
      </c>
      <c r="AA315" s="14">
        <f t="shared" si="111"/>
        <v>2452458.2795537538</v>
      </c>
    </row>
    <row r="316" spans="5:27" outlineLevel="1" x14ac:dyDescent="0.25">
      <c r="E316" s="4" t="s">
        <v>44</v>
      </c>
      <c r="F316" s="4">
        <v>10</v>
      </c>
      <c r="G316" s="21">
        <v>167</v>
      </c>
      <c r="H316" s="21"/>
      <c r="I316" s="21">
        <v>192.10000000000002</v>
      </c>
      <c r="J316" s="21">
        <v>778817.37999999977</v>
      </c>
      <c r="K316" s="21"/>
      <c r="L316" s="21">
        <v>910021.19</v>
      </c>
      <c r="M316" s="21">
        <v>2365691.7000000007</v>
      </c>
      <c r="N316" s="21"/>
      <c r="O316" s="21">
        <v>2782199.9400000004</v>
      </c>
      <c r="S316" s="25">
        <f t="shared" si="112"/>
        <v>4.6450286556571907E-3</v>
      </c>
      <c r="T316" s="26">
        <f t="shared" si="113"/>
        <v>3.288916256640273E-2</v>
      </c>
      <c r="U316" s="27">
        <f t="shared" si="114"/>
        <v>-9.0026600583880123E-3</v>
      </c>
      <c r="W316" s="13">
        <f t="shared" si="108"/>
        <v>0</v>
      </c>
      <c r="Y316" s="14">
        <f t="shared" si="109"/>
        <v>192.99231000475177</v>
      </c>
      <c r="Z316" s="14">
        <f t="shared" si="110"/>
        <v>939951.02485678124</v>
      </c>
      <c r="AA316" s="14">
        <f t="shared" si="111"/>
        <v>2757152.7397257127</v>
      </c>
    </row>
    <row r="317" spans="5:27" outlineLevel="1" x14ac:dyDescent="0.25">
      <c r="E317" s="4" t="s">
        <v>44</v>
      </c>
      <c r="F317" s="4">
        <v>11</v>
      </c>
      <c r="G317" s="21">
        <v>170</v>
      </c>
      <c r="H317" s="21"/>
      <c r="I317" s="21">
        <v>204.18999999999997</v>
      </c>
      <c r="J317" s="21">
        <v>770133.1399999999</v>
      </c>
      <c r="K317" s="21"/>
      <c r="L317" s="21">
        <v>958088.78</v>
      </c>
      <c r="M317" s="21">
        <v>2341996.6999999993</v>
      </c>
      <c r="N317" s="21"/>
      <c r="O317" s="21">
        <v>2915908.5300000003</v>
      </c>
      <c r="S317" s="25">
        <f t="shared" si="112"/>
        <v>4.6450286556571907E-3</v>
      </c>
      <c r="T317" s="26">
        <f t="shared" si="113"/>
        <v>3.288916256640273E-2</v>
      </c>
      <c r="U317" s="27">
        <f t="shared" si="114"/>
        <v>-9.0026600583880123E-3</v>
      </c>
      <c r="W317" s="13">
        <f t="shared" si="108"/>
        <v>0</v>
      </c>
      <c r="Y317" s="14">
        <f t="shared" si="109"/>
        <v>205.13846840119862</v>
      </c>
      <c r="Z317" s="14">
        <f t="shared" si="110"/>
        <v>989599.51763846644</v>
      </c>
      <c r="AA317" s="14">
        <f t="shared" si="111"/>
        <v>2889657.5967430566</v>
      </c>
    </row>
    <row r="318" spans="5:27" outlineLevel="1" x14ac:dyDescent="0.25">
      <c r="E318" s="4" t="s">
        <v>44</v>
      </c>
      <c r="F318" s="4">
        <v>12</v>
      </c>
      <c r="G318" s="21">
        <v>306</v>
      </c>
      <c r="H318" s="21"/>
      <c r="I318" s="21">
        <v>206.27999999999994</v>
      </c>
      <c r="J318" s="21">
        <v>1460115.6800000002</v>
      </c>
      <c r="K318" s="21"/>
      <c r="L318" s="21">
        <v>951458.16999999981</v>
      </c>
      <c r="M318" s="21">
        <v>4416023.8099999996</v>
      </c>
      <c r="N318" s="21"/>
      <c r="O318" s="21">
        <v>2889106.2699999986</v>
      </c>
      <c r="S318" s="28">
        <f t="shared" si="112"/>
        <v>4.6450286556571907E-3</v>
      </c>
      <c r="T318" s="29">
        <f t="shared" si="113"/>
        <v>3.288916256640273E-2</v>
      </c>
      <c r="U318" s="30">
        <f t="shared" si="114"/>
        <v>-9.0026600583880123E-3</v>
      </c>
      <c r="W318" s="13">
        <f t="shared" si="108"/>
        <v>0</v>
      </c>
      <c r="Y318" s="14">
        <f t="shared" si="109"/>
        <v>207.23817651108891</v>
      </c>
      <c r="Z318" s="14">
        <f t="shared" si="110"/>
        <v>982750.83242826187</v>
      </c>
      <c r="AA318" s="14">
        <f t="shared" si="111"/>
        <v>2863096.6283786311</v>
      </c>
    </row>
    <row r="319" spans="5:27" outlineLevel="1" x14ac:dyDescent="0.25">
      <c r="E319" s="4" t="s">
        <v>45</v>
      </c>
      <c r="F319" s="4">
        <v>1</v>
      </c>
      <c r="G319" s="21">
        <v>13</v>
      </c>
      <c r="H319" s="21">
        <v>14</v>
      </c>
      <c r="I319" s="21">
        <v>23.729999999999997</v>
      </c>
      <c r="J319" s="21">
        <v>65153.2</v>
      </c>
      <c r="K319" s="21">
        <v>75197.75</v>
      </c>
      <c r="L319" s="21">
        <v>111507.24</v>
      </c>
      <c r="M319" s="21">
        <v>181890.33000000002</v>
      </c>
      <c r="N319" s="21">
        <v>206874.96000000002</v>
      </c>
      <c r="O319" s="21">
        <v>321229.97000000003</v>
      </c>
      <c r="S319" s="22">
        <f t="shared" ref="S319:S330" si="115">IFERROR(SUMPRODUCT(H$319:H$330,$W$319:$W$330)/SUMPRODUCT(I$319:I$330,$W$319:$W$330)-1,"")</f>
        <v>-0.42265105979120532</v>
      </c>
      <c r="T319" s="23">
        <f t="shared" ref="T319:T330" si="116">IFERROR(SUMPRODUCT(K$319:K$330,$W$319:$W$330)/SUMPRODUCT(L$319:L$330,$W$319:$W$330)-1,"")</f>
        <v>-0.37167336438392429</v>
      </c>
      <c r="U319" s="24">
        <f t="shared" ref="U319:U330" si="117">IFERROR(SUMPRODUCT(N$319:N$330,$W$319:$W$330)/SUMPRODUCT(O$319:O$330,$W$319:$W$330)-1,"")</f>
        <v>-0.38172692887292281</v>
      </c>
      <c r="W319" s="13">
        <f t="shared" si="108"/>
        <v>1</v>
      </c>
      <c r="Y319" s="14">
        <f t="shared" si="109"/>
        <v>14</v>
      </c>
      <c r="Z319" s="14">
        <f t="shared" si="110"/>
        <v>75197.75</v>
      </c>
      <c r="AA319" s="14">
        <f t="shared" si="111"/>
        <v>206874.96000000002</v>
      </c>
    </row>
    <row r="320" spans="5:27" outlineLevel="1" x14ac:dyDescent="0.25">
      <c r="E320" s="4" t="s">
        <v>45</v>
      </c>
      <c r="F320" s="4">
        <v>2</v>
      </c>
      <c r="G320" s="21">
        <v>12</v>
      </c>
      <c r="H320" s="21">
        <v>14</v>
      </c>
      <c r="I320" s="21">
        <v>19.62</v>
      </c>
      <c r="J320" s="21">
        <v>53548.84</v>
      </c>
      <c r="K320" s="21">
        <v>63965.340000000004</v>
      </c>
      <c r="L320" s="21">
        <v>92966.62</v>
      </c>
      <c r="M320" s="21">
        <v>149727.87</v>
      </c>
      <c r="N320" s="21">
        <v>179067.00999999998</v>
      </c>
      <c r="O320" s="21">
        <v>264943.2</v>
      </c>
      <c r="S320" s="25">
        <f t="shared" si="115"/>
        <v>-0.42265105979120532</v>
      </c>
      <c r="T320" s="26">
        <f t="shared" si="116"/>
        <v>-0.37167336438392429</v>
      </c>
      <c r="U320" s="27">
        <f t="shared" si="117"/>
        <v>-0.38172692887292281</v>
      </c>
      <c r="W320" s="13">
        <f t="shared" si="108"/>
        <v>1</v>
      </c>
      <c r="Y320" s="14">
        <f t="shared" si="109"/>
        <v>14</v>
      </c>
      <c r="Z320" s="14">
        <f t="shared" si="110"/>
        <v>63965.340000000004</v>
      </c>
      <c r="AA320" s="14">
        <f t="shared" si="111"/>
        <v>179067.00999999998</v>
      </c>
    </row>
    <row r="321" spans="5:27" outlineLevel="1" x14ac:dyDescent="0.25">
      <c r="E321" s="4" t="s">
        <v>45</v>
      </c>
      <c r="F321" s="4">
        <v>3</v>
      </c>
      <c r="G321" s="21">
        <v>14</v>
      </c>
      <c r="H321" s="21">
        <v>15</v>
      </c>
      <c r="I321" s="21">
        <v>21.27</v>
      </c>
      <c r="J321" s="21">
        <v>59302.719999999994</v>
      </c>
      <c r="K321" s="21">
        <v>68052.2</v>
      </c>
      <c r="L321" s="21">
        <v>101495.69</v>
      </c>
      <c r="M321" s="21">
        <v>163933.37</v>
      </c>
      <c r="N321" s="21">
        <v>184649.72999999998</v>
      </c>
      <c r="O321" s="21">
        <v>293238.33000000007</v>
      </c>
      <c r="S321" s="25">
        <f t="shared" si="115"/>
        <v>-0.42265105979120532</v>
      </c>
      <c r="T321" s="26">
        <f t="shared" si="116"/>
        <v>-0.37167336438392429</v>
      </c>
      <c r="U321" s="27">
        <f t="shared" si="117"/>
        <v>-0.38172692887292281</v>
      </c>
      <c r="W321" s="13">
        <f t="shared" si="108"/>
        <v>1</v>
      </c>
      <c r="Y321" s="14">
        <f t="shared" si="109"/>
        <v>15</v>
      </c>
      <c r="Z321" s="14">
        <f t="shared" si="110"/>
        <v>68052.2</v>
      </c>
      <c r="AA321" s="14">
        <f t="shared" si="111"/>
        <v>184649.72999999998</v>
      </c>
    </row>
    <row r="322" spans="5:27" outlineLevel="1" x14ac:dyDescent="0.25">
      <c r="E322" s="4" t="s">
        <v>45</v>
      </c>
      <c r="F322" s="4">
        <v>4</v>
      </c>
      <c r="G322" s="21">
        <v>4</v>
      </c>
      <c r="H322" s="21">
        <v>4</v>
      </c>
      <c r="I322" s="21">
        <v>17.899999999999999</v>
      </c>
      <c r="J322" s="21">
        <v>27080.080000000002</v>
      </c>
      <c r="K322" s="21">
        <v>28416.080000000002</v>
      </c>
      <c r="L322" s="21">
        <v>84128.950000000012</v>
      </c>
      <c r="M322" s="21">
        <v>78956.639999999999</v>
      </c>
      <c r="N322" s="21">
        <v>80848.5</v>
      </c>
      <c r="O322" s="21">
        <v>237911.25</v>
      </c>
      <c r="S322" s="25">
        <f t="shared" si="115"/>
        <v>-0.42265105979120532</v>
      </c>
      <c r="T322" s="26">
        <f t="shared" si="116"/>
        <v>-0.37167336438392429</v>
      </c>
      <c r="U322" s="27">
        <f t="shared" si="117"/>
        <v>-0.38172692887292281</v>
      </c>
      <c r="W322" s="13">
        <f t="shared" si="108"/>
        <v>1</v>
      </c>
      <c r="Y322" s="14">
        <f t="shared" si="109"/>
        <v>4</v>
      </c>
      <c r="Z322" s="14">
        <f t="shared" si="110"/>
        <v>28416.080000000002</v>
      </c>
      <c r="AA322" s="14">
        <f t="shared" si="111"/>
        <v>80848.5</v>
      </c>
    </row>
    <row r="323" spans="5:27" outlineLevel="1" x14ac:dyDescent="0.25">
      <c r="E323" s="4" t="s">
        <v>45</v>
      </c>
      <c r="F323" s="4">
        <v>5</v>
      </c>
      <c r="G323" s="21"/>
      <c r="H323" s="21"/>
      <c r="I323" s="21">
        <v>22.48</v>
      </c>
      <c r="J323" s="21"/>
      <c r="K323" s="21"/>
      <c r="L323" s="21">
        <v>110908.21</v>
      </c>
      <c r="M323" s="21"/>
      <c r="N323" s="21"/>
      <c r="O323" s="21">
        <v>322551.38</v>
      </c>
      <c r="S323" s="25">
        <f t="shared" si="115"/>
        <v>-0.42265105979120532</v>
      </c>
      <c r="T323" s="26">
        <f t="shared" si="116"/>
        <v>-0.37167336438392429</v>
      </c>
      <c r="U323" s="27">
        <f t="shared" si="117"/>
        <v>-0.38172692887292281</v>
      </c>
      <c r="W323" s="13">
        <f t="shared" si="108"/>
        <v>1</v>
      </c>
      <c r="Y323" s="14">
        <f t="shared" si="109"/>
        <v>0</v>
      </c>
      <c r="Z323" s="14">
        <f t="shared" si="110"/>
        <v>0</v>
      </c>
      <c r="AA323" s="14">
        <f t="shared" si="111"/>
        <v>0</v>
      </c>
    </row>
    <row r="324" spans="5:27" outlineLevel="1" x14ac:dyDescent="0.25">
      <c r="E324" s="4" t="s">
        <v>45</v>
      </c>
      <c r="F324" s="4">
        <v>6</v>
      </c>
      <c r="G324" s="21">
        <v>26</v>
      </c>
      <c r="H324" s="21">
        <v>26</v>
      </c>
      <c r="I324" s="21">
        <v>21.440000000000005</v>
      </c>
      <c r="J324" s="21">
        <v>138925.54</v>
      </c>
      <c r="K324" s="21">
        <v>144496.64999999997</v>
      </c>
      <c r="L324" s="21">
        <v>103978.01999999999</v>
      </c>
      <c r="M324" s="21">
        <v>405800.25999999995</v>
      </c>
      <c r="N324" s="21">
        <v>424707.65</v>
      </c>
      <c r="O324" s="21">
        <v>300696.34000000003</v>
      </c>
      <c r="S324" s="25">
        <f t="shared" si="115"/>
        <v>-0.42265105979120532</v>
      </c>
      <c r="T324" s="26">
        <f t="shared" si="116"/>
        <v>-0.37167336438392429</v>
      </c>
      <c r="U324" s="27">
        <f t="shared" si="117"/>
        <v>-0.38172692887292281</v>
      </c>
      <c r="W324" s="13">
        <f t="shared" si="108"/>
        <v>1</v>
      </c>
      <c r="Y324" s="14">
        <f t="shared" si="109"/>
        <v>26</v>
      </c>
      <c r="Z324" s="14">
        <f t="shared" si="110"/>
        <v>144496.64999999997</v>
      </c>
      <c r="AA324" s="14">
        <f t="shared" si="111"/>
        <v>424707.65</v>
      </c>
    </row>
    <row r="325" spans="5:27" outlineLevel="1" x14ac:dyDescent="0.25">
      <c r="E325" s="4" t="s">
        <v>45</v>
      </c>
      <c r="F325" s="4">
        <v>7</v>
      </c>
      <c r="G325" s="21">
        <v>12</v>
      </c>
      <c r="H325" s="21"/>
      <c r="I325" s="21">
        <v>26.080000000000002</v>
      </c>
      <c r="J325" s="21">
        <v>50395.92</v>
      </c>
      <c r="K325" s="21"/>
      <c r="L325" s="21">
        <v>131177.29</v>
      </c>
      <c r="M325" s="21">
        <v>143903.54</v>
      </c>
      <c r="N325" s="21"/>
      <c r="O325" s="21">
        <v>387603.43999999989</v>
      </c>
      <c r="S325" s="25">
        <f t="shared" si="115"/>
        <v>-0.42265105979120532</v>
      </c>
      <c r="T325" s="26">
        <f t="shared" si="116"/>
        <v>-0.37167336438392429</v>
      </c>
      <c r="U325" s="27">
        <f t="shared" si="117"/>
        <v>-0.38172692887292281</v>
      </c>
      <c r="W325" s="13">
        <f t="shared" si="108"/>
        <v>0</v>
      </c>
      <c r="Y325" s="14">
        <f t="shared" si="109"/>
        <v>15.057260360645367</v>
      </c>
      <c r="Z325" s="14">
        <f t="shared" si="110"/>
        <v>82422.185294934301</v>
      </c>
      <c r="AA325" s="14">
        <f t="shared" si="111"/>
        <v>239644.76922821972</v>
      </c>
    </row>
    <row r="326" spans="5:27" outlineLevel="1" x14ac:dyDescent="0.25">
      <c r="E326" s="4" t="s">
        <v>45</v>
      </c>
      <c r="F326" s="4">
        <v>8</v>
      </c>
      <c r="G326" s="21">
        <v>30</v>
      </c>
      <c r="H326" s="21"/>
      <c r="I326" s="21">
        <v>20.349999999999998</v>
      </c>
      <c r="J326" s="21">
        <v>120856.81</v>
      </c>
      <c r="K326" s="21"/>
      <c r="L326" s="21">
        <v>93370.18</v>
      </c>
      <c r="M326" s="21">
        <v>348432.03999999992</v>
      </c>
      <c r="N326" s="21"/>
      <c r="O326" s="21">
        <v>264520.51999999996</v>
      </c>
      <c r="S326" s="25">
        <f t="shared" si="115"/>
        <v>-0.42265105979120532</v>
      </c>
      <c r="T326" s="26">
        <f t="shared" si="116"/>
        <v>-0.37167336438392429</v>
      </c>
      <c r="U326" s="27">
        <f t="shared" si="117"/>
        <v>-0.38172692887292281</v>
      </c>
      <c r="W326" s="13">
        <f t="shared" si="108"/>
        <v>0</v>
      </c>
      <c r="Y326" s="14">
        <f t="shared" si="109"/>
        <v>11.74905093324897</v>
      </c>
      <c r="Z326" s="14">
        <f t="shared" si="110"/>
        <v>58666.971066267397</v>
      </c>
      <c r="AA326" s="14">
        <f t="shared" si="111"/>
        <v>163545.91427653143</v>
      </c>
    </row>
    <row r="327" spans="5:27" outlineLevel="1" x14ac:dyDescent="0.25">
      <c r="E327" s="4" t="s">
        <v>45</v>
      </c>
      <c r="F327" s="4">
        <v>9</v>
      </c>
      <c r="G327" s="21">
        <v>18</v>
      </c>
      <c r="H327" s="21"/>
      <c r="I327" s="21">
        <v>22.32</v>
      </c>
      <c r="J327" s="21">
        <v>86771.760000000009</v>
      </c>
      <c r="K327" s="21"/>
      <c r="L327" s="21">
        <v>108847.91</v>
      </c>
      <c r="M327" s="21">
        <v>253604.67000000004</v>
      </c>
      <c r="N327" s="21"/>
      <c r="O327" s="21">
        <v>316528.33</v>
      </c>
      <c r="S327" s="25">
        <f t="shared" si="115"/>
        <v>-0.42265105979120532</v>
      </c>
      <c r="T327" s="26">
        <f t="shared" si="116"/>
        <v>-0.37167336438392429</v>
      </c>
      <c r="U327" s="27">
        <f t="shared" si="117"/>
        <v>-0.38172692887292281</v>
      </c>
      <c r="W327" s="13">
        <f t="shared" si="108"/>
        <v>0</v>
      </c>
      <c r="Y327" s="14">
        <f t="shared" si="109"/>
        <v>12.886428345460297</v>
      </c>
      <c r="Z327" s="14">
        <f t="shared" si="110"/>
        <v>68392.041084141412</v>
      </c>
      <c r="AA327" s="14">
        <f t="shared" si="111"/>
        <v>195700.94268782498</v>
      </c>
    </row>
    <row r="328" spans="5:27" outlineLevel="1" x14ac:dyDescent="0.25">
      <c r="E328" s="4" t="s">
        <v>45</v>
      </c>
      <c r="F328" s="4">
        <v>10</v>
      </c>
      <c r="G328" s="21">
        <v>37</v>
      </c>
      <c r="H328" s="21"/>
      <c r="I328" s="21">
        <v>25.37</v>
      </c>
      <c r="J328" s="21">
        <v>206269.71</v>
      </c>
      <c r="K328" s="21"/>
      <c r="L328" s="21">
        <v>124607.65000000002</v>
      </c>
      <c r="M328" s="21">
        <v>598584.68999999994</v>
      </c>
      <c r="N328" s="21"/>
      <c r="O328" s="21">
        <v>367887.49</v>
      </c>
      <c r="S328" s="25">
        <f t="shared" si="115"/>
        <v>-0.42265105979120532</v>
      </c>
      <c r="T328" s="26">
        <f t="shared" si="116"/>
        <v>-0.37167336438392429</v>
      </c>
      <c r="U328" s="27">
        <f t="shared" si="117"/>
        <v>-0.38172692887292281</v>
      </c>
      <c r="W328" s="13">
        <f t="shared" si="108"/>
        <v>0</v>
      </c>
      <c r="Y328" s="14">
        <f t="shared" si="109"/>
        <v>14.647342613097122</v>
      </c>
      <c r="Z328" s="14">
        <f t="shared" si="110"/>
        <v>78294.305496525514</v>
      </c>
      <c r="AA328" s="14">
        <f t="shared" si="111"/>
        <v>227454.92827153188</v>
      </c>
    </row>
    <row r="329" spans="5:27" outlineLevel="1" x14ac:dyDescent="0.25">
      <c r="E329" s="4" t="s">
        <v>45</v>
      </c>
      <c r="F329" s="4">
        <v>11</v>
      </c>
      <c r="G329" s="21">
        <v>45</v>
      </c>
      <c r="H329" s="21"/>
      <c r="I329" s="21">
        <v>24.239999999999995</v>
      </c>
      <c r="J329" s="21">
        <v>265857.27999999997</v>
      </c>
      <c r="K329" s="21"/>
      <c r="L329" s="21">
        <v>121667.49000000002</v>
      </c>
      <c r="M329" s="21">
        <v>795113.88</v>
      </c>
      <c r="N329" s="21"/>
      <c r="O329" s="21">
        <v>357761.99</v>
      </c>
      <c r="S329" s="25">
        <f t="shared" si="115"/>
        <v>-0.42265105979120532</v>
      </c>
      <c r="T329" s="26">
        <f t="shared" si="116"/>
        <v>-0.37167336438392429</v>
      </c>
      <c r="U329" s="27">
        <f t="shared" si="117"/>
        <v>-0.38172692887292281</v>
      </c>
      <c r="W329" s="13">
        <f t="shared" si="108"/>
        <v>0</v>
      </c>
      <c r="Y329" s="14">
        <f t="shared" si="109"/>
        <v>13.99493831066118</v>
      </c>
      <c r="Z329" s="14">
        <f t="shared" si="110"/>
        <v>76446.924655552546</v>
      </c>
      <c r="AA329" s="14">
        <f t="shared" si="111"/>
        <v>221194.60428983468</v>
      </c>
    </row>
    <row r="330" spans="5:27" outlineLevel="1" x14ac:dyDescent="0.25">
      <c r="E330" s="4" t="s">
        <v>45</v>
      </c>
      <c r="F330" s="4">
        <v>12</v>
      </c>
      <c r="G330" s="21">
        <v>53</v>
      </c>
      <c r="H330" s="21"/>
      <c r="I330" s="21">
        <v>35.21</v>
      </c>
      <c r="J330" s="21">
        <v>264901.68</v>
      </c>
      <c r="K330" s="21"/>
      <c r="L330" s="21">
        <v>184539.53</v>
      </c>
      <c r="M330" s="21">
        <v>745899.13</v>
      </c>
      <c r="N330" s="21"/>
      <c r="O330" s="21">
        <v>556808.28</v>
      </c>
      <c r="S330" s="28">
        <f t="shared" si="115"/>
        <v>-0.42265105979120532</v>
      </c>
      <c r="T330" s="29">
        <f t="shared" si="116"/>
        <v>-0.37167336438392429</v>
      </c>
      <c r="U330" s="30">
        <f t="shared" si="117"/>
        <v>-0.38172692887292281</v>
      </c>
      <c r="W330" s="13">
        <f t="shared" si="108"/>
        <v>0</v>
      </c>
      <c r="Y330" s="14">
        <f t="shared" si="109"/>
        <v>20.328456184751662</v>
      </c>
      <c r="Z330" s="14">
        <f t="shared" si="110"/>
        <v>115951.10202307187</v>
      </c>
      <c r="AA330" s="14">
        <f t="shared" si="111"/>
        <v>344259.5653045855</v>
      </c>
    </row>
    <row r="331" spans="5:27" outlineLevel="1" x14ac:dyDescent="0.25">
      <c r="E331" s="4" t="s">
        <v>46</v>
      </c>
      <c r="F331" s="4">
        <v>1</v>
      </c>
      <c r="G331" s="21">
        <v>22</v>
      </c>
      <c r="H331" s="21">
        <v>23</v>
      </c>
      <c r="I331" s="21">
        <v>44.750000000000007</v>
      </c>
      <c r="J331" s="21">
        <v>102649.90999999999</v>
      </c>
      <c r="K331" s="21">
        <v>115944.70999999999</v>
      </c>
      <c r="L331" s="21">
        <v>213291.50999999998</v>
      </c>
      <c r="M331" s="21">
        <v>282655.29000000004</v>
      </c>
      <c r="N331" s="21">
        <v>313139.27</v>
      </c>
      <c r="O331" s="21">
        <v>615863.34</v>
      </c>
      <c r="S331" s="22">
        <f t="shared" ref="S331:S342" si="118">IFERROR(SUMPRODUCT(H$331:H$342,$W$331:$W$342)/SUMPRODUCT(I$331:I$342,$W$331:$W$342)-1,"")</f>
        <v>-6.6425909562411234E-2</v>
      </c>
      <c r="T331" s="26">
        <f t="shared" ref="T331:T342" si="119">IFERROR(SUMPRODUCT(K$331:K$342,$W$331:$W$342)/SUMPRODUCT(L$331:L$342,$W$331:$W$342)-1,"")</f>
        <v>-0.10265597252217029</v>
      </c>
      <c r="U331" s="24">
        <f t="shared" ref="U331:U342" si="120">IFERROR(SUMPRODUCT(N$331:N$342,$W$331:$W$342)/SUMPRODUCT(O$331:O$342,$W$331:$W$342)-1,"")</f>
        <v>-0.12754534414930785</v>
      </c>
      <c r="W331" s="13">
        <f t="shared" si="108"/>
        <v>1</v>
      </c>
      <c r="Y331" s="14">
        <f t="shared" si="109"/>
        <v>23</v>
      </c>
      <c r="Z331" s="14">
        <f t="shared" si="110"/>
        <v>115944.70999999999</v>
      </c>
      <c r="AA331" s="14">
        <f t="shared" si="111"/>
        <v>313139.27</v>
      </c>
    </row>
    <row r="332" spans="5:27" outlineLevel="1" x14ac:dyDescent="0.25">
      <c r="E332" s="4" t="s">
        <v>46</v>
      </c>
      <c r="F332" s="4">
        <v>2</v>
      </c>
      <c r="G332" s="21">
        <v>53</v>
      </c>
      <c r="H332" s="21">
        <v>56</v>
      </c>
      <c r="I332" s="21">
        <v>35.79</v>
      </c>
      <c r="J332" s="21">
        <v>231267.45000000004</v>
      </c>
      <c r="K332" s="21">
        <v>259621.00000000003</v>
      </c>
      <c r="L332" s="21">
        <v>163664.19000000003</v>
      </c>
      <c r="M332" s="21">
        <v>647384.43000000005</v>
      </c>
      <c r="N332" s="21">
        <v>717137.75000000012</v>
      </c>
      <c r="O332" s="21">
        <v>473026.49</v>
      </c>
      <c r="S332" s="25">
        <f t="shared" si="118"/>
        <v>-6.6425909562411234E-2</v>
      </c>
      <c r="T332" s="26">
        <f t="shared" si="119"/>
        <v>-0.10265597252217029</v>
      </c>
      <c r="U332" s="27">
        <f t="shared" si="120"/>
        <v>-0.12754534414930785</v>
      </c>
      <c r="W332" s="13">
        <f t="shared" si="108"/>
        <v>1</v>
      </c>
      <c r="Y332" s="14">
        <f t="shared" si="109"/>
        <v>56</v>
      </c>
      <c r="Z332" s="14">
        <f t="shared" si="110"/>
        <v>259621.00000000003</v>
      </c>
      <c r="AA332" s="14">
        <f t="shared" si="111"/>
        <v>717137.75000000012</v>
      </c>
    </row>
    <row r="333" spans="5:27" outlineLevel="1" x14ac:dyDescent="0.25">
      <c r="E333" s="4" t="s">
        <v>46</v>
      </c>
      <c r="F333" s="4">
        <v>3</v>
      </c>
      <c r="G333" s="21">
        <v>56</v>
      </c>
      <c r="H333" s="21">
        <v>58</v>
      </c>
      <c r="I333" s="21">
        <v>38.42</v>
      </c>
      <c r="J333" s="21">
        <v>256061.99</v>
      </c>
      <c r="K333" s="21">
        <v>276847.76999999996</v>
      </c>
      <c r="L333" s="21">
        <v>181419.59</v>
      </c>
      <c r="M333" s="21">
        <v>741884.41</v>
      </c>
      <c r="N333" s="21">
        <v>780173.21</v>
      </c>
      <c r="O333" s="21">
        <v>523702.27999999997</v>
      </c>
      <c r="S333" s="25">
        <f t="shared" si="118"/>
        <v>-6.6425909562411234E-2</v>
      </c>
      <c r="T333" s="26">
        <f t="shared" si="119"/>
        <v>-0.10265597252217029</v>
      </c>
      <c r="U333" s="27">
        <f t="shared" si="120"/>
        <v>-0.12754534414930785</v>
      </c>
      <c r="W333" s="13">
        <f t="shared" si="108"/>
        <v>1</v>
      </c>
      <c r="Y333" s="14">
        <f t="shared" si="109"/>
        <v>58</v>
      </c>
      <c r="Z333" s="14">
        <f t="shared" si="110"/>
        <v>276847.76999999996</v>
      </c>
      <c r="AA333" s="14">
        <f t="shared" si="111"/>
        <v>780173.21</v>
      </c>
    </row>
    <row r="334" spans="5:27" outlineLevel="1" x14ac:dyDescent="0.25">
      <c r="E334" s="4" t="s">
        <v>46</v>
      </c>
      <c r="F334" s="4">
        <v>4</v>
      </c>
      <c r="G334" s="21">
        <v>28</v>
      </c>
      <c r="H334" s="21">
        <v>30</v>
      </c>
      <c r="I334" s="21">
        <v>41.269999999999996</v>
      </c>
      <c r="J334" s="21">
        <v>87763.060000000012</v>
      </c>
      <c r="K334" s="21">
        <v>98291.76</v>
      </c>
      <c r="L334" s="21">
        <v>187692.71</v>
      </c>
      <c r="M334" s="21">
        <v>234456.56</v>
      </c>
      <c r="N334" s="21">
        <v>257037.98</v>
      </c>
      <c r="O334" s="21">
        <v>537191.31000000006</v>
      </c>
      <c r="S334" s="25">
        <f t="shared" si="118"/>
        <v>-6.6425909562411234E-2</v>
      </c>
      <c r="T334" s="26">
        <f t="shared" si="119"/>
        <v>-0.10265597252217029</v>
      </c>
      <c r="U334" s="27">
        <f t="shared" si="120"/>
        <v>-0.12754534414930785</v>
      </c>
      <c r="W334" s="13">
        <f t="shared" si="108"/>
        <v>1</v>
      </c>
      <c r="Y334" s="14">
        <f t="shared" si="109"/>
        <v>30</v>
      </c>
      <c r="Z334" s="14">
        <f t="shared" si="110"/>
        <v>98291.76</v>
      </c>
      <c r="AA334" s="14">
        <f t="shared" si="111"/>
        <v>257037.98</v>
      </c>
    </row>
    <row r="335" spans="5:27" outlineLevel="1" x14ac:dyDescent="0.25">
      <c r="E335" s="4" t="s">
        <v>46</v>
      </c>
      <c r="F335" s="4">
        <v>5</v>
      </c>
      <c r="G335" s="21">
        <v>26</v>
      </c>
      <c r="H335" s="21">
        <v>27</v>
      </c>
      <c r="I335" s="21">
        <v>46.94</v>
      </c>
      <c r="J335" s="21">
        <v>104493.58</v>
      </c>
      <c r="K335" s="21">
        <v>111998.25000000001</v>
      </c>
      <c r="L335" s="21">
        <v>216437.94000000003</v>
      </c>
      <c r="M335" s="21">
        <v>289924.08999999997</v>
      </c>
      <c r="N335" s="21">
        <v>312802.42000000004</v>
      </c>
      <c r="O335" s="21">
        <v>620354.65</v>
      </c>
      <c r="S335" s="25">
        <f t="shared" si="118"/>
        <v>-6.6425909562411234E-2</v>
      </c>
      <c r="T335" s="26">
        <f t="shared" si="119"/>
        <v>-0.10265597252217029</v>
      </c>
      <c r="U335" s="27">
        <f t="shared" si="120"/>
        <v>-0.12754534414930785</v>
      </c>
      <c r="W335" s="13">
        <f t="shared" si="108"/>
        <v>1</v>
      </c>
      <c r="Y335" s="14">
        <f t="shared" si="109"/>
        <v>27</v>
      </c>
      <c r="Z335" s="14">
        <f t="shared" si="110"/>
        <v>111998.25000000001</v>
      </c>
      <c r="AA335" s="14">
        <f t="shared" si="111"/>
        <v>312802.42000000004</v>
      </c>
    </row>
    <row r="336" spans="5:27" outlineLevel="1" x14ac:dyDescent="0.25">
      <c r="E336" s="4" t="s">
        <v>46</v>
      </c>
      <c r="F336" s="4">
        <v>6</v>
      </c>
      <c r="G336" s="21">
        <v>48</v>
      </c>
      <c r="H336" s="21">
        <v>49</v>
      </c>
      <c r="I336" s="21">
        <v>53.120000000000005</v>
      </c>
      <c r="J336" s="21">
        <v>211428.15000000002</v>
      </c>
      <c r="K336" s="21">
        <v>219440.40999999997</v>
      </c>
      <c r="L336" s="21">
        <v>243435.00000000003</v>
      </c>
      <c r="M336" s="21">
        <v>610355.62</v>
      </c>
      <c r="N336" s="21">
        <v>639553.91</v>
      </c>
      <c r="O336" s="21">
        <v>691181.69</v>
      </c>
      <c r="S336" s="25">
        <f t="shared" si="118"/>
        <v>-6.6425909562411234E-2</v>
      </c>
      <c r="T336" s="26">
        <f t="shared" si="119"/>
        <v>-0.10265597252217029</v>
      </c>
      <c r="U336" s="27">
        <f t="shared" si="120"/>
        <v>-0.12754534414930785</v>
      </c>
      <c r="W336" s="13">
        <f t="shared" si="108"/>
        <v>1</v>
      </c>
      <c r="Y336" s="14">
        <f t="shared" si="109"/>
        <v>49</v>
      </c>
      <c r="Z336" s="14">
        <f t="shared" si="110"/>
        <v>219440.40999999997</v>
      </c>
      <c r="AA336" s="14">
        <f t="shared" si="111"/>
        <v>639553.91</v>
      </c>
    </row>
    <row r="337" spans="5:27" outlineLevel="1" x14ac:dyDescent="0.25">
      <c r="E337" s="4" t="s">
        <v>46</v>
      </c>
      <c r="F337" s="4">
        <v>7</v>
      </c>
      <c r="G337" s="21">
        <v>27</v>
      </c>
      <c r="H337" s="21"/>
      <c r="I337" s="21">
        <v>45.019999999999996</v>
      </c>
      <c r="J337" s="21">
        <v>118726.43000000002</v>
      </c>
      <c r="K337" s="21"/>
      <c r="L337" s="21">
        <v>216505.79</v>
      </c>
      <c r="M337" s="21">
        <v>328085.31</v>
      </c>
      <c r="N337" s="21"/>
      <c r="O337" s="21">
        <v>628400.55000000005</v>
      </c>
      <c r="S337" s="25">
        <f t="shared" si="118"/>
        <v>-6.6425909562411234E-2</v>
      </c>
      <c r="T337" s="26">
        <f t="shared" si="119"/>
        <v>-0.10265597252217029</v>
      </c>
      <c r="U337" s="27">
        <f t="shared" si="120"/>
        <v>-0.12754534414930785</v>
      </c>
      <c r="W337" s="13">
        <f t="shared" si="108"/>
        <v>0</v>
      </c>
      <c r="Y337" s="14">
        <f t="shared" si="109"/>
        <v>42.029505551500243</v>
      </c>
      <c r="Z337" s="14">
        <f t="shared" si="110"/>
        <v>194280.17757086924</v>
      </c>
      <c r="AA337" s="14">
        <f t="shared" si="111"/>
        <v>548250.98558663565</v>
      </c>
    </row>
    <row r="338" spans="5:27" outlineLevel="1" x14ac:dyDescent="0.25">
      <c r="E338" s="4" t="s">
        <v>46</v>
      </c>
      <c r="F338" s="4">
        <v>8</v>
      </c>
      <c r="G338" s="21">
        <v>37</v>
      </c>
      <c r="H338" s="21"/>
      <c r="I338" s="21">
        <v>43.65</v>
      </c>
      <c r="J338" s="21">
        <v>183072.58</v>
      </c>
      <c r="K338" s="21"/>
      <c r="L338" s="21">
        <v>204738.84000000003</v>
      </c>
      <c r="M338" s="21">
        <v>535123.7300000001</v>
      </c>
      <c r="N338" s="21"/>
      <c r="O338" s="21">
        <v>591217.22000000009</v>
      </c>
      <c r="S338" s="25">
        <f t="shared" si="118"/>
        <v>-6.6425909562411234E-2</v>
      </c>
      <c r="T338" s="26">
        <f t="shared" si="119"/>
        <v>-0.10265597252217029</v>
      </c>
      <c r="U338" s="27">
        <f t="shared" si="120"/>
        <v>-0.12754534414930785</v>
      </c>
      <c r="W338" s="13">
        <f t="shared" si="108"/>
        <v>0</v>
      </c>
      <c r="Y338" s="14">
        <f t="shared" si="109"/>
        <v>40.750509047600751</v>
      </c>
      <c r="Z338" s="14">
        <f t="shared" si="110"/>
        <v>183721.17526673901</v>
      </c>
      <c r="AA338" s="14">
        <f t="shared" si="111"/>
        <v>515810.21620810305</v>
      </c>
    </row>
    <row r="339" spans="5:27" outlineLevel="1" x14ac:dyDescent="0.25">
      <c r="E339" s="4" t="s">
        <v>46</v>
      </c>
      <c r="F339" s="4">
        <v>9</v>
      </c>
      <c r="G339" s="21">
        <v>39</v>
      </c>
      <c r="H339" s="21"/>
      <c r="I339" s="21">
        <v>43.54</v>
      </c>
      <c r="J339" s="21">
        <v>173819.08</v>
      </c>
      <c r="K339" s="21"/>
      <c r="L339" s="21">
        <v>211157.48</v>
      </c>
      <c r="M339" s="21">
        <v>481604.25</v>
      </c>
      <c r="N339" s="21"/>
      <c r="O339" s="21">
        <v>615755.49000000011</v>
      </c>
      <c r="S339" s="25">
        <f t="shared" si="118"/>
        <v>-6.6425909562411234E-2</v>
      </c>
      <c r="T339" s="26">
        <f t="shared" si="119"/>
        <v>-0.10265597252217029</v>
      </c>
      <c r="U339" s="27">
        <f t="shared" si="120"/>
        <v>-0.12754534414930785</v>
      </c>
      <c r="W339" s="13">
        <f t="shared" si="108"/>
        <v>0</v>
      </c>
      <c r="Y339" s="14">
        <f t="shared" si="109"/>
        <v>40.647815897652613</v>
      </c>
      <c r="Z339" s="14">
        <f t="shared" si="110"/>
        <v>189480.90353526929</v>
      </c>
      <c r="AA339" s="14">
        <f t="shared" si="111"/>
        <v>537218.74411612435</v>
      </c>
    </row>
    <row r="340" spans="5:27" outlineLevel="1" x14ac:dyDescent="0.25">
      <c r="E340" s="4" t="s">
        <v>46</v>
      </c>
      <c r="F340" s="4">
        <v>10</v>
      </c>
      <c r="G340" s="21">
        <v>37</v>
      </c>
      <c r="H340" s="21"/>
      <c r="I340" s="21">
        <v>49.33</v>
      </c>
      <c r="J340" s="21">
        <v>170327.23</v>
      </c>
      <c r="K340" s="21"/>
      <c r="L340" s="21">
        <v>230737.24</v>
      </c>
      <c r="M340" s="21">
        <v>478919.89</v>
      </c>
      <c r="N340" s="21"/>
      <c r="O340" s="21">
        <v>663407.91</v>
      </c>
      <c r="S340" s="25">
        <f t="shared" si="118"/>
        <v>-6.6425909562411234E-2</v>
      </c>
      <c r="T340" s="26">
        <f t="shared" si="119"/>
        <v>-0.10265597252217029</v>
      </c>
      <c r="U340" s="27">
        <f t="shared" si="120"/>
        <v>-0.12754534414930785</v>
      </c>
      <c r="W340" s="13">
        <f t="shared" si="108"/>
        <v>0</v>
      </c>
      <c r="Y340" s="14">
        <f t="shared" si="109"/>
        <v>46.05320988128625</v>
      </c>
      <c r="Z340" s="14">
        <f t="shared" si="110"/>
        <v>207050.68423071859</v>
      </c>
      <c r="AA340" s="14">
        <f t="shared" si="111"/>
        <v>578793.31980767695</v>
      </c>
    </row>
    <row r="341" spans="5:27" outlineLevel="1" x14ac:dyDescent="0.25">
      <c r="E341" s="4" t="s">
        <v>46</v>
      </c>
      <c r="F341" s="4">
        <v>11</v>
      </c>
      <c r="G341" s="21">
        <v>68</v>
      </c>
      <c r="H341" s="21"/>
      <c r="I341" s="21">
        <v>42.07</v>
      </c>
      <c r="J341" s="21">
        <v>309226.40999999997</v>
      </c>
      <c r="K341" s="21"/>
      <c r="L341" s="21">
        <v>190757.62</v>
      </c>
      <c r="M341" s="21">
        <v>881858.15</v>
      </c>
      <c r="N341" s="21"/>
      <c r="O341" s="21">
        <v>544619</v>
      </c>
      <c r="S341" s="25">
        <f t="shared" si="118"/>
        <v>-6.6425909562411234E-2</v>
      </c>
      <c r="T341" s="26">
        <f t="shared" si="119"/>
        <v>-0.10265597252217029</v>
      </c>
      <c r="U341" s="27">
        <f t="shared" si="120"/>
        <v>-0.12754534414930785</v>
      </c>
      <c r="W341" s="13">
        <f t="shared" si="108"/>
        <v>0</v>
      </c>
      <c r="Y341" s="14">
        <f t="shared" si="109"/>
        <v>39.275461984709359</v>
      </c>
      <c r="Z341" s="14">
        <f t="shared" si="110"/>
        <v>171175.21100288539</v>
      </c>
      <c r="AA341" s="14">
        <f t="shared" si="111"/>
        <v>475155.38221474813</v>
      </c>
    </row>
    <row r="342" spans="5:27" outlineLevel="1" x14ac:dyDescent="0.25">
      <c r="E342" s="4" t="s">
        <v>46</v>
      </c>
      <c r="F342" s="4">
        <v>12</v>
      </c>
      <c r="G342" s="21">
        <v>67</v>
      </c>
      <c r="H342" s="21"/>
      <c r="I342" s="21">
        <v>46.12</v>
      </c>
      <c r="J342" s="21">
        <v>325498.69999999995</v>
      </c>
      <c r="K342" s="21"/>
      <c r="L342" s="21">
        <v>209380.17</v>
      </c>
      <c r="M342" s="21">
        <v>923759.61</v>
      </c>
      <c r="N342" s="21"/>
      <c r="O342" s="21">
        <v>596955.18999999994</v>
      </c>
      <c r="S342" s="28">
        <f t="shared" si="118"/>
        <v>-6.6425909562411234E-2</v>
      </c>
      <c r="T342" s="26">
        <f t="shared" si="119"/>
        <v>-0.10265597252217029</v>
      </c>
      <c r="U342" s="30">
        <f t="shared" si="120"/>
        <v>-0.12754534414930785</v>
      </c>
      <c r="W342" s="13">
        <f t="shared" si="108"/>
        <v>0</v>
      </c>
      <c r="Y342" s="14">
        <f t="shared" si="109"/>
        <v>43.056437050981593</v>
      </c>
      <c r="Z342" s="14">
        <f t="shared" si="110"/>
        <v>187886.04502179267</v>
      </c>
      <c r="AA342" s="14">
        <f t="shared" si="111"/>
        <v>520816.3348497345</v>
      </c>
    </row>
    <row r="343" spans="5:27" outlineLevel="1" x14ac:dyDescent="0.25">
      <c r="E343" s="4" t="s">
        <v>47</v>
      </c>
      <c r="F343" s="4">
        <v>1</v>
      </c>
      <c r="G343" s="21">
        <v>182</v>
      </c>
      <c r="H343" s="21">
        <v>188</v>
      </c>
      <c r="I343" s="21">
        <v>225.20000000000002</v>
      </c>
      <c r="J343" s="21">
        <v>884697.14000000013</v>
      </c>
      <c r="K343" s="21">
        <v>967759.93999999983</v>
      </c>
      <c r="L343" s="21">
        <v>1060640.7399999998</v>
      </c>
      <c r="M343" s="21">
        <v>2351284.2300000004</v>
      </c>
      <c r="N343" s="21">
        <v>2570894.88</v>
      </c>
      <c r="O343" s="21">
        <v>3008952.8500000006</v>
      </c>
      <c r="S343" s="22">
        <f t="shared" ref="S343:S354" si="121">IFERROR(SUMPRODUCT(H$343:H$354,$W$343:$W$354)/SUMPRODUCT(I$343:I$354,$W$343:$W$354)-1,"")</f>
        <v>-0.20336047237357924</v>
      </c>
      <c r="T343" s="23">
        <f t="shared" ref="T343:T354" si="122">IFERROR(SUMPRODUCT(K$343:K$354,$W$343:$W$354)/SUMPRODUCT(L$343:L$354,$W$343:$W$354)-1,"")</f>
        <v>-0.16968854817881962</v>
      </c>
      <c r="U343" s="24">
        <f t="shared" ref="U343:U354" si="123">IFERROR(SUMPRODUCT(N$343:N$354,$W$343:$W$354)/SUMPRODUCT(O$343:O$354,$W$343:$W$354)-1,"")</f>
        <v>-0.22551016290466008</v>
      </c>
      <c r="W343" s="13">
        <f t="shared" si="108"/>
        <v>1</v>
      </c>
      <c r="Y343" s="14">
        <f t="shared" si="109"/>
        <v>188</v>
      </c>
      <c r="Z343" s="14">
        <f t="shared" si="110"/>
        <v>967759.93999999983</v>
      </c>
      <c r="AA343" s="14">
        <f t="shared" si="111"/>
        <v>2570894.88</v>
      </c>
    </row>
    <row r="344" spans="5:27" outlineLevel="1" x14ac:dyDescent="0.25">
      <c r="E344" s="4" t="s">
        <v>47</v>
      </c>
      <c r="F344" s="4">
        <v>2</v>
      </c>
      <c r="G344" s="21">
        <v>150</v>
      </c>
      <c r="H344" s="21">
        <v>151</v>
      </c>
      <c r="I344" s="21">
        <v>226.34</v>
      </c>
      <c r="J344" s="21">
        <v>686484.86999999988</v>
      </c>
      <c r="K344" s="21">
        <v>728021.70000000007</v>
      </c>
      <c r="L344" s="21">
        <v>1074247.1499999997</v>
      </c>
      <c r="M344" s="21">
        <v>1815152.32</v>
      </c>
      <c r="N344" s="21">
        <v>1920855.7999999996</v>
      </c>
      <c r="O344" s="21">
        <v>3049897.62</v>
      </c>
      <c r="S344" s="25">
        <f t="shared" si="121"/>
        <v>-0.20336047237357924</v>
      </c>
      <c r="T344" s="26">
        <f t="shared" si="122"/>
        <v>-0.16968854817881962</v>
      </c>
      <c r="U344" s="27">
        <f t="shared" si="123"/>
        <v>-0.22551016290466008</v>
      </c>
      <c r="W344" s="13">
        <f t="shared" si="108"/>
        <v>1</v>
      </c>
      <c r="Y344" s="14">
        <f t="shared" si="109"/>
        <v>151</v>
      </c>
      <c r="Z344" s="14">
        <f t="shared" si="110"/>
        <v>728021.70000000007</v>
      </c>
      <c r="AA344" s="14">
        <f t="shared" si="111"/>
        <v>1920855.7999999996</v>
      </c>
    </row>
    <row r="345" spans="5:27" outlineLevel="1" x14ac:dyDescent="0.25">
      <c r="E345" s="4" t="s">
        <v>47</v>
      </c>
      <c r="F345" s="4">
        <v>3</v>
      </c>
      <c r="G345" s="21">
        <v>228</v>
      </c>
      <c r="H345" s="21">
        <v>232</v>
      </c>
      <c r="I345" s="21">
        <v>253.14</v>
      </c>
      <c r="J345" s="21">
        <v>1089939.9899999998</v>
      </c>
      <c r="K345" s="21">
        <v>1157392.6199999999</v>
      </c>
      <c r="L345" s="21">
        <v>1179445.6499999999</v>
      </c>
      <c r="M345" s="21">
        <v>2843227.9499999993</v>
      </c>
      <c r="N345" s="21">
        <v>3026914.4899999998</v>
      </c>
      <c r="O345" s="21">
        <v>3294121.3100000005</v>
      </c>
      <c r="S345" s="25">
        <f t="shared" si="121"/>
        <v>-0.20336047237357924</v>
      </c>
      <c r="T345" s="26">
        <f t="shared" si="122"/>
        <v>-0.16968854817881962</v>
      </c>
      <c r="U345" s="27">
        <f t="shared" si="123"/>
        <v>-0.22551016290466008</v>
      </c>
      <c r="W345" s="13">
        <f t="shared" si="108"/>
        <v>1</v>
      </c>
      <c r="Y345" s="14">
        <f t="shared" si="109"/>
        <v>232</v>
      </c>
      <c r="Z345" s="14">
        <f t="shared" si="110"/>
        <v>1157392.6199999999</v>
      </c>
      <c r="AA345" s="14">
        <f t="shared" si="111"/>
        <v>3026914.4899999998</v>
      </c>
    </row>
    <row r="346" spans="5:27" outlineLevel="1" x14ac:dyDescent="0.25">
      <c r="E346" s="4" t="s">
        <v>47</v>
      </c>
      <c r="F346" s="4">
        <v>4</v>
      </c>
      <c r="G346" s="21">
        <v>160</v>
      </c>
      <c r="H346" s="21">
        <v>169</v>
      </c>
      <c r="I346" s="21">
        <v>228.26000000000005</v>
      </c>
      <c r="J346" s="21">
        <v>711687.72000000009</v>
      </c>
      <c r="K346" s="21">
        <v>803940.26</v>
      </c>
      <c r="L346" s="21">
        <v>1080167.6299999999</v>
      </c>
      <c r="M346" s="21">
        <v>2002642.41</v>
      </c>
      <c r="N346" s="21">
        <v>2216689.3299999996</v>
      </c>
      <c r="O346" s="21">
        <v>3071220.22</v>
      </c>
      <c r="S346" s="25">
        <f t="shared" si="121"/>
        <v>-0.20336047237357924</v>
      </c>
      <c r="T346" s="26">
        <f t="shared" si="122"/>
        <v>-0.16968854817881962</v>
      </c>
      <c r="U346" s="27">
        <f t="shared" si="123"/>
        <v>-0.22551016290466008</v>
      </c>
      <c r="W346" s="13">
        <f t="shared" si="108"/>
        <v>1</v>
      </c>
      <c r="Y346" s="14">
        <f t="shared" si="109"/>
        <v>169</v>
      </c>
      <c r="Z346" s="14">
        <f t="shared" si="110"/>
        <v>803940.26</v>
      </c>
      <c r="AA346" s="14">
        <f t="shared" si="111"/>
        <v>2216689.3299999996</v>
      </c>
    </row>
    <row r="347" spans="5:27" outlineLevel="1" x14ac:dyDescent="0.25">
      <c r="E347" s="4" t="s">
        <v>47</v>
      </c>
      <c r="F347" s="4">
        <v>5</v>
      </c>
      <c r="G347" s="21">
        <v>144</v>
      </c>
      <c r="H347" s="21">
        <v>143</v>
      </c>
      <c r="I347" s="21">
        <v>245.19</v>
      </c>
      <c r="J347" s="21">
        <v>623273.04</v>
      </c>
      <c r="K347" s="21">
        <v>644583.46000000008</v>
      </c>
      <c r="L347" s="21">
        <v>1143294.7000000002</v>
      </c>
      <c r="M347" s="21">
        <v>1693900.8499999999</v>
      </c>
      <c r="N347" s="21">
        <v>1698632.6300000001</v>
      </c>
      <c r="O347" s="21">
        <v>3217922.86</v>
      </c>
      <c r="S347" s="25">
        <f t="shared" si="121"/>
        <v>-0.20336047237357924</v>
      </c>
      <c r="T347" s="26">
        <f t="shared" si="122"/>
        <v>-0.16968854817881962</v>
      </c>
      <c r="U347" s="27">
        <f t="shared" si="123"/>
        <v>-0.22551016290466008</v>
      </c>
      <c r="W347" s="13">
        <f t="shared" si="108"/>
        <v>1</v>
      </c>
      <c r="Y347" s="14">
        <f t="shared" si="109"/>
        <v>143</v>
      </c>
      <c r="Z347" s="14">
        <f t="shared" si="110"/>
        <v>644583.46000000008</v>
      </c>
      <c r="AA347" s="14">
        <f t="shared" si="111"/>
        <v>1698632.6300000001</v>
      </c>
    </row>
    <row r="348" spans="5:27" outlineLevel="1" x14ac:dyDescent="0.25">
      <c r="E348" s="4" t="s">
        <v>47</v>
      </c>
      <c r="F348" s="4">
        <v>6</v>
      </c>
      <c r="G348" s="21">
        <v>253</v>
      </c>
      <c r="H348" s="21">
        <v>253</v>
      </c>
      <c r="I348" s="21">
        <v>247.86000000000004</v>
      </c>
      <c r="J348" s="21">
        <v>1198982.3</v>
      </c>
      <c r="K348" s="21">
        <v>1264496.96</v>
      </c>
      <c r="L348" s="21">
        <v>1165947.56</v>
      </c>
      <c r="M348" s="21">
        <v>3133542.7799999993</v>
      </c>
      <c r="N348" s="21">
        <v>3221722.1699999995</v>
      </c>
      <c r="O348" s="21">
        <v>3280934.350000001</v>
      </c>
      <c r="S348" s="25">
        <f t="shared" si="121"/>
        <v>-0.20336047237357924</v>
      </c>
      <c r="T348" s="26">
        <f t="shared" si="122"/>
        <v>-0.16968854817881962</v>
      </c>
      <c r="U348" s="27">
        <f t="shared" si="123"/>
        <v>-0.22551016290466008</v>
      </c>
      <c r="W348" s="13">
        <f t="shared" si="108"/>
        <v>1</v>
      </c>
      <c r="Y348" s="14">
        <f t="shared" si="109"/>
        <v>253</v>
      </c>
      <c r="Z348" s="14">
        <f t="shared" si="110"/>
        <v>1264496.96</v>
      </c>
      <c r="AA348" s="14">
        <f t="shared" si="111"/>
        <v>3221722.1699999995</v>
      </c>
    </row>
    <row r="349" spans="5:27" outlineLevel="1" x14ac:dyDescent="0.25">
      <c r="E349" s="4" t="s">
        <v>47</v>
      </c>
      <c r="F349" s="4">
        <v>7</v>
      </c>
      <c r="G349" s="21">
        <v>158</v>
      </c>
      <c r="H349" s="21"/>
      <c r="I349" s="21">
        <v>237.44000000000003</v>
      </c>
      <c r="J349" s="21">
        <v>694648.31999999995</v>
      </c>
      <c r="K349" s="21"/>
      <c r="L349" s="21">
        <v>1125833.8</v>
      </c>
      <c r="M349" s="21">
        <v>1821236.6599999997</v>
      </c>
      <c r="N349" s="21"/>
      <c r="O349" s="21">
        <v>3194347.65</v>
      </c>
      <c r="S349" s="25">
        <f t="shared" si="121"/>
        <v>-0.20336047237357924</v>
      </c>
      <c r="T349" s="26">
        <f t="shared" si="122"/>
        <v>-0.16968854817881962</v>
      </c>
      <c r="U349" s="27">
        <f t="shared" si="123"/>
        <v>-0.22551016290466008</v>
      </c>
      <c r="W349" s="13">
        <f t="shared" si="108"/>
        <v>0</v>
      </c>
      <c r="Y349" s="14">
        <f t="shared" si="109"/>
        <v>189.15408943961737</v>
      </c>
      <c r="Z349" s="14">
        <f t="shared" si="110"/>
        <v>934792.69698735641</v>
      </c>
      <c r="AA349" s="14">
        <f t="shared" si="111"/>
        <v>2473989.7910743817</v>
      </c>
    </row>
    <row r="350" spans="5:27" outlineLevel="1" x14ac:dyDescent="0.25">
      <c r="E350" s="4" t="s">
        <v>47</v>
      </c>
      <c r="F350" s="4">
        <v>8</v>
      </c>
      <c r="G350" s="21">
        <v>176</v>
      </c>
      <c r="H350" s="21"/>
      <c r="I350" s="21">
        <v>250.51999999999995</v>
      </c>
      <c r="J350" s="21">
        <v>813301.74000000011</v>
      </c>
      <c r="K350" s="21"/>
      <c r="L350" s="21">
        <v>1185950.9599999997</v>
      </c>
      <c r="M350" s="21">
        <v>2112847.7000000002</v>
      </c>
      <c r="N350" s="21"/>
      <c r="O350" s="21">
        <v>3340987.899999999</v>
      </c>
      <c r="S350" s="25">
        <f t="shared" si="121"/>
        <v>-0.20336047237357924</v>
      </c>
      <c r="T350" s="26">
        <f t="shared" si="122"/>
        <v>-0.16968854817881962</v>
      </c>
      <c r="U350" s="27">
        <f t="shared" si="123"/>
        <v>-0.22551016290466008</v>
      </c>
      <c r="W350" s="13">
        <f t="shared" si="108"/>
        <v>0</v>
      </c>
      <c r="Y350" s="14">
        <f t="shared" si="109"/>
        <v>199.5741344609709</v>
      </c>
      <c r="Z350" s="14">
        <f t="shared" si="110"/>
        <v>984708.66338632244</v>
      </c>
      <c r="AA350" s="14">
        <f t="shared" si="111"/>
        <v>2587561.174408501</v>
      </c>
    </row>
    <row r="351" spans="5:27" outlineLevel="1" x14ac:dyDescent="0.25">
      <c r="E351" s="4" t="s">
        <v>47</v>
      </c>
      <c r="F351" s="4">
        <v>9</v>
      </c>
      <c r="G351" s="21">
        <v>214</v>
      </c>
      <c r="H351" s="21"/>
      <c r="I351" s="21">
        <v>264.65999999999997</v>
      </c>
      <c r="J351" s="21">
        <v>949862.98999999987</v>
      </c>
      <c r="K351" s="21"/>
      <c r="L351" s="21">
        <v>1234692.8399999999</v>
      </c>
      <c r="M351" s="21">
        <v>2482477.9899999998</v>
      </c>
      <c r="N351" s="21"/>
      <c r="O351" s="21">
        <v>3452668.4899999988</v>
      </c>
      <c r="S351" s="25">
        <f t="shared" si="121"/>
        <v>-0.20336047237357924</v>
      </c>
      <c r="T351" s="26">
        <f t="shared" si="122"/>
        <v>-0.16968854817881962</v>
      </c>
      <c r="U351" s="27">
        <f t="shared" si="123"/>
        <v>-0.22551016290466008</v>
      </c>
      <c r="W351" s="13">
        <f t="shared" si="108"/>
        <v>0</v>
      </c>
      <c r="Y351" s="14">
        <f t="shared" si="109"/>
        <v>210.83861738160849</v>
      </c>
      <c r="Z351" s="14">
        <f t="shared" si="110"/>
        <v>1025179.6045336162</v>
      </c>
      <c r="AA351" s="14">
        <f t="shared" si="111"/>
        <v>2674056.6563643124</v>
      </c>
    </row>
    <row r="352" spans="5:27" outlineLevel="1" x14ac:dyDescent="0.25">
      <c r="E352" s="4" t="s">
        <v>47</v>
      </c>
      <c r="F352" s="4">
        <v>10</v>
      </c>
      <c r="G352" s="21">
        <v>280</v>
      </c>
      <c r="H352" s="21"/>
      <c r="I352" s="21">
        <v>261.21000000000009</v>
      </c>
      <c r="J352" s="21">
        <v>1258934.8500000001</v>
      </c>
      <c r="K352" s="21"/>
      <c r="L352" s="21">
        <v>1235881.8500000001</v>
      </c>
      <c r="M352" s="21">
        <v>3418135.370000001</v>
      </c>
      <c r="N352" s="21"/>
      <c r="O352" s="21">
        <v>3468076.9099999997</v>
      </c>
      <c r="S352" s="25">
        <f t="shared" si="121"/>
        <v>-0.20336047237357924</v>
      </c>
      <c r="T352" s="26">
        <f t="shared" si="122"/>
        <v>-0.16968854817881962</v>
      </c>
      <c r="U352" s="27">
        <f t="shared" si="123"/>
        <v>-0.22551016290466008</v>
      </c>
      <c r="W352" s="13">
        <f t="shared" si="108"/>
        <v>0</v>
      </c>
      <c r="Y352" s="14">
        <f t="shared" si="109"/>
        <v>208.09021101129744</v>
      </c>
      <c r="Z352" s="14">
        <f t="shared" si="110"/>
        <v>1026166.8531529463</v>
      </c>
      <c r="AA352" s="14">
        <f t="shared" si="111"/>
        <v>2685990.3210600098</v>
      </c>
    </row>
    <row r="353" spans="5:27" outlineLevel="1" x14ac:dyDescent="0.25">
      <c r="E353" s="4" t="s">
        <v>47</v>
      </c>
      <c r="F353" s="4">
        <v>11</v>
      </c>
      <c r="G353" s="21">
        <v>360</v>
      </c>
      <c r="H353" s="21"/>
      <c r="I353" s="21">
        <v>275.59999999999991</v>
      </c>
      <c r="J353" s="21">
        <v>1771902.0999999999</v>
      </c>
      <c r="K353" s="21"/>
      <c r="L353" s="21">
        <v>1277905.3600000001</v>
      </c>
      <c r="M353" s="21">
        <v>4649283.55</v>
      </c>
      <c r="N353" s="21"/>
      <c r="O353" s="21">
        <v>3560112.1199999996</v>
      </c>
      <c r="S353" s="25">
        <f t="shared" si="121"/>
        <v>-0.20336047237357924</v>
      </c>
      <c r="T353" s="26">
        <f t="shared" si="122"/>
        <v>-0.16968854817881962</v>
      </c>
      <c r="U353" s="27">
        <f t="shared" si="123"/>
        <v>-0.22551016290466008</v>
      </c>
      <c r="W353" s="13">
        <f t="shared" si="108"/>
        <v>0</v>
      </c>
      <c r="Y353" s="14">
        <f t="shared" si="109"/>
        <v>219.5538538138415</v>
      </c>
      <c r="Z353" s="14">
        <f t="shared" si="110"/>
        <v>1061059.4547516683</v>
      </c>
      <c r="AA353" s="14">
        <f t="shared" si="111"/>
        <v>2757270.6558599449</v>
      </c>
    </row>
    <row r="354" spans="5:27" outlineLevel="1" x14ac:dyDescent="0.25">
      <c r="E354" s="4" t="s">
        <v>47</v>
      </c>
      <c r="F354" s="4">
        <v>12</v>
      </c>
      <c r="G354" s="21">
        <v>404</v>
      </c>
      <c r="H354" s="21"/>
      <c r="I354" s="21">
        <v>284.54000000000002</v>
      </c>
      <c r="J354" s="21">
        <v>1870855.9099999997</v>
      </c>
      <c r="K354" s="21"/>
      <c r="L354" s="21">
        <v>1320337.02</v>
      </c>
      <c r="M354" s="21">
        <v>4920462.33</v>
      </c>
      <c r="N354" s="21"/>
      <c r="O354" s="21">
        <v>3665583.94</v>
      </c>
      <c r="S354" s="28">
        <f t="shared" si="121"/>
        <v>-0.20336047237357924</v>
      </c>
      <c r="T354" s="29">
        <f t="shared" si="122"/>
        <v>-0.16968854817881962</v>
      </c>
      <c r="U354" s="30">
        <f t="shared" si="123"/>
        <v>-0.22551016290466008</v>
      </c>
      <c r="W354" s="13">
        <f t="shared" si="108"/>
        <v>0</v>
      </c>
      <c r="Y354" s="14">
        <f t="shared" si="109"/>
        <v>226.67581119082178</v>
      </c>
      <c r="Z354" s="14">
        <f t="shared" si="110"/>
        <v>1096290.9479694508</v>
      </c>
      <c r="AA354" s="14">
        <f t="shared" si="111"/>
        <v>2838957.5085498942</v>
      </c>
    </row>
    <row r="355" spans="5:27" outlineLevel="1" x14ac:dyDescent="0.25">
      <c r="E355" s="4" t="s">
        <v>48</v>
      </c>
      <c r="F355" s="4">
        <v>1</v>
      </c>
      <c r="G355" s="21">
        <v>98</v>
      </c>
      <c r="H355" s="21">
        <v>99</v>
      </c>
      <c r="I355" s="21">
        <v>160.52000000000001</v>
      </c>
      <c r="J355" s="21">
        <v>426182.53999999992</v>
      </c>
      <c r="K355" s="21">
        <v>448000.98999999993</v>
      </c>
      <c r="L355" s="21">
        <v>751519.01999999979</v>
      </c>
      <c r="M355" s="21">
        <v>1254519.3300000003</v>
      </c>
      <c r="N355" s="21">
        <v>1317621.6200000003</v>
      </c>
      <c r="O355" s="21">
        <v>2256135.39</v>
      </c>
      <c r="S355" s="22">
        <f t="shared" ref="S355:S366" si="124">IFERROR(SUMPRODUCT(H$355:H$366,$W$355:$W$366)/SUMPRODUCT(I$355:I$366,$W$355:$W$366)-1,"")</f>
        <v>-0.14478956936489618</v>
      </c>
      <c r="T355" s="26">
        <f t="shared" ref="T355:T366" si="125">IFERROR(SUMPRODUCT(K$355:K$366,$W$355:$W$366)/SUMPRODUCT(L$355:L$366,$W$355:$W$366)-1,"")</f>
        <v>-0.13523047878831274</v>
      </c>
      <c r="U355" s="24">
        <f t="shared" ref="U355:U366" si="126">IFERROR(SUMPRODUCT(N$355:N$366,$W$355:$W$366)/SUMPRODUCT(O$355:O$366,$W$355:$W$366)-1,"")</f>
        <v>-0.15644531824956631</v>
      </c>
      <c r="W355" s="13">
        <f t="shared" si="108"/>
        <v>1</v>
      </c>
      <c r="Y355" s="14">
        <f t="shared" si="109"/>
        <v>99</v>
      </c>
      <c r="Z355" s="14">
        <f t="shared" si="110"/>
        <v>448000.98999999993</v>
      </c>
      <c r="AA355" s="14">
        <f t="shared" si="111"/>
        <v>1317621.6200000003</v>
      </c>
    </row>
    <row r="356" spans="5:27" outlineLevel="1" x14ac:dyDescent="0.25">
      <c r="E356" s="4" t="s">
        <v>48</v>
      </c>
      <c r="F356" s="4">
        <v>2</v>
      </c>
      <c r="G356" s="21">
        <v>114</v>
      </c>
      <c r="H356" s="21">
        <v>112</v>
      </c>
      <c r="I356" s="21">
        <v>168.24</v>
      </c>
      <c r="J356" s="21">
        <v>549171.84</v>
      </c>
      <c r="K356" s="21">
        <v>566530.33000000007</v>
      </c>
      <c r="L356" s="21">
        <v>783064.67000000016</v>
      </c>
      <c r="M356" s="21">
        <v>1615113.9200000004</v>
      </c>
      <c r="N356" s="21">
        <v>1676166.53</v>
      </c>
      <c r="O356" s="21">
        <v>2343999.2000000002</v>
      </c>
      <c r="S356" s="25">
        <f t="shared" si="124"/>
        <v>-0.14478956936489618</v>
      </c>
      <c r="T356" s="26">
        <f t="shared" si="125"/>
        <v>-0.13523047878831274</v>
      </c>
      <c r="U356" s="27">
        <f t="shared" si="126"/>
        <v>-0.15644531824956631</v>
      </c>
      <c r="W356" s="13">
        <f t="shared" si="108"/>
        <v>1</v>
      </c>
      <c r="Y356" s="14">
        <f t="shared" si="109"/>
        <v>112</v>
      </c>
      <c r="Z356" s="14">
        <f t="shared" si="110"/>
        <v>566530.33000000007</v>
      </c>
      <c r="AA356" s="14">
        <f t="shared" si="111"/>
        <v>1676166.53</v>
      </c>
    </row>
    <row r="357" spans="5:27" outlineLevel="1" x14ac:dyDescent="0.25">
      <c r="E357" s="4" t="s">
        <v>48</v>
      </c>
      <c r="F357" s="4">
        <v>3</v>
      </c>
      <c r="G357" s="21">
        <v>160</v>
      </c>
      <c r="H357" s="21">
        <v>168</v>
      </c>
      <c r="I357" s="21">
        <v>170.04999999999998</v>
      </c>
      <c r="J357" s="21">
        <v>713082.42000000016</v>
      </c>
      <c r="K357" s="21">
        <v>782697.04</v>
      </c>
      <c r="L357" s="21">
        <v>791024.76000000013</v>
      </c>
      <c r="M357" s="21">
        <v>2089722.5400000005</v>
      </c>
      <c r="N357" s="21">
        <v>2322933.33</v>
      </c>
      <c r="O357" s="21">
        <v>2369248.2299999995</v>
      </c>
      <c r="S357" s="25">
        <f t="shared" si="124"/>
        <v>-0.14478956936489618</v>
      </c>
      <c r="T357" s="26">
        <f t="shared" si="125"/>
        <v>-0.13523047878831274</v>
      </c>
      <c r="U357" s="27">
        <f t="shared" si="126"/>
        <v>-0.15644531824956631</v>
      </c>
      <c r="W357" s="13">
        <f t="shared" si="108"/>
        <v>1</v>
      </c>
      <c r="Y357" s="14">
        <f t="shared" si="109"/>
        <v>168</v>
      </c>
      <c r="Z357" s="14">
        <f t="shared" si="110"/>
        <v>782697.04</v>
      </c>
      <c r="AA357" s="14">
        <f t="shared" si="111"/>
        <v>2322933.33</v>
      </c>
    </row>
    <row r="358" spans="5:27" outlineLevel="1" x14ac:dyDescent="0.25">
      <c r="E358" s="4" t="s">
        <v>48</v>
      </c>
      <c r="F358" s="4">
        <v>4</v>
      </c>
      <c r="G358" s="21">
        <v>181</v>
      </c>
      <c r="H358" s="21">
        <v>184</v>
      </c>
      <c r="I358" s="21">
        <v>171.92999999999998</v>
      </c>
      <c r="J358" s="21">
        <v>805230.97999999986</v>
      </c>
      <c r="K358" s="21">
        <v>859875.66000000027</v>
      </c>
      <c r="L358" s="21">
        <v>802798.33</v>
      </c>
      <c r="M358" s="21">
        <v>2336266.0200000005</v>
      </c>
      <c r="N358" s="21">
        <v>2506668.6999999993</v>
      </c>
      <c r="O358" s="21">
        <v>2401937.79</v>
      </c>
      <c r="S358" s="25">
        <f t="shared" si="124"/>
        <v>-0.14478956936489618</v>
      </c>
      <c r="T358" s="26">
        <f t="shared" si="125"/>
        <v>-0.13523047878831274</v>
      </c>
      <c r="U358" s="27">
        <f t="shared" si="126"/>
        <v>-0.15644531824956631</v>
      </c>
      <c r="W358" s="13">
        <f t="shared" si="108"/>
        <v>1</v>
      </c>
      <c r="Y358" s="14">
        <f t="shared" si="109"/>
        <v>184</v>
      </c>
      <c r="Z358" s="14">
        <f t="shared" si="110"/>
        <v>859875.66000000027</v>
      </c>
      <c r="AA358" s="14">
        <f t="shared" si="111"/>
        <v>2506668.6999999993</v>
      </c>
    </row>
    <row r="359" spans="5:27" outlineLevel="1" x14ac:dyDescent="0.25">
      <c r="E359" s="4" t="s">
        <v>48</v>
      </c>
      <c r="F359" s="4">
        <v>5</v>
      </c>
      <c r="G359" s="21">
        <v>153</v>
      </c>
      <c r="H359" s="21">
        <v>155</v>
      </c>
      <c r="I359" s="21">
        <v>180.41</v>
      </c>
      <c r="J359" s="21">
        <v>701549.44999999984</v>
      </c>
      <c r="K359" s="21">
        <v>750027.41</v>
      </c>
      <c r="L359" s="21">
        <v>840464.51</v>
      </c>
      <c r="M359" s="21">
        <v>2088698.1</v>
      </c>
      <c r="N359" s="21">
        <v>2150062.7799999998</v>
      </c>
      <c r="O359" s="21">
        <v>2526553.1799999997</v>
      </c>
      <c r="S359" s="25">
        <f t="shared" si="124"/>
        <v>-0.14478956936489618</v>
      </c>
      <c r="T359" s="26">
        <f t="shared" si="125"/>
        <v>-0.13523047878831274</v>
      </c>
      <c r="U359" s="27">
        <f t="shared" si="126"/>
        <v>-0.15644531824956631</v>
      </c>
      <c r="W359" s="13">
        <f t="shared" ref="W359:W422" si="127">IFERROR(_xlfn.XLOOKUP(F359,$F$13:$F$24,$W$13:$W$24),"")</f>
        <v>1</v>
      </c>
      <c r="Y359" s="14">
        <f t="shared" ref="Y359:Y422" si="128">IFERROR(IF($W359=1,H359,I359*(1+S359)),"")</f>
        <v>155</v>
      </c>
      <c r="Z359" s="14">
        <f t="shared" ref="Z359:Z422" si="129">IFERROR(IF($W359=1,K359,L359*(1+T359)),"")</f>
        <v>750027.41</v>
      </c>
      <c r="AA359" s="14">
        <f t="shared" ref="AA359:AA422" si="130">IFERROR(IF($W359=1,N359,O359*(1+U359)),"")</f>
        <v>2150062.7799999998</v>
      </c>
    </row>
    <row r="360" spans="5:27" outlineLevel="1" x14ac:dyDescent="0.25">
      <c r="E360" s="4" t="s">
        <v>48</v>
      </c>
      <c r="F360" s="4">
        <v>6</v>
      </c>
      <c r="G360" s="21">
        <v>148</v>
      </c>
      <c r="H360" s="21">
        <v>157</v>
      </c>
      <c r="I360" s="21">
        <v>171.99</v>
      </c>
      <c r="J360" s="21">
        <v>663187.54</v>
      </c>
      <c r="K360" s="21">
        <v>724773.36</v>
      </c>
      <c r="L360" s="21">
        <v>809170.36000000022</v>
      </c>
      <c r="M360" s="21">
        <v>1977604.3900000001</v>
      </c>
      <c r="N360" s="21">
        <v>2122038.9800000004</v>
      </c>
      <c r="O360" s="21">
        <v>2440843.3099999996</v>
      </c>
      <c r="S360" s="25">
        <f t="shared" si="124"/>
        <v>-0.14478956936489618</v>
      </c>
      <c r="T360" s="26">
        <f t="shared" si="125"/>
        <v>-0.13523047878831274</v>
      </c>
      <c r="U360" s="27">
        <f t="shared" si="126"/>
        <v>-0.15644531824956631</v>
      </c>
      <c r="W360" s="13">
        <f t="shared" si="127"/>
        <v>1</v>
      </c>
      <c r="Y360" s="14">
        <f t="shared" si="128"/>
        <v>157</v>
      </c>
      <c r="Z360" s="14">
        <f t="shared" si="129"/>
        <v>724773.36</v>
      </c>
      <c r="AA360" s="14">
        <f t="shared" si="130"/>
        <v>2122038.9800000004</v>
      </c>
    </row>
    <row r="361" spans="5:27" outlineLevel="1" x14ac:dyDescent="0.25">
      <c r="E361" s="4" t="s">
        <v>48</v>
      </c>
      <c r="F361" s="4">
        <v>7</v>
      </c>
      <c r="G361" s="21">
        <v>134</v>
      </c>
      <c r="H361" s="21"/>
      <c r="I361" s="21">
        <v>168.84</v>
      </c>
      <c r="J361" s="21">
        <v>631373.05999999982</v>
      </c>
      <c r="K361" s="21"/>
      <c r="L361" s="21">
        <v>794233.24000000011</v>
      </c>
      <c r="M361" s="21">
        <v>1878864.5500000003</v>
      </c>
      <c r="N361" s="21"/>
      <c r="O361" s="21">
        <v>2390938.0700000008</v>
      </c>
      <c r="S361" s="25">
        <f t="shared" si="124"/>
        <v>-0.14478956936489618</v>
      </c>
      <c r="T361" s="26">
        <f t="shared" si="125"/>
        <v>-0.13523047878831274</v>
      </c>
      <c r="U361" s="27">
        <f t="shared" si="126"/>
        <v>-0.15644531824956631</v>
      </c>
      <c r="W361" s="13">
        <f t="shared" si="127"/>
        <v>0</v>
      </c>
      <c r="Y361" s="14">
        <f t="shared" si="128"/>
        <v>144.39372910843093</v>
      </c>
      <c r="Z361" s="14">
        <f t="shared" si="129"/>
        <v>686828.69868520717</v>
      </c>
      <c r="AA361" s="14">
        <f t="shared" si="130"/>
        <v>2016887.0027238468</v>
      </c>
    </row>
    <row r="362" spans="5:27" outlineLevel="1" x14ac:dyDescent="0.25">
      <c r="E362" s="4" t="s">
        <v>48</v>
      </c>
      <c r="F362" s="4">
        <v>8</v>
      </c>
      <c r="G362" s="21">
        <v>112</v>
      </c>
      <c r="H362" s="21"/>
      <c r="I362" s="21">
        <v>176.31000000000003</v>
      </c>
      <c r="J362" s="21">
        <v>526304.69000000006</v>
      </c>
      <c r="K362" s="21"/>
      <c r="L362" s="21">
        <v>825145.73999999976</v>
      </c>
      <c r="M362" s="21">
        <v>1587376.48</v>
      </c>
      <c r="N362" s="21"/>
      <c r="O362" s="21">
        <v>2476351.35</v>
      </c>
      <c r="S362" s="25">
        <f t="shared" si="124"/>
        <v>-0.14478956936489618</v>
      </c>
      <c r="T362" s="26">
        <f t="shared" si="125"/>
        <v>-0.13523047878831274</v>
      </c>
      <c r="U362" s="27">
        <f t="shared" si="126"/>
        <v>-0.15644531824956631</v>
      </c>
      <c r="W362" s="13">
        <f t="shared" si="127"/>
        <v>0</v>
      </c>
      <c r="Y362" s="14">
        <f t="shared" si="128"/>
        <v>150.78215102527517</v>
      </c>
      <c r="Z362" s="14">
        <f t="shared" si="129"/>
        <v>713560.88650966319</v>
      </c>
      <c r="AA362" s="14">
        <f t="shared" si="130"/>
        <v>2088937.7749515069</v>
      </c>
    </row>
    <row r="363" spans="5:27" outlineLevel="1" x14ac:dyDescent="0.25">
      <c r="E363" s="4" t="s">
        <v>48</v>
      </c>
      <c r="F363" s="4">
        <v>9</v>
      </c>
      <c r="G363" s="21">
        <v>136</v>
      </c>
      <c r="H363" s="21"/>
      <c r="I363" s="21">
        <v>177.48000000000002</v>
      </c>
      <c r="J363" s="21">
        <v>673020.57000000007</v>
      </c>
      <c r="K363" s="21"/>
      <c r="L363" s="21">
        <v>831397.43999999983</v>
      </c>
      <c r="M363" s="21">
        <v>1991128.8900000001</v>
      </c>
      <c r="N363" s="21"/>
      <c r="O363" s="21">
        <v>2495842.52</v>
      </c>
      <c r="S363" s="25">
        <f t="shared" si="124"/>
        <v>-0.14478956936489618</v>
      </c>
      <c r="T363" s="26">
        <f t="shared" si="125"/>
        <v>-0.13523047878831274</v>
      </c>
      <c r="U363" s="27">
        <f t="shared" si="126"/>
        <v>-0.15644531824956631</v>
      </c>
      <c r="W363" s="13">
        <f t="shared" si="127"/>
        <v>0</v>
      </c>
      <c r="Y363" s="14">
        <f t="shared" si="128"/>
        <v>151.78274722911823</v>
      </c>
      <c r="Z363" s="14">
        <f t="shared" si="129"/>
        <v>718967.16612542234</v>
      </c>
      <c r="AA363" s="14">
        <f t="shared" si="130"/>
        <v>2105379.6426578006</v>
      </c>
    </row>
    <row r="364" spans="5:27" outlineLevel="1" x14ac:dyDescent="0.25">
      <c r="E364" s="4" t="s">
        <v>48</v>
      </c>
      <c r="F364" s="4">
        <v>10</v>
      </c>
      <c r="G364" s="21">
        <v>200</v>
      </c>
      <c r="H364" s="21"/>
      <c r="I364" s="21">
        <v>179.79999999999998</v>
      </c>
      <c r="J364" s="21">
        <v>904770.62</v>
      </c>
      <c r="K364" s="21"/>
      <c r="L364" s="21">
        <v>844300.88000000012</v>
      </c>
      <c r="M364" s="21">
        <v>2640181.9500000002</v>
      </c>
      <c r="N364" s="21"/>
      <c r="O364" s="21">
        <v>2532769.27</v>
      </c>
      <c r="S364" s="25">
        <f t="shared" si="124"/>
        <v>-0.14478956936489618</v>
      </c>
      <c r="T364" s="26">
        <f t="shared" si="125"/>
        <v>-0.13523047878831274</v>
      </c>
      <c r="U364" s="27">
        <f t="shared" si="126"/>
        <v>-0.15644531824956631</v>
      </c>
      <c r="W364" s="13">
        <f t="shared" si="127"/>
        <v>0</v>
      </c>
      <c r="Y364" s="14">
        <f t="shared" si="128"/>
        <v>153.76683542819165</v>
      </c>
      <c r="Z364" s="14">
        <f t="shared" si="129"/>
        <v>730125.66775620636</v>
      </c>
      <c r="AA364" s="14">
        <f t="shared" si="130"/>
        <v>2136529.3755021282</v>
      </c>
    </row>
    <row r="365" spans="5:27" outlineLevel="1" x14ac:dyDescent="0.25">
      <c r="E365" s="4" t="s">
        <v>48</v>
      </c>
      <c r="F365" s="4">
        <v>11</v>
      </c>
      <c r="G365" s="21">
        <v>272</v>
      </c>
      <c r="H365" s="21"/>
      <c r="I365" s="21">
        <v>184.1</v>
      </c>
      <c r="J365" s="21">
        <v>1260649.8300000005</v>
      </c>
      <c r="K365" s="21"/>
      <c r="L365" s="21">
        <v>870894.54000000015</v>
      </c>
      <c r="M365" s="21">
        <v>3795762.87</v>
      </c>
      <c r="N365" s="21"/>
      <c r="O365" s="21">
        <v>2618267.58</v>
      </c>
      <c r="S365" s="25">
        <f t="shared" si="124"/>
        <v>-0.14478956936489618</v>
      </c>
      <c r="T365" s="26">
        <f t="shared" si="125"/>
        <v>-0.13523047878831274</v>
      </c>
      <c r="U365" s="27">
        <f t="shared" si="126"/>
        <v>-0.15644531824956631</v>
      </c>
      <c r="W365" s="13">
        <f t="shared" si="127"/>
        <v>0</v>
      </c>
      <c r="Y365" s="14">
        <f t="shared" si="128"/>
        <v>157.44424027992261</v>
      </c>
      <c r="Z365" s="14">
        <f t="shared" si="129"/>
        <v>753123.05438167276</v>
      </c>
      <c r="AA365" s="14">
        <f t="shared" si="130"/>
        <v>2208651.8751843781</v>
      </c>
    </row>
    <row r="366" spans="5:27" outlineLevel="1" x14ac:dyDescent="0.25">
      <c r="E366" s="4" t="s">
        <v>48</v>
      </c>
      <c r="F366" s="4">
        <v>12</v>
      </c>
      <c r="G366" s="21">
        <v>280</v>
      </c>
      <c r="H366" s="21"/>
      <c r="I366" s="21">
        <v>180.32000000000002</v>
      </c>
      <c r="J366" s="21">
        <v>1321385.6700000002</v>
      </c>
      <c r="K366" s="21"/>
      <c r="L366" s="21">
        <v>851938.36999999988</v>
      </c>
      <c r="M366" s="21">
        <v>3838018.600000001</v>
      </c>
      <c r="N366" s="21"/>
      <c r="O366" s="21">
        <v>2575645.9899999993</v>
      </c>
      <c r="S366" s="28">
        <f t="shared" si="124"/>
        <v>-0.14478956936489618</v>
      </c>
      <c r="T366" s="26">
        <f t="shared" si="125"/>
        <v>-0.13523047878831274</v>
      </c>
      <c r="U366" s="30">
        <f t="shared" si="126"/>
        <v>-0.15644531824956631</v>
      </c>
      <c r="W366" s="13">
        <f t="shared" si="127"/>
        <v>0</v>
      </c>
      <c r="Y366" s="14">
        <f t="shared" si="128"/>
        <v>154.21154485212193</v>
      </c>
      <c r="Z366" s="14">
        <f t="shared" si="129"/>
        <v>736730.33632676513</v>
      </c>
      <c r="AA366" s="14">
        <f t="shared" si="130"/>
        <v>2172698.2333962303</v>
      </c>
    </row>
    <row r="367" spans="5:27" outlineLevel="1" x14ac:dyDescent="0.25">
      <c r="E367" s="4" t="s">
        <v>49</v>
      </c>
      <c r="F367" s="4">
        <v>1</v>
      </c>
      <c r="G367" s="21">
        <v>39</v>
      </c>
      <c r="H367" s="21">
        <v>40</v>
      </c>
      <c r="I367" s="21">
        <v>43.29999999999999</v>
      </c>
      <c r="J367" s="21">
        <v>170191.55000000002</v>
      </c>
      <c r="K367" s="21">
        <v>182447.34000000003</v>
      </c>
      <c r="L367" s="21">
        <v>200315.19999999998</v>
      </c>
      <c r="M367" s="21">
        <v>574489.01</v>
      </c>
      <c r="N367" s="21">
        <v>630333.29</v>
      </c>
      <c r="O367" s="21">
        <v>671222.61</v>
      </c>
      <c r="S367" s="22">
        <f t="shared" ref="S367:S378" si="131">IFERROR(SUMPRODUCT(H$367:H$378,$W$367:$W$378)/SUMPRODUCT(I$367:I$378,$W$367:$W$378)-1,"")</f>
        <v>9.0909090909090828E-2</v>
      </c>
      <c r="T367" s="23">
        <f t="shared" ref="T367:T378" si="132">IFERROR(SUMPRODUCT(K$367:K$378,$W$367:$W$378)/SUMPRODUCT(L$367:L$378,$W$367:$W$378)-1,"")</f>
        <v>0.15284088565700826</v>
      </c>
      <c r="U367" s="24">
        <f t="shared" ref="U367:U378" si="133">IFERROR(SUMPRODUCT(N$367:N$378,$W$367:$W$378)/SUMPRODUCT(O$367:O$378,$W$367:$W$378)-1,"")</f>
        <v>0.12220891977445181</v>
      </c>
      <c r="W367" s="13">
        <f t="shared" si="127"/>
        <v>1</v>
      </c>
      <c r="Y367" s="14">
        <f t="shared" si="128"/>
        <v>40</v>
      </c>
      <c r="Z367" s="14">
        <f t="shared" si="129"/>
        <v>182447.34000000003</v>
      </c>
      <c r="AA367" s="14">
        <f t="shared" si="130"/>
        <v>630333.29</v>
      </c>
    </row>
    <row r="368" spans="5:27" outlineLevel="1" x14ac:dyDescent="0.25">
      <c r="E368" s="4" t="s">
        <v>49</v>
      </c>
      <c r="F368" s="4">
        <v>2</v>
      </c>
      <c r="G368" s="21">
        <v>19</v>
      </c>
      <c r="H368" s="21">
        <v>20</v>
      </c>
      <c r="I368" s="21">
        <v>45.98</v>
      </c>
      <c r="J368" s="21">
        <v>100148.31999999999</v>
      </c>
      <c r="K368" s="21">
        <v>109860.97</v>
      </c>
      <c r="L368" s="21">
        <v>207541.50999999998</v>
      </c>
      <c r="M368" s="21">
        <v>324664.96999999997</v>
      </c>
      <c r="N368" s="21">
        <v>378856.92999999993</v>
      </c>
      <c r="O368" s="21">
        <v>691718.97</v>
      </c>
      <c r="S368" s="25">
        <f t="shared" si="131"/>
        <v>9.0909090909090828E-2</v>
      </c>
      <c r="T368" s="26">
        <f t="shared" si="132"/>
        <v>0.15284088565700826</v>
      </c>
      <c r="U368" s="27">
        <f t="shared" si="133"/>
        <v>0.12220891977445181</v>
      </c>
      <c r="W368" s="13">
        <f t="shared" si="127"/>
        <v>1</v>
      </c>
      <c r="Y368" s="14">
        <f t="shared" si="128"/>
        <v>20</v>
      </c>
      <c r="Z368" s="14">
        <f t="shared" si="129"/>
        <v>109860.97</v>
      </c>
      <c r="AA368" s="14">
        <f t="shared" si="130"/>
        <v>378856.92999999993</v>
      </c>
    </row>
    <row r="369" spans="5:27" outlineLevel="1" x14ac:dyDescent="0.25">
      <c r="E369" s="4" t="s">
        <v>49</v>
      </c>
      <c r="F369" s="4">
        <v>3</v>
      </c>
      <c r="G369" s="21">
        <v>48</v>
      </c>
      <c r="H369" s="21">
        <v>50</v>
      </c>
      <c r="I369" s="21">
        <v>42.59</v>
      </c>
      <c r="J369" s="21">
        <v>242269.21</v>
      </c>
      <c r="K369" s="21">
        <v>272105.09000000003</v>
      </c>
      <c r="L369" s="21">
        <v>194922.02</v>
      </c>
      <c r="M369" s="21">
        <v>841686.68</v>
      </c>
      <c r="N369" s="21">
        <v>956153.72</v>
      </c>
      <c r="O369" s="21">
        <v>663856.9299999997</v>
      </c>
      <c r="S369" s="25">
        <f t="shared" si="131"/>
        <v>9.0909090909090828E-2</v>
      </c>
      <c r="T369" s="26">
        <f t="shared" si="132"/>
        <v>0.15284088565700826</v>
      </c>
      <c r="U369" s="27">
        <f t="shared" si="133"/>
        <v>0.12220891977445181</v>
      </c>
      <c r="W369" s="13">
        <f t="shared" si="127"/>
        <v>1</v>
      </c>
      <c r="Y369" s="14">
        <f t="shared" si="128"/>
        <v>50</v>
      </c>
      <c r="Z369" s="14">
        <f t="shared" si="129"/>
        <v>272105.09000000003</v>
      </c>
      <c r="AA369" s="14">
        <f t="shared" si="130"/>
        <v>956153.72</v>
      </c>
    </row>
    <row r="370" spans="5:27" outlineLevel="1" x14ac:dyDescent="0.25">
      <c r="E370" s="4" t="s">
        <v>49</v>
      </c>
      <c r="F370" s="4">
        <v>4</v>
      </c>
      <c r="G370" s="21">
        <v>54</v>
      </c>
      <c r="H370" s="21">
        <v>54</v>
      </c>
      <c r="I370" s="21">
        <v>44.879999999999995</v>
      </c>
      <c r="J370" s="21">
        <v>238928.79</v>
      </c>
      <c r="K370" s="21">
        <v>250336.11</v>
      </c>
      <c r="L370" s="21">
        <v>206850.74000000005</v>
      </c>
      <c r="M370" s="21">
        <v>732368.04</v>
      </c>
      <c r="N370" s="21">
        <v>753382.42</v>
      </c>
      <c r="O370" s="21">
        <v>702463.78000000014</v>
      </c>
      <c r="S370" s="25">
        <f t="shared" si="131"/>
        <v>9.0909090909090828E-2</v>
      </c>
      <c r="T370" s="26">
        <f t="shared" si="132"/>
        <v>0.15284088565700826</v>
      </c>
      <c r="U370" s="27">
        <f t="shared" si="133"/>
        <v>0.12220891977445181</v>
      </c>
      <c r="W370" s="13">
        <f t="shared" si="127"/>
        <v>1</v>
      </c>
      <c r="Y370" s="14">
        <f t="shared" si="128"/>
        <v>54</v>
      </c>
      <c r="Z370" s="14">
        <f t="shared" si="129"/>
        <v>250336.11</v>
      </c>
      <c r="AA370" s="14">
        <f t="shared" si="130"/>
        <v>753382.42</v>
      </c>
    </row>
    <row r="371" spans="5:27" outlineLevel="1" x14ac:dyDescent="0.25">
      <c r="E371" s="4" t="s">
        <v>49</v>
      </c>
      <c r="F371" s="4">
        <v>5</v>
      </c>
      <c r="G371" s="21">
        <v>66</v>
      </c>
      <c r="H371" s="21">
        <v>69</v>
      </c>
      <c r="I371" s="21">
        <v>47.35</v>
      </c>
      <c r="J371" s="21">
        <v>277230.64</v>
      </c>
      <c r="K371" s="21">
        <v>317687.40999999997</v>
      </c>
      <c r="L371" s="21">
        <v>228161.97999999998</v>
      </c>
      <c r="M371" s="21">
        <v>907589.73</v>
      </c>
      <c r="N371" s="21">
        <v>1024444.3800000002</v>
      </c>
      <c r="O371" s="21">
        <v>767143.72000000009</v>
      </c>
      <c r="S371" s="25">
        <f t="shared" si="131"/>
        <v>9.0909090909090828E-2</v>
      </c>
      <c r="T371" s="26">
        <f t="shared" si="132"/>
        <v>0.15284088565700826</v>
      </c>
      <c r="U371" s="27">
        <f t="shared" si="133"/>
        <v>0.12220891977445181</v>
      </c>
      <c r="W371" s="13">
        <f t="shared" si="127"/>
        <v>1</v>
      </c>
      <c r="Y371" s="14">
        <f t="shared" si="128"/>
        <v>69</v>
      </c>
      <c r="Z371" s="14">
        <f t="shared" si="129"/>
        <v>317687.40999999997</v>
      </c>
      <c r="AA371" s="14">
        <f t="shared" si="130"/>
        <v>1024444.3800000002</v>
      </c>
    </row>
    <row r="372" spans="5:27" outlineLevel="1" x14ac:dyDescent="0.25">
      <c r="E372" s="4" t="s">
        <v>49</v>
      </c>
      <c r="F372" s="4">
        <v>6</v>
      </c>
      <c r="G372" s="21">
        <v>62</v>
      </c>
      <c r="H372" s="21">
        <v>64</v>
      </c>
      <c r="I372" s="21">
        <v>48.149999999999991</v>
      </c>
      <c r="J372" s="21">
        <v>293047.67</v>
      </c>
      <c r="K372" s="21">
        <v>317710.24</v>
      </c>
      <c r="L372" s="21">
        <v>220098.66999999998</v>
      </c>
      <c r="M372" s="21">
        <v>948428.88</v>
      </c>
      <c r="N372" s="21">
        <v>1012994.7200000001</v>
      </c>
      <c r="O372" s="21">
        <v>741811.47</v>
      </c>
      <c r="S372" s="25">
        <f t="shared" si="131"/>
        <v>9.0909090909090828E-2</v>
      </c>
      <c r="T372" s="26">
        <f t="shared" si="132"/>
        <v>0.15284088565700826</v>
      </c>
      <c r="U372" s="27">
        <f t="shared" si="133"/>
        <v>0.12220891977445181</v>
      </c>
      <c r="W372" s="13">
        <f t="shared" si="127"/>
        <v>1</v>
      </c>
      <c r="Y372" s="14">
        <f t="shared" si="128"/>
        <v>64</v>
      </c>
      <c r="Z372" s="14">
        <f t="shared" si="129"/>
        <v>317710.24</v>
      </c>
      <c r="AA372" s="14">
        <f t="shared" si="130"/>
        <v>1012994.7200000001</v>
      </c>
    </row>
    <row r="373" spans="5:27" outlineLevel="1" x14ac:dyDescent="0.25">
      <c r="E373" s="4" t="s">
        <v>49</v>
      </c>
      <c r="F373" s="4">
        <v>7</v>
      </c>
      <c r="G373" s="21">
        <v>13</v>
      </c>
      <c r="H373" s="21"/>
      <c r="I373" s="21">
        <v>48.709999999999994</v>
      </c>
      <c r="J373" s="21">
        <v>59049.579999999994</v>
      </c>
      <c r="K373" s="21"/>
      <c r="L373" s="21">
        <v>231509.54999999993</v>
      </c>
      <c r="M373" s="21">
        <v>234168.95</v>
      </c>
      <c r="N373" s="21"/>
      <c r="O373" s="21">
        <v>782431.85000000009</v>
      </c>
      <c r="S373" s="25">
        <f t="shared" si="131"/>
        <v>9.0909090909090828E-2</v>
      </c>
      <c r="T373" s="26">
        <f t="shared" si="132"/>
        <v>0.15284088565700826</v>
      </c>
      <c r="U373" s="27">
        <f t="shared" si="133"/>
        <v>0.12220891977445181</v>
      </c>
      <c r="W373" s="13">
        <f t="shared" si="127"/>
        <v>0</v>
      </c>
      <c r="Y373" s="14">
        <f t="shared" si="128"/>
        <v>53.138181818181806</v>
      </c>
      <c r="Z373" s="14">
        <f t="shared" si="129"/>
        <v>266893.67466005537</v>
      </c>
      <c r="AA373" s="14">
        <f t="shared" si="130"/>
        <v>878052.00118562602</v>
      </c>
    </row>
    <row r="374" spans="5:27" outlineLevel="1" x14ac:dyDescent="0.25">
      <c r="E374" s="4" t="s">
        <v>49</v>
      </c>
      <c r="F374" s="4">
        <v>8</v>
      </c>
      <c r="G374" s="21">
        <v>43</v>
      </c>
      <c r="H374" s="21"/>
      <c r="I374" s="21">
        <v>47.6</v>
      </c>
      <c r="J374" s="21">
        <v>203746.84000000003</v>
      </c>
      <c r="K374" s="21"/>
      <c r="L374" s="21">
        <v>221227.83</v>
      </c>
      <c r="M374" s="21">
        <v>682998.72999999986</v>
      </c>
      <c r="N374" s="21"/>
      <c r="O374" s="21">
        <v>759675.12</v>
      </c>
      <c r="S374" s="25">
        <f t="shared" si="131"/>
        <v>9.0909090909090828E-2</v>
      </c>
      <c r="T374" s="26">
        <f t="shared" si="132"/>
        <v>0.15284088565700826</v>
      </c>
      <c r="U374" s="27">
        <f t="shared" si="133"/>
        <v>0.12220891977445181</v>
      </c>
      <c r="W374" s="13">
        <f t="shared" si="127"/>
        <v>0</v>
      </c>
      <c r="Y374" s="14">
        <f t="shared" si="128"/>
        <v>51.927272727272722</v>
      </c>
      <c r="Z374" s="14">
        <f t="shared" si="129"/>
        <v>255040.48746917804</v>
      </c>
      <c r="AA374" s="14">
        <f t="shared" si="130"/>
        <v>852514.19579472707</v>
      </c>
    </row>
    <row r="375" spans="5:27" outlineLevel="1" x14ac:dyDescent="0.25">
      <c r="E375" s="4" t="s">
        <v>49</v>
      </c>
      <c r="F375" s="4">
        <v>9</v>
      </c>
      <c r="G375" s="21">
        <v>36</v>
      </c>
      <c r="H375" s="21"/>
      <c r="I375" s="21">
        <v>49.339999999999996</v>
      </c>
      <c r="J375" s="21">
        <v>145105.35999999999</v>
      </c>
      <c r="K375" s="21"/>
      <c r="L375" s="21">
        <v>226619.59</v>
      </c>
      <c r="M375" s="21">
        <v>389884.42999999993</v>
      </c>
      <c r="N375" s="21"/>
      <c r="O375" s="21">
        <v>773517.39</v>
      </c>
      <c r="S375" s="25">
        <f t="shared" si="131"/>
        <v>9.0909090909090828E-2</v>
      </c>
      <c r="T375" s="26">
        <f t="shared" si="132"/>
        <v>0.15284088565700826</v>
      </c>
      <c r="U375" s="27">
        <f t="shared" si="133"/>
        <v>0.12220891977445181</v>
      </c>
      <c r="W375" s="13">
        <f t="shared" si="127"/>
        <v>0</v>
      </c>
      <c r="Y375" s="14">
        <f t="shared" si="128"/>
        <v>53.825454545454541</v>
      </c>
      <c r="Z375" s="14">
        <f t="shared" si="129"/>
        <v>261256.32884282808</v>
      </c>
      <c r="AA375" s="14">
        <f t="shared" si="130"/>
        <v>868048.11465865339</v>
      </c>
    </row>
    <row r="376" spans="5:27" outlineLevel="1" x14ac:dyDescent="0.25">
      <c r="E376" s="4" t="s">
        <v>49</v>
      </c>
      <c r="F376" s="4">
        <v>10</v>
      </c>
      <c r="G376" s="21">
        <v>28</v>
      </c>
      <c r="H376" s="21"/>
      <c r="I376" s="21">
        <v>50.930000000000007</v>
      </c>
      <c r="J376" s="21">
        <v>142335</v>
      </c>
      <c r="K376" s="21"/>
      <c r="L376" s="21">
        <v>233969.58000000002</v>
      </c>
      <c r="M376" s="21">
        <v>519156.88</v>
      </c>
      <c r="N376" s="21"/>
      <c r="O376" s="21">
        <v>799730.96999999986</v>
      </c>
      <c r="S376" s="25">
        <f t="shared" si="131"/>
        <v>9.0909090909090828E-2</v>
      </c>
      <c r="T376" s="26">
        <f t="shared" si="132"/>
        <v>0.15284088565700826</v>
      </c>
      <c r="U376" s="27">
        <f t="shared" si="133"/>
        <v>0.12220891977445181</v>
      </c>
      <c r="W376" s="13">
        <f t="shared" si="127"/>
        <v>0</v>
      </c>
      <c r="Y376" s="14">
        <f t="shared" si="128"/>
        <v>55.56</v>
      </c>
      <c r="Z376" s="14">
        <f t="shared" si="129"/>
        <v>269729.69782399829</v>
      </c>
      <c r="AA376" s="14">
        <f t="shared" si="130"/>
        <v>897465.22795387439</v>
      </c>
    </row>
    <row r="377" spans="5:27" outlineLevel="1" x14ac:dyDescent="0.25">
      <c r="E377" s="4" t="s">
        <v>49</v>
      </c>
      <c r="F377" s="4">
        <v>11</v>
      </c>
      <c r="G377" s="21">
        <v>75</v>
      </c>
      <c r="H377" s="21"/>
      <c r="I377" s="21">
        <v>51.21</v>
      </c>
      <c r="J377" s="21">
        <v>358261.10999999993</v>
      </c>
      <c r="K377" s="21"/>
      <c r="L377" s="21">
        <v>235929.30000000002</v>
      </c>
      <c r="M377" s="21">
        <v>1241038.7600000002</v>
      </c>
      <c r="N377" s="21"/>
      <c r="O377" s="21">
        <v>810367.39</v>
      </c>
      <c r="S377" s="25">
        <f t="shared" si="131"/>
        <v>9.0909090909090828E-2</v>
      </c>
      <c r="T377" s="26">
        <f t="shared" si="132"/>
        <v>0.15284088565700826</v>
      </c>
      <c r="U377" s="27">
        <f t="shared" si="133"/>
        <v>0.12220891977445181</v>
      </c>
      <c r="W377" s="13">
        <f t="shared" si="127"/>
        <v>0</v>
      </c>
      <c r="Y377" s="14">
        <f t="shared" si="128"/>
        <v>55.86545454545454</v>
      </c>
      <c r="Z377" s="14">
        <f t="shared" si="129"/>
        <v>271988.94316443801</v>
      </c>
      <c r="AA377" s="14">
        <f t="shared" si="130"/>
        <v>909401.51335234195</v>
      </c>
    </row>
    <row r="378" spans="5:27" outlineLevel="1" x14ac:dyDescent="0.25">
      <c r="E378" s="4" t="s">
        <v>49</v>
      </c>
      <c r="F378" s="4">
        <v>12</v>
      </c>
      <c r="G378" s="21">
        <v>57</v>
      </c>
      <c r="H378" s="21"/>
      <c r="I378" s="21">
        <v>50</v>
      </c>
      <c r="J378" s="21">
        <v>233868.76</v>
      </c>
      <c r="K378" s="21"/>
      <c r="L378" s="21">
        <v>227830.13</v>
      </c>
      <c r="M378" s="21">
        <v>780410.44</v>
      </c>
      <c r="N378" s="21"/>
      <c r="O378" s="21">
        <v>790324.63</v>
      </c>
      <c r="S378" s="28">
        <f t="shared" si="131"/>
        <v>9.0909090909090828E-2</v>
      </c>
      <c r="T378" s="29">
        <f t="shared" si="132"/>
        <v>0.15284088565700826</v>
      </c>
      <c r="U378" s="30">
        <f t="shared" si="133"/>
        <v>0.12220891977445181</v>
      </c>
      <c r="W378" s="13">
        <f t="shared" si="127"/>
        <v>0</v>
      </c>
      <c r="Y378" s="14">
        <f t="shared" si="128"/>
        <v>54.54545454545454</v>
      </c>
      <c r="Z378" s="14">
        <f t="shared" si="129"/>
        <v>262651.88884855132</v>
      </c>
      <c r="AA378" s="14">
        <f t="shared" si="130"/>
        <v>886909.34930344333</v>
      </c>
    </row>
    <row r="379" spans="5:27" outlineLevel="1" x14ac:dyDescent="0.25">
      <c r="E379" s="4" t="s">
        <v>50</v>
      </c>
      <c r="F379" s="4">
        <v>1</v>
      </c>
      <c r="G379" s="21">
        <v>345</v>
      </c>
      <c r="H379" s="21">
        <v>373</v>
      </c>
      <c r="I379" s="21">
        <v>401.09999999999997</v>
      </c>
      <c r="J379" s="21">
        <v>1534445.3399999996</v>
      </c>
      <c r="K379" s="21">
        <v>1747393.0999999996</v>
      </c>
      <c r="L379" s="21">
        <v>1816340.57</v>
      </c>
      <c r="M379" s="21">
        <v>4368141.6099999994</v>
      </c>
      <c r="N379" s="21">
        <v>5001168.0200000023</v>
      </c>
      <c r="O379" s="21">
        <v>5486104.9900000002</v>
      </c>
      <c r="S379" s="22">
        <f t="shared" ref="S379:S390" si="134">IFERROR(SUMPRODUCT(H$379:H$390,$W$379:$W$390)/SUMPRODUCT(I$379:I$390,$W$379:$W$390)-1,"")</f>
        <v>-8.123594867258066E-2</v>
      </c>
      <c r="T379" s="26">
        <f t="shared" ref="T379:T390" si="135">IFERROR(SUMPRODUCT(K$379:K$390,$W$379:$W$390)/SUMPRODUCT(L$379:L$390,$W$379:$W$390)-1,"")</f>
        <v>-4.67283489305379E-2</v>
      </c>
      <c r="U379" s="24">
        <f t="shared" ref="U379:U390" si="136">IFERROR(SUMPRODUCT(N$379:N$390,$W$379:$W$390)/SUMPRODUCT(O$379:O$390,$W$379:$W$390)-1,"")</f>
        <v>-8.0057692419421844E-2</v>
      </c>
      <c r="W379" s="13">
        <f t="shared" si="127"/>
        <v>1</v>
      </c>
      <c r="Y379" s="14">
        <f t="shared" si="128"/>
        <v>373</v>
      </c>
      <c r="Z379" s="14">
        <f t="shared" si="129"/>
        <v>1747393.0999999996</v>
      </c>
      <c r="AA379" s="14">
        <f t="shared" si="130"/>
        <v>5001168.0200000023</v>
      </c>
    </row>
    <row r="380" spans="5:27" outlineLevel="1" x14ac:dyDescent="0.25">
      <c r="E380" s="4" t="s">
        <v>50</v>
      </c>
      <c r="F380" s="4">
        <v>2</v>
      </c>
      <c r="G380" s="21">
        <v>301</v>
      </c>
      <c r="H380" s="21">
        <v>329</v>
      </c>
      <c r="I380" s="21">
        <v>384.34999999999997</v>
      </c>
      <c r="J380" s="21">
        <v>1307195.3399999999</v>
      </c>
      <c r="K380" s="21">
        <v>1492258.1900000002</v>
      </c>
      <c r="L380" s="21">
        <v>1751472.5400000005</v>
      </c>
      <c r="M380" s="21">
        <v>3743719.95</v>
      </c>
      <c r="N380" s="21">
        <v>4317054.0700000012</v>
      </c>
      <c r="O380" s="21">
        <v>5335892.45</v>
      </c>
      <c r="S380" s="25">
        <f t="shared" si="134"/>
        <v>-8.123594867258066E-2</v>
      </c>
      <c r="T380" s="26">
        <f t="shared" si="135"/>
        <v>-4.67283489305379E-2</v>
      </c>
      <c r="U380" s="27">
        <f t="shared" si="136"/>
        <v>-8.0057692419421844E-2</v>
      </c>
      <c r="W380" s="13">
        <f t="shared" si="127"/>
        <v>1</v>
      </c>
      <c r="Y380" s="14">
        <f t="shared" si="128"/>
        <v>329</v>
      </c>
      <c r="Z380" s="14">
        <f t="shared" si="129"/>
        <v>1492258.1900000002</v>
      </c>
      <c r="AA380" s="14">
        <f t="shared" si="130"/>
        <v>4317054.0700000012</v>
      </c>
    </row>
    <row r="381" spans="5:27" outlineLevel="1" x14ac:dyDescent="0.25">
      <c r="E381" s="4" t="s">
        <v>50</v>
      </c>
      <c r="F381" s="4">
        <v>3</v>
      </c>
      <c r="G381" s="21">
        <v>384</v>
      </c>
      <c r="H381" s="21">
        <v>416</v>
      </c>
      <c r="I381" s="21">
        <v>377.58000000000004</v>
      </c>
      <c r="J381" s="21">
        <v>1693074.61</v>
      </c>
      <c r="K381" s="21">
        <v>1922394.9099999997</v>
      </c>
      <c r="L381" s="21">
        <v>1748613.8100000003</v>
      </c>
      <c r="M381" s="21">
        <v>4918732.8499999996</v>
      </c>
      <c r="N381" s="21">
        <v>5527361.0299999984</v>
      </c>
      <c r="O381" s="21">
        <v>5338673.5799999982</v>
      </c>
      <c r="S381" s="25">
        <f t="shared" si="134"/>
        <v>-8.123594867258066E-2</v>
      </c>
      <c r="T381" s="26">
        <f t="shared" si="135"/>
        <v>-4.67283489305379E-2</v>
      </c>
      <c r="U381" s="27">
        <f t="shared" si="136"/>
        <v>-8.0057692419421844E-2</v>
      </c>
      <c r="W381" s="13">
        <f t="shared" si="127"/>
        <v>1</v>
      </c>
      <c r="Y381" s="14">
        <f t="shared" si="128"/>
        <v>416</v>
      </c>
      <c r="Z381" s="14">
        <f t="shared" si="129"/>
        <v>1922394.9099999997</v>
      </c>
      <c r="AA381" s="14">
        <f t="shared" si="130"/>
        <v>5527361.0299999984</v>
      </c>
    </row>
    <row r="382" spans="5:27" outlineLevel="1" x14ac:dyDescent="0.25">
      <c r="E382" s="4" t="s">
        <v>50</v>
      </c>
      <c r="F382" s="4">
        <v>4</v>
      </c>
      <c r="G382" s="21">
        <v>343</v>
      </c>
      <c r="H382" s="21">
        <v>371</v>
      </c>
      <c r="I382" s="21">
        <v>441.64000000000004</v>
      </c>
      <c r="J382" s="21">
        <v>1531578.2300000002</v>
      </c>
      <c r="K382" s="21">
        <v>1733795.3599999996</v>
      </c>
      <c r="L382" s="21">
        <v>1982925.84</v>
      </c>
      <c r="M382" s="21">
        <v>4333065.29</v>
      </c>
      <c r="N382" s="21">
        <v>4897630.79</v>
      </c>
      <c r="O382" s="21">
        <v>5942319.8300000001</v>
      </c>
      <c r="S382" s="25">
        <f t="shared" si="134"/>
        <v>-8.123594867258066E-2</v>
      </c>
      <c r="T382" s="26">
        <f t="shared" si="135"/>
        <v>-4.67283489305379E-2</v>
      </c>
      <c r="U382" s="27">
        <f t="shared" si="136"/>
        <v>-8.0057692419421844E-2</v>
      </c>
      <c r="W382" s="13">
        <f t="shared" si="127"/>
        <v>1</v>
      </c>
      <c r="Y382" s="14">
        <f t="shared" si="128"/>
        <v>371</v>
      </c>
      <c r="Z382" s="14">
        <f t="shared" si="129"/>
        <v>1733795.3599999996</v>
      </c>
      <c r="AA382" s="14">
        <f t="shared" si="130"/>
        <v>4897630.79</v>
      </c>
    </row>
    <row r="383" spans="5:27" outlineLevel="1" x14ac:dyDescent="0.25">
      <c r="E383" s="4" t="s">
        <v>50</v>
      </c>
      <c r="F383" s="4">
        <v>5</v>
      </c>
      <c r="G383" s="21">
        <v>322</v>
      </c>
      <c r="H383" s="21">
        <v>353</v>
      </c>
      <c r="I383" s="21">
        <v>428.99999999999989</v>
      </c>
      <c r="J383" s="21">
        <v>1491721.2000000002</v>
      </c>
      <c r="K383" s="21">
        <v>1717271.66</v>
      </c>
      <c r="L383" s="21">
        <v>1945417.2400000002</v>
      </c>
      <c r="M383" s="21">
        <v>4464004.78</v>
      </c>
      <c r="N383" s="21">
        <v>5261678.0999999978</v>
      </c>
      <c r="O383" s="21">
        <v>5856497.8699999992</v>
      </c>
      <c r="S383" s="25">
        <f t="shared" si="134"/>
        <v>-8.123594867258066E-2</v>
      </c>
      <c r="T383" s="26">
        <f t="shared" si="135"/>
        <v>-4.67283489305379E-2</v>
      </c>
      <c r="U383" s="27">
        <f t="shared" si="136"/>
        <v>-8.0057692419421844E-2</v>
      </c>
      <c r="W383" s="13">
        <f t="shared" si="127"/>
        <v>1</v>
      </c>
      <c r="Y383" s="14">
        <f t="shared" si="128"/>
        <v>353</v>
      </c>
      <c r="Z383" s="14">
        <f t="shared" si="129"/>
        <v>1717271.66</v>
      </c>
      <c r="AA383" s="14">
        <f t="shared" si="130"/>
        <v>5261678.0999999978</v>
      </c>
    </row>
    <row r="384" spans="5:27" outlineLevel="1" x14ac:dyDescent="0.25">
      <c r="E384" s="4" t="s">
        <v>50</v>
      </c>
      <c r="F384" s="4">
        <v>6</v>
      </c>
      <c r="G384" s="21">
        <v>390</v>
      </c>
      <c r="H384" s="21">
        <v>422</v>
      </c>
      <c r="I384" s="21">
        <v>430.50999999999988</v>
      </c>
      <c r="J384" s="21">
        <v>1812706.5399999998</v>
      </c>
      <c r="K384" s="21">
        <v>2067938.6299999992</v>
      </c>
      <c r="L384" s="21">
        <v>1959855.5000000002</v>
      </c>
      <c r="M384" s="21">
        <v>5211656.93</v>
      </c>
      <c r="N384" s="21">
        <v>6150035.6099999985</v>
      </c>
      <c r="O384" s="21">
        <v>5906686.7600000016</v>
      </c>
      <c r="S384" s="25">
        <f t="shared" si="134"/>
        <v>-8.123594867258066E-2</v>
      </c>
      <c r="T384" s="26">
        <f t="shared" si="135"/>
        <v>-4.67283489305379E-2</v>
      </c>
      <c r="U384" s="27">
        <f t="shared" si="136"/>
        <v>-8.0057692419421844E-2</v>
      </c>
      <c r="W384" s="13">
        <f t="shared" si="127"/>
        <v>1</v>
      </c>
      <c r="Y384" s="14">
        <f t="shared" si="128"/>
        <v>422</v>
      </c>
      <c r="Z384" s="14">
        <f t="shared" si="129"/>
        <v>2067938.6299999992</v>
      </c>
      <c r="AA384" s="14">
        <f t="shared" si="130"/>
        <v>6150035.6099999985</v>
      </c>
    </row>
    <row r="385" spans="5:27" outlineLevel="1" x14ac:dyDescent="0.25">
      <c r="E385" s="4" t="s">
        <v>50</v>
      </c>
      <c r="F385" s="4">
        <v>7</v>
      </c>
      <c r="G385" s="21">
        <v>305</v>
      </c>
      <c r="H385" s="21"/>
      <c r="I385" s="21">
        <v>407.23</v>
      </c>
      <c r="J385" s="21">
        <v>1367568.3199999998</v>
      </c>
      <c r="K385" s="21"/>
      <c r="L385" s="21">
        <v>1849252.7099999993</v>
      </c>
      <c r="M385" s="21">
        <v>3905709.16</v>
      </c>
      <c r="N385" s="21"/>
      <c r="O385" s="21">
        <v>5602259.1900000004</v>
      </c>
      <c r="S385" s="25">
        <f t="shared" si="134"/>
        <v>-8.123594867258066E-2</v>
      </c>
      <c r="T385" s="26">
        <f t="shared" si="135"/>
        <v>-4.67283489305379E-2</v>
      </c>
      <c r="U385" s="27">
        <f t="shared" si="136"/>
        <v>-8.0057692419421844E-2</v>
      </c>
      <c r="W385" s="13">
        <f t="shared" si="127"/>
        <v>0</v>
      </c>
      <c r="Y385" s="14">
        <f t="shared" si="128"/>
        <v>374.14828462206498</v>
      </c>
      <c r="Z385" s="14">
        <f t="shared" si="129"/>
        <v>1762840.1841063765</v>
      </c>
      <c r="AA385" s="14">
        <f t="shared" si="130"/>
        <v>5153755.2469131006</v>
      </c>
    </row>
    <row r="386" spans="5:27" outlineLevel="1" x14ac:dyDescent="0.25">
      <c r="E386" s="4" t="s">
        <v>50</v>
      </c>
      <c r="F386" s="4">
        <v>8</v>
      </c>
      <c r="G386" s="21">
        <v>360</v>
      </c>
      <c r="H386" s="21"/>
      <c r="I386" s="21">
        <v>387.11000000000007</v>
      </c>
      <c r="J386" s="21">
        <v>1519165.4500000002</v>
      </c>
      <c r="K386" s="21"/>
      <c r="L386" s="21">
        <v>1772866.9200000004</v>
      </c>
      <c r="M386" s="21">
        <v>4482729.1499999985</v>
      </c>
      <c r="N386" s="21"/>
      <c r="O386" s="21">
        <v>5411697.3099999968</v>
      </c>
      <c r="S386" s="25">
        <f t="shared" si="134"/>
        <v>-8.123594867258066E-2</v>
      </c>
      <c r="T386" s="26">
        <f t="shared" si="135"/>
        <v>-4.67283489305379E-2</v>
      </c>
      <c r="U386" s="27">
        <f t="shared" si="136"/>
        <v>-8.0057692419421844E-2</v>
      </c>
      <c r="W386" s="13">
        <f t="shared" si="127"/>
        <v>0</v>
      </c>
      <c r="Y386" s="14">
        <f t="shared" si="128"/>
        <v>355.66275190935738</v>
      </c>
      <c r="Z386" s="14">
        <f t="shared" si="129"/>
        <v>1690023.7759548323</v>
      </c>
      <c r="AA386" s="14">
        <f t="shared" si="130"/>
        <v>4978449.3112890041</v>
      </c>
    </row>
    <row r="387" spans="5:27" outlineLevel="1" x14ac:dyDescent="0.25">
      <c r="E387" s="4" t="s">
        <v>50</v>
      </c>
      <c r="F387" s="4">
        <v>9</v>
      </c>
      <c r="G387" s="21">
        <v>449</v>
      </c>
      <c r="H387" s="21"/>
      <c r="I387" s="21">
        <v>392.84000000000009</v>
      </c>
      <c r="J387" s="21">
        <v>2013719.4800000002</v>
      </c>
      <c r="K387" s="21"/>
      <c r="L387" s="21">
        <v>1812132.8499999999</v>
      </c>
      <c r="M387" s="21">
        <v>5869849.5300000021</v>
      </c>
      <c r="N387" s="21"/>
      <c r="O387" s="21">
        <v>5565352.8400000008</v>
      </c>
      <c r="S387" s="25">
        <f t="shared" si="134"/>
        <v>-8.123594867258066E-2</v>
      </c>
      <c r="T387" s="26">
        <f t="shared" si="135"/>
        <v>-4.67283489305379E-2</v>
      </c>
      <c r="U387" s="27">
        <f t="shared" si="136"/>
        <v>-8.0057692419421844E-2</v>
      </c>
      <c r="W387" s="13">
        <f t="shared" si="127"/>
        <v>0</v>
      </c>
      <c r="Y387" s="14">
        <f t="shared" si="128"/>
        <v>360.92726992346348</v>
      </c>
      <c r="Z387" s="14">
        <f t="shared" si="129"/>
        <v>1727454.8738767097</v>
      </c>
      <c r="AA387" s="14">
        <f t="shared" si="130"/>
        <v>5119803.5341297248</v>
      </c>
    </row>
    <row r="388" spans="5:27" outlineLevel="1" x14ac:dyDescent="0.25">
      <c r="E388" s="4" t="s">
        <v>50</v>
      </c>
      <c r="F388" s="4">
        <v>10</v>
      </c>
      <c r="G388" s="21">
        <v>395</v>
      </c>
      <c r="H388" s="21"/>
      <c r="I388" s="21">
        <v>453.73</v>
      </c>
      <c r="J388" s="21">
        <v>1731919.55</v>
      </c>
      <c r="K388" s="21"/>
      <c r="L388" s="21">
        <v>2035822.53</v>
      </c>
      <c r="M388" s="21">
        <v>5070078.5799999991</v>
      </c>
      <c r="N388" s="21"/>
      <c r="O388" s="21">
        <v>6130806.2399999984</v>
      </c>
      <c r="S388" s="25">
        <f t="shared" si="134"/>
        <v>-8.123594867258066E-2</v>
      </c>
      <c r="T388" s="26">
        <f t="shared" si="135"/>
        <v>-4.67283489305379E-2</v>
      </c>
      <c r="U388" s="27">
        <f t="shared" si="136"/>
        <v>-8.0057692419421844E-2</v>
      </c>
      <c r="W388" s="13">
        <f t="shared" si="127"/>
        <v>0</v>
      </c>
      <c r="Y388" s="14">
        <f t="shared" si="128"/>
        <v>416.87081300878998</v>
      </c>
      <c r="Z388" s="14">
        <f t="shared" si="129"/>
        <v>1940691.9044575095</v>
      </c>
      <c r="AA388" s="14">
        <f t="shared" si="130"/>
        <v>5639988.0397550063</v>
      </c>
    </row>
    <row r="389" spans="5:27" outlineLevel="1" x14ac:dyDescent="0.25">
      <c r="E389" s="4" t="s">
        <v>50</v>
      </c>
      <c r="F389" s="4">
        <v>11</v>
      </c>
      <c r="G389" s="21">
        <v>491</v>
      </c>
      <c r="H389" s="21"/>
      <c r="I389" s="21">
        <v>447.16999999999996</v>
      </c>
      <c r="J389" s="21">
        <v>2251430.8000000003</v>
      </c>
      <c r="K389" s="21"/>
      <c r="L389" s="21">
        <v>2018873.8799999997</v>
      </c>
      <c r="M389" s="21">
        <v>6559174.919999999</v>
      </c>
      <c r="N389" s="21"/>
      <c r="O389" s="21">
        <v>6118356.9399999995</v>
      </c>
      <c r="S389" s="25">
        <f t="shared" si="134"/>
        <v>-8.123594867258066E-2</v>
      </c>
      <c r="T389" s="26">
        <f t="shared" si="135"/>
        <v>-4.67283489305379E-2</v>
      </c>
      <c r="U389" s="27">
        <f t="shared" si="136"/>
        <v>-8.0057692419421844E-2</v>
      </c>
      <c r="W389" s="13">
        <f t="shared" si="127"/>
        <v>0</v>
      </c>
      <c r="Y389" s="14">
        <f t="shared" si="128"/>
        <v>410.84372083208206</v>
      </c>
      <c r="Z389" s="14">
        <f t="shared" si="129"/>
        <v>1924535.2368886108</v>
      </c>
      <c r="AA389" s="14">
        <f t="shared" si="130"/>
        <v>5628535.4019852448</v>
      </c>
    </row>
    <row r="390" spans="5:27" outlineLevel="1" x14ac:dyDescent="0.25">
      <c r="E390" s="4" t="s">
        <v>50</v>
      </c>
      <c r="F390" s="4">
        <v>12</v>
      </c>
      <c r="G390" s="21">
        <v>625</v>
      </c>
      <c r="H390" s="21"/>
      <c r="I390" s="21">
        <v>447.81</v>
      </c>
      <c r="J390" s="21">
        <v>2874604.85</v>
      </c>
      <c r="K390" s="21"/>
      <c r="L390" s="21">
        <v>2030265.5499999996</v>
      </c>
      <c r="M390" s="21">
        <v>8298236.4899999993</v>
      </c>
      <c r="N390" s="21"/>
      <c r="O390" s="21">
        <v>6158401.2800000031</v>
      </c>
      <c r="S390" s="28">
        <f t="shared" si="134"/>
        <v>-8.123594867258066E-2</v>
      </c>
      <c r="T390" s="26">
        <f t="shared" si="135"/>
        <v>-4.67283489305379E-2</v>
      </c>
      <c r="U390" s="30">
        <f t="shared" si="136"/>
        <v>-8.0057692419421844E-2</v>
      </c>
      <c r="W390" s="13">
        <f t="shared" si="127"/>
        <v>0</v>
      </c>
      <c r="Y390" s="14">
        <f t="shared" si="128"/>
        <v>411.43172982493167</v>
      </c>
      <c r="Z390" s="14">
        <f t="shared" si="129"/>
        <v>1935394.5929579493</v>
      </c>
      <c r="AA390" s="14">
        <f t="shared" si="130"/>
        <v>5665373.8845303888</v>
      </c>
    </row>
    <row r="391" spans="5:27" outlineLevel="1" x14ac:dyDescent="0.25">
      <c r="E391" s="4" t="s">
        <v>51</v>
      </c>
      <c r="F391" s="4">
        <v>1</v>
      </c>
      <c r="G391" s="21">
        <v>35</v>
      </c>
      <c r="H391" s="21">
        <v>35</v>
      </c>
      <c r="I391" s="21">
        <v>24.439999999999998</v>
      </c>
      <c r="J391" s="21">
        <v>174060.87</v>
      </c>
      <c r="K391" s="21">
        <v>174222.59000000003</v>
      </c>
      <c r="L391" s="21">
        <v>105151.81</v>
      </c>
      <c r="M391" s="21">
        <v>464048.98</v>
      </c>
      <c r="N391" s="21">
        <v>459473.92000000004</v>
      </c>
      <c r="O391" s="21">
        <v>270918.78000000003</v>
      </c>
      <c r="S391" s="22">
        <f t="shared" ref="S391:S402" si="137">IFERROR(SUMPRODUCT(H$391:H$402,$W$391:$W$402)/SUMPRODUCT(I$391:I$402,$W$391:$W$402)-1,"")</f>
        <v>-2.6297085998578495E-2</v>
      </c>
      <c r="T391" s="23">
        <f t="shared" ref="T391:T402" si="138">IFERROR(SUMPRODUCT(K$391:K$402,$W$391:$W$402)/SUMPRODUCT(L$391:L$402,$W$391:$W$402)-1,"")</f>
        <v>-5.0610365674205182E-3</v>
      </c>
      <c r="U391" s="24">
        <f t="shared" ref="U391:U402" si="139">IFERROR(SUMPRODUCT(N$391:N$402,$W$391:$W$402)/SUMPRODUCT(O$391:O$402,$W$391:$W$402)-1,"")</f>
        <v>-3.9004163321938234E-2</v>
      </c>
      <c r="W391" s="13">
        <f t="shared" si="127"/>
        <v>1</v>
      </c>
      <c r="Y391" s="14">
        <f t="shared" si="128"/>
        <v>35</v>
      </c>
      <c r="Z391" s="14">
        <f t="shared" si="129"/>
        <v>174222.59000000003</v>
      </c>
      <c r="AA391" s="14">
        <f t="shared" si="130"/>
        <v>459473.92000000004</v>
      </c>
    </row>
    <row r="392" spans="5:27" outlineLevel="1" x14ac:dyDescent="0.25">
      <c r="E392" s="4" t="s">
        <v>51</v>
      </c>
      <c r="F392" s="4">
        <v>2</v>
      </c>
      <c r="G392" s="21">
        <v>3</v>
      </c>
      <c r="H392" s="21">
        <v>3</v>
      </c>
      <c r="I392" s="21">
        <v>24.769999999999996</v>
      </c>
      <c r="J392" s="21">
        <v>7314.87</v>
      </c>
      <c r="K392" s="21">
        <v>7575.27</v>
      </c>
      <c r="L392" s="21">
        <v>109921.95</v>
      </c>
      <c r="M392" s="21">
        <v>16366.03</v>
      </c>
      <c r="N392" s="21">
        <v>17153.79</v>
      </c>
      <c r="O392" s="21">
        <v>286076.65000000002</v>
      </c>
      <c r="S392" s="25">
        <f t="shared" si="137"/>
        <v>-2.6297085998578495E-2</v>
      </c>
      <c r="T392" s="26">
        <f t="shared" si="138"/>
        <v>-5.0610365674205182E-3</v>
      </c>
      <c r="U392" s="27">
        <f t="shared" si="139"/>
        <v>-3.9004163321938234E-2</v>
      </c>
      <c r="W392" s="13">
        <f t="shared" si="127"/>
        <v>1</v>
      </c>
      <c r="Y392" s="14">
        <f t="shared" si="128"/>
        <v>3</v>
      </c>
      <c r="Z392" s="14">
        <f t="shared" si="129"/>
        <v>7575.27</v>
      </c>
      <c r="AA392" s="14">
        <f t="shared" si="130"/>
        <v>17153.79</v>
      </c>
    </row>
    <row r="393" spans="5:27" outlineLevel="1" x14ac:dyDescent="0.25">
      <c r="E393" s="4" t="s">
        <v>51</v>
      </c>
      <c r="F393" s="4">
        <v>3</v>
      </c>
      <c r="G393" s="21">
        <v>15</v>
      </c>
      <c r="H393" s="21">
        <v>14</v>
      </c>
      <c r="I393" s="21">
        <v>22.020000000000003</v>
      </c>
      <c r="J393" s="21">
        <v>67740.97</v>
      </c>
      <c r="K393" s="21">
        <v>65718.47</v>
      </c>
      <c r="L393" s="21">
        <v>96185.97</v>
      </c>
      <c r="M393" s="21">
        <v>179290.32</v>
      </c>
      <c r="N393" s="21">
        <v>173799.24</v>
      </c>
      <c r="O393" s="21">
        <v>247872.74999999997</v>
      </c>
      <c r="S393" s="25">
        <f t="shared" si="137"/>
        <v>-2.6297085998578495E-2</v>
      </c>
      <c r="T393" s="26">
        <f t="shared" si="138"/>
        <v>-5.0610365674205182E-3</v>
      </c>
      <c r="U393" s="27">
        <f t="shared" si="139"/>
        <v>-3.9004163321938234E-2</v>
      </c>
      <c r="W393" s="13">
        <f t="shared" si="127"/>
        <v>1</v>
      </c>
      <c r="Y393" s="14">
        <f t="shared" si="128"/>
        <v>14</v>
      </c>
      <c r="Z393" s="14">
        <f t="shared" si="129"/>
        <v>65718.47</v>
      </c>
      <c r="AA393" s="14">
        <f t="shared" si="130"/>
        <v>173799.24</v>
      </c>
    </row>
    <row r="394" spans="5:27" outlineLevel="1" x14ac:dyDescent="0.25">
      <c r="E394" s="4" t="s">
        <v>51</v>
      </c>
      <c r="F394" s="4">
        <v>4</v>
      </c>
      <c r="G394" s="21">
        <v>39</v>
      </c>
      <c r="H394" s="21">
        <v>40</v>
      </c>
      <c r="I394" s="21">
        <v>21.18</v>
      </c>
      <c r="J394" s="21">
        <v>177937.76</v>
      </c>
      <c r="K394" s="21">
        <v>190736.94000000003</v>
      </c>
      <c r="L394" s="21">
        <v>93954.03</v>
      </c>
      <c r="M394" s="21">
        <v>448797.95</v>
      </c>
      <c r="N394" s="21">
        <v>475582.91000000003</v>
      </c>
      <c r="O394" s="21">
        <v>242953.70000000004</v>
      </c>
      <c r="S394" s="25">
        <f t="shared" si="137"/>
        <v>-2.6297085998578495E-2</v>
      </c>
      <c r="T394" s="26">
        <f t="shared" si="138"/>
        <v>-5.0610365674205182E-3</v>
      </c>
      <c r="U394" s="27">
        <f t="shared" si="139"/>
        <v>-3.9004163321938234E-2</v>
      </c>
      <c r="W394" s="13">
        <f t="shared" si="127"/>
        <v>1</v>
      </c>
      <c r="Y394" s="14">
        <f t="shared" si="128"/>
        <v>40</v>
      </c>
      <c r="Z394" s="14">
        <f t="shared" si="129"/>
        <v>190736.94000000003</v>
      </c>
      <c r="AA394" s="14">
        <f t="shared" si="130"/>
        <v>475582.91000000003</v>
      </c>
    </row>
    <row r="395" spans="5:27" outlineLevel="1" x14ac:dyDescent="0.25">
      <c r="E395" s="4" t="s">
        <v>51</v>
      </c>
      <c r="F395" s="4">
        <v>5</v>
      </c>
      <c r="G395" s="21">
        <v>27</v>
      </c>
      <c r="H395" s="21">
        <v>27</v>
      </c>
      <c r="I395" s="21">
        <v>26.830000000000002</v>
      </c>
      <c r="J395" s="21">
        <v>105889.46</v>
      </c>
      <c r="K395" s="21">
        <v>114414.53</v>
      </c>
      <c r="L395" s="21">
        <v>130764.65</v>
      </c>
      <c r="M395" s="21">
        <v>258027.77999999997</v>
      </c>
      <c r="N395" s="21">
        <v>261187</v>
      </c>
      <c r="O395" s="21">
        <v>350917.9499999999</v>
      </c>
      <c r="S395" s="25">
        <f t="shared" si="137"/>
        <v>-2.6297085998578495E-2</v>
      </c>
      <c r="T395" s="26">
        <f t="shared" si="138"/>
        <v>-5.0610365674205182E-3</v>
      </c>
      <c r="U395" s="27">
        <f t="shared" si="139"/>
        <v>-3.9004163321938234E-2</v>
      </c>
      <c r="W395" s="13">
        <f t="shared" si="127"/>
        <v>1</v>
      </c>
      <c r="Y395" s="14">
        <f t="shared" si="128"/>
        <v>27</v>
      </c>
      <c r="Z395" s="14">
        <f t="shared" si="129"/>
        <v>114414.53</v>
      </c>
      <c r="AA395" s="14">
        <f t="shared" si="130"/>
        <v>261187</v>
      </c>
    </row>
    <row r="396" spans="5:27" outlineLevel="1" x14ac:dyDescent="0.25">
      <c r="E396" s="4" t="s">
        <v>51</v>
      </c>
      <c r="F396" s="4">
        <v>6</v>
      </c>
      <c r="G396" s="21">
        <v>18</v>
      </c>
      <c r="H396" s="21">
        <v>18</v>
      </c>
      <c r="I396" s="21">
        <v>21.46</v>
      </c>
      <c r="J396" s="21">
        <v>77985.830000000016</v>
      </c>
      <c r="K396" s="21">
        <v>81304.850000000006</v>
      </c>
      <c r="L396" s="21">
        <v>101219.12000000001</v>
      </c>
      <c r="M396" s="21">
        <v>211502.13</v>
      </c>
      <c r="N396" s="21">
        <v>213611.15</v>
      </c>
      <c r="O396" s="21">
        <v>267040.55</v>
      </c>
      <c r="S396" s="25">
        <f t="shared" si="137"/>
        <v>-2.6297085998578495E-2</v>
      </c>
      <c r="T396" s="26">
        <f t="shared" si="138"/>
        <v>-5.0610365674205182E-3</v>
      </c>
      <c r="U396" s="27">
        <f t="shared" si="139"/>
        <v>-3.9004163321938234E-2</v>
      </c>
      <c r="W396" s="13">
        <f t="shared" si="127"/>
        <v>1</v>
      </c>
      <c r="Y396" s="14">
        <f t="shared" si="128"/>
        <v>18</v>
      </c>
      <c r="Z396" s="14">
        <f t="shared" si="129"/>
        <v>81304.850000000006</v>
      </c>
      <c r="AA396" s="14">
        <f t="shared" si="130"/>
        <v>213611.15</v>
      </c>
    </row>
    <row r="397" spans="5:27" outlineLevel="1" x14ac:dyDescent="0.25">
      <c r="E397" s="4" t="s">
        <v>51</v>
      </c>
      <c r="F397" s="4">
        <v>7</v>
      </c>
      <c r="G397" s="21">
        <v>17</v>
      </c>
      <c r="H397" s="21"/>
      <c r="I397" s="21">
        <v>19.490000000000002</v>
      </c>
      <c r="J397" s="21">
        <v>63242.95</v>
      </c>
      <c r="K397" s="21"/>
      <c r="L397" s="21">
        <v>92134.52</v>
      </c>
      <c r="M397" s="21">
        <v>156912.21</v>
      </c>
      <c r="N397" s="21"/>
      <c r="O397" s="21">
        <v>242222.60999999996</v>
      </c>
      <c r="S397" s="25">
        <f t="shared" si="137"/>
        <v>-2.6297085998578495E-2</v>
      </c>
      <c r="T397" s="26">
        <f t="shared" si="138"/>
        <v>-5.0610365674205182E-3</v>
      </c>
      <c r="U397" s="27">
        <f t="shared" si="139"/>
        <v>-3.9004163321938234E-2</v>
      </c>
      <c r="W397" s="13">
        <f t="shared" si="127"/>
        <v>0</v>
      </c>
      <c r="Y397" s="14">
        <f t="shared" si="128"/>
        <v>18.977469793887707</v>
      </c>
      <c r="Z397" s="14">
        <f t="shared" si="129"/>
        <v>91668.22382515826</v>
      </c>
      <c r="AA397" s="14">
        <f t="shared" si="130"/>
        <v>232774.91975929381</v>
      </c>
    </row>
    <row r="398" spans="5:27" outlineLevel="1" x14ac:dyDescent="0.25">
      <c r="E398" s="4" t="s">
        <v>51</v>
      </c>
      <c r="F398" s="4">
        <v>8</v>
      </c>
      <c r="G398" s="21">
        <v>16</v>
      </c>
      <c r="H398" s="21"/>
      <c r="I398" s="21">
        <v>23.67</v>
      </c>
      <c r="J398" s="21">
        <v>84874.650000000009</v>
      </c>
      <c r="K398" s="21"/>
      <c r="L398" s="21">
        <v>120136.42</v>
      </c>
      <c r="M398" s="21">
        <v>227857.62</v>
      </c>
      <c r="N398" s="21"/>
      <c r="O398" s="21">
        <v>324598.02999999997</v>
      </c>
      <c r="S398" s="25">
        <f t="shared" si="137"/>
        <v>-2.6297085998578495E-2</v>
      </c>
      <c r="T398" s="26">
        <f t="shared" si="138"/>
        <v>-5.0610365674205182E-3</v>
      </c>
      <c r="U398" s="27">
        <f t="shared" si="139"/>
        <v>-3.9004163321938234E-2</v>
      </c>
      <c r="W398" s="13">
        <f t="shared" si="127"/>
        <v>0</v>
      </c>
      <c r="Y398" s="14">
        <f t="shared" si="128"/>
        <v>23.04754797441365</v>
      </c>
      <c r="Z398" s="14">
        <f t="shared" si="129"/>
        <v>119528.405185301</v>
      </c>
      <c r="AA398" s="14">
        <f t="shared" si="130"/>
        <v>311937.35542390059</v>
      </c>
    </row>
    <row r="399" spans="5:27" outlineLevel="1" x14ac:dyDescent="0.25">
      <c r="E399" s="4" t="s">
        <v>51</v>
      </c>
      <c r="F399" s="4">
        <v>9</v>
      </c>
      <c r="G399" s="21">
        <v>41</v>
      </c>
      <c r="H399" s="21"/>
      <c r="I399" s="21">
        <v>17.739999999999998</v>
      </c>
      <c r="J399" s="21">
        <v>171921.96</v>
      </c>
      <c r="K399" s="21"/>
      <c r="L399" s="21">
        <v>87284.09</v>
      </c>
      <c r="M399" s="21">
        <v>446877.20999999996</v>
      </c>
      <c r="N399" s="21"/>
      <c r="O399" s="21">
        <v>231270.39</v>
      </c>
      <c r="S399" s="25">
        <f t="shared" si="137"/>
        <v>-2.6297085998578495E-2</v>
      </c>
      <c r="T399" s="26">
        <f t="shared" si="138"/>
        <v>-5.0610365674205182E-3</v>
      </c>
      <c r="U399" s="27">
        <f t="shared" si="139"/>
        <v>-3.9004163321938234E-2</v>
      </c>
      <c r="W399" s="13">
        <f t="shared" si="127"/>
        <v>0</v>
      </c>
      <c r="Y399" s="14">
        <f t="shared" si="128"/>
        <v>17.273489694385216</v>
      </c>
      <c r="Z399" s="14">
        <f t="shared" si="129"/>
        <v>86842.342028755971</v>
      </c>
      <c r="AA399" s="14">
        <f t="shared" si="130"/>
        <v>222249.88193691167</v>
      </c>
    </row>
    <row r="400" spans="5:27" outlineLevel="1" x14ac:dyDescent="0.25">
      <c r="E400" s="4" t="s">
        <v>51</v>
      </c>
      <c r="F400" s="4">
        <v>10</v>
      </c>
      <c r="G400" s="21">
        <v>45</v>
      </c>
      <c r="H400" s="21"/>
      <c r="I400" s="21">
        <v>20.810000000000002</v>
      </c>
      <c r="J400" s="21">
        <v>256899.56</v>
      </c>
      <c r="K400" s="21"/>
      <c r="L400" s="21">
        <v>108399.90999999999</v>
      </c>
      <c r="M400" s="21">
        <v>692601.37</v>
      </c>
      <c r="N400" s="21"/>
      <c r="O400" s="21">
        <v>293475.43</v>
      </c>
      <c r="S400" s="25">
        <f t="shared" si="137"/>
        <v>-2.6297085998578495E-2</v>
      </c>
      <c r="T400" s="26">
        <f t="shared" si="138"/>
        <v>-5.0610365674205182E-3</v>
      </c>
      <c r="U400" s="27">
        <f t="shared" si="139"/>
        <v>-3.9004163321938234E-2</v>
      </c>
      <c r="W400" s="13">
        <f t="shared" si="127"/>
        <v>0</v>
      </c>
      <c r="Y400" s="14">
        <f t="shared" si="128"/>
        <v>20.262757640369585</v>
      </c>
      <c r="Z400" s="14">
        <f t="shared" si="129"/>
        <v>107851.2940915849</v>
      </c>
      <c r="AA400" s="14">
        <f t="shared" si="130"/>
        <v>282028.66639730392</v>
      </c>
    </row>
    <row r="401" spans="5:27" outlineLevel="1" x14ac:dyDescent="0.25">
      <c r="E401" s="4" t="s">
        <v>51</v>
      </c>
      <c r="F401" s="4">
        <v>11</v>
      </c>
      <c r="G401" s="21">
        <v>10</v>
      </c>
      <c r="H401" s="21"/>
      <c r="I401" s="21">
        <v>19.14</v>
      </c>
      <c r="J401" s="21">
        <v>41077.480000000003</v>
      </c>
      <c r="K401" s="21"/>
      <c r="L401" s="21">
        <v>98892.040000000008</v>
      </c>
      <c r="M401" s="21">
        <v>108123.04000000001</v>
      </c>
      <c r="N401" s="21"/>
      <c r="O401" s="21">
        <v>266094.35000000003</v>
      </c>
      <c r="S401" s="25">
        <f t="shared" si="137"/>
        <v>-2.6297085998578495E-2</v>
      </c>
      <c r="T401" s="26">
        <f t="shared" si="138"/>
        <v>-5.0610365674205182E-3</v>
      </c>
      <c r="U401" s="27">
        <f t="shared" si="139"/>
        <v>-3.9004163321938234E-2</v>
      </c>
      <c r="W401" s="13">
        <f t="shared" si="127"/>
        <v>0</v>
      </c>
      <c r="Y401" s="14">
        <f t="shared" si="128"/>
        <v>18.636673773987209</v>
      </c>
      <c r="Z401" s="14">
        <f t="shared" si="129"/>
        <v>98391.543769333191</v>
      </c>
      <c r="AA401" s="14">
        <f t="shared" si="130"/>
        <v>255715.56251355505</v>
      </c>
    </row>
    <row r="402" spans="5:27" outlineLevel="1" x14ac:dyDescent="0.25">
      <c r="E402" s="4" t="s">
        <v>51</v>
      </c>
      <c r="F402" s="4">
        <v>12</v>
      </c>
      <c r="G402" s="21">
        <v>14</v>
      </c>
      <c r="H402" s="21"/>
      <c r="I402" s="21">
        <v>20.95</v>
      </c>
      <c r="J402" s="21">
        <v>58333.859999999993</v>
      </c>
      <c r="K402" s="21"/>
      <c r="L402" s="21">
        <v>109682.45</v>
      </c>
      <c r="M402" s="21">
        <v>146598.25999999998</v>
      </c>
      <c r="N402" s="21"/>
      <c r="O402" s="21">
        <v>297410.20000000007</v>
      </c>
      <c r="S402" s="28">
        <f t="shared" si="137"/>
        <v>-2.6297085998578495E-2</v>
      </c>
      <c r="T402" s="29">
        <f t="shared" si="138"/>
        <v>-5.0610365674205182E-3</v>
      </c>
      <c r="U402" s="30">
        <f t="shared" si="139"/>
        <v>-3.9004163321938234E-2</v>
      </c>
      <c r="W402" s="13">
        <f t="shared" si="127"/>
        <v>0</v>
      </c>
      <c r="Y402" s="14">
        <f t="shared" si="128"/>
        <v>20.399076048329778</v>
      </c>
      <c r="Z402" s="14">
        <f t="shared" si="129"/>
        <v>109127.34310974572</v>
      </c>
      <c r="AA402" s="14">
        <f t="shared" si="130"/>
        <v>285809.96398558974</v>
      </c>
    </row>
    <row r="403" spans="5:27" outlineLevel="1" x14ac:dyDescent="0.25">
      <c r="E403" s="4" t="s">
        <v>52</v>
      </c>
      <c r="F403" s="4">
        <v>1</v>
      </c>
      <c r="G403" s="21">
        <v>10</v>
      </c>
      <c r="H403" s="21">
        <v>10</v>
      </c>
      <c r="I403" s="21">
        <v>22.47</v>
      </c>
      <c r="J403" s="21">
        <v>48479.149999999994</v>
      </c>
      <c r="K403" s="21">
        <v>51303.850000000006</v>
      </c>
      <c r="L403" s="21">
        <v>111608.32000000001</v>
      </c>
      <c r="M403" s="21">
        <v>122893.34</v>
      </c>
      <c r="N403" s="21">
        <v>129483.57</v>
      </c>
      <c r="O403" s="21">
        <v>330786.03999999998</v>
      </c>
      <c r="S403" s="22">
        <f t="shared" ref="S403:S414" si="140">IFERROR(SUMPRODUCT(H$403:H$414,$W$403:$W$414)/SUMPRODUCT(I$403:I$414,$W$403:$W$414)-1,"")</f>
        <v>2.5641025641025772E-2</v>
      </c>
      <c r="T403" s="26">
        <f t="shared" ref="T403:T414" si="141">IFERROR(SUMPRODUCT(K$403:K$414,$W$403:$W$414)/SUMPRODUCT(L$403:L$414,$W$403:$W$414)-1,"")</f>
        <v>-1.493254280553824E-2</v>
      </c>
      <c r="U403" s="24">
        <f t="shared" ref="U403:U414" si="142">IFERROR(SUMPRODUCT(N$403:N$414,$W$403:$W$414)/SUMPRODUCT(O$403:O$414,$W$403:$W$414)-1,"")</f>
        <v>-6.0670927972488187E-2</v>
      </c>
      <c r="W403" s="13">
        <f t="shared" si="127"/>
        <v>1</v>
      </c>
      <c r="Y403" s="14">
        <f t="shared" si="128"/>
        <v>10</v>
      </c>
      <c r="Z403" s="14">
        <f t="shared" si="129"/>
        <v>51303.850000000006</v>
      </c>
      <c r="AA403" s="14">
        <f t="shared" si="130"/>
        <v>129483.57</v>
      </c>
    </row>
    <row r="404" spans="5:27" outlineLevel="1" x14ac:dyDescent="0.25">
      <c r="E404" s="4" t="s">
        <v>52</v>
      </c>
      <c r="F404" s="4">
        <v>2</v>
      </c>
      <c r="G404" s="21">
        <v>24</v>
      </c>
      <c r="H404" s="21">
        <v>24</v>
      </c>
      <c r="I404" s="21">
        <v>27.17</v>
      </c>
      <c r="J404" s="21">
        <v>104411.66000000002</v>
      </c>
      <c r="K404" s="21">
        <v>107643</v>
      </c>
      <c r="L404" s="21">
        <v>129755.88</v>
      </c>
      <c r="M404" s="21">
        <v>303633.99</v>
      </c>
      <c r="N404" s="21">
        <v>317073.58</v>
      </c>
      <c r="O404" s="21">
        <v>379241.74</v>
      </c>
      <c r="S404" s="25">
        <f t="shared" si="140"/>
        <v>2.5641025641025772E-2</v>
      </c>
      <c r="T404" s="26">
        <f t="shared" si="141"/>
        <v>-1.493254280553824E-2</v>
      </c>
      <c r="U404" s="27">
        <f t="shared" si="142"/>
        <v>-6.0670927972488187E-2</v>
      </c>
      <c r="W404" s="13">
        <f t="shared" si="127"/>
        <v>1</v>
      </c>
      <c r="Y404" s="14">
        <f t="shared" si="128"/>
        <v>24</v>
      </c>
      <c r="Z404" s="14">
        <f t="shared" si="129"/>
        <v>107643</v>
      </c>
      <c r="AA404" s="14">
        <f t="shared" si="130"/>
        <v>317073.58</v>
      </c>
    </row>
    <row r="405" spans="5:27" outlineLevel="1" x14ac:dyDescent="0.25">
      <c r="E405" s="4" t="s">
        <v>52</v>
      </c>
      <c r="F405" s="4">
        <v>3</v>
      </c>
      <c r="G405" s="21">
        <v>20</v>
      </c>
      <c r="H405" s="21">
        <v>20</v>
      </c>
      <c r="I405" s="21">
        <v>20.74</v>
      </c>
      <c r="J405" s="21">
        <v>92908.950000000012</v>
      </c>
      <c r="K405" s="21">
        <v>100732.98</v>
      </c>
      <c r="L405" s="21">
        <v>102948.78</v>
      </c>
      <c r="M405" s="21">
        <v>265995.64</v>
      </c>
      <c r="N405" s="21">
        <v>275339.43</v>
      </c>
      <c r="O405" s="21">
        <v>302771.53999999998</v>
      </c>
      <c r="S405" s="25">
        <f t="shared" si="140"/>
        <v>2.5641025641025772E-2</v>
      </c>
      <c r="T405" s="26">
        <f t="shared" si="141"/>
        <v>-1.493254280553824E-2</v>
      </c>
      <c r="U405" s="27">
        <f t="shared" si="142"/>
        <v>-6.0670927972488187E-2</v>
      </c>
      <c r="W405" s="13">
        <f t="shared" si="127"/>
        <v>1</v>
      </c>
      <c r="Y405" s="14">
        <f t="shared" si="128"/>
        <v>20</v>
      </c>
      <c r="Z405" s="14">
        <f t="shared" si="129"/>
        <v>100732.98</v>
      </c>
      <c r="AA405" s="14">
        <f t="shared" si="130"/>
        <v>275339.43</v>
      </c>
    </row>
    <row r="406" spans="5:27" outlineLevel="1" x14ac:dyDescent="0.25">
      <c r="E406" s="4" t="s">
        <v>52</v>
      </c>
      <c r="F406" s="4">
        <v>4</v>
      </c>
      <c r="G406" s="21">
        <v>46</v>
      </c>
      <c r="H406" s="21">
        <v>47</v>
      </c>
      <c r="I406" s="21">
        <v>25.409999999999997</v>
      </c>
      <c r="J406" s="21">
        <v>185476.48000000004</v>
      </c>
      <c r="K406" s="21">
        <v>201499.71</v>
      </c>
      <c r="L406" s="21">
        <v>121048.58000000002</v>
      </c>
      <c r="M406" s="21">
        <v>508985.78</v>
      </c>
      <c r="N406" s="21">
        <v>532374.39</v>
      </c>
      <c r="O406" s="21">
        <v>350955.56999999995</v>
      </c>
      <c r="S406" s="25">
        <f t="shared" si="140"/>
        <v>2.5641025641025772E-2</v>
      </c>
      <c r="T406" s="26">
        <f t="shared" si="141"/>
        <v>-1.493254280553824E-2</v>
      </c>
      <c r="U406" s="27">
        <f t="shared" si="142"/>
        <v>-6.0670927972488187E-2</v>
      </c>
      <c r="W406" s="13">
        <f t="shared" si="127"/>
        <v>1</v>
      </c>
      <c r="Y406" s="14">
        <f t="shared" si="128"/>
        <v>47</v>
      </c>
      <c r="Z406" s="14">
        <f t="shared" si="129"/>
        <v>201499.71</v>
      </c>
      <c r="AA406" s="14">
        <f t="shared" si="130"/>
        <v>532374.39</v>
      </c>
    </row>
    <row r="407" spans="5:27" outlineLevel="1" x14ac:dyDescent="0.25">
      <c r="E407" s="4" t="s">
        <v>52</v>
      </c>
      <c r="F407" s="4">
        <v>5</v>
      </c>
      <c r="G407" s="21">
        <v>20</v>
      </c>
      <c r="H407" s="21">
        <v>20</v>
      </c>
      <c r="I407" s="21">
        <v>19.02</v>
      </c>
      <c r="J407" s="21">
        <v>82466.36</v>
      </c>
      <c r="K407" s="21">
        <v>87207.840000000011</v>
      </c>
      <c r="L407" s="21">
        <v>94320.709999999992</v>
      </c>
      <c r="M407" s="21">
        <v>225438.83000000002</v>
      </c>
      <c r="N407" s="21">
        <v>236224.88</v>
      </c>
      <c r="O407" s="21">
        <v>274757.03999999998</v>
      </c>
      <c r="S407" s="25">
        <f t="shared" si="140"/>
        <v>2.5641025641025772E-2</v>
      </c>
      <c r="T407" s="26">
        <f t="shared" si="141"/>
        <v>-1.493254280553824E-2</v>
      </c>
      <c r="U407" s="27">
        <f t="shared" si="142"/>
        <v>-6.0670927972488187E-2</v>
      </c>
      <c r="W407" s="13">
        <f t="shared" si="127"/>
        <v>1</v>
      </c>
      <c r="Y407" s="14">
        <f t="shared" si="128"/>
        <v>20</v>
      </c>
      <c r="Z407" s="14">
        <f t="shared" si="129"/>
        <v>87207.840000000011</v>
      </c>
      <c r="AA407" s="14">
        <f t="shared" si="130"/>
        <v>236224.88</v>
      </c>
    </row>
    <row r="408" spans="5:27" outlineLevel="1" x14ac:dyDescent="0.25">
      <c r="E408" s="4" t="s">
        <v>52</v>
      </c>
      <c r="F408" s="4">
        <v>6</v>
      </c>
      <c r="G408" s="21">
        <v>21</v>
      </c>
      <c r="H408" s="21">
        <v>21</v>
      </c>
      <c r="I408" s="21">
        <v>23.64</v>
      </c>
      <c r="J408" s="21">
        <v>110838.73000000001</v>
      </c>
      <c r="K408" s="21">
        <v>113501.51</v>
      </c>
      <c r="L408" s="21">
        <v>112240.12999999999</v>
      </c>
      <c r="M408" s="21">
        <v>337090.08</v>
      </c>
      <c r="N408" s="21">
        <v>351698.77</v>
      </c>
      <c r="O408" s="21">
        <v>322669.38</v>
      </c>
      <c r="S408" s="25">
        <f t="shared" si="140"/>
        <v>2.5641025641025772E-2</v>
      </c>
      <c r="T408" s="26">
        <f t="shared" si="141"/>
        <v>-1.493254280553824E-2</v>
      </c>
      <c r="U408" s="27">
        <f t="shared" si="142"/>
        <v>-6.0670927972488187E-2</v>
      </c>
      <c r="W408" s="13">
        <f t="shared" si="127"/>
        <v>1</v>
      </c>
      <c r="Y408" s="14">
        <f t="shared" si="128"/>
        <v>21</v>
      </c>
      <c r="Z408" s="14">
        <f t="shared" si="129"/>
        <v>113501.51</v>
      </c>
      <c r="AA408" s="14">
        <f t="shared" si="130"/>
        <v>351698.77</v>
      </c>
    </row>
    <row r="409" spans="5:27" outlineLevel="1" x14ac:dyDescent="0.25">
      <c r="E409" s="4" t="s">
        <v>52</v>
      </c>
      <c r="F409" s="4">
        <v>7</v>
      </c>
      <c r="G409" s="21">
        <v>31</v>
      </c>
      <c r="H409" s="21"/>
      <c r="I409" s="21">
        <v>17.39</v>
      </c>
      <c r="J409" s="21">
        <v>147570.54</v>
      </c>
      <c r="K409" s="21"/>
      <c r="L409" s="21">
        <v>86150.729999999981</v>
      </c>
      <c r="M409" s="21">
        <v>416971.73000000004</v>
      </c>
      <c r="N409" s="21"/>
      <c r="O409" s="21">
        <v>248391.91999999998</v>
      </c>
      <c r="S409" s="25">
        <f t="shared" si="140"/>
        <v>2.5641025641025772E-2</v>
      </c>
      <c r="T409" s="26">
        <f t="shared" si="141"/>
        <v>-1.493254280553824E-2</v>
      </c>
      <c r="U409" s="27">
        <f t="shared" si="142"/>
        <v>-6.0670927972488187E-2</v>
      </c>
      <c r="W409" s="13">
        <f t="shared" si="127"/>
        <v>0</v>
      </c>
      <c r="Y409" s="14">
        <f t="shared" si="128"/>
        <v>17.83589743589744</v>
      </c>
      <c r="Z409" s="14">
        <f t="shared" si="129"/>
        <v>84864.280536546619</v>
      </c>
      <c r="AA409" s="14">
        <f t="shared" si="130"/>
        <v>233321.75171273193</v>
      </c>
    </row>
    <row r="410" spans="5:27" outlineLevel="1" x14ac:dyDescent="0.25">
      <c r="E410" s="4" t="s">
        <v>52</v>
      </c>
      <c r="F410" s="4">
        <v>8</v>
      </c>
      <c r="G410" s="21">
        <v>21</v>
      </c>
      <c r="H410" s="21"/>
      <c r="I410" s="21">
        <v>22.900000000000002</v>
      </c>
      <c r="J410" s="21">
        <v>111018.98000000001</v>
      </c>
      <c r="K410" s="21"/>
      <c r="L410" s="21">
        <v>108910.38999999998</v>
      </c>
      <c r="M410" s="21">
        <v>325927.86</v>
      </c>
      <c r="N410" s="21"/>
      <c r="O410" s="21">
        <v>311807.46999999997</v>
      </c>
      <c r="S410" s="25">
        <f t="shared" si="140"/>
        <v>2.5641025641025772E-2</v>
      </c>
      <c r="T410" s="26">
        <f t="shared" si="141"/>
        <v>-1.493254280553824E-2</v>
      </c>
      <c r="U410" s="27">
        <f t="shared" si="142"/>
        <v>-6.0670927972488187E-2</v>
      </c>
      <c r="W410" s="13">
        <f t="shared" si="127"/>
        <v>0</v>
      </c>
      <c r="Y410" s="14">
        <f t="shared" si="128"/>
        <v>23.487179487179493</v>
      </c>
      <c r="Z410" s="14">
        <f t="shared" si="129"/>
        <v>107284.08093935713</v>
      </c>
      <c r="AA410" s="14">
        <f t="shared" si="130"/>
        <v>292889.82144634618</v>
      </c>
    </row>
    <row r="411" spans="5:27" outlineLevel="1" x14ac:dyDescent="0.25">
      <c r="E411" s="4" t="s">
        <v>52</v>
      </c>
      <c r="F411" s="4">
        <v>9</v>
      </c>
      <c r="G411" s="21">
        <v>4</v>
      </c>
      <c r="H411" s="21"/>
      <c r="I411" s="21">
        <v>17.52</v>
      </c>
      <c r="J411" s="21">
        <v>15852.470000000001</v>
      </c>
      <c r="K411" s="21"/>
      <c r="L411" s="21">
        <v>87304.85</v>
      </c>
      <c r="M411" s="21">
        <v>44997.81</v>
      </c>
      <c r="N411" s="21"/>
      <c r="O411" s="21">
        <v>251927.23</v>
      </c>
      <c r="S411" s="25">
        <f t="shared" si="140"/>
        <v>2.5641025641025772E-2</v>
      </c>
      <c r="T411" s="26">
        <f t="shared" si="141"/>
        <v>-1.493254280553824E-2</v>
      </c>
      <c r="U411" s="27">
        <f t="shared" si="142"/>
        <v>-6.0670927972488187E-2</v>
      </c>
      <c r="W411" s="13">
        <f t="shared" si="127"/>
        <v>0</v>
      </c>
      <c r="Y411" s="14">
        <f t="shared" si="128"/>
        <v>17.969230769230769</v>
      </c>
      <c r="Z411" s="14">
        <f t="shared" si="129"/>
        <v>86001.166590243913</v>
      </c>
      <c r="AA411" s="14">
        <f t="shared" si="130"/>
        <v>236642.57117436154</v>
      </c>
    </row>
    <row r="412" spans="5:27" outlineLevel="1" x14ac:dyDescent="0.25">
      <c r="E412" s="4" t="s">
        <v>52</v>
      </c>
      <c r="F412" s="4">
        <v>10</v>
      </c>
      <c r="G412" s="21">
        <v>12</v>
      </c>
      <c r="H412" s="21"/>
      <c r="I412" s="21">
        <v>22.98</v>
      </c>
      <c r="J412" s="21">
        <v>51730.770000000004</v>
      </c>
      <c r="K412" s="21"/>
      <c r="L412" s="21">
        <v>109896.51999999999</v>
      </c>
      <c r="M412" s="21">
        <v>139124.73000000001</v>
      </c>
      <c r="N412" s="21"/>
      <c r="O412" s="21">
        <v>315071.09999999998</v>
      </c>
      <c r="S412" s="25">
        <f t="shared" si="140"/>
        <v>2.5641025641025772E-2</v>
      </c>
      <c r="T412" s="26">
        <f t="shared" si="141"/>
        <v>-1.493254280553824E-2</v>
      </c>
      <c r="U412" s="27">
        <f t="shared" si="142"/>
        <v>-6.0670927972488187E-2</v>
      </c>
      <c r="W412" s="13">
        <f t="shared" si="127"/>
        <v>0</v>
      </c>
      <c r="Y412" s="14">
        <f t="shared" si="128"/>
        <v>23.569230769230774</v>
      </c>
      <c r="Z412" s="14">
        <f t="shared" si="129"/>
        <v>108255.48551092031</v>
      </c>
      <c r="AA412" s="14">
        <f t="shared" si="130"/>
        <v>295955.44398568734</v>
      </c>
    </row>
    <row r="413" spans="5:27" outlineLevel="1" x14ac:dyDescent="0.25">
      <c r="E413" s="4" t="s">
        <v>52</v>
      </c>
      <c r="F413" s="4">
        <v>11</v>
      </c>
      <c r="G413" s="21">
        <v>9</v>
      </c>
      <c r="H413" s="21"/>
      <c r="I413" s="21">
        <v>17.66</v>
      </c>
      <c r="J413" s="21">
        <v>51295.32</v>
      </c>
      <c r="K413" s="21"/>
      <c r="L413" s="21">
        <v>88473.459999999992</v>
      </c>
      <c r="M413" s="21">
        <v>156413.1</v>
      </c>
      <c r="N413" s="21"/>
      <c r="O413" s="21">
        <v>255462.56</v>
      </c>
      <c r="S413" s="25">
        <f t="shared" si="140"/>
        <v>2.5641025641025772E-2</v>
      </c>
      <c r="T413" s="26">
        <f t="shared" si="141"/>
        <v>-1.493254280553824E-2</v>
      </c>
      <c r="U413" s="27">
        <f t="shared" si="142"/>
        <v>-6.0670927972488187E-2</v>
      </c>
      <c r="W413" s="13">
        <f t="shared" si="127"/>
        <v>0</v>
      </c>
      <c r="Y413" s="14">
        <f t="shared" si="128"/>
        <v>18.112820512820516</v>
      </c>
      <c r="Z413" s="14">
        <f t="shared" si="129"/>
        <v>87152.326271395912</v>
      </c>
      <c r="AA413" s="14">
        <f t="shared" si="130"/>
        <v>239963.40942257256</v>
      </c>
    </row>
    <row r="414" spans="5:27" outlineLevel="1" x14ac:dyDescent="0.25">
      <c r="E414" s="4" t="s">
        <v>52</v>
      </c>
      <c r="F414" s="4">
        <v>12</v>
      </c>
      <c r="G414" s="21">
        <v>30</v>
      </c>
      <c r="H414" s="21"/>
      <c r="I414" s="21">
        <v>23.080000000000002</v>
      </c>
      <c r="J414" s="21">
        <v>136594.25</v>
      </c>
      <c r="K414" s="21"/>
      <c r="L414" s="21">
        <v>110988.38999999998</v>
      </c>
      <c r="M414" s="21">
        <v>379167.68</v>
      </c>
      <c r="N414" s="21"/>
      <c r="O414" s="21">
        <v>318334.74</v>
      </c>
      <c r="S414" s="28">
        <f t="shared" si="140"/>
        <v>2.5641025641025772E-2</v>
      </c>
      <c r="T414" s="26">
        <f t="shared" si="141"/>
        <v>-1.493254280553824E-2</v>
      </c>
      <c r="U414" s="30">
        <f t="shared" si="142"/>
        <v>-6.0670927972488187E-2</v>
      </c>
      <c r="W414" s="13">
        <f t="shared" si="127"/>
        <v>0</v>
      </c>
      <c r="Y414" s="14">
        <f t="shared" si="128"/>
        <v>23.671794871794877</v>
      </c>
      <c r="Z414" s="14">
        <f t="shared" si="129"/>
        <v>109331.05111540722</v>
      </c>
      <c r="AA414" s="14">
        <f t="shared" si="130"/>
        <v>299021.07591831923</v>
      </c>
    </row>
    <row r="415" spans="5:27" outlineLevel="1" x14ac:dyDescent="0.25">
      <c r="E415" s="4" t="s">
        <v>53</v>
      </c>
      <c r="F415" s="4">
        <v>1</v>
      </c>
      <c r="G415" s="21">
        <v>313</v>
      </c>
      <c r="H415" s="21">
        <v>325</v>
      </c>
      <c r="I415" s="21">
        <v>393.80999999999995</v>
      </c>
      <c r="J415" s="21">
        <v>1437068.83</v>
      </c>
      <c r="K415" s="21">
        <v>1561317.66</v>
      </c>
      <c r="L415" s="21">
        <v>1837516</v>
      </c>
      <c r="M415" s="21">
        <v>4140111.7300000009</v>
      </c>
      <c r="N415" s="21">
        <v>4570934.6099999994</v>
      </c>
      <c r="O415" s="21">
        <v>5543366.8800000018</v>
      </c>
      <c r="S415" s="22">
        <f t="shared" ref="S415:S426" si="143">IFERROR(SUMPRODUCT(H$415:H$426,$W$415:$W$426)/SUMPRODUCT(I$415:I$426,$W$415:$W$426)-1,"")</f>
        <v>-8.8559813013406763E-2</v>
      </c>
      <c r="T415" s="23">
        <f t="shared" ref="T415:T426" si="144">IFERROR(SUMPRODUCT(K$415:K$426,$W$415:$W$426)/SUMPRODUCT(L$415:L$426,$W$415:$W$426)-1,"")</f>
        <v>-6.5975979225837866E-2</v>
      </c>
      <c r="U415" s="24">
        <f t="shared" ref="U415:U426" si="145">IFERROR(SUMPRODUCT(N$415:N$426,$W$415:$W$426)/SUMPRODUCT(O$415:O$426,$W$415:$W$426)-1,"")</f>
        <v>-7.6818043918610801E-2</v>
      </c>
      <c r="W415" s="13">
        <f t="shared" si="127"/>
        <v>1</v>
      </c>
      <c r="Y415" s="14">
        <f t="shared" si="128"/>
        <v>325</v>
      </c>
      <c r="Z415" s="14">
        <f t="shared" si="129"/>
        <v>1561317.66</v>
      </c>
      <c r="AA415" s="14">
        <f t="shared" si="130"/>
        <v>4570934.6099999994</v>
      </c>
    </row>
    <row r="416" spans="5:27" outlineLevel="1" x14ac:dyDescent="0.25">
      <c r="E416" s="4" t="s">
        <v>53</v>
      </c>
      <c r="F416" s="4">
        <v>2</v>
      </c>
      <c r="G416" s="21">
        <v>305</v>
      </c>
      <c r="H416" s="21">
        <v>317</v>
      </c>
      <c r="I416" s="21">
        <v>417.16999999999996</v>
      </c>
      <c r="J416" s="21">
        <v>1344589.6999999997</v>
      </c>
      <c r="K416" s="21">
        <v>1469374.89</v>
      </c>
      <c r="L416" s="21">
        <v>1921232.9799999995</v>
      </c>
      <c r="M416" s="21">
        <v>3953230.2100000009</v>
      </c>
      <c r="N416" s="21">
        <v>4330304.9899999993</v>
      </c>
      <c r="O416" s="21">
        <v>5790569.0600000005</v>
      </c>
      <c r="S416" s="25">
        <f t="shared" si="143"/>
        <v>-8.8559813013406763E-2</v>
      </c>
      <c r="T416" s="26">
        <f t="shared" si="144"/>
        <v>-6.5975979225837866E-2</v>
      </c>
      <c r="U416" s="27">
        <f t="shared" si="145"/>
        <v>-7.6818043918610801E-2</v>
      </c>
      <c r="W416" s="13">
        <f t="shared" si="127"/>
        <v>1</v>
      </c>
      <c r="Y416" s="14">
        <f t="shared" si="128"/>
        <v>317</v>
      </c>
      <c r="Z416" s="14">
        <f t="shared" si="129"/>
        <v>1469374.89</v>
      </c>
      <c r="AA416" s="14">
        <f t="shared" si="130"/>
        <v>4330304.9899999993</v>
      </c>
    </row>
    <row r="417" spans="5:27" outlineLevel="1" x14ac:dyDescent="0.25">
      <c r="E417" s="4" t="s">
        <v>53</v>
      </c>
      <c r="F417" s="4">
        <v>3</v>
      </c>
      <c r="G417" s="21">
        <v>438</v>
      </c>
      <c r="H417" s="21">
        <v>457</v>
      </c>
      <c r="I417" s="21">
        <v>434.62000000000006</v>
      </c>
      <c r="J417" s="21">
        <v>1950605.98</v>
      </c>
      <c r="K417" s="21">
        <v>2152782.1600000006</v>
      </c>
      <c r="L417" s="21">
        <v>1973906.7199999997</v>
      </c>
      <c r="M417" s="21">
        <v>5770638.9699999997</v>
      </c>
      <c r="N417" s="21">
        <v>6236119.1100000013</v>
      </c>
      <c r="O417" s="21">
        <v>5891976.1300000008</v>
      </c>
      <c r="S417" s="25">
        <f t="shared" si="143"/>
        <v>-8.8559813013406763E-2</v>
      </c>
      <c r="T417" s="26">
        <f t="shared" si="144"/>
        <v>-6.5975979225837866E-2</v>
      </c>
      <c r="U417" s="27">
        <f t="shared" si="145"/>
        <v>-7.6818043918610801E-2</v>
      </c>
      <c r="W417" s="13">
        <f t="shared" si="127"/>
        <v>1</v>
      </c>
      <c r="Y417" s="14">
        <f t="shared" si="128"/>
        <v>457</v>
      </c>
      <c r="Z417" s="14">
        <f t="shared" si="129"/>
        <v>2152782.1600000006</v>
      </c>
      <c r="AA417" s="14">
        <f t="shared" si="130"/>
        <v>6236119.1100000013</v>
      </c>
    </row>
    <row r="418" spans="5:27" outlineLevel="1" x14ac:dyDescent="0.25">
      <c r="E418" s="4" t="s">
        <v>53</v>
      </c>
      <c r="F418" s="4">
        <v>4</v>
      </c>
      <c r="G418" s="21">
        <v>343</v>
      </c>
      <c r="H418" s="21">
        <v>352</v>
      </c>
      <c r="I418" s="21">
        <v>401.95</v>
      </c>
      <c r="J418" s="21">
        <v>1568935.6399999997</v>
      </c>
      <c r="K418" s="21">
        <v>1706906.9600000004</v>
      </c>
      <c r="L418" s="21">
        <v>1874275.3500000006</v>
      </c>
      <c r="M418" s="21">
        <v>4719297.1500000013</v>
      </c>
      <c r="N418" s="21">
        <v>5080849.92</v>
      </c>
      <c r="O418" s="21">
        <v>5636827.2200000025</v>
      </c>
      <c r="S418" s="25">
        <f t="shared" si="143"/>
        <v>-8.8559813013406763E-2</v>
      </c>
      <c r="T418" s="26">
        <f t="shared" si="144"/>
        <v>-6.5975979225837866E-2</v>
      </c>
      <c r="U418" s="27">
        <f t="shared" si="145"/>
        <v>-7.6818043918610801E-2</v>
      </c>
      <c r="W418" s="13">
        <f t="shared" si="127"/>
        <v>1</v>
      </c>
      <c r="Y418" s="14">
        <f t="shared" si="128"/>
        <v>352</v>
      </c>
      <c r="Z418" s="14">
        <f t="shared" si="129"/>
        <v>1706906.9600000004</v>
      </c>
      <c r="AA418" s="14">
        <f t="shared" si="130"/>
        <v>5080849.92</v>
      </c>
    </row>
    <row r="419" spans="5:27" outlineLevel="1" x14ac:dyDescent="0.25">
      <c r="E419" s="4" t="s">
        <v>53</v>
      </c>
      <c r="F419" s="4">
        <v>5</v>
      </c>
      <c r="G419" s="21">
        <v>427</v>
      </c>
      <c r="H419" s="21">
        <v>443</v>
      </c>
      <c r="I419" s="21">
        <v>422.09000000000003</v>
      </c>
      <c r="J419" s="21">
        <v>1911572.4900000005</v>
      </c>
      <c r="K419" s="21">
        <v>2076844.8900000001</v>
      </c>
      <c r="L419" s="21">
        <v>1938522.11</v>
      </c>
      <c r="M419" s="21">
        <v>5684556.1399999997</v>
      </c>
      <c r="N419" s="21">
        <v>6242177.6600000011</v>
      </c>
      <c r="O419" s="21">
        <v>5795138.040000001</v>
      </c>
      <c r="S419" s="25">
        <f t="shared" si="143"/>
        <v>-8.8559813013406763E-2</v>
      </c>
      <c r="T419" s="26">
        <f t="shared" si="144"/>
        <v>-6.5975979225837866E-2</v>
      </c>
      <c r="U419" s="27">
        <f t="shared" si="145"/>
        <v>-7.6818043918610801E-2</v>
      </c>
      <c r="W419" s="13">
        <f t="shared" si="127"/>
        <v>1</v>
      </c>
      <c r="Y419" s="14">
        <f t="shared" si="128"/>
        <v>443</v>
      </c>
      <c r="Z419" s="14">
        <f t="shared" si="129"/>
        <v>2076844.8900000001</v>
      </c>
      <c r="AA419" s="14">
        <f t="shared" si="130"/>
        <v>6242177.6600000011</v>
      </c>
    </row>
    <row r="420" spans="5:27" outlineLevel="1" x14ac:dyDescent="0.25">
      <c r="E420" s="4" t="s">
        <v>53</v>
      </c>
      <c r="F420" s="4">
        <v>6</v>
      </c>
      <c r="G420" s="21">
        <v>372</v>
      </c>
      <c r="H420" s="21">
        <v>395</v>
      </c>
      <c r="I420" s="21">
        <v>441.76999999999992</v>
      </c>
      <c r="J420" s="21">
        <v>1644739.6599999997</v>
      </c>
      <c r="K420" s="21">
        <v>1820874.4699999997</v>
      </c>
      <c r="L420" s="21">
        <v>2004679.1600000001</v>
      </c>
      <c r="M420" s="21">
        <v>4912235.96</v>
      </c>
      <c r="N420" s="21">
        <v>5496999.3700000001</v>
      </c>
      <c r="O420" s="21">
        <v>5958684.9299999997</v>
      </c>
      <c r="S420" s="25">
        <f t="shared" si="143"/>
        <v>-8.8559813013406763E-2</v>
      </c>
      <c r="T420" s="26">
        <f t="shared" si="144"/>
        <v>-6.5975979225837866E-2</v>
      </c>
      <c r="U420" s="27">
        <f t="shared" si="145"/>
        <v>-7.6818043918610801E-2</v>
      </c>
      <c r="W420" s="13">
        <f t="shared" si="127"/>
        <v>1</v>
      </c>
      <c r="Y420" s="14">
        <f t="shared" si="128"/>
        <v>395</v>
      </c>
      <c r="Z420" s="14">
        <f t="shared" si="129"/>
        <v>1820874.4699999997</v>
      </c>
      <c r="AA420" s="14">
        <f t="shared" si="130"/>
        <v>5496999.3700000001</v>
      </c>
    </row>
    <row r="421" spans="5:27" outlineLevel="1" x14ac:dyDescent="0.25">
      <c r="E421" s="4" t="s">
        <v>53</v>
      </c>
      <c r="F421" s="4">
        <v>7</v>
      </c>
      <c r="G421" s="21">
        <v>341</v>
      </c>
      <c r="H421" s="21"/>
      <c r="I421" s="21">
        <v>413.7000000000001</v>
      </c>
      <c r="J421" s="21">
        <v>1591525.0399999993</v>
      </c>
      <c r="K421" s="21"/>
      <c r="L421" s="21">
        <v>1932759.5400000003</v>
      </c>
      <c r="M421" s="21">
        <v>4722840.34</v>
      </c>
      <c r="N421" s="21"/>
      <c r="O421" s="21">
        <v>5829083.3500000015</v>
      </c>
      <c r="S421" s="25">
        <f t="shared" si="143"/>
        <v>-8.8559813013406763E-2</v>
      </c>
      <c r="T421" s="26">
        <f t="shared" si="144"/>
        <v>-6.5975979225837866E-2</v>
      </c>
      <c r="U421" s="27">
        <f t="shared" si="145"/>
        <v>-7.6818043918610801E-2</v>
      </c>
      <c r="W421" s="13">
        <f t="shared" si="127"/>
        <v>0</v>
      </c>
      <c r="Y421" s="14">
        <f t="shared" si="128"/>
        <v>377.06280535635369</v>
      </c>
      <c r="Z421" s="14">
        <f t="shared" si="129"/>
        <v>1805243.8367404202</v>
      </c>
      <c r="AA421" s="14">
        <f t="shared" si="130"/>
        <v>5381304.5692144586</v>
      </c>
    </row>
    <row r="422" spans="5:27" outlineLevel="1" x14ac:dyDescent="0.25">
      <c r="E422" s="4" t="s">
        <v>53</v>
      </c>
      <c r="F422" s="4">
        <v>8</v>
      </c>
      <c r="G422" s="21">
        <v>397</v>
      </c>
      <c r="H422" s="21"/>
      <c r="I422" s="21">
        <v>433.87000000000012</v>
      </c>
      <c r="J422" s="21">
        <v>1743639.0399999998</v>
      </c>
      <c r="K422" s="21"/>
      <c r="L422" s="21">
        <v>1997225.8099999998</v>
      </c>
      <c r="M422" s="21">
        <v>5086285.9700000007</v>
      </c>
      <c r="N422" s="21"/>
      <c r="O422" s="21">
        <v>5989488.4299999997</v>
      </c>
      <c r="S422" s="25">
        <f t="shared" si="143"/>
        <v>-8.8559813013406763E-2</v>
      </c>
      <c r="T422" s="26">
        <f t="shared" si="144"/>
        <v>-6.5975979225837866E-2</v>
      </c>
      <c r="U422" s="27">
        <f t="shared" si="145"/>
        <v>-7.6818043918610801E-2</v>
      </c>
      <c r="W422" s="13">
        <f t="shared" si="127"/>
        <v>0</v>
      </c>
      <c r="Y422" s="14">
        <f t="shared" si="128"/>
        <v>395.44655392787331</v>
      </c>
      <c r="Z422" s="14">
        <f t="shared" si="129"/>
        <v>1865456.8814501327</v>
      </c>
      <c r="AA422" s="14">
        <f t="shared" si="130"/>
        <v>5529387.6447342485</v>
      </c>
    </row>
    <row r="423" spans="5:27" outlineLevel="1" x14ac:dyDescent="0.25">
      <c r="E423" s="4" t="s">
        <v>53</v>
      </c>
      <c r="F423" s="4">
        <v>9</v>
      </c>
      <c r="G423" s="21">
        <v>396</v>
      </c>
      <c r="H423" s="21"/>
      <c r="I423" s="21">
        <v>453.27</v>
      </c>
      <c r="J423" s="21">
        <v>1832836.5499999993</v>
      </c>
      <c r="K423" s="21"/>
      <c r="L423" s="21">
        <v>2061710.89</v>
      </c>
      <c r="M423" s="21">
        <v>5427757.2199999997</v>
      </c>
      <c r="N423" s="21"/>
      <c r="O423" s="21">
        <v>6145522.8900000006</v>
      </c>
      <c r="S423" s="25">
        <f t="shared" si="143"/>
        <v>-8.8559813013406763E-2</v>
      </c>
      <c r="T423" s="26">
        <f t="shared" si="144"/>
        <v>-6.5975979225837866E-2</v>
      </c>
      <c r="U423" s="27">
        <f t="shared" si="145"/>
        <v>-7.6818043918610801E-2</v>
      </c>
      <c r="W423" s="13">
        <f t="shared" ref="W423:W486" si="146">IFERROR(_xlfn.XLOOKUP(F423,$F$13:$F$24,$W$13:$W$24),"")</f>
        <v>0</v>
      </c>
      <c r="Y423" s="14">
        <f t="shared" ref="Y423:Y486" si="147">IFERROR(IF($W423=1,H423,I423*(1+S423)),"")</f>
        <v>413.12849355541312</v>
      </c>
      <c r="Z423" s="14">
        <f t="shared" ref="Z423:Z486" si="148">IFERROR(IF($W423=1,K423,L423*(1+T423)),"")</f>
        <v>1925687.4951516762</v>
      </c>
      <c r="AA423" s="14">
        <f t="shared" ref="AA423:AA486" si="149">IFERROR(IF($W423=1,N423,O423*(1+U423)),"")</f>
        <v>5673435.8427331522</v>
      </c>
    </row>
    <row r="424" spans="5:27" outlineLevel="1" x14ac:dyDescent="0.25">
      <c r="E424" s="4" t="s">
        <v>53</v>
      </c>
      <c r="F424" s="4">
        <v>10</v>
      </c>
      <c r="G424" s="21">
        <v>406</v>
      </c>
      <c r="H424" s="21"/>
      <c r="I424" s="21">
        <v>424.52</v>
      </c>
      <c r="J424" s="21">
        <v>1863226.7099999997</v>
      </c>
      <c r="K424" s="21"/>
      <c r="L424" s="21">
        <v>1985730.6500000001</v>
      </c>
      <c r="M424" s="21">
        <v>5473588.54</v>
      </c>
      <c r="N424" s="21"/>
      <c r="O424" s="21">
        <v>5997101.2999999989</v>
      </c>
      <c r="S424" s="25">
        <f t="shared" si="143"/>
        <v>-8.8559813013406763E-2</v>
      </c>
      <c r="T424" s="26">
        <f t="shared" si="144"/>
        <v>-6.5975979225837866E-2</v>
      </c>
      <c r="U424" s="27">
        <f t="shared" si="145"/>
        <v>-7.6818043918610801E-2</v>
      </c>
      <c r="W424" s="13">
        <f t="shared" si="146"/>
        <v>0</v>
      </c>
      <c r="Y424" s="14">
        <f t="shared" si="147"/>
        <v>386.92458817954855</v>
      </c>
      <c r="Z424" s="14">
        <f t="shared" si="148"/>
        <v>1854720.1258874906</v>
      </c>
      <c r="AA424" s="14">
        <f t="shared" si="149"/>
        <v>5536415.7089522406</v>
      </c>
    </row>
    <row r="425" spans="5:27" outlineLevel="1" x14ac:dyDescent="0.25">
      <c r="E425" s="4" t="s">
        <v>53</v>
      </c>
      <c r="F425" s="4">
        <v>11</v>
      </c>
      <c r="G425" s="21">
        <v>516</v>
      </c>
      <c r="H425" s="21"/>
      <c r="I425" s="21">
        <v>447.84999999999991</v>
      </c>
      <c r="J425" s="21">
        <v>2276080.8199999998</v>
      </c>
      <c r="K425" s="21"/>
      <c r="L425" s="21">
        <v>2069225.9899999998</v>
      </c>
      <c r="M425" s="21">
        <v>6701449.5900000008</v>
      </c>
      <c r="N425" s="21"/>
      <c r="O425" s="21">
        <v>6244303.4900000002</v>
      </c>
      <c r="S425" s="25">
        <f t="shared" si="143"/>
        <v>-8.8559813013406763E-2</v>
      </c>
      <c r="T425" s="26">
        <f t="shared" si="144"/>
        <v>-6.5975979225837866E-2</v>
      </c>
      <c r="U425" s="27">
        <f t="shared" si="145"/>
        <v>-7.6818043918610801E-2</v>
      </c>
      <c r="W425" s="13">
        <f t="shared" si="146"/>
        <v>0</v>
      </c>
      <c r="Y425" s="14">
        <f t="shared" si="147"/>
        <v>408.18848774194572</v>
      </c>
      <c r="Z425" s="14">
        <f t="shared" si="148"/>
        <v>1932706.779070196</v>
      </c>
      <c r="AA425" s="14">
        <f t="shared" si="149"/>
        <v>5764628.3102640454</v>
      </c>
    </row>
    <row r="426" spans="5:27" outlineLevel="1" x14ac:dyDescent="0.25">
      <c r="E426" s="4" t="s">
        <v>53</v>
      </c>
      <c r="F426" s="4">
        <v>12</v>
      </c>
      <c r="G426" s="21">
        <v>650</v>
      </c>
      <c r="H426" s="21"/>
      <c r="I426" s="21">
        <v>465.32999999999981</v>
      </c>
      <c r="J426" s="21">
        <v>3030588.8100000005</v>
      </c>
      <c r="K426" s="21"/>
      <c r="L426" s="21">
        <v>2122043.2200000002</v>
      </c>
      <c r="M426" s="21">
        <v>8934899.709999999</v>
      </c>
      <c r="N426" s="21"/>
      <c r="O426" s="21">
        <v>6345710.5399999982</v>
      </c>
      <c r="S426" s="28">
        <f t="shared" si="143"/>
        <v>-8.8559813013406763E-2</v>
      </c>
      <c r="T426" s="29">
        <f t="shared" si="144"/>
        <v>-6.5975979225837866E-2</v>
      </c>
      <c r="U426" s="30">
        <f t="shared" si="145"/>
        <v>-7.6818043918610801E-2</v>
      </c>
      <c r="W426" s="13">
        <f t="shared" si="146"/>
        <v>0</v>
      </c>
      <c r="Y426" s="14">
        <f t="shared" si="147"/>
        <v>424.12046221047126</v>
      </c>
      <c r="Z426" s="14">
        <f t="shared" si="148"/>
        <v>1982039.3406009502</v>
      </c>
      <c r="AA426" s="14">
        <f t="shared" si="149"/>
        <v>5858245.4690434868</v>
      </c>
    </row>
    <row r="427" spans="5:27" outlineLevel="1" x14ac:dyDescent="0.25">
      <c r="E427" s="4" t="s">
        <v>54</v>
      </c>
      <c r="F427" s="4">
        <v>1</v>
      </c>
      <c r="G427" s="21">
        <v>358</v>
      </c>
      <c r="H427" s="21">
        <v>369</v>
      </c>
      <c r="I427" s="21">
        <v>431.73000000000008</v>
      </c>
      <c r="J427" s="21">
        <v>1562136.3099999998</v>
      </c>
      <c r="K427" s="21">
        <v>1698234.9300000002</v>
      </c>
      <c r="L427" s="21">
        <v>1999373.9200000004</v>
      </c>
      <c r="M427" s="21">
        <v>4578336.6099999994</v>
      </c>
      <c r="N427" s="21">
        <v>5037386.3499999996</v>
      </c>
      <c r="O427" s="21">
        <v>6059593.5300000003</v>
      </c>
      <c r="S427" s="22">
        <f t="shared" ref="S427:S438" si="150">IFERROR(SUMPRODUCT(H$427:H$438,$W$427:$W$438)/SUMPRODUCT(I$427:I$438,$W$427:$W$438)-1,"")</f>
        <v>-0.11966651255736127</v>
      </c>
      <c r="T427" s="26">
        <f t="shared" ref="T427:T438" si="151">IFERROR(SUMPRODUCT(K$427:K$438,$W$427:$W$438)/SUMPRODUCT(L$427:L$438,$W$427:$W$438)-1,"")</f>
        <v>-0.10300298643653005</v>
      </c>
      <c r="U427" s="24">
        <f t="shared" ref="U427:U438" si="152">IFERROR(SUMPRODUCT(N$427:N$438,$W$427:$W$438)/SUMPRODUCT(O$427:O$438,$W$427:$W$438)-1,"")</f>
        <v>-0.11730135751079085</v>
      </c>
      <c r="W427" s="13">
        <f t="shared" si="146"/>
        <v>1</v>
      </c>
      <c r="Y427" s="14">
        <f t="shared" si="147"/>
        <v>369</v>
      </c>
      <c r="Z427" s="14">
        <f t="shared" si="148"/>
        <v>1698234.9300000002</v>
      </c>
      <c r="AA427" s="14">
        <f t="shared" si="149"/>
        <v>5037386.3499999996</v>
      </c>
    </row>
    <row r="428" spans="5:27" outlineLevel="1" x14ac:dyDescent="0.25">
      <c r="E428" s="4" t="s">
        <v>54</v>
      </c>
      <c r="F428" s="4">
        <v>2</v>
      </c>
      <c r="G428" s="21">
        <v>309</v>
      </c>
      <c r="H428" s="21">
        <v>316</v>
      </c>
      <c r="I428" s="21">
        <v>421.62000000000006</v>
      </c>
      <c r="J428" s="21">
        <v>1380931.6700000002</v>
      </c>
      <c r="K428" s="21">
        <v>1480848.98</v>
      </c>
      <c r="L428" s="21">
        <v>1945347.4800000009</v>
      </c>
      <c r="M428" s="21">
        <v>4182380.2599999993</v>
      </c>
      <c r="N428" s="21">
        <v>4489606.6399999997</v>
      </c>
      <c r="O428" s="21">
        <v>5933672.7500000009</v>
      </c>
      <c r="S428" s="25">
        <f t="shared" si="150"/>
        <v>-0.11966651255736127</v>
      </c>
      <c r="T428" s="26">
        <f t="shared" si="151"/>
        <v>-0.10300298643653005</v>
      </c>
      <c r="U428" s="27">
        <f t="shared" si="152"/>
        <v>-0.11730135751079085</v>
      </c>
      <c r="W428" s="13">
        <f t="shared" si="146"/>
        <v>1</v>
      </c>
      <c r="Y428" s="14">
        <f t="shared" si="147"/>
        <v>316</v>
      </c>
      <c r="Z428" s="14">
        <f t="shared" si="148"/>
        <v>1480848.98</v>
      </c>
      <c r="AA428" s="14">
        <f t="shared" si="149"/>
        <v>4489606.6399999997</v>
      </c>
    </row>
    <row r="429" spans="5:27" outlineLevel="1" x14ac:dyDescent="0.25">
      <c r="E429" s="4" t="s">
        <v>54</v>
      </c>
      <c r="F429" s="4">
        <v>3</v>
      </c>
      <c r="G429" s="21">
        <v>383</v>
      </c>
      <c r="H429" s="21">
        <v>397</v>
      </c>
      <c r="I429" s="21">
        <v>432.63000000000005</v>
      </c>
      <c r="J429" s="21">
        <v>1811447.5200000009</v>
      </c>
      <c r="K429" s="21">
        <v>1955632.73</v>
      </c>
      <c r="L429" s="21">
        <v>1992022.9300000004</v>
      </c>
      <c r="M429" s="21">
        <v>5556232.0699999984</v>
      </c>
      <c r="N429" s="21">
        <v>5884398.4199999999</v>
      </c>
      <c r="O429" s="21">
        <v>6067584.0099999998</v>
      </c>
      <c r="S429" s="25">
        <f t="shared" si="150"/>
        <v>-0.11966651255736127</v>
      </c>
      <c r="T429" s="26">
        <f t="shared" si="151"/>
        <v>-0.10300298643653005</v>
      </c>
      <c r="U429" s="27">
        <f t="shared" si="152"/>
        <v>-0.11730135751079085</v>
      </c>
      <c r="W429" s="13">
        <f t="shared" si="146"/>
        <v>1</v>
      </c>
      <c r="Y429" s="14">
        <f t="shared" si="147"/>
        <v>397</v>
      </c>
      <c r="Z429" s="14">
        <f t="shared" si="148"/>
        <v>1955632.73</v>
      </c>
      <c r="AA429" s="14">
        <f t="shared" si="149"/>
        <v>5884398.4199999999</v>
      </c>
    </row>
    <row r="430" spans="5:27" outlineLevel="1" x14ac:dyDescent="0.25">
      <c r="E430" s="4" t="s">
        <v>54</v>
      </c>
      <c r="F430" s="4">
        <v>4</v>
      </c>
      <c r="G430" s="21">
        <v>441</v>
      </c>
      <c r="H430" s="21">
        <v>460</v>
      </c>
      <c r="I430" s="21">
        <v>441.91</v>
      </c>
      <c r="J430" s="21">
        <v>2022476</v>
      </c>
      <c r="K430" s="21">
        <v>2197206.8799999994</v>
      </c>
      <c r="L430" s="21">
        <v>2045373.25</v>
      </c>
      <c r="M430" s="21">
        <v>6063112.6600000001</v>
      </c>
      <c r="N430" s="21">
        <v>6517881.6700000009</v>
      </c>
      <c r="O430" s="21">
        <v>6235705.2600000016</v>
      </c>
      <c r="S430" s="25">
        <f t="shared" si="150"/>
        <v>-0.11966651255736127</v>
      </c>
      <c r="T430" s="26">
        <f t="shared" si="151"/>
        <v>-0.10300298643653005</v>
      </c>
      <c r="U430" s="27">
        <f t="shared" si="152"/>
        <v>-0.11730135751079085</v>
      </c>
      <c r="W430" s="13">
        <f t="shared" si="146"/>
        <v>1</v>
      </c>
      <c r="Y430" s="14">
        <f t="shared" si="147"/>
        <v>460</v>
      </c>
      <c r="Z430" s="14">
        <f t="shared" si="148"/>
        <v>2197206.8799999994</v>
      </c>
      <c r="AA430" s="14">
        <f t="shared" si="149"/>
        <v>6517881.6700000009</v>
      </c>
    </row>
    <row r="431" spans="5:27" outlineLevel="1" x14ac:dyDescent="0.25">
      <c r="E431" s="4" t="s">
        <v>54</v>
      </c>
      <c r="F431" s="4">
        <v>5</v>
      </c>
      <c r="G431" s="21">
        <v>375</v>
      </c>
      <c r="H431" s="21">
        <v>389</v>
      </c>
      <c r="I431" s="21">
        <v>443.01000000000005</v>
      </c>
      <c r="J431" s="21">
        <v>1643946.16</v>
      </c>
      <c r="K431" s="21">
        <v>1789539.05</v>
      </c>
      <c r="L431" s="21">
        <v>2049894.3000000003</v>
      </c>
      <c r="M431" s="21">
        <v>4910568.01</v>
      </c>
      <c r="N431" s="21">
        <v>5402757.3600000003</v>
      </c>
      <c r="O431" s="21">
        <v>6227559.4199999999</v>
      </c>
      <c r="S431" s="25">
        <f t="shared" si="150"/>
        <v>-0.11966651255736127</v>
      </c>
      <c r="T431" s="26">
        <f t="shared" si="151"/>
        <v>-0.10300298643653005</v>
      </c>
      <c r="U431" s="27">
        <f t="shared" si="152"/>
        <v>-0.11730135751079085</v>
      </c>
      <c r="W431" s="13">
        <f t="shared" si="146"/>
        <v>1</v>
      </c>
      <c r="Y431" s="14">
        <f t="shared" si="147"/>
        <v>389</v>
      </c>
      <c r="Z431" s="14">
        <f t="shared" si="148"/>
        <v>1789539.05</v>
      </c>
      <c r="AA431" s="14">
        <f t="shared" si="149"/>
        <v>5402757.3600000003</v>
      </c>
    </row>
    <row r="432" spans="5:27" outlineLevel="1" x14ac:dyDescent="0.25">
      <c r="E432" s="4" t="s">
        <v>54</v>
      </c>
      <c r="F432" s="4">
        <v>6</v>
      </c>
      <c r="G432" s="21">
        <v>364</v>
      </c>
      <c r="H432" s="21">
        <v>373</v>
      </c>
      <c r="I432" s="21">
        <v>446.29000000000013</v>
      </c>
      <c r="J432" s="21">
        <v>1605796.4799999995</v>
      </c>
      <c r="K432" s="21">
        <v>1727926.6100000006</v>
      </c>
      <c r="L432" s="21">
        <v>2063222.5700000003</v>
      </c>
      <c r="M432" s="21">
        <v>4752416.76</v>
      </c>
      <c r="N432" s="21">
        <v>5131738.7300000004</v>
      </c>
      <c r="O432" s="21">
        <v>6253747.3799999999</v>
      </c>
      <c r="S432" s="25">
        <f t="shared" si="150"/>
        <v>-0.11966651255736127</v>
      </c>
      <c r="T432" s="26">
        <f t="shared" si="151"/>
        <v>-0.10300298643653005</v>
      </c>
      <c r="U432" s="27">
        <f t="shared" si="152"/>
        <v>-0.11730135751079085</v>
      </c>
      <c r="W432" s="13">
        <f t="shared" si="146"/>
        <v>1</v>
      </c>
      <c r="Y432" s="14">
        <f t="shared" si="147"/>
        <v>373</v>
      </c>
      <c r="Z432" s="14">
        <f t="shared" si="148"/>
        <v>1727926.6100000006</v>
      </c>
      <c r="AA432" s="14">
        <f t="shared" si="149"/>
        <v>5131738.7300000004</v>
      </c>
    </row>
    <row r="433" spans="5:27" outlineLevel="1" x14ac:dyDescent="0.25">
      <c r="E433" s="4" t="s">
        <v>54</v>
      </c>
      <c r="F433" s="4">
        <v>7</v>
      </c>
      <c r="G433" s="21">
        <v>421</v>
      </c>
      <c r="H433" s="21"/>
      <c r="I433" s="21">
        <v>443.53</v>
      </c>
      <c r="J433" s="21">
        <v>1905995.4899999995</v>
      </c>
      <c r="K433" s="21"/>
      <c r="L433" s="21">
        <v>2047239.0399999998</v>
      </c>
      <c r="M433" s="21">
        <v>5613528.8099999996</v>
      </c>
      <c r="N433" s="21"/>
      <c r="O433" s="21">
        <v>6220652.7100000018</v>
      </c>
      <c r="S433" s="25">
        <f t="shared" si="150"/>
        <v>-0.11966651255736127</v>
      </c>
      <c r="T433" s="26">
        <f t="shared" si="151"/>
        <v>-0.10300298643653005</v>
      </c>
      <c r="U433" s="27">
        <f t="shared" si="152"/>
        <v>-0.11730135751079085</v>
      </c>
      <c r="W433" s="13">
        <f t="shared" si="146"/>
        <v>0</v>
      </c>
      <c r="Y433" s="14">
        <f t="shared" si="147"/>
        <v>390.45431168543354</v>
      </c>
      <c r="Z433" s="14">
        <f t="shared" si="148"/>
        <v>1836367.3049305449</v>
      </c>
      <c r="AA433" s="14">
        <f t="shared" si="149"/>
        <v>5490961.7025138214</v>
      </c>
    </row>
    <row r="434" spans="5:27" outlineLevel="1" x14ac:dyDescent="0.25">
      <c r="E434" s="4" t="s">
        <v>54</v>
      </c>
      <c r="F434" s="4">
        <v>8</v>
      </c>
      <c r="G434" s="21">
        <v>373</v>
      </c>
      <c r="H434" s="21"/>
      <c r="I434" s="21">
        <v>458.07999999999987</v>
      </c>
      <c r="J434" s="21">
        <v>1764921.9300000002</v>
      </c>
      <c r="K434" s="21"/>
      <c r="L434" s="21">
        <v>2135768.5699999998</v>
      </c>
      <c r="M434" s="21">
        <v>5427591.8600000031</v>
      </c>
      <c r="N434" s="21"/>
      <c r="O434" s="21">
        <v>6537856.9300000006</v>
      </c>
      <c r="S434" s="25">
        <f t="shared" si="150"/>
        <v>-0.11966651255736127</v>
      </c>
      <c r="T434" s="26">
        <f t="shared" si="151"/>
        <v>-0.10300298643653005</v>
      </c>
      <c r="U434" s="27">
        <f t="shared" si="152"/>
        <v>-0.11730135751079085</v>
      </c>
      <c r="W434" s="13">
        <f t="shared" si="146"/>
        <v>0</v>
      </c>
      <c r="Y434" s="14">
        <f t="shared" si="147"/>
        <v>403.26316392772384</v>
      </c>
      <c r="Z434" s="14">
        <f t="shared" si="148"/>
        <v>1915778.0289527227</v>
      </c>
      <c r="AA434" s="14">
        <f t="shared" si="149"/>
        <v>5770957.4368996695</v>
      </c>
    </row>
    <row r="435" spans="5:27" outlineLevel="1" x14ac:dyDescent="0.25">
      <c r="E435" s="4" t="s">
        <v>54</v>
      </c>
      <c r="F435" s="4">
        <v>9</v>
      </c>
      <c r="G435" s="21">
        <v>455</v>
      </c>
      <c r="H435" s="21"/>
      <c r="I435" s="21">
        <v>445.34000000000009</v>
      </c>
      <c r="J435" s="21">
        <v>2079371.5499999998</v>
      </c>
      <c r="K435" s="21"/>
      <c r="L435" s="21">
        <v>2055080.8300000003</v>
      </c>
      <c r="M435" s="21">
        <v>6175202.5699999984</v>
      </c>
      <c r="N435" s="21"/>
      <c r="O435" s="21">
        <v>6261791.1700000018</v>
      </c>
      <c r="S435" s="25">
        <f t="shared" si="150"/>
        <v>-0.11966651255736127</v>
      </c>
      <c r="T435" s="26">
        <f t="shared" si="151"/>
        <v>-0.10300298643653005</v>
      </c>
      <c r="U435" s="27">
        <f t="shared" si="152"/>
        <v>-0.11730135751079085</v>
      </c>
      <c r="W435" s="13">
        <f t="shared" si="146"/>
        <v>0</v>
      </c>
      <c r="Y435" s="14">
        <f t="shared" si="147"/>
        <v>392.04771529770483</v>
      </c>
      <c r="Z435" s="14">
        <f t="shared" si="148"/>
        <v>1843401.3671415374</v>
      </c>
      <c r="AA435" s="14">
        <f t="shared" si="149"/>
        <v>5527274.5653099185</v>
      </c>
    </row>
    <row r="436" spans="5:27" outlineLevel="1" x14ac:dyDescent="0.25">
      <c r="E436" s="4" t="s">
        <v>54</v>
      </c>
      <c r="F436" s="4">
        <v>10</v>
      </c>
      <c r="G436" s="21">
        <v>366</v>
      </c>
      <c r="H436" s="21"/>
      <c r="I436" s="21">
        <v>458.50000000000011</v>
      </c>
      <c r="J436" s="21">
        <v>1675654.0499999998</v>
      </c>
      <c r="K436" s="21"/>
      <c r="L436" s="21">
        <v>2124624.35</v>
      </c>
      <c r="M436" s="21">
        <v>4887413.8499999996</v>
      </c>
      <c r="N436" s="21"/>
      <c r="O436" s="21">
        <v>6462425.2899999991</v>
      </c>
      <c r="S436" s="25">
        <f t="shared" si="150"/>
        <v>-0.11966651255736127</v>
      </c>
      <c r="T436" s="26">
        <f t="shared" si="151"/>
        <v>-0.10300298643653005</v>
      </c>
      <c r="U436" s="27">
        <f t="shared" si="152"/>
        <v>-0.11730135751079085</v>
      </c>
      <c r="W436" s="13">
        <f t="shared" si="146"/>
        <v>0</v>
      </c>
      <c r="Y436" s="14">
        <f t="shared" si="147"/>
        <v>403.63290399244994</v>
      </c>
      <c r="Z436" s="14">
        <f t="shared" si="148"/>
        <v>1905781.6968942287</v>
      </c>
      <c r="AA436" s="14">
        <f t="shared" si="149"/>
        <v>5704374.0306709334</v>
      </c>
    </row>
    <row r="437" spans="5:27" outlineLevel="1" x14ac:dyDescent="0.25">
      <c r="E437" s="4" t="s">
        <v>54</v>
      </c>
      <c r="F437" s="4">
        <v>11</v>
      </c>
      <c r="G437" s="21">
        <v>526</v>
      </c>
      <c r="H437" s="21"/>
      <c r="I437" s="21">
        <v>464.92999999999995</v>
      </c>
      <c r="J437" s="21">
        <v>2360069.8100000005</v>
      </c>
      <c r="K437" s="21"/>
      <c r="L437" s="21">
        <v>2153366.5699999998</v>
      </c>
      <c r="M437" s="21">
        <v>7198443.8699999992</v>
      </c>
      <c r="N437" s="21"/>
      <c r="O437" s="21">
        <v>6596022.9900000012</v>
      </c>
      <c r="S437" s="25">
        <f t="shared" si="150"/>
        <v>-0.11966651255736127</v>
      </c>
      <c r="T437" s="26">
        <f t="shared" si="151"/>
        <v>-0.10300298643653005</v>
      </c>
      <c r="U437" s="27">
        <f t="shared" si="152"/>
        <v>-0.11730135751079085</v>
      </c>
      <c r="W437" s="13">
        <f t="shared" si="146"/>
        <v>0</v>
      </c>
      <c r="Y437" s="14">
        <f t="shared" si="147"/>
        <v>409.29344831670596</v>
      </c>
      <c r="Z437" s="14">
        <f t="shared" si="148"/>
        <v>1931563.3823974126</v>
      </c>
      <c r="AA437" s="14">
        <f t="shared" si="149"/>
        <v>5822300.5391006153</v>
      </c>
    </row>
    <row r="438" spans="5:27" outlineLevel="1" x14ac:dyDescent="0.25">
      <c r="E438" s="4" t="s">
        <v>54</v>
      </c>
      <c r="F438" s="4">
        <v>12</v>
      </c>
      <c r="G438" s="21">
        <v>753</v>
      </c>
      <c r="H438" s="21"/>
      <c r="I438" s="21">
        <v>492.52000000000004</v>
      </c>
      <c r="J438" s="21">
        <v>3332270.78</v>
      </c>
      <c r="K438" s="21"/>
      <c r="L438" s="21">
        <v>2307447.02</v>
      </c>
      <c r="M438" s="21">
        <v>9906670.7199999988</v>
      </c>
      <c r="N438" s="21"/>
      <c r="O438" s="21">
        <v>7048282.5199999986</v>
      </c>
      <c r="S438" s="28">
        <f t="shared" si="150"/>
        <v>-0.11966651255736127</v>
      </c>
      <c r="T438" s="26">
        <f t="shared" si="151"/>
        <v>-0.10300298643653005</v>
      </c>
      <c r="U438" s="30">
        <f t="shared" si="152"/>
        <v>-0.11730135751079085</v>
      </c>
      <c r="W438" s="13">
        <f t="shared" si="146"/>
        <v>0</v>
      </c>
      <c r="Y438" s="14">
        <f t="shared" si="147"/>
        <v>433.58184923524846</v>
      </c>
      <c r="Z438" s="14">
        <f t="shared" si="148"/>
        <v>2069773.0858959283</v>
      </c>
      <c r="AA438" s="14">
        <f t="shared" si="149"/>
        <v>6221509.4122844208</v>
      </c>
    </row>
    <row r="439" spans="5:27" outlineLevel="1" x14ac:dyDescent="0.25">
      <c r="E439" s="4" t="s">
        <v>55</v>
      </c>
      <c r="F439" s="4">
        <v>1</v>
      </c>
      <c r="G439" s="21">
        <v>37</v>
      </c>
      <c r="H439" s="21">
        <v>36</v>
      </c>
      <c r="I439" s="21">
        <v>44.13</v>
      </c>
      <c r="J439" s="21">
        <v>171230.12999999998</v>
      </c>
      <c r="K439" s="21">
        <v>173925.56</v>
      </c>
      <c r="L439" s="21">
        <v>202192.65000000002</v>
      </c>
      <c r="M439" s="21">
        <v>492557.61</v>
      </c>
      <c r="N439" s="21">
        <v>508552.41000000003</v>
      </c>
      <c r="O439" s="21">
        <v>573931.91999999981</v>
      </c>
      <c r="S439" s="22">
        <f t="shared" ref="S439:S450" si="153">IFERROR(SUMPRODUCT(H$439:H$450,$W$439:$W$450)/SUMPRODUCT(I$439:I$450,$W$439:$W$450)-1,"")</f>
        <v>-0.21529249879132728</v>
      </c>
      <c r="T439" s="23">
        <f t="shared" ref="T439:T450" si="154">IFERROR(SUMPRODUCT(K$439:K$450,$W$439:$W$450)/SUMPRODUCT(L$439:L$450,$W$439:$W$450)-1,"")</f>
        <v>-0.13909678921410218</v>
      </c>
      <c r="U439" s="24">
        <f t="shared" ref="U439:U450" si="155">IFERROR(SUMPRODUCT(N$439:N$450,$W$439:$W$450)/SUMPRODUCT(O$439:O$450,$W$439:$W$450)-1,"")</f>
        <v>-0.15104004646808145</v>
      </c>
      <c r="W439" s="13">
        <f t="shared" si="146"/>
        <v>1</v>
      </c>
      <c r="Y439" s="14">
        <f t="shared" si="147"/>
        <v>36</v>
      </c>
      <c r="Z439" s="14">
        <f t="shared" si="148"/>
        <v>173925.56</v>
      </c>
      <c r="AA439" s="14">
        <f t="shared" si="149"/>
        <v>508552.41000000003</v>
      </c>
    </row>
    <row r="440" spans="5:27" outlineLevel="1" x14ac:dyDescent="0.25">
      <c r="E440" s="4" t="s">
        <v>55</v>
      </c>
      <c r="F440" s="4">
        <v>2</v>
      </c>
      <c r="G440" s="21">
        <v>25</v>
      </c>
      <c r="H440" s="21">
        <v>26</v>
      </c>
      <c r="I440" s="21">
        <v>44.129999999999995</v>
      </c>
      <c r="J440" s="21">
        <v>118986.77</v>
      </c>
      <c r="K440" s="21">
        <v>127427.67</v>
      </c>
      <c r="L440" s="21">
        <v>203187.22000000009</v>
      </c>
      <c r="M440" s="21">
        <v>333102.14999999997</v>
      </c>
      <c r="N440" s="21">
        <v>348313.91000000003</v>
      </c>
      <c r="O440" s="21">
        <v>577455.79000000015</v>
      </c>
      <c r="S440" s="25">
        <f t="shared" si="153"/>
        <v>-0.21529249879132728</v>
      </c>
      <c r="T440" s="26">
        <f t="shared" si="154"/>
        <v>-0.13909678921410218</v>
      </c>
      <c r="U440" s="27">
        <f t="shared" si="155"/>
        <v>-0.15104004646808145</v>
      </c>
      <c r="W440" s="13">
        <f t="shared" si="146"/>
        <v>1</v>
      </c>
      <c r="Y440" s="14">
        <f t="shared" si="147"/>
        <v>26</v>
      </c>
      <c r="Z440" s="14">
        <f t="shared" si="148"/>
        <v>127427.67</v>
      </c>
      <c r="AA440" s="14">
        <f t="shared" si="149"/>
        <v>348313.91000000003</v>
      </c>
    </row>
    <row r="441" spans="5:27" outlineLevel="1" x14ac:dyDescent="0.25">
      <c r="E441" s="4" t="s">
        <v>55</v>
      </c>
      <c r="F441" s="4">
        <v>3</v>
      </c>
      <c r="G441" s="21">
        <v>27</v>
      </c>
      <c r="H441" s="21">
        <v>28</v>
      </c>
      <c r="I441" s="21">
        <v>44.81</v>
      </c>
      <c r="J441" s="21">
        <v>163843.19</v>
      </c>
      <c r="K441" s="21">
        <v>175875.97999999998</v>
      </c>
      <c r="L441" s="21">
        <v>205924.82000000004</v>
      </c>
      <c r="M441" s="21">
        <v>482587.93999999994</v>
      </c>
      <c r="N441" s="21">
        <v>506173.06999999995</v>
      </c>
      <c r="O441" s="21">
        <v>585330.65999999992</v>
      </c>
      <c r="S441" s="25">
        <f t="shared" si="153"/>
        <v>-0.21529249879132728</v>
      </c>
      <c r="T441" s="26">
        <f t="shared" si="154"/>
        <v>-0.13909678921410218</v>
      </c>
      <c r="U441" s="27">
        <f t="shared" si="155"/>
        <v>-0.15104004646808145</v>
      </c>
      <c r="W441" s="13">
        <f t="shared" si="146"/>
        <v>1</v>
      </c>
      <c r="Y441" s="14">
        <f t="shared" si="147"/>
        <v>28</v>
      </c>
      <c r="Z441" s="14">
        <f t="shared" si="148"/>
        <v>175875.97999999998</v>
      </c>
      <c r="AA441" s="14">
        <f t="shared" si="149"/>
        <v>506173.06999999995</v>
      </c>
    </row>
    <row r="442" spans="5:27" outlineLevel="1" x14ac:dyDescent="0.25">
      <c r="E442" s="4" t="s">
        <v>55</v>
      </c>
      <c r="F442" s="4">
        <v>4</v>
      </c>
      <c r="G442" s="21">
        <v>43</v>
      </c>
      <c r="H442" s="21">
        <v>44</v>
      </c>
      <c r="I442" s="21">
        <v>44.83</v>
      </c>
      <c r="J442" s="21">
        <v>232084.14</v>
      </c>
      <c r="K442" s="21">
        <v>244367.74999999997</v>
      </c>
      <c r="L442" s="21">
        <v>206980.90000000002</v>
      </c>
      <c r="M442" s="21">
        <v>675677.33</v>
      </c>
      <c r="N442" s="21">
        <v>696161.56</v>
      </c>
      <c r="O442" s="21">
        <v>588854.55000000005</v>
      </c>
      <c r="S442" s="25">
        <f t="shared" si="153"/>
        <v>-0.21529249879132728</v>
      </c>
      <c r="T442" s="26">
        <f t="shared" si="154"/>
        <v>-0.13909678921410218</v>
      </c>
      <c r="U442" s="27">
        <f t="shared" si="155"/>
        <v>-0.15104004646808145</v>
      </c>
      <c r="W442" s="13">
        <f t="shared" si="146"/>
        <v>1</v>
      </c>
      <c r="Y442" s="14">
        <f t="shared" si="147"/>
        <v>44</v>
      </c>
      <c r="Z442" s="14">
        <f t="shared" si="148"/>
        <v>244367.74999999997</v>
      </c>
      <c r="AA442" s="14">
        <f t="shared" si="149"/>
        <v>696161.56</v>
      </c>
    </row>
    <row r="443" spans="5:27" outlineLevel="1" x14ac:dyDescent="0.25">
      <c r="E443" s="4" t="s">
        <v>55</v>
      </c>
      <c r="F443" s="4">
        <v>5</v>
      </c>
      <c r="G443" s="21">
        <v>28</v>
      </c>
      <c r="H443" s="21">
        <v>29</v>
      </c>
      <c r="I443" s="21">
        <v>45.49</v>
      </c>
      <c r="J443" s="21">
        <v>117551.71000000002</v>
      </c>
      <c r="K443" s="21">
        <v>130648.37</v>
      </c>
      <c r="L443" s="21">
        <v>209615.02</v>
      </c>
      <c r="M443" s="21">
        <v>305660.71999999997</v>
      </c>
      <c r="N443" s="21">
        <v>338019.3</v>
      </c>
      <c r="O443" s="21">
        <v>596729.36999999988</v>
      </c>
      <c r="S443" s="25">
        <f t="shared" si="153"/>
        <v>-0.21529249879132728</v>
      </c>
      <c r="T443" s="26">
        <f t="shared" si="154"/>
        <v>-0.13909678921410218</v>
      </c>
      <c r="U443" s="27">
        <f t="shared" si="155"/>
        <v>-0.15104004646808145</v>
      </c>
      <c r="W443" s="13">
        <f t="shared" si="146"/>
        <v>1</v>
      </c>
      <c r="Y443" s="14">
        <f t="shared" si="147"/>
        <v>29</v>
      </c>
      <c r="Z443" s="14">
        <f t="shared" si="148"/>
        <v>130648.37</v>
      </c>
      <c r="AA443" s="14">
        <f t="shared" si="149"/>
        <v>338019.3</v>
      </c>
    </row>
    <row r="444" spans="5:27" outlineLevel="1" x14ac:dyDescent="0.25">
      <c r="E444" s="4" t="s">
        <v>55</v>
      </c>
      <c r="F444" s="4">
        <v>6</v>
      </c>
      <c r="G444" s="21">
        <v>47</v>
      </c>
      <c r="H444" s="21">
        <v>48</v>
      </c>
      <c r="I444" s="21">
        <v>45.500000000000007</v>
      </c>
      <c r="J444" s="21">
        <v>203866.52</v>
      </c>
      <c r="K444" s="21">
        <v>214035.76</v>
      </c>
      <c r="L444" s="21">
        <v>210660.33000000002</v>
      </c>
      <c r="M444" s="21">
        <v>561293.60000000009</v>
      </c>
      <c r="N444" s="21">
        <v>593288.37999999989</v>
      </c>
      <c r="O444" s="21">
        <v>600253.29999999993</v>
      </c>
      <c r="S444" s="25">
        <f t="shared" si="153"/>
        <v>-0.21529249879132728</v>
      </c>
      <c r="T444" s="26">
        <f t="shared" si="154"/>
        <v>-0.13909678921410218</v>
      </c>
      <c r="U444" s="27">
        <f t="shared" si="155"/>
        <v>-0.15104004646808145</v>
      </c>
      <c r="W444" s="13">
        <f t="shared" si="146"/>
        <v>1</v>
      </c>
      <c r="Y444" s="14">
        <f t="shared" si="147"/>
        <v>48</v>
      </c>
      <c r="Z444" s="14">
        <f t="shared" si="148"/>
        <v>214035.76</v>
      </c>
      <c r="AA444" s="14">
        <f t="shared" si="149"/>
        <v>593288.37999999989</v>
      </c>
    </row>
    <row r="445" spans="5:27" outlineLevel="1" x14ac:dyDescent="0.25">
      <c r="E445" s="4" t="s">
        <v>55</v>
      </c>
      <c r="F445" s="4">
        <v>7</v>
      </c>
      <c r="G445" s="21">
        <v>42</v>
      </c>
      <c r="H445" s="21"/>
      <c r="I445" s="21">
        <v>46.169999999999995</v>
      </c>
      <c r="J445" s="21">
        <v>156315.71000000002</v>
      </c>
      <c r="K445" s="21"/>
      <c r="L445" s="21">
        <v>213367.13</v>
      </c>
      <c r="M445" s="21">
        <v>417202.8</v>
      </c>
      <c r="N445" s="21"/>
      <c r="O445" s="21">
        <v>608128.12000000011</v>
      </c>
      <c r="S445" s="25">
        <f t="shared" si="153"/>
        <v>-0.21529249879132728</v>
      </c>
      <c r="T445" s="26">
        <f t="shared" si="154"/>
        <v>-0.13909678921410218</v>
      </c>
      <c r="U445" s="27">
        <f t="shared" si="155"/>
        <v>-0.15104004646808145</v>
      </c>
      <c r="W445" s="13">
        <f t="shared" si="146"/>
        <v>0</v>
      </c>
      <c r="Y445" s="14">
        <f t="shared" si="147"/>
        <v>36.229945330804412</v>
      </c>
      <c r="Z445" s="14">
        <f t="shared" si="148"/>
        <v>183688.44729317207</v>
      </c>
      <c r="AA445" s="14">
        <f t="shared" si="149"/>
        <v>516276.42049665307</v>
      </c>
    </row>
    <row r="446" spans="5:27" outlineLevel="1" x14ac:dyDescent="0.25">
      <c r="E446" s="4" t="s">
        <v>55</v>
      </c>
      <c r="F446" s="4">
        <v>8</v>
      </c>
      <c r="G446" s="21">
        <v>48</v>
      </c>
      <c r="H446" s="21"/>
      <c r="I446" s="21">
        <v>46.19</v>
      </c>
      <c r="J446" s="21">
        <v>233605.31000000003</v>
      </c>
      <c r="K446" s="21"/>
      <c r="L446" s="21">
        <v>214399.83999999997</v>
      </c>
      <c r="M446" s="21">
        <v>669257.31000000006</v>
      </c>
      <c r="N446" s="21"/>
      <c r="O446" s="21">
        <v>611651.99999999977</v>
      </c>
      <c r="S446" s="25">
        <f t="shared" si="153"/>
        <v>-0.21529249879132728</v>
      </c>
      <c r="T446" s="26">
        <f t="shared" si="154"/>
        <v>-0.13909678921410218</v>
      </c>
      <c r="U446" s="27">
        <f t="shared" si="155"/>
        <v>-0.15104004646808145</v>
      </c>
      <c r="W446" s="13">
        <f t="shared" si="146"/>
        <v>0</v>
      </c>
      <c r="Y446" s="14">
        <f t="shared" si="147"/>
        <v>36.245639480828594</v>
      </c>
      <c r="Z446" s="14">
        <f t="shared" si="148"/>
        <v>184577.51064798274</v>
      </c>
      <c r="AA446" s="14">
        <f t="shared" si="149"/>
        <v>519268.05349770485</v>
      </c>
    </row>
    <row r="447" spans="5:27" outlineLevel="1" x14ac:dyDescent="0.25">
      <c r="E447" s="4" t="s">
        <v>55</v>
      </c>
      <c r="F447" s="4">
        <v>9</v>
      </c>
      <c r="G447" s="21">
        <v>12</v>
      </c>
      <c r="H447" s="21"/>
      <c r="I447" s="21">
        <v>46.870000000000005</v>
      </c>
      <c r="J447" s="21">
        <v>39999.17</v>
      </c>
      <c r="K447" s="21"/>
      <c r="L447" s="21">
        <v>217179.46000000002</v>
      </c>
      <c r="M447" s="21">
        <v>101851.09999999999</v>
      </c>
      <c r="N447" s="21"/>
      <c r="O447" s="21">
        <v>619526.86</v>
      </c>
      <c r="S447" s="25">
        <f t="shared" si="153"/>
        <v>-0.21529249879132728</v>
      </c>
      <c r="T447" s="26">
        <f t="shared" si="154"/>
        <v>-0.13909678921410218</v>
      </c>
      <c r="U447" s="27">
        <f t="shared" si="155"/>
        <v>-0.15104004646808145</v>
      </c>
      <c r="W447" s="13">
        <f t="shared" si="146"/>
        <v>0</v>
      </c>
      <c r="Y447" s="14">
        <f t="shared" si="147"/>
        <v>36.779240581650491</v>
      </c>
      <c r="Z447" s="14">
        <f t="shared" si="148"/>
        <v>186970.49443074749</v>
      </c>
      <c r="AA447" s="14">
        <f t="shared" si="149"/>
        <v>525953.4942773754</v>
      </c>
    </row>
    <row r="448" spans="5:27" outlineLevel="1" x14ac:dyDescent="0.25">
      <c r="E448" s="4" t="s">
        <v>55</v>
      </c>
      <c r="F448" s="4">
        <v>10</v>
      </c>
      <c r="G448" s="21">
        <v>61</v>
      </c>
      <c r="H448" s="21"/>
      <c r="I448" s="21">
        <v>46.86999999999999</v>
      </c>
      <c r="J448" s="21">
        <v>327909.27</v>
      </c>
      <c r="K448" s="21"/>
      <c r="L448" s="21">
        <v>218158.61</v>
      </c>
      <c r="M448" s="21">
        <v>945791.57000000007</v>
      </c>
      <c r="N448" s="21"/>
      <c r="O448" s="21">
        <v>623050.74000000011</v>
      </c>
      <c r="S448" s="25">
        <f t="shared" si="153"/>
        <v>-0.21529249879132728</v>
      </c>
      <c r="T448" s="26">
        <f t="shared" si="154"/>
        <v>-0.13909678921410218</v>
      </c>
      <c r="U448" s="27">
        <f t="shared" si="155"/>
        <v>-0.15104004646808145</v>
      </c>
      <c r="W448" s="13">
        <f t="shared" si="146"/>
        <v>0</v>
      </c>
      <c r="Y448" s="14">
        <f t="shared" si="147"/>
        <v>36.779240581650484</v>
      </c>
      <c r="Z448" s="14">
        <f t="shared" si="148"/>
        <v>187813.44780958846</v>
      </c>
      <c r="AA448" s="14">
        <f t="shared" si="149"/>
        <v>528945.12727842759</v>
      </c>
    </row>
    <row r="449" spans="5:27" outlineLevel="1" x14ac:dyDescent="0.25">
      <c r="E449" s="4" t="s">
        <v>55</v>
      </c>
      <c r="F449" s="4">
        <v>11</v>
      </c>
      <c r="G449" s="21">
        <v>101</v>
      </c>
      <c r="H449" s="21"/>
      <c r="I449" s="21">
        <v>47.570000000000007</v>
      </c>
      <c r="J449" s="21">
        <v>451177.88000000006</v>
      </c>
      <c r="K449" s="21"/>
      <c r="L449" s="21">
        <v>220981.41</v>
      </c>
      <c r="M449" s="21">
        <v>1274916.73</v>
      </c>
      <c r="N449" s="21"/>
      <c r="O449" s="21">
        <v>630925.55999999982</v>
      </c>
      <c r="S449" s="25">
        <f t="shared" si="153"/>
        <v>-0.21529249879132728</v>
      </c>
      <c r="T449" s="26">
        <f t="shared" si="154"/>
        <v>-0.13909678921410218</v>
      </c>
      <c r="U449" s="27">
        <f t="shared" si="155"/>
        <v>-0.15104004646808145</v>
      </c>
      <c r="W449" s="13">
        <f t="shared" si="146"/>
        <v>0</v>
      </c>
      <c r="Y449" s="14">
        <f t="shared" si="147"/>
        <v>37.32853583249657</v>
      </c>
      <c r="Z449" s="14">
        <f t="shared" si="148"/>
        <v>190243.60539299491</v>
      </c>
      <c r="AA449" s="14">
        <f t="shared" si="149"/>
        <v>535630.53409969958</v>
      </c>
    </row>
    <row r="450" spans="5:27" outlineLevel="1" x14ac:dyDescent="0.25">
      <c r="E450" s="4" t="s">
        <v>55</v>
      </c>
      <c r="F450" s="4">
        <v>12</v>
      </c>
      <c r="G450" s="21">
        <v>50</v>
      </c>
      <c r="H450" s="21"/>
      <c r="I450" s="21">
        <v>47.550000000000004</v>
      </c>
      <c r="J450" s="21">
        <v>216751.74</v>
      </c>
      <c r="K450" s="21"/>
      <c r="L450" s="21">
        <v>221868.06999999998</v>
      </c>
      <c r="M450" s="21">
        <v>602314.1</v>
      </c>
      <c r="N450" s="21"/>
      <c r="O450" s="21">
        <v>634449.49000000011</v>
      </c>
      <c r="S450" s="28">
        <f t="shared" si="153"/>
        <v>-0.21529249879132728</v>
      </c>
      <c r="T450" s="29">
        <f t="shared" si="154"/>
        <v>-0.13909678921410218</v>
      </c>
      <c r="U450" s="30">
        <f t="shared" si="155"/>
        <v>-0.15104004646808145</v>
      </c>
      <c r="W450" s="13">
        <f t="shared" si="146"/>
        <v>0</v>
      </c>
      <c r="Y450" s="14">
        <f t="shared" si="147"/>
        <v>37.312841682472389</v>
      </c>
      <c r="Z450" s="14">
        <f t="shared" si="148"/>
        <v>191006.93383387031</v>
      </c>
      <c r="AA450" s="14">
        <f t="shared" si="149"/>
        <v>538622.2095487495</v>
      </c>
    </row>
    <row r="451" spans="5:27" outlineLevel="1" x14ac:dyDescent="0.25">
      <c r="E451" s="4" t="s">
        <v>56</v>
      </c>
      <c r="F451" s="4">
        <v>1</v>
      </c>
      <c r="G451" s="21">
        <v>165</v>
      </c>
      <c r="H451" s="21">
        <v>170</v>
      </c>
      <c r="I451" s="21">
        <v>216.42000000000004</v>
      </c>
      <c r="J451" s="21">
        <v>720084</v>
      </c>
      <c r="K451" s="21">
        <v>772823.54999999981</v>
      </c>
      <c r="L451" s="21">
        <v>1014207.8400000001</v>
      </c>
      <c r="M451" s="21">
        <v>2035048.46</v>
      </c>
      <c r="N451" s="21">
        <v>2205082.3099999996</v>
      </c>
      <c r="O451" s="21">
        <v>2922394.8600000003</v>
      </c>
      <c r="S451" s="22">
        <f t="shared" ref="S451:S462" si="156">IFERROR(SUMPRODUCT(H$451:H$462,$W$451:$W$462)/SUMPRODUCT(I$451:I$462,$W$451:$W$462)-1,"")</f>
        <v>-0.1661797096237696</v>
      </c>
      <c r="T451" s="26">
        <f t="shared" ref="T451:T462" si="157">IFERROR(SUMPRODUCT(K$451:K$462,$W$451:$W$462)/SUMPRODUCT(L$451:L$462,$W$451:$W$462)-1,"")</f>
        <v>-0.14835227367705695</v>
      </c>
      <c r="U451" s="24">
        <f t="shared" ref="U451:U462" si="158">IFERROR(SUMPRODUCT(N$451:N$462,$W$451:$W$462)/SUMPRODUCT(O$451:O$462,$W$451:$W$462)-1,"")</f>
        <v>-0.15106489421606351</v>
      </c>
      <c r="W451" s="13">
        <f t="shared" si="146"/>
        <v>1</v>
      </c>
      <c r="Y451" s="14">
        <f t="shared" si="147"/>
        <v>170</v>
      </c>
      <c r="Z451" s="14">
        <f t="shared" si="148"/>
        <v>772823.54999999981</v>
      </c>
      <c r="AA451" s="14">
        <f t="shared" si="149"/>
        <v>2205082.3099999996</v>
      </c>
    </row>
    <row r="452" spans="5:27" outlineLevel="1" x14ac:dyDescent="0.25">
      <c r="E452" s="4" t="s">
        <v>56</v>
      </c>
      <c r="F452" s="4">
        <v>2</v>
      </c>
      <c r="G452" s="21">
        <v>169</v>
      </c>
      <c r="H452" s="21">
        <v>172</v>
      </c>
      <c r="I452" s="21">
        <v>212.86000000000004</v>
      </c>
      <c r="J452" s="21">
        <v>753264.4499999996</v>
      </c>
      <c r="K452" s="21">
        <v>804330.7</v>
      </c>
      <c r="L452" s="21">
        <v>989430.8</v>
      </c>
      <c r="M452" s="21">
        <v>2099927.17</v>
      </c>
      <c r="N452" s="21">
        <v>2307386.4299999997</v>
      </c>
      <c r="O452" s="21">
        <v>2834288.09</v>
      </c>
      <c r="S452" s="25">
        <f t="shared" si="156"/>
        <v>-0.1661797096237696</v>
      </c>
      <c r="T452" s="26">
        <f t="shared" si="157"/>
        <v>-0.14835227367705695</v>
      </c>
      <c r="U452" s="27">
        <f t="shared" si="158"/>
        <v>-0.15106489421606351</v>
      </c>
      <c r="W452" s="13">
        <f t="shared" si="146"/>
        <v>1</v>
      </c>
      <c r="Y452" s="14">
        <f t="shared" si="147"/>
        <v>172</v>
      </c>
      <c r="Z452" s="14">
        <f t="shared" si="148"/>
        <v>804330.7</v>
      </c>
      <c r="AA452" s="14">
        <f t="shared" si="149"/>
        <v>2307386.4299999997</v>
      </c>
    </row>
    <row r="453" spans="5:27" outlineLevel="1" x14ac:dyDescent="0.25">
      <c r="E453" s="4" t="s">
        <v>56</v>
      </c>
      <c r="F453" s="4">
        <v>3</v>
      </c>
      <c r="G453" s="21">
        <v>180</v>
      </c>
      <c r="H453" s="21">
        <v>185</v>
      </c>
      <c r="I453" s="21">
        <v>235.46999999999997</v>
      </c>
      <c r="J453" s="21">
        <v>820023.66000000027</v>
      </c>
      <c r="K453" s="21">
        <v>881720.82000000007</v>
      </c>
      <c r="L453" s="21">
        <v>1088391.3500000001</v>
      </c>
      <c r="M453" s="21">
        <v>2350589.5700000003</v>
      </c>
      <c r="N453" s="21">
        <v>2606216.8300000005</v>
      </c>
      <c r="O453" s="21">
        <v>3165527.98</v>
      </c>
      <c r="S453" s="25">
        <f t="shared" si="156"/>
        <v>-0.1661797096237696</v>
      </c>
      <c r="T453" s="26">
        <f t="shared" si="157"/>
        <v>-0.14835227367705695</v>
      </c>
      <c r="U453" s="27">
        <f t="shared" si="158"/>
        <v>-0.15106489421606351</v>
      </c>
      <c r="W453" s="13">
        <f t="shared" si="146"/>
        <v>1</v>
      </c>
      <c r="Y453" s="14">
        <f t="shared" si="147"/>
        <v>185</v>
      </c>
      <c r="Z453" s="14">
        <f t="shared" si="148"/>
        <v>881720.82000000007</v>
      </c>
      <c r="AA453" s="14">
        <f t="shared" si="149"/>
        <v>2606216.8300000005</v>
      </c>
    </row>
    <row r="454" spans="5:27" outlineLevel="1" x14ac:dyDescent="0.25">
      <c r="E454" s="4" t="s">
        <v>56</v>
      </c>
      <c r="F454" s="4">
        <v>4</v>
      </c>
      <c r="G454" s="21">
        <v>115</v>
      </c>
      <c r="H454" s="21">
        <v>125</v>
      </c>
      <c r="I454" s="21">
        <v>219.97</v>
      </c>
      <c r="J454" s="21">
        <v>512919.74000000011</v>
      </c>
      <c r="K454" s="21">
        <v>599163.06000000006</v>
      </c>
      <c r="L454" s="21">
        <v>1037547.1699999999</v>
      </c>
      <c r="M454" s="21">
        <v>1644883.7599999998</v>
      </c>
      <c r="N454" s="21">
        <v>1960229.2600000002</v>
      </c>
      <c r="O454" s="21">
        <v>3050985.1999999993</v>
      </c>
      <c r="S454" s="25">
        <f t="shared" si="156"/>
        <v>-0.1661797096237696</v>
      </c>
      <c r="T454" s="26">
        <f t="shared" si="157"/>
        <v>-0.14835227367705695</v>
      </c>
      <c r="U454" s="27">
        <f t="shared" si="158"/>
        <v>-0.15106489421606351</v>
      </c>
      <c r="W454" s="13">
        <f t="shared" si="146"/>
        <v>1</v>
      </c>
      <c r="Y454" s="14">
        <f t="shared" si="147"/>
        <v>125</v>
      </c>
      <c r="Z454" s="14">
        <f t="shared" si="148"/>
        <v>599163.06000000006</v>
      </c>
      <c r="AA454" s="14">
        <f t="shared" si="149"/>
        <v>1960229.2600000002</v>
      </c>
    </row>
    <row r="455" spans="5:27" outlineLevel="1" x14ac:dyDescent="0.25">
      <c r="E455" s="4" t="s">
        <v>56</v>
      </c>
      <c r="F455" s="4">
        <v>5</v>
      </c>
      <c r="G455" s="21">
        <v>255</v>
      </c>
      <c r="H455" s="21">
        <v>262</v>
      </c>
      <c r="I455" s="21">
        <v>222.22999999999996</v>
      </c>
      <c r="J455" s="21">
        <v>1177120.8</v>
      </c>
      <c r="K455" s="21">
        <v>1265748.1600000004</v>
      </c>
      <c r="L455" s="21">
        <v>1054413.6700000002</v>
      </c>
      <c r="M455" s="21">
        <v>3288452.7699999996</v>
      </c>
      <c r="N455" s="21">
        <v>3442250.85</v>
      </c>
      <c r="O455" s="21">
        <v>3078719.0900000003</v>
      </c>
      <c r="S455" s="25">
        <f t="shared" si="156"/>
        <v>-0.1661797096237696</v>
      </c>
      <c r="T455" s="26">
        <f t="shared" si="157"/>
        <v>-0.14835227367705695</v>
      </c>
      <c r="U455" s="27">
        <f t="shared" si="158"/>
        <v>-0.15106489421606351</v>
      </c>
      <c r="W455" s="13">
        <f t="shared" si="146"/>
        <v>1</v>
      </c>
      <c r="Y455" s="14">
        <f t="shared" si="147"/>
        <v>262</v>
      </c>
      <c r="Z455" s="14">
        <f t="shared" si="148"/>
        <v>1265748.1600000004</v>
      </c>
      <c r="AA455" s="14">
        <f t="shared" si="149"/>
        <v>3442250.85</v>
      </c>
    </row>
    <row r="456" spans="5:27" outlineLevel="1" x14ac:dyDescent="0.25">
      <c r="E456" s="4" t="s">
        <v>56</v>
      </c>
      <c r="F456" s="4">
        <v>6</v>
      </c>
      <c r="G456" s="21">
        <v>189</v>
      </c>
      <c r="H456" s="21">
        <v>199</v>
      </c>
      <c r="I456" s="21">
        <v>227.87000000000003</v>
      </c>
      <c r="J456" s="21">
        <v>897713.52</v>
      </c>
      <c r="K456" s="21">
        <v>992070.2699999999</v>
      </c>
      <c r="L456" s="21">
        <v>1057858.23</v>
      </c>
      <c r="M456" s="21">
        <v>2580514.2400000007</v>
      </c>
      <c r="N456" s="21">
        <v>2864674.8700000006</v>
      </c>
      <c r="O456" s="21">
        <v>3071779.3299999996</v>
      </c>
      <c r="S456" s="25">
        <f t="shared" si="156"/>
        <v>-0.1661797096237696</v>
      </c>
      <c r="T456" s="26">
        <f t="shared" si="157"/>
        <v>-0.14835227367705695</v>
      </c>
      <c r="U456" s="27">
        <f t="shared" si="158"/>
        <v>-0.15106489421606351</v>
      </c>
      <c r="W456" s="13">
        <f t="shared" si="146"/>
        <v>1</v>
      </c>
      <c r="Y456" s="14">
        <f t="shared" si="147"/>
        <v>199</v>
      </c>
      <c r="Z456" s="14">
        <f t="shared" si="148"/>
        <v>992070.2699999999</v>
      </c>
      <c r="AA456" s="14">
        <f t="shared" si="149"/>
        <v>2864674.8700000006</v>
      </c>
    </row>
    <row r="457" spans="5:27" outlineLevel="1" x14ac:dyDescent="0.25">
      <c r="E457" s="4" t="s">
        <v>56</v>
      </c>
      <c r="F457" s="4">
        <v>7</v>
      </c>
      <c r="G457" s="21">
        <v>263</v>
      </c>
      <c r="H457" s="21"/>
      <c r="I457" s="21">
        <v>225.28999999999996</v>
      </c>
      <c r="J457" s="21">
        <v>1239875.9500000002</v>
      </c>
      <c r="K457" s="21"/>
      <c r="L457" s="21">
        <v>1060517.8099999998</v>
      </c>
      <c r="M457" s="21">
        <v>3549219.5600000005</v>
      </c>
      <c r="N457" s="21"/>
      <c r="O457" s="21">
        <v>3083544.8399999994</v>
      </c>
      <c r="S457" s="25">
        <f t="shared" si="156"/>
        <v>-0.1661797096237696</v>
      </c>
      <c r="T457" s="26">
        <f t="shared" si="157"/>
        <v>-0.14835227367705695</v>
      </c>
      <c r="U457" s="27">
        <f t="shared" si="158"/>
        <v>-0.15106489421606351</v>
      </c>
      <c r="W457" s="13">
        <f t="shared" si="146"/>
        <v>0</v>
      </c>
      <c r="Y457" s="14">
        <f t="shared" si="147"/>
        <v>187.85137321886091</v>
      </c>
      <c r="Z457" s="14">
        <f t="shared" si="148"/>
        <v>903187.58161148673</v>
      </c>
      <c r="AA457" s="14">
        <f t="shared" si="149"/>
        <v>2617729.4649349111</v>
      </c>
    </row>
    <row r="458" spans="5:27" outlineLevel="1" x14ac:dyDescent="0.25">
      <c r="E458" s="4" t="s">
        <v>56</v>
      </c>
      <c r="F458" s="4">
        <v>8</v>
      </c>
      <c r="G458" s="21">
        <v>184</v>
      </c>
      <c r="H458" s="21"/>
      <c r="I458" s="21">
        <v>221.16</v>
      </c>
      <c r="J458" s="21">
        <v>819955.17000000016</v>
      </c>
      <c r="K458" s="21"/>
      <c r="L458" s="21">
        <v>1037325.76</v>
      </c>
      <c r="M458" s="21">
        <v>2337638.5999999996</v>
      </c>
      <c r="N458" s="21"/>
      <c r="O458" s="21">
        <v>3014998.0399999996</v>
      </c>
      <c r="S458" s="25">
        <f t="shared" si="156"/>
        <v>-0.1661797096237696</v>
      </c>
      <c r="T458" s="26">
        <f t="shared" si="157"/>
        <v>-0.14835227367705695</v>
      </c>
      <c r="U458" s="27">
        <f t="shared" si="158"/>
        <v>-0.15106489421606351</v>
      </c>
      <c r="W458" s="13">
        <f t="shared" si="146"/>
        <v>0</v>
      </c>
      <c r="Y458" s="14">
        <f t="shared" si="147"/>
        <v>184.40769541960711</v>
      </c>
      <c r="Z458" s="14">
        <f t="shared" si="148"/>
        <v>883436.12496021891</v>
      </c>
      <c r="AA458" s="14">
        <f t="shared" si="149"/>
        <v>2559537.680025761</v>
      </c>
    </row>
    <row r="459" spans="5:27" outlineLevel="1" x14ac:dyDescent="0.25">
      <c r="E459" s="4" t="s">
        <v>56</v>
      </c>
      <c r="F459" s="4">
        <v>9</v>
      </c>
      <c r="G459" s="21">
        <v>175</v>
      </c>
      <c r="H459" s="21"/>
      <c r="I459" s="21">
        <v>235.61000000000004</v>
      </c>
      <c r="J459" s="21">
        <v>823347.35</v>
      </c>
      <c r="K459" s="21"/>
      <c r="L459" s="21">
        <v>1102285.1700000002</v>
      </c>
      <c r="M459" s="21">
        <v>2437369.5099999998</v>
      </c>
      <c r="N459" s="21"/>
      <c r="O459" s="21">
        <v>3210999.33</v>
      </c>
      <c r="S459" s="25">
        <f t="shared" si="156"/>
        <v>-0.1661797096237696</v>
      </c>
      <c r="T459" s="26">
        <f t="shared" si="157"/>
        <v>-0.14835227367705695</v>
      </c>
      <c r="U459" s="27">
        <f t="shared" si="158"/>
        <v>-0.15106489421606351</v>
      </c>
      <c r="W459" s="13">
        <f t="shared" si="146"/>
        <v>0</v>
      </c>
      <c r="Y459" s="14">
        <f t="shared" si="147"/>
        <v>196.45639861554369</v>
      </c>
      <c r="Z459" s="14">
        <f t="shared" si="148"/>
        <v>938758.65878999885</v>
      </c>
      <c r="AA459" s="14">
        <f t="shared" si="149"/>
        <v>2725930.0558856991</v>
      </c>
    </row>
    <row r="460" spans="5:27" outlineLevel="1" x14ac:dyDescent="0.25">
      <c r="E460" s="4" t="s">
        <v>56</v>
      </c>
      <c r="F460" s="4">
        <v>10</v>
      </c>
      <c r="G460" s="21">
        <v>209</v>
      </c>
      <c r="H460" s="21"/>
      <c r="I460" s="21">
        <v>228.20999999999998</v>
      </c>
      <c r="J460" s="21">
        <v>925275.98999999976</v>
      </c>
      <c r="K460" s="21"/>
      <c r="L460" s="21">
        <v>1070214.75</v>
      </c>
      <c r="M460" s="21">
        <v>2680392.2500000005</v>
      </c>
      <c r="N460" s="21"/>
      <c r="O460" s="21">
        <v>3122251.0200000005</v>
      </c>
      <c r="S460" s="25">
        <f t="shared" si="156"/>
        <v>-0.1661797096237696</v>
      </c>
      <c r="T460" s="26">
        <f t="shared" si="157"/>
        <v>-0.14835227367705695</v>
      </c>
      <c r="U460" s="27">
        <f t="shared" si="158"/>
        <v>-0.15106489421606351</v>
      </c>
      <c r="W460" s="13">
        <f t="shared" si="146"/>
        <v>0</v>
      </c>
      <c r="Y460" s="14">
        <f t="shared" si="147"/>
        <v>190.28612846675952</v>
      </c>
      <c r="Z460" s="14">
        <f t="shared" si="148"/>
        <v>911445.9585147769</v>
      </c>
      <c r="AA460" s="14">
        <f t="shared" si="149"/>
        <v>2650588.4999477039</v>
      </c>
    </row>
    <row r="461" spans="5:27" outlineLevel="1" x14ac:dyDescent="0.25">
      <c r="E461" s="4" t="s">
        <v>56</v>
      </c>
      <c r="F461" s="4">
        <v>11</v>
      </c>
      <c r="G461" s="21">
        <v>361</v>
      </c>
      <c r="H461" s="21"/>
      <c r="I461" s="21">
        <v>241.03</v>
      </c>
      <c r="J461" s="21">
        <v>1608076.8199999991</v>
      </c>
      <c r="K461" s="21"/>
      <c r="L461" s="21">
        <v>1127745.9799999997</v>
      </c>
      <c r="M461" s="21">
        <v>4555818.58</v>
      </c>
      <c r="N461" s="21"/>
      <c r="O461" s="21">
        <v>3299131.94</v>
      </c>
      <c r="S461" s="25">
        <f t="shared" si="156"/>
        <v>-0.1661797096237696</v>
      </c>
      <c r="T461" s="26">
        <f t="shared" si="157"/>
        <v>-0.14835227367705695</v>
      </c>
      <c r="U461" s="27">
        <f t="shared" si="158"/>
        <v>-0.15106489421606351</v>
      </c>
      <c r="W461" s="13">
        <f t="shared" si="146"/>
        <v>0</v>
      </c>
      <c r="Y461" s="14">
        <f t="shared" si="147"/>
        <v>200.97570458938281</v>
      </c>
      <c r="Z461" s="14">
        <f t="shared" si="148"/>
        <v>960442.29973683902</v>
      </c>
      <c r="AA461" s="14">
        <f t="shared" si="149"/>
        <v>2800748.9224790637</v>
      </c>
    </row>
    <row r="462" spans="5:27" outlineLevel="1" x14ac:dyDescent="0.25">
      <c r="E462" s="4" t="s">
        <v>56</v>
      </c>
      <c r="F462" s="4">
        <v>12</v>
      </c>
      <c r="G462" s="21">
        <v>348</v>
      </c>
      <c r="H462" s="21"/>
      <c r="I462" s="21">
        <v>253.88999999999993</v>
      </c>
      <c r="J462" s="21">
        <v>1558735.37</v>
      </c>
      <c r="K462" s="21"/>
      <c r="L462" s="21">
        <v>1153968.1400000001</v>
      </c>
      <c r="M462" s="21">
        <v>4351438.9400000004</v>
      </c>
      <c r="N462" s="21"/>
      <c r="O462" s="21">
        <v>3358584.169999999</v>
      </c>
      <c r="S462" s="28">
        <f t="shared" si="156"/>
        <v>-0.1661797096237696</v>
      </c>
      <c r="T462" s="26">
        <f t="shared" si="157"/>
        <v>-0.14835227367705695</v>
      </c>
      <c r="U462" s="30">
        <f t="shared" si="158"/>
        <v>-0.15106489421606351</v>
      </c>
      <c r="W462" s="13">
        <f t="shared" si="146"/>
        <v>0</v>
      </c>
      <c r="Y462" s="14">
        <f t="shared" si="147"/>
        <v>211.69863352362108</v>
      </c>
      <c r="Z462" s="14">
        <f t="shared" si="148"/>
        <v>982774.34268011572</v>
      </c>
      <c r="AA462" s="14">
        <f t="shared" si="149"/>
        <v>2851220.0076432037</v>
      </c>
    </row>
    <row r="463" spans="5:27" outlineLevel="1" x14ac:dyDescent="0.25">
      <c r="E463" s="4" t="s">
        <v>57</v>
      </c>
      <c r="F463" s="4">
        <v>1</v>
      </c>
      <c r="G463" s="21">
        <v>122</v>
      </c>
      <c r="H463" s="21">
        <v>136</v>
      </c>
      <c r="I463" s="21">
        <v>177.68000000000004</v>
      </c>
      <c r="J463" s="21">
        <v>585694.64000000013</v>
      </c>
      <c r="K463" s="21">
        <v>685117.65</v>
      </c>
      <c r="L463" s="21">
        <v>825102.56999999983</v>
      </c>
      <c r="M463" s="21">
        <v>1869342.4899999998</v>
      </c>
      <c r="N463" s="21">
        <v>2223534.4899999993</v>
      </c>
      <c r="O463" s="21">
        <v>2591568.8199999998</v>
      </c>
      <c r="S463" s="22">
        <f t="shared" ref="S463:S474" si="159">IFERROR(SUMPRODUCT(H$463:H$474,$W$463:$W$474)/SUMPRODUCT(I$463:I$474,$W$463:$W$474)-1,"")</f>
        <v>-7.056703684636334E-2</v>
      </c>
      <c r="T463" s="23">
        <f t="shared" ref="T463:T474" si="160">IFERROR(SUMPRODUCT(K$463:K$474,$W$463:$W$474)/SUMPRODUCT(L$463:L$474,$W$463:$W$474)-1,"")</f>
        <v>-4.2434995366020911E-2</v>
      </c>
      <c r="U463" s="24">
        <f t="shared" ref="U463:U474" si="161">IFERROR(SUMPRODUCT(N$463:N$474,$W$463:$W$474)/SUMPRODUCT(O$463:O$474,$W$463:$W$474)-1,"")</f>
        <v>-5.8955176722849334E-2</v>
      </c>
      <c r="W463" s="13">
        <f t="shared" si="146"/>
        <v>1</v>
      </c>
      <c r="Y463" s="14">
        <f t="shared" si="147"/>
        <v>136</v>
      </c>
      <c r="Z463" s="14">
        <f t="shared" si="148"/>
        <v>685117.65</v>
      </c>
      <c r="AA463" s="14">
        <f t="shared" si="149"/>
        <v>2223534.4899999993</v>
      </c>
    </row>
    <row r="464" spans="5:27" outlineLevel="1" x14ac:dyDescent="0.25">
      <c r="E464" s="4" t="s">
        <v>57</v>
      </c>
      <c r="F464" s="4">
        <v>2</v>
      </c>
      <c r="G464" s="21">
        <v>164</v>
      </c>
      <c r="H464" s="21">
        <v>178</v>
      </c>
      <c r="I464" s="21">
        <v>182.78</v>
      </c>
      <c r="J464" s="21">
        <v>710729.4099999998</v>
      </c>
      <c r="K464" s="21">
        <v>807869.36999999988</v>
      </c>
      <c r="L464" s="21">
        <v>841630.58999999973</v>
      </c>
      <c r="M464" s="21">
        <v>2114473.5299999998</v>
      </c>
      <c r="N464" s="21">
        <v>2442500.0500000003</v>
      </c>
      <c r="O464" s="21">
        <v>2633507.7100000004</v>
      </c>
      <c r="S464" s="25">
        <f t="shared" si="159"/>
        <v>-7.056703684636334E-2</v>
      </c>
      <c r="T464" s="26">
        <f t="shared" si="160"/>
        <v>-4.2434995366020911E-2</v>
      </c>
      <c r="U464" s="27">
        <f t="shared" si="161"/>
        <v>-5.8955176722849334E-2</v>
      </c>
      <c r="W464" s="13">
        <f t="shared" si="146"/>
        <v>1</v>
      </c>
      <c r="Y464" s="14">
        <f t="shared" si="147"/>
        <v>178</v>
      </c>
      <c r="Z464" s="14">
        <f t="shared" si="148"/>
        <v>807869.36999999988</v>
      </c>
      <c r="AA464" s="14">
        <f t="shared" si="149"/>
        <v>2442500.0500000003</v>
      </c>
    </row>
    <row r="465" spans="5:27" outlineLevel="1" x14ac:dyDescent="0.25">
      <c r="E465" s="4" t="s">
        <v>57</v>
      </c>
      <c r="F465" s="4">
        <v>3</v>
      </c>
      <c r="G465" s="21">
        <v>211</v>
      </c>
      <c r="H465" s="21">
        <v>228</v>
      </c>
      <c r="I465" s="21">
        <v>185.10999999999999</v>
      </c>
      <c r="J465" s="21">
        <v>905262.75000000012</v>
      </c>
      <c r="K465" s="21">
        <v>1032718.6499999999</v>
      </c>
      <c r="L465" s="21">
        <v>855748.99</v>
      </c>
      <c r="M465" s="21">
        <v>2722183.65</v>
      </c>
      <c r="N465" s="21">
        <v>3054279.73</v>
      </c>
      <c r="O465" s="21">
        <v>2669630.3599999994</v>
      </c>
      <c r="S465" s="25">
        <f t="shared" si="159"/>
        <v>-7.056703684636334E-2</v>
      </c>
      <c r="T465" s="26">
        <f t="shared" si="160"/>
        <v>-4.2434995366020911E-2</v>
      </c>
      <c r="U465" s="27">
        <f t="shared" si="161"/>
        <v>-5.8955176722849334E-2</v>
      </c>
      <c r="W465" s="13">
        <f t="shared" si="146"/>
        <v>1</v>
      </c>
      <c r="Y465" s="14">
        <f t="shared" si="147"/>
        <v>228</v>
      </c>
      <c r="Z465" s="14">
        <f t="shared" si="148"/>
        <v>1032718.6499999999</v>
      </c>
      <c r="AA465" s="14">
        <f t="shared" si="149"/>
        <v>3054279.73</v>
      </c>
    </row>
    <row r="466" spans="5:27" outlineLevel="1" x14ac:dyDescent="0.25">
      <c r="E466" s="4" t="s">
        <v>57</v>
      </c>
      <c r="F466" s="4">
        <v>4</v>
      </c>
      <c r="G466" s="21">
        <v>169</v>
      </c>
      <c r="H466" s="21">
        <v>175</v>
      </c>
      <c r="I466" s="21">
        <v>179.78000000000006</v>
      </c>
      <c r="J466" s="21">
        <v>790550.73999999987</v>
      </c>
      <c r="K466" s="21">
        <v>859796.64</v>
      </c>
      <c r="L466" s="21">
        <v>832880.53000000014</v>
      </c>
      <c r="M466" s="21">
        <v>2383385.7800000003</v>
      </c>
      <c r="N466" s="21">
        <v>2557431.9600000009</v>
      </c>
      <c r="O466" s="21">
        <v>2592486.6099999994</v>
      </c>
      <c r="S466" s="25">
        <f t="shared" si="159"/>
        <v>-7.056703684636334E-2</v>
      </c>
      <c r="T466" s="26">
        <f t="shared" si="160"/>
        <v>-4.2434995366020911E-2</v>
      </c>
      <c r="U466" s="27">
        <f t="shared" si="161"/>
        <v>-5.8955176722849334E-2</v>
      </c>
      <c r="W466" s="13">
        <f t="shared" si="146"/>
        <v>1</v>
      </c>
      <c r="Y466" s="14">
        <f t="shared" si="147"/>
        <v>175</v>
      </c>
      <c r="Z466" s="14">
        <f t="shared" si="148"/>
        <v>859796.64</v>
      </c>
      <c r="AA466" s="14">
        <f t="shared" si="149"/>
        <v>2557431.9600000009</v>
      </c>
    </row>
    <row r="467" spans="5:27" outlineLevel="1" x14ac:dyDescent="0.25">
      <c r="E467" s="4" t="s">
        <v>57</v>
      </c>
      <c r="F467" s="4">
        <v>5</v>
      </c>
      <c r="G467" s="21">
        <v>108</v>
      </c>
      <c r="H467" s="21">
        <v>116</v>
      </c>
      <c r="I467" s="21">
        <v>180.44</v>
      </c>
      <c r="J467" s="21">
        <v>469161.64999999997</v>
      </c>
      <c r="K467" s="21">
        <v>539939.13000000012</v>
      </c>
      <c r="L467" s="21">
        <v>832041.68</v>
      </c>
      <c r="M467" s="21">
        <v>1498987.3599999996</v>
      </c>
      <c r="N467" s="21">
        <v>1741482.7000000002</v>
      </c>
      <c r="O467" s="21">
        <v>2600008.7199999993</v>
      </c>
      <c r="S467" s="25">
        <f t="shared" si="159"/>
        <v>-7.056703684636334E-2</v>
      </c>
      <c r="T467" s="26">
        <f t="shared" si="160"/>
        <v>-4.2434995366020911E-2</v>
      </c>
      <c r="U467" s="27">
        <f t="shared" si="161"/>
        <v>-5.8955176722849334E-2</v>
      </c>
      <c r="W467" s="13">
        <f t="shared" si="146"/>
        <v>1</v>
      </c>
      <c r="Y467" s="14">
        <f t="shared" si="147"/>
        <v>116</v>
      </c>
      <c r="Z467" s="14">
        <f t="shared" si="148"/>
        <v>539939.13000000012</v>
      </c>
      <c r="AA467" s="14">
        <f t="shared" si="149"/>
        <v>1741482.7000000002</v>
      </c>
    </row>
    <row r="468" spans="5:27" outlineLevel="1" x14ac:dyDescent="0.25">
      <c r="E468" s="4" t="s">
        <v>57</v>
      </c>
      <c r="F468" s="4">
        <v>6</v>
      </c>
      <c r="G468" s="21">
        <v>158</v>
      </c>
      <c r="H468" s="21">
        <v>178</v>
      </c>
      <c r="I468" s="21">
        <v>181.96999999999994</v>
      </c>
      <c r="J468" s="21">
        <v>749062.83</v>
      </c>
      <c r="K468" s="21">
        <v>890849.29999999993</v>
      </c>
      <c r="L468" s="21">
        <v>842322.83</v>
      </c>
      <c r="M468" s="21">
        <v>2287445.7000000002</v>
      </c>
      <c r="N468" s="21">
        <v>2765082.52</v>
      </c>
      <c r="O468" s="21">
        <v>2623326.2099999995</v>
      </c>
      <c r="S468" s="25">
        <f t="shared" si="159"/>
        <v>-7.056703684636334E-2</v>
      </c>
      <c r="T468" s="26">
        <f t="shared" si="160"/>
        <v>-4.2434995366020911E-2</v>
      </c>
      <c r="U468" s="27">
        <f t="shared" si="161"/>
        <v>-5.8955176722849334E-2</v>
      </c>
      <c r="W468" s="13">
        <f t="shared" si="146"/>
        <v>1</v>
      </c>
      <c r="Y468" s="14">
        <f t="shared" si="147"/>
        <v>178</v>
      </c>
      <c r="Z468" s="14">
        <f t="shared" si="148"/>
        <v>890849.29999999993</v>
      </c>
      <c r="AA468" s="14">
        <f t="shared" si="149"/>
        <v>2765082.52</v>
      </c>
    </row>
    <row r="469" spans="5:27" outlineLevel="1" x14ac:dyDescent="0.25">
      <c r="E469" s="4" t="s">
        <v>57</v>
      </c>
      <c r="F469" s="4">
        <v>7</v>
      </c>
      <c r="G469" s="21">
        <v>86</v>
      </c>
      <c r="H469" s="21"/>
      <c r="I469" s="21">
        <v>187.31000000000003</v>
      </c>
      <c r="J469" s="21">
        <v>392337.25</v>
      </c>
      <c r="K469" s="21"/>
      <c r="L469" s="21">
        <v>870219.43000000017</v>
      </c>
      <c r="M469" s="21">
        <v>1233724.05</v>
      </c>
      <c r="N469" s="21"/>
      <c r="O469" s="21">
        <v>2702802.9300000006</v>
      </c>
      <c r="S469" s="25">
        <f t="shared" si="159"/>
        <v>-7.056703684636334E-2</v>
      </c>
      <c r="T469" s="26">
        <f t="shared" si="160"/>
        <v>-4.2434995366020911E-2</v>
      </c>
      <c r="U469" s="27">
        <f t="shared" si="161"/>
        <v>-5.8955176722849334E-2</v>
      </c>
      <c r="W469" s="13">
        <f t="shared" si="146"/>
        <v>0</v>
      </c>
      <c r="Y469" s="14">
        <f t="shared" si="147"/>
        <v>174.09208832830771</v>
      </c>
      <c r="Z469" s="14">
        <f t="shared" si="148"/>
        <v>833291.67252052878</v>
      </c>
      <c r="AA469" s="14">
        <f t="shared" si="149"/>
        <v>2543458.7056148155</v>
      </c>
    </row>
    <row r="470" spans="5:27" outlineLevel="1" x14ac:dyDescent="0.25">
      <c r="E470" s="4" t="s">
        <v>57</v>
      </c>
      <c r="F470" s="4">
        <v>8</v>
      </c>
      <c r="G470" s="21">
        <v>140</v>
      </c>
      <c r="H470" s="21"/>
      <c r="I470" s="21">
        <v>185.30999999999997</v>
      </c>
      <c r="J470" s="21">
        <v>596474.05999999994</v>
      </c>
      <c r="K470" s="21"/>
      <c r="L470" s="21">
        <v>853944.61999999988</v>
      </c>
      <c r="M470" s="21">
        <v>1844000.6900000002</v>
      </c>
      <c r="N470" s="21"/>
      <c r="O470" s="21">
        <v>2652727.5799999991</v>
      </c>
      <c r="S470" s="25">
        <f t="shared" si="159"/>
        <v>-7.056703684636334E-2</v>
      </c>
      <c r="T470" s="26">
        <f t="shared" si="160"/>
        <v>-4.2434995366020911E-2</v>
      </c>
      <c r="U470" s="27">
        <f t="shared" si="161"/>
        <v>-5.8955176722849334E-2</v>
      </c>
      <c r="W470" s="13">
        <f t="shared" si="146"/>
        <v>0</v>
      </c>
      <c r="Y470" s="14">
        <f t="shared" si="147"/>
        <v>172.23322240200039</v>
      </c>
      <c r="Z470" s="14">
        <f t="shared" si="148"/>
        <v>817707.48400746135</v>
      </c>
      <c r="AA470" s="14">
        <f t="shared" si="149"/>
        <v>2496335.556723523</v>
      </c>
    </row>
    <row r="471" spans="5:27" outlineLevel="1" x14ac:dyDescent="0.25">
      <c r="E471" s="4" t="s">
        <v>57</v>
      </c>
      <c r="F471" s="4">
        <v>9</v>
      </c>
      <c r="G471" s="21">
        <v>189</v>
      </c>
      <c r="H471" s="21"/>
      <c r="I471" s="21">
        <v>185.79</v>
      </c>
      <c r="J471" s="21">
        <v>855017.5</v>
      </c>
      <c r="K471" s="21"/>
      <c r="L471" s="21">
        <v>856070.95000000007</v>
      </c>
      <c r="M471" s="21">
        <v>2723176.7299999991</v>
      </c>
      <c r="N471" s="21"/>
      <c r="O471" s="21">
        <v>2666768.67</v>
      </c>
      <c r="S471" s="25">
        <f t="shared" si="159"/>
        <v>-7.056703684636334E-2</v>
      </c>
      <c r="T471" s="26">
        <f t="shared" si="160"/>
        <v>-4.2434995366020911E-2</v>
      </c>
      <c r="U471" s="27">
        <f t="shared" si="161"/>
        <v>-5.8955176722849334E-2</v>
      </c>
      <c r="W471" s="13">
        <f t="shared" si="146"/>
        <v>0</v>
      </c>
      <c r="Y471" s="14">
        <f t="shared" si="147"/>
        <v>172.67935022431413</v>
      </c>
      <c r="Z471" s="14">
        <f t="shared" si="148"/>
        <v>819743.58320376498</v>
      </c>
      <c r="AA471" s="14">
        <f t="shared" si="149"/>
        <v>2509548.8517811922</v>
      </c>
    </row>
    <row r="472" spans="5:27" outlineLevel="1" x14ac:dyDescent="0.25">
      <c r="E472" s="4" t="s">
        <v>57</v>
      </c>
      <c r="F472" s="4">
        <v>10</v>
      </c>
      <c r="G472" s="21">
        <v>210</v>
      </c>
      <c r="H472" s="21"/>
      <c r="I472" s="21">
        <v>193.08</v>
      </c>
      <c r="J472" s="21">
        <v>915241.75</v>
      </c>
      <c r="K472" s="21"/>
      <c r="L472" s="21">
        <v>884048.59999999974</v>
      </c>
      <c r="M472" s="21">
        <v>2815525.7900000005</v>
      </c>
      <c r="N472" s="21"/>
      <c r="O472" s="21">
        <v>2765036.02</v>
      </c>
      <c r="S472" s="25">
        <f t="shared" si="159"/>
        <v>-7.056703684636334E-2</v>
      </c>
      <c r="T472" s="26">
        <f t="shared" si="160"/>
        <v>-4.2434995366020911E-2</v>
      </c>
      <c r="U472" s="27">
        <f t="shared" si="161"/>
        <v>-5.8955176722849334E-2</v>
      </c>
      <c r="W472" s="13">
        <f t="shared" si="146"/>
        <v>0</v>
      </c>
      <c r="Y472" s="14">
        <f t="shared" si="147"/>
        <v>179.45491652570419</v>
      </c>
      <c r="Z472" s="14">
        <f t="shared" si="148"/>
        <v>846534.0017556625</v>
      </c>
      <c r="AA472" s="14">
        <f t="shared" si="149"/>
        <v>2602022.8327958561</v>
      </c>
    </row>
    <row r="473" spans="5:27" outlineLevel="1" x14ac:dyDescent="0.25">
      <c r="E473" s="4" t="s">
        <v>57</v>
      </c>
      <c r="F473" s="4">
        <v>11</v>
      </c>
      <c r="G473" s="21">
        <v>256</v>
      </c>
      <c r="H473" s="21"/>
      <c r="I473" s="21">
        <v>194.66</v>
      </c>
      <c r="J473" s="21">
        <v>1187233.54</v>
      </c>
      <c r="K473" s="21"/>
      <c r="L473" s="21">
        <v>894975.55999999994</v>
      </c>
      <c r="M473" s="21">
        <v>3669291.45</v>
      </c>
      <c r="N473" s="21"/>
      <c r="O473" s="21">
        <v>2782322.95</v>
      </c>
      <c r="S473" s="25">
        <f t="shared" si="159"/>
        <v>-7.056703684636334E-2</v>
      </c>
      <c r="T473" s="26">
        <f t="shared" si="160"/>
        <v>-4.2434995366020911E-2</v>
      </c>
      <c r="U473" s="27">
        <f t="shared" si="161"/>
        <v>-5.8955176722849334E-2</v>
      </c>
      <c r="W473" s="13">
        <f t="shared" si="146"/>
        <v>0</v>
      </c>
      <c r="Y473" s="14">
        <f t="shared" si="147"/>
        <v>180.92342060748692</v>
      </c>
      <c r="Z473" s="14">
        <f t="shared" si="148"/>
        <v>856997.27625869797</v>
      </c>
      <c r="AA473" s="14">
        <f t="shared" si="149"/>
        <v>2618290.6087827105</v>
      </c>
    </row>
    <row r="474" spans="5:27" outlineLevel="1" x14ac:dyDescent="0.25">
      <c r="E474" s="4" t="s">
        <v>57</v>
      </c>
      <c r="F474" s="4">
        <v>12</v>
      </c>
      <c r="G474" s="21">
        <v>310</v>
      </c>
      <c r="H474" s="21"/>
      <c r="I474" s="21">
        <v>196.18000000000004</v>
      </c>
      <c r="J474" s="21">
        <v>1412813.2700000003</v>
      </c>
      <c r="K474" s="21"/>
      <c r="L474" s="21">
        <v>901758.47</v>
      </c>
      <c r="M474" s="21">
        <v>4235082.7500000009</v>
      </c>
      <c r="N474" s="21"/>
      <c r="O474" s="21">
        <v>2830171.9600000004</v>
      </c>
      <c r="S474" s="28">
        <f t="shared" si="159"/>
        <v>-7.056703684636334E-2</v>
      </c>
      <c r="T474" s="29">
        <f t="shared" si="160"/>
        <v>-4.2434995366020911E-2</v>
      </c>
      <c r="U474" s="30">
        <f t="shared" si="161"/>
        <v>-5.8955176722849334E-2</v>
      </c>
      <c r="W474" s="13">
        <f t="shared" si="146"/>
        <v>0</v>
      </c>
      <c r="Y474" s="14">
        <f t="shared" si="147"/>
        <v>182.33615871148046</v>
      </c>
      <c r="Z474" s="14">
        <f t="shared" si="148"/>
        <v>863492.35350427986</v>
      </c>
      <c r="AA474" s="14">
        <f t="shared" si="149"/>
        <v>2663318.6719421474</v>
      </c>
    </row>
    <row r="475" spans="5:27" outlineLevel="1" x14ac:dyDescent="0.25">
      <c r="E475" s="4" t="s">
        <v>58</v>
      </c>
      <c r="F475" s="4">
        <v>1</v>
      </c>
      <c r="G475" s="21">
        <v>325</v>
      </c>
      <c r="H475" s="21">
        <v>349</v>
      </c>
      <c r="I475" s="21">
        <v>437.78</v>
      </c>
      <c r="J475" s="21">
        <v>1533481.97</v>
      </c>
      <c r="K475" s="21">
        <v>1714715.6800000002</v>
      </c>
      <c r="L475" s="21">
        <v>2012918.7499999998</v>
      </c>
      <c r="M475" s="21">
        <v>4444597.5299999993</v>
      </c>
      <c r="N475" s="21">
        <v>4991626.8299999991</v>
      </c>
      <c r="O475" s="21">
        <v>5880215.6500000004</v>
      </c>
      <c r="S475" s="22">
        <f t="shared" ref="S475:S486" si="162">IFERROR(SUMPRODUCT(H$475:H$486,$W$475:$W$486)/SUMPRODUCT(I$475:I$486,$W$475:$W$486)-1,"")</f>
        <v>-6.6089130315155731E-2</v>
      </c>
      <c r="T475" s="26">
        <f t="shared" ref="T475:T486" si="163">IFERROR(SUMPRODUCT(K$475:K$486,$W$475:$W$486)/SUMPRODUCT(L$475:L$486,$W$475:$W$486)-1,"")</f>
        <v>-3.5742090777918567E-2</v>
      </c>
      <c r="U475" s="24">
        <f t="shared" ref="U475:U486" si="164">IFERROR(SUMPRODUCT(N$475:N$486,$W$475:$W$486)/SUMPRODUCT(O$475:O$486,$W$475:$W$486)-1,"")</f>
        <v>-6.3155927573240844E-2</v>
      </c>
      <c r="W475" s="13">
        <f t="shared" si="146"/>
        <v>1</v>
      </c>
      <c r="Y475" s="14">
        <f t="shared" si="147"/>
        <v>349</v>
      </c>
      <c r="Z475" s="14">
        <f t="shared" si="148"/>
        <v>1714715.6800000002</v>
      </c>
      <c r="AA475" s="14">
        <f t="shared" si="149"/>
        <v>4991626.8299999991</v>
      </c>
    </row>
    <row r="476" spans="5:27" outlineLevel="1" x14ac:dyDescent="0.25">
      <c r="E476" s="4" t="s">
        <v>58</v>
      </c>
      <c r="F476" s="4">
        <v>2</v>
      </c>
      <c r="G476" s="21">
        <v>326</v>
      </c>
      <c r="H476" s="21">
        <v>342</v>
      </c>
      <c r="I476" s="21">
        <v>426.07</v>
      </c>
      <c r="J476" s="21">
        <v>1406348.5000000002</v>
      </c>
      <c r="K476" s="21">
        <v>1537579.0199999998</v>
      </c>
      <c r="L476" s="21">
        <v>1952150.9399999997</v>
      </c>
      <c r="M476" s="21">
        <v>4056093.9600000009</v>
      </c>
      <c r="N476" s="21">
        <v>4413052.3000000007</v>
      </c>
      <c r="O476" s="21">
        <v>5705931.1599999992</v>
      </c>
      <c r="S476" s="25">
        <f t="shared" si="162"/>
        <v>-6.6089130315155731E-2</v>
      </c>
      <c r="T476" s="26">
        <f t="shared" si="163"/>
        <v>-3.5742090777918567E-2</v>
      </c>
      <c r="U476" s="27">
        <f t="shared" si="164"/>
        <v>-6.3155927573240844E-2</v>
      </c>
      <c r="W476" s="13">
        <f t="shared" si="146"/>
        <v>1</v>
      </c>
      <c r="Y476" s="14">
        <f t="shared" si="147"/>
        <v>342</v>
      </c>
      <c r="Z476" s="14">
        <f t="shared" si="148"/>
        <v>1537579.0199999998</v>
      </c>
      <c r="AA476" s="14">
        <f t="shared" si="149"/>
        <v>4413052.3000000007</v>
      </c>
    </row>
    <row r="477" spans="5:27" outlineLevel="1" x14ac:dyDescent="0.25">
      <c r="E477" s="4" t="s">
        <v>58</v>
      </c>
      <c r="F477" s="4">
        <v>3</v>
      </c>
      <c r="G477" s="21">
        <v>388</v>
      </c>
      <c r="H477" s="21">
        <v>417</v>
      </c>
      <c r="I477" s="21">
        <v>417.79999999999995</v>
      </c>
      <c r="J477" s="21">
        <v>1711411.9000000001</v>
      </c>
      <c r="K477" s="21">
        <v>1948916.4</v>
      </c>
      <c r="L477" s="21">
        <v>1902234.6099999996</v>
      </c>
      <c r="M477" s="21">
        <v>4967339.68</v>
      </c>
      <c r="N477" s="21">
        <v>5564310.7499999972</v>
      </c>
      <c r="O477" s="21">
        <v>5541529.8100000005</v>
      </c>
      <c r="S477" s="25">
        <f t="shared" si="162"/>
        <v>-6.6089130315155731E-2</v>
      </c>
      <c r="T477" s="26">
        <f t="shared" si="163"/>
        <v>-3.5742090777918567E-2</v>
      </c>
      <c r="U477" s="27">
        <f t="shared" si="164"/>
        <v>-6.3155927573240844E-2</v>
      </c>
      <c r="W477" s="13">
        <f t="shared" si="146"/>
        <v>1</v>
      </c>
      <c r="Y477" s="14">
        <f t="shared" si="147"/>
        <v>417</v>
      </c>
      <c r="Z477" s="14">
        <f t="shared" si="148"/>
        <v>1948916.4</v>
      </c>
      <c r="AA477" s="14">
        <f t="shared" si="149"/>
        <v>5564310.7499999972</v>
      </c>
    </row>
    <row r="478" spans="5:27" outlineLevel="1" x14ac:dyDescent="0.25">
      <c r="E478" s="4" t="s">
        <v>58</v>
      </c>
      <c r="F478" s="4">
        <v>4</v>
      </c>
      <c r="G478" s="21">
        <v>354</v>
      </c>
      <c r="H478" s="21">
        <v>383</v>
      </c>
      <c r="I478" s="21">
        <v>399.81000000000006</v>
      </c>
      <c r="J478" s="21">
        <v>1675379.2699999996</v>
      </c>
      <c r="K478" s="21">
        <v>1896139.8100000005</v>
      </c>
      <c r="L478" s="21">
        <v>1795346.25</v>
      </c>
      <c r="M478" s="21">
        <v>4952665.4800000004</v>
      </c>
      <c r="N478" s="21">
        <v>5564888.2699999996</v>
      </c>
      <c r="O478" s="21">
        <v>5300761.049999998</v>
      </c>
      <c r="S478" s="25">
        <f t="shared" si="162"/>
        <v>-6.6089130315155731E-2</v>
      </c>
      <c r="T478" s="26">
        <f t="shared" si="163"/>
        <v>-3.5742090777918567E-2</v>
      </c>
      <c r="U478" s="27">
        <f t="shared" si="164"/>
        <v>-6.3155927573240844E-2</v>
      </c>
      <c r="W478" s="13">
        <f t="shared" si="146"/>
        <v>1</v>
      </c>
      <c r="Y478" s="14">
        <f t="shared" si="147"/>
        <v>383</v>
      </c>
      <c r="Z478" s="14">
        <f t="shared" si="148"/>
        <v>1896139.8100000005</v>
      </c>
      <c r="AA478" s="14">
        <f t="shared" si="149"/>
        <v>5564888.2699999996</v>
      </c>
    </row>
    <row r="479" spans="5:27" outlineLevel="1" x14ac:dyDescent="0.25">
      <c r="E479" s="4" t="s">
        <v>58</v>
      </c>
      <c r="F479" s="4">
        <v>5</v>
      </c>
      <c r="G479" s="21">
        <v>448</v>
      </c>
      <c r="H479" s="21">
        <v>477</v>
      </c>
      <c r="I479" s="21">
        <v>428.60999999999996</v>
      </c>
      <c r="J479" s="21">
        <v>1941963.2999999998</v>
      </c>
      <c r="K479" s="21">
        <v>2174355.5600000005</v>
      </c>
      <c r="L479" s="21">
        <v>1951219.16</v>
      </c>
      <c r="M479" s="21">
        <v>5552511.0399999982</v>
      </c>
      <c r="N479" s="21">
        <v>6063442.0300000012</v>
      </c>
      <c r="O479" s="21">
        <v>5753807.7299999986</v>
      </c>
      <c r="S479" s="25">
        <f t="shared" si="162"/>
        <v>-6.6089130315155731E-2</v>
      </c>
      <c r="T479" s="26">
        <f t="shared" si="163"/>
        <v>-3.5742090777918567E-2</v>
      </c>
      <c r="U479" s="27">
        <f t="shared" si="164"/>
        <v>-6.3155927573240844E-2</v>
      </c>
      <c r="W479" s="13">
        <f t="shared" si="146"/>
        <v>1</v>
      </c>
      <c r="Y479" s="14">
        <f t="shared" si="147"/>
        <v>477</v>
      </c>
      <c r="Z479" s="14">
        <f t="shared" si="148"/>
        <v>2174355.5600000005</v>
      </c>
      <c r="AA479" s="14">
        <f t="shared" si="149"/>
        <v>6063442.0300000012</v>
      </c>
    </row>
    <row r="480" spans="5:27" outlineLevel="1" x14ac:dyDescent="0.25">
      <c r="E480" s="4" t="s">
        <v>58</v>
      </c>
      <c r="F480" s="4">
        <v>6</v>
      </c>
      <c r="G480" s="21">
        <v>382</v>
      </c>
      <c r="H480" s="21">
        <v>408</v>
      </c>
      <c r="I480" s="21">
        <v>434.07000000000005</v>
      </c>
      <c r="J480" s="21">
        <v>1704536.2900000007</v>
      </c>
      <c r="K480" s="21">
        <v>1907127.5999999999</v>
      </c>
      <c r="L480" s="21">
        <v>1979329.5399999993</v>
      </c>
      <c r="M480" s="21">
        <v>4877563.7099999981</v>
      </c>
      <c r="N480" s="21">
        <v>5233880.0999999996</v>
      </c>
      <c r="O480" s="21">
        <v>5794807.1500000013</v>
      </c>
      <c r="S480" s="25">
        <f t="shared" si="162"/>
        <v>-6.6089130315155731E-2</v>
      </c>
      <c r="T480" s="26">
        <f t="shared" si="163"/>
        <v>-3.5742090777918567E-2</v>
      </c>
      <c r="U480" s="27">
        <f t="shared" si="164"/>
        <v>-6.3155927573240844E-2</v>
      </c>
      <c r="W480" s="13">
        <f t="shared" si="146"/>
        <v>1</v>
      </c>
      <c r="Y480" s="14">
        <f t="shared" si="147"/>
        <v>408</v>
      </c>
      <c r="Z480" s="14">
        <f t="shared" si="148"/>
        <v>1907127.5999999999</v>
      </c>
      <c r="AA480" s="14">
        <f t="shared" si="149"/>
        <v>5233880.0999999996</v>
      </c>
    </row>
    <row r="481" spans="5:27" outlineLevel="1" x14ac:dyDescent="0.25">
      <c r="E481" s="4" t="s">
        <v>58</v>
      </c>
      <c r="F481" s="4">
        <v>7</v>
      </c>
      <c r="G481" s="21">
        <v>476</v>
      </c>
      <c r="H481" s="21"/>
      <c r="I481" s="21">
        <v>430.46999999999991</v>
      </c>
      <c r="J481" s="21">
        <v>2099550.9899999998</v>
      </c>
      <c r="K481" s="21"/>
      <c r="L481" s="21">
        <v>1962547.0799999998</v>
      </c>
      <c r="M481" s="21">
        <v>5982657.9800000004</v>
      </c>
      <c r="N481" s="21"/>
      <c r="O481" s="21">
        <v>5755753.5200000005</v>
      </c>
      <c r="S481" s="25">
        <f t="shared" si="162"/>
        <v>-6.6089130315155731E-2</v>
      </c>
      <c r="T481" s="26">
        <f t="shared" si="163"/>
        <v>-3.5742090777918567E-2</v>
      </c>
      <c r="U481" s="27">
        <f t="shared" si="164"/>
        <v>-6.3155927573240844E-2</v>
      </c>
      <c r="W481" s="13">
        <f t="shared" si="146"/>
        <v>0</v>
      </c>
      <c r="Y481" s="14">
        <f t="shared" si="147"/>
        <v>402.02061207323482</v>
      </c>
      <c r="Z481" s="14">
        <f t="shared" si="148"/>
        <v>1892401.5441107007</v>
      </c>
      <c r="AA481" s="14">
        <f t="shared" si="149"/>
        <v>5392243.5675614541</v>
      </c>
    </row>
    <row r="482" spans="5:27" outlineLevel="1" x14ac:dyDescent="0.25">
      <c r="E482" s="4" t="s">
        <v>58</v>
      </c>
      <c r="F482" s="4">
        <v>8</v>
      </c>
      <c r="G482" s="21">
        <v>384</v>
      </c>
      <c r="H482" s="21"/>
      <c r="I482" s="21">
        <v>435.56</v>
      </c>
      <c r="J482" s="21">
        <v>1745502.1600000001</v>
      </c>
      <c r="K482" s="21"/>
      <c r="L482" s="21">
        <v>1997881.92</v>
      </c>
      <c r="M482" s="21">
        <v>4966826.0999999987</v>
      </c>
      <c r="N482" s="21"/>
      <c r="O482" s="21">
        <v>5846490.9800000014</v>
      </c>
      <c r="S482" s="25">
        <f t="shared" si="162"/>
        <v>-6.6089130315155731E-2</v>
      </c>
      <c r="T482" s="26">
        <f t="shared" si="163"/>
        <v>-3.5742090777918567E-2</v>
      </c>
      <c r="U482" s="27">
        <f t="shared" si="164"/>
        <v>-6.3155927573240844E-2</v>
      </c>
      <c r="W482" s="13">
        <f t="shared" si="146"/>
        <v>0</v>
      </c>
      <c r="Y482" s="14">
        <f t="shared" si="147"/>
        <v>406.77421839993076</v>
      </c>
      <c r="Z482" s="14">
        <f t="shared" si="148"/>
        <v>1926473.4430517978</v>
      </c>
      <c r="AA482" s="14">
        <f t="shared" si="149"/>
        <v>5477250.4191095158</v>
      </c>
    </row>
    <row r="483" spans="5:27" outlineLevel="1" x14ac:dyDescent="0.25">
      <c r="E483" s="4" t="s">
        <v>58</v>
      </c>
      <c r="F483" s="4">
        <v>9</v>
      </c>
      <c r="G483" s="21">
        <v>419</v>
      </c>
      <c r="H483" s="21"/>
      <c r="I483" s="21">
        <v>486.2600000000001</v>
      </c>
      <c r="J483" s="21">
        <v>1839069.6200000003</v>
      </c>
      <c r="K483" s="21"/>
      <c r="L483" s="21">
        <v>2274640.0600000005</v>
      </c>
      <c r="M483" s="21">
        <v>5234215.6499999994</v>
      </c>
      <c r="N483" s="21"/>
      <c r="O483" s="21">
        <v>6712355.6799999988</v>
      </c>
      <c r="S483" s="25">
        <f t="shared" si="162"/>
        <v>-6.6089130315155731E-2</v>
      </c>
      <c r="T483" s="26">
        <f t="shared" si="163"/>
        <v>-3.5742090777918567E-2</v>
      </c>
      <c r="U483" s="27">
        <f t="shared" si="164"/>
        <v>-6.3155927573240844E-2</v>
      </c>
      <c r="W483" s="13">
        <f t="shared" si="146"/>
        <v>0</v>
      </c>
      <c r="Y483" s="14">
        <f t="shared" si="147"/>
        <v>454.12349949295248</v>
      </c>
      <c r="Z483" s="14">
        <f t="shared" si="148"/>
        <v>2193339.6684883903</v>
      </c>
      <c r="AA483" s="14">
        <f t="shared" si="149"/>
        <v>6288430.6308280872</v>
      </c>
    </row>
    <row r="484" spans="5:27" outlineLevel="1" x14ac:dyDescent="0.25">
      <c r="E484" s="4" t="s">
        <v>58</v>
      </c>
      <c r="F484" s="4">
        <v>10</v>
      </c>
      <c r="G484" s="21">
        <v>483</v>
      </c>
      <c r="H484" s="21"/>
      <c r="I484" s="21">
        <v>480.45000000000005</v>
      </c>
      <c r="J484" s="21">
        <v>2388741.89</v>
      </c>
      <c r="K484" s="21"/>
      <c r="L484" s="21">
        <v>2234798.6800000011</v>
      </c>
      <c r="M484" s="21">
        <v>6857769.4899999993</v>
      </c>
      <c r="N484" s="21"/>
      <c r="O484" s="21">
        <v>6585999.6799999997</v>
      </c>
      <c r="S484" s="25">
        <f t="shared" si="162"/>
        <v>-6.6089130315155731E-2</v>
      </c>
      <c r="T484" s="26">
        <f t="shared" si="163"/>
        <v>-3.5742090777918567E-2</v>
      </c>
      <c r="U484" s="27">
        <f t="shared" si="164"/>
        <v>-6.3155927573240844E-2</v>
      </c>
      <c r="W484" s="13">
        <f t="shared" si="146"/>
        <v>0</v>
      </c>
      <c r="Y484" s="14">
        <f t="shared" si="147"/>
        <v>448.69747734008348</v>
      </c>
      <c r="Z484" s="14">
        <f t="shared" si="148"/>
        <v>2154922.3027090686</v>
      </c>
      <c r="AA484" s="14">
        <f t="shared" si="149"/>
        <v>6170054.7612125324</v>
      </c>
    </row>
    <row r="485" spans="5:27" outlineLevel="1" x14ac:dyDescent="0.25">
      <c r="E485" s="4" t="s">
        <v>58</v>
      </c>
      <c r="F485" s="4">
        <v>11</v>
      </c>
      <c r="G485" s="21">
        <v>568</v>
      </c>
      <c r="H485" s="21"/>
      <c r="I485" s="21">
        <v>565.97</v>
      </c>
      <c r="J485" s="21">
        <v>2600742.41</v>
      </c>
      <c r="K485" s="21"/>
      <c r="L485" s="21">
        <v>2679174.0099999988</v>
      </c>
      <c r="M485" s="21">
        <v>7559108.9800000004</v>
      </c>
      <c r="N485" s="21"/>
      <c r="O485" s="21">
        <v>7832970.0800000001</v>
      </c>
      <c r="S485" s="25">
        <f t="shared" si="162"/>
        <v>-6.6089130315155731E-2</v>
      </c>
      <c r="T485" s="26">
        <f t="shared" si="163"/>
        <v>-3.5742090777918567E-2</v>
      </c>
      <c r="U485" s="27">
        <f t="shared" si="164"/>
        <v>-6.3155927573240844E-2</v>
      </c>
      <c r="W485" s="13">
        <f t="shared" si="146"/>
        <v>0</v>
      </c>
      <c r="Y485" s="14">
        <f t="shared" si="147"/>
        <v>528.56553491553132</v>
      </c>
      <c r="Z485" s="14">
        <f t="shared" si="148"/>
        <v>2583414.729324739</v>
      </c>
      <c r="AA485" s="14">
        <f t="shared" si="149"/>
        <v>7338271.5889441576</v>
      </c>
    </row>
    <row r="486" spans="5:27" outlineLevel="1" x14ac:dyDescent="0.25">
      <c r="E486" s="4" t="s">
        <v>58</v>
      </c>
      <c r="F486" s="4">
        <v>12</v>
      </c>
      <c r="G486" s="21">
        <v>675</v>
      </c>
      <c r="H486" s="21"/>
      <c r="I486" s="21">
        <v>547.26</v>
      </c>
      <c r="J486" s="21">
        <v>3104991.5899999994</v>
      </c>
      <c r="K486" s="21"/>
      <c r="L486" s="21">
        <v>2582429.0399999996</v>
      </c>
      <c r="M486" s="21">
        <v>8994863.910000002</v>
      </c>
      <c r="N486" s="21"/>
      <c r="O486" s="21">
        <v>7640779.1100000013</v>
      </c>
      <c r="S486" s="28">
        <f t="shared" si="162"/>
        <v>-6.6089130315155731E-2</v>
      </c>
      <c r="T486" s="26">
        <f t="shared" si="163"/>
        <v>-3.5742090777918567E-2</v>
      </c>
      <c r="U486" s="30">
        <f t="shared" si="164"/>
        <v>-6.3155927573240844E-2</v>
      </c>
      <c r="W486" s="13">
        <f t="shared" si="146"/>
        <v>0</v>
      </c>
      <c r="Y486" s="14">
        <f t="shared" si="147"/>
        <v>511.09206254372788</v>
      </c>
      <c r="Z486" s="14">
        <f t="shared" si="148"/>
        <v>2490127.6268247864</v>
      </c>
      <c r="AA486" s="14">
        <f t="shared" si="149"/>
        <v>7158218.6179257091</v>
      </c>
    </row>
    <row r="487" spans="5:27" outlineLevel="1" x14ac:dyDescent="0.25">
      <c r="E487" s="4" t="s">
        <v>59</v>
      </c>
      <c r="F487" s="4">
        <v>1</v>
      </c>
      <c r="G487" s="21">
        <v>23</v>
      </c>
      <c r="H487" s="21">
        <v>23</v>
      </c>
      <c r="I487" s="21">
        <v>25.1</v>
      </c>
      <c r="J487" s="21">
        <v>71747.830000000016</v>
      </c>
      <c r="K487" s="21">
        <v>75872.87000000001</v>
      </c>
      <c r="L487" s="21">
        <v>115742.73000000001</v>
      </c>
      <c r="M487" s="21">
        <v>173049.71000000002</v>
      </c>
      <c r="N487" s="21">
        <v>181829.63999999998</v>
      </c>
      <c r="O487" s="21">
        <v>316129.90000000002</v>
      </c>
      <c r="S487" s="22">
        <f t="shared" ref="S487:S498" si="165">IFERROR(SUMPRODUCT(H$487:H$498,$W$487:$W$498)/SUMPRODUCT(I$487:I$498,$W$487:$W$498)-1,"")</f>
        <v>8.6308538120156264E-2</v>
      </c>
      <c r="T487" s="23">
        <f t="shared" ref="T487:T498" si="166">IFERROR(SUMPRODUCT(K$487:K$498,$W$487:$W$498)/SUMPRODUCT(L$487:L$498,$W$487:$W$498)-1,"")</f>
        <v>0.10046226953386461</v>
      </c>
      <c r="U487" s="24">
        <f t="shared" ref="U487:U498" si="167">IFERROR(SUMPRODUCT(N$487:N$498,$W$487:$W$498)/SUMPRODUCT(O$487:O$498,$W$487:$W$498)-1,"")</f>
        <v>6.6712083280108914E-2</v>
      </c>
      <c r="W487" s="13">
        <f t="shared" ref="W487:W550" si="168">IFERROR(_xlfn.XLOOKUP(F487,$F$13:$F$24,$W$13:$W$24),"")</f>
        <v>1</v>
      </c>
      <c r="Y487" s="14">
        <f t="shared" ref="Y487:Y550" si="169">IFERROR(IF($W487=1,H487,I487*(1+S487)),"")</f>
        <v>23</v>
      </c>
      <c r="Z487" s="14">
        <f t="shared" ref="Z487:Z550" si="170">IFERROR(IF($W487=1,K487,L487*(1+T487)),"")</f>
        <v>75872.87000000001</v>
      </c>
      <c r="AA487" s="14">
        <f t="shared" ref="AA487:AA550" si="171">IFERROR(IF($W487=1,N487,O487*(1+U487)),"")</f>
        <v>181829.63999999998</v>
      </c>
    </row>
    <row r="488" spans="5:27" outlineLevel="1" x14ac:dyDescent="0.25">
      <c r="E488" s="4" t="s">
        <v>59</v>
      </c>
      <c r="F488" s="4">
        <v>2</v>
      </c>
      <c r="G488" s="21">
        <v>16</v>
      </c>
      <c r="H488" s="21">
        <v>17</v>
      </c>
      <c r="I488" s="21">
        <v>21.84</v>
      </c>
      <c r="J488" s="21">
        <v>88024.319999999992</v>
      </c>
      <c r="K488" s="21">
        <v>98880.28</v>
      </c>
      <c r="L488" s="21">
        <v>106424.62999999999</v>
      </c>
      <c r="M488" s="21">
        <v>244108.58000000002</v>
      </c>
      <c r="N488" s="21">
        <v>275931.16000000003</v>
      </c>
      <c r="O488" s="21">
        <v>294642.96000000002</v>
      </c>
      <c r="S488" s="25">
        <f t="shared" si="165"/>
        <v>8.6308538120156264E-2</v>
      </c>
      <c r="T488" s="26">
        <f t="shared" si="166"/>
        <v>0.10046226953386461</v>
      </c>
      <c r="U488" s="27">
        <f t="shared" si="167"/>
        <v>6.6712083280108914E-2</v>
      </c>
      <c r="W488" s="13">
        <f t="shared" si="168"/>
        <v>1</v>
      </c>
      <c r="Y488" s="14">
        <f t="shared" si="169"/>
        <v>17</v>
      </c>
      <c r="Z488" s="14">
        <f t="shared" si="170"/>
        <v>98880.28</v>
      </c>
      <c r="AA488" s="14">
        <f t="shared" si="171"/>
        <v>275931.16000000003</v>
      </c>
    </row>
    <row r="489" spans="5:27" outlineLevel="1" x14ac:dyDescent="0.25">
      <c r="E489" s="4" t="s">
        <v>59</v>
      </c>
      <c r="F489" s="4">
        <v>3</v>
      </c>
      <c r="G489" s="21">
        <v>44</v>
      </c>
      <c r="H489" s="21">
        <v>46</v>
      </c>
      <c r="I489" s="21">
        <v>29.700000000000003</v>
      </c>
      <c r="J489" s="21">
        <v>189589.96000000002</v>
      </c>
      <c r="K489" s="21">
        <v>208837.78000000003</v>
      </c>
      <c r="L489" s="21">
        <v>132532.88</v>
      </c>
      <c r="M489" s="21">
        <v>491889.34</v>
      </c>
      <c r="N489" s="21">
        <v>539250.18000000005</v>
      </c>
      <c r="O489" s="21">
        <v>357829.01999999996</v>
      </c>
      <c r="S489" s="25">
        <f t="shared" si="165"/>
        <v>8.6308538120156264E-2</v>
      </c>
      <c r="T489" s="26">
        <f t="shared" si="166"/>
        <v>0.10046226953386461</v>
      </c>
      <c r="U489" s="27">
        <f t="shared" si="167"/>
        <v>6.6712083280108914E-2</v>
      </c>
      <c r="W489" s="13">
        <f t="shared" si="168"/>
        <v>1</v>
      </c>
      <c r="Y489" s="14">
        <f t="shared" si="169"/>
        <v>46</v>
      </c>
      <c r="Z489" s="14">
        <f t="shared" si="170"/>
        <v>208837.78000000003</v>
      </c>
      <c r="AA489" s="14">
        <f t="shared" si="171"/>
        <v>539250.18000000005</v>
      </c>
    </row>
    <row r="490" spans="5:27" outlineLevel="1" x14ac:dyDescent="0.25">
      <c r="E490" s="4" t="s">
        <v>59</v>
      </c>
      <c r="F490" s="4">
        <v>4</v>
      </c>
      <c r="G490" s="21">
        <v>26</v>
      </c>
      <c r="H490" s="21">
        <v>29</v>
      </c>
      <c r="I490" s="21">
        <v>23.990000000000002</v>
      </c>
      <c r="J490" s="21">
        <v>109737.98</v>
      </c>
      <c r="K490" s="21">
        <v>128243.65999999999</v>
      </c>
      <c r="L490" s="21">
        <v>109847.58000000002</v>
      </c>
      <c r="M490" s="21">
        <v>283309.02</v>
      </c>
      <c r="N490" s="21">
        <v>330281.75</v>
      </c>
      <c r="O490" s="21">
        <v>298245.84999999998</v>
      </c>
      <c r="S490" s="25">
        <f t="shared" si="165"/>
        <v>8.6308538120156264E-2</v>
      </c>
      <c r="T490" s="26">
        <f t="shared" si="166"/>
        <v>0.10046226953386461</v>
      </c>
      <c r="U490" s="27">
        <f t="shared" si="167"/>
        <v>6.6712083280108914E-2</v>
      </c>
      <c r="W490" s="13">
        <f t="shared" si="168"/>
        <v>1</v>
      </c>
      <c r="Y490" s="14">
        <f t="shared" si="169"/>
        <v>29</v>
      </c>
      <c r="Z490" s="14">
        <f t="shared" si="170"/>
        <v>128243.65999999999</v>
      </c>
      <c r="AA490" s="14">
        <f t="shared" si="171"/>
        <v>330281.75</v>
      </c>
    </row>
    <row r="491" spans="5:27" outlineLevel="1" x14ac:dyDescent="0.25">
      <c r="E491" s="4" t="s">
        <v>59</v>
      </c>
      <c r="F491" s="4">
        <v>5</v>
      </c>
      <c r="G491" s="21">
        <v>20</v>
      </c>
      <c r="H491" s="21">
        <v>20</v>
      </c>
      <c r="I491" s="21">
        <v>28.900000000000002</v>
      </c>
      <c r="J491" s="21">
        <v>81111.759999999995</v>
      </c>
      <c r="K491" s="21">
        <v>85528.47</v>
      </c>
      <c r="L491" s="21">
        <v>125756.19999999998</v>
      </c>
      <c r="M491" s="21">
        <v>215287.30999999997</v>
      </c>
      <c r="N491" s="21">
        <v>216883.47</v>
      </c>
      <c r="O491" s="21">
        <v>335994.12</v>
      </c>
      <c r="S491" s="25">
        <f t="shared" si="165"/>
        <v>8.6308538120156264E-2</v>
      </c>
      <c r="T491" s="26">
        <f t="shared" si="166"/>
        <v>0.10046226953386461</v>
      </c>
      <c r="U491" s="27">
        <f t="shared" si="167"/>
        <v>6.6712083280108914E-2</v>
      </c>
      <c r="W491" s="13">
        <f t="shared" si="168"/>
        <v>1</v>
      </c>
      <c r="Y491" s="14">
        <f t="shared" si="169"/>
        <v>20</v>
      </c>
      <c r="Z491" s="14">
        <f t="shared" si="170"/>
        <v>85528.47</v>
      </c>
      <c r="AA491" s="14">
        <f t="shared" si="171"/>
        <v>216883.47</v>
      </c>
    </row>
    <row r="492" spans="5:27" outlineLevel="1" x14ac:dyDescent="0.25">
      <c r="E492" s="4" t="s">
        <v>59</v>
      </c>
      <c r="F492" s="4">
        <v>6</v>
      </c>
      <c r="G492" s="21">
        <v>28</v>
      </c>
      <c r="H492" s="21">
        <v>29</v>
      </c>
      <c r="I492" s="21">
        <v>21.44</v>
      </c>
      <c r="J492" s="21">
        <v>147784.78</v>
      </c>
      <c r="K492" s="21">
        <v>162810.58000000002</v>
      </c>
      <c r="L492" s="21">
        <v>100472.62999999998</v>
      </c>
      <c r="M492" s="21">
        <v>422198.08999999997</v>
      </c>
      <c r="N492" s="21">
        <v>459412.86</v>
      </c>
      <c r="O492" s="21">
        <v>275442.92000000004</v>
      </c>
      <c r="S492" s="25">
        <f t="shared" si="165"/>
        <v>8.6308538120156264E-2</v>
      </c>
      <c r="T492" s="26">
        <f t="shared" si="166"/>
        <v>0.10046226953386461</v>
      </c>
      <c r="U492" s="27">
        <f t="shared" si="167"/>
        <v>6.6712083280108914E-2</v>
      </c>
      <c r="W492" s="13">
        <f t="shared" si="168"/>
        <v>1</v>
      </c>
      <c r="Y492" s="14">
        <f t="shared" si="169"/>
        <v>29</v>
      </c>
      <c r="Z492" s="14">
        <f t="shared" si="170"/>
        <v>162810.58000000002</v>
      </c>
      <c r="AA492" s="14">
        <f t="shared" si="171"/>
        <v>459412.86</v>
      </c>
    </row>
    <row r="493" spans="5:27" outlineLevel="1" x14ac:dyDescent="0.25">
      <c r="E493" s="4" t="s">
        <v>59</v>
      </c>
      <c r="F493" s="4">
        <v>7</v>
      </c>
      <c r="G493" s="21">
        <v>11</v>
      </c>
      <c r="H493" s="21"/>
      <c r="I493" s="21">
        <v>26.42</v>
      </c>
      <c r="J493" s="21">
        <v>44387.670000000006</v>
      </c>
      <c r="K493" s="21"/>
      <c r="L493" s="21">
        <v>120721.48</v>
      </c>
      <c r="M493" s="21">
        <v>117198.11</v>
      </c>
      <c r="N493" s="21"/>
      <c r="O493" s="21">
        <v>329075.45999999996</v>
      </c>
      <c r="S493" s="25">
        <f t="shared" si="165"/>
        <v>8.6308538120156264E-2</v>
      </c>
      <c r="T493" s="26">
        <f t="shared" si="166"/>
        <v>0.10046226953386461</v>
      </c>
      <c r="U493" s="27">
        <f t="shared" si="167"/>
        <v>6.6712083280108914E-2</v>
      </c>
      <c r="W493" s="13">
        <f t="shared" si="168"/>
        <v>0</v>
      </c>
      <c r="Y493" s="14">
        <f t="shared" si="169"/>
        <v>28.700271577134529</v>
      </c>
      <c r="Z493" s="14">
        <f t="shared" si="170"/>
        <v>132849.43386228703</v>
      </c>
      <c r="AA493" s="14">
        <f t="shared" si="171"/>
        <v>351028.76949296013</v>
      </c>
    </row>
    <row r="494" spans="5:27" outlineLevel="1" x14ac:dyDescent="0.25">
      <c r="E494" s="4" t="s">
        <v>59</v>
      </c>
      <c r="F494" s="4">
        <v>8</v>
      </c>
      <c r="G494" s="21">
        <v>15</v>
      </c>
      <c r="H494" s="21"/>
      <c r="I494" s="21">
        <v>23.19</v>
      </c>
      <c r="J494" s="21">
        <v>61327.149999999994</v>
      </c>
      <c r="K494" s="21"/>
      <c r="L494" s="21">
        <v>111513.54</v>
      </c>
      <c r="M494" s="21">
        <v>165535.14000000004</v>
      </c>
      <c r="N494" s="21"/>
      <c r="O494" s="21">
        <v>307588.49</v>
      </c>
      <c r="S494" s="25">
        <f t="shared" si="165"/>
        <v>8.6308538120156264E-2</v>
      </c>
      <c r="T494" s="26">
        <f t="shared" si="166"/>
        <v>0.10046226953386461</v>
      </c>
      <c r="U494" s="27">
        <f t="shared" si="167"/>
        <v>6.6712083280108914E-2</v>
      </c>
      <c r="W494" s="13">
        <f t="shared" si="168"/>
        <v>0</v>
      </c>
      <c r="Y494" s="14">
        <f t="shared" si="169"/>
        <v>25.191494999006427</v>
      </c>
      <c r="Z494" s="14">
        <f t="shared" si="170"/>
        <v>122716.44331215539</v>
      </c>
      <c r="AA494" s="14">
        <f t="shared" si="171"/>
        <v>328108.35896088294</v>
      </c>
    </row>
    <row r="495" spans="5:27" outlineLevel="1" x14ac:dyDescent="0.25">
      <c r="E495" s="4" t="s">
        <v>59</v>
      </c>
      <c r="F495" s="4">
        <v>9</v>
      </c>
      <c r="G495" s="21">
        <v>40</v>
      </c>
      <c r="H495" s="21"/>
      <c r="I495" s="21">
        <v>31.040000000000003</v>
      </c>
      <c r="J495" s="21">
        <v>189107.04000000004</v>
      </c>
      <c r="K495" s="21"/>
      <c r="L495" s="21">
        <v>137568.20000000001</v>
      </c>
      <c r="M495" s="21">
        <v>514200.76</v>
      </c>
      <c r="N495" s="21"/>
      <c r="O495" s="21">
        <v>370774.56</v>
      </c>
      <c r="S495" s="25">
        <f t="shared" si="165"/>
        <v>8.6308538120156264E-2</v>
      </c>
      <c r="T495" s="26">
        <f t="shared" si="166"/>
        <v>0.10046226953386461</v>
      </c>
      <c r="U495" s="27">
        <f t="shared" si="167"/>
        <v>6.6712083280108914E-2</v>
      </c>
      <c r="W495" s="13">
        <f t="shared" si="168"/>
        <v>0</v>
      </c>
      <c r="Y495" s="14">
        <f t="shared" si="169"/>
        <v>33.719017023249656</v>
      </c>
      <c r="Z495" s="14">
        <f t="shared" si="170"/>
        <v>151388.6135876886</v>
      </c>
      <c r="AA495" s="14">
        <f t="shared" si="171"/>
        <v>395509.70332486572</v>
      </c>
    </row>
    <row r="496" spans="5:27" outlineLevel="1" x14ac:dyDescent="0.25">
      <c r="E496" s="4" t="s">
        <v>59</v>
      </c>
      <c r="F496" s="4">
        <v>10</v>
      </c>
      <c r="G496" s="21">
        <v>14</v>
      </c>
      <c r="H496" s="21"/>
      <c r="I496" s="21">
        <v>25.33</v>
      </c>
      <c r="J496" s="21">
        <v>52445.36</v>
      </c>
      <c r="K496" s="21"/>
      <c r="L496" s="21">
        <v>114840.34</v>
      </c>
      <c r="M496" s="21">
        <v>137213.13</v>
      </c>
      <c r="N496" s="21"/>
      <c r="O496" s="21">
        <v>311191.40000000002</v>
      </c>
      <c r="S496" s="25">
        <f t="shared" si="165"/>
        <v>8.6308538120156264E-2</v>
      </c>
      <c r="T496" s="26">
        <f t="shared" si="166"/>
        <v>0.10046226953386461</v>
      </c>
      <c r="U496" s="27">
        <f t="shared" si="167"/>
        <v>6.6712083280108914E-2</v>
      </c>
      <c r="W496" s="13">
        <f t="shared" si="168"/>
        <v>0</v>
      </c>
      <c r="Y496" s="14">
        <f t="shared" si="169"/>
        <v>27.516195270583555</v>
      </c>
      <c r="Z496" s="14">
        <f t="shared" si="170"/>
        <v>126377.46119044065</v>
      </c>
      <c r="AA496" s="14">
        <f t="shared" si="171"/>
        <v>331951.62659285369</v>
      </c>
    </row>
    <row r="497" spans="5:27" outlineLevel="1" x14ac:dyDescent="0.25">
      <c r="E497" s="4" t="s">
        <v>59</v>
      </c>
      <c r="F497" s="4">
        <v>11</v>
      </c>
      <c r="G497" s="21">
        <v>31</v>
      </c>
      <c r="H497" s="21"/>
      <c r="I497" s="21">
        <v>30.23</v>
      </c>
      <c r="J497" s="21">
        <v>150947.63</v>
      </c>
      <c r="K497" s="21"/>
      <c r="L497" s="21">
        <v>130761.93999999999</v>
      </c>
      <c r="M497" s="21">
        <v>393943.23</v>
      </c>
      <c r="N497" s="21"/>
      <c r="O497" s="21">
        <v>348939.64999999997</v>
      </c>
      <c r="S497" s="25">
        <f t="shared" si="165"/>
        <v>8.6308538120156264E-2</v>
      </c>
      <c r="T497" s="26">
        <f t="shared" si="166"/>
        <v>0.10046226953386461</v>
      </c>
      <c r="U497" s="27">
        <f t="shared" si="167"/>
        <v>6.6712083280108914E-2</v>
      </c>
      <c r="W497" s="13">
        <f t="shared" si="168"/>
        <v>0</v>
      </c>
      <c r="Y497" s="14">
        <f t="shared" si="169"/>
        <v>32.839107107372321</v>
      </c>
      <c r="Z497" s="14">
        <f t="shared" si="170"/>
        <v>143898.58126105103</v>
      </c>
      <c r="AA497" s="14">
        <f t="shared" si="171"/>
        <v>372218.140990532</v>
      </c>
    </row>
    <row r="498" spans="5:27" outlineLevel="1" x14ac:dyDescent="0.25">
      <c r="E498" s="4" t="s">
        <v>59</v>
      </c>
      <c r="F498" s="4">
        <v>12</v>
      </c>
      <c r="G498" s="21">
        <v>25</v>
      </c>
      <c r="H498" s="21"/>
      <c r="I498" s="21">
        <v>22.810000000000002</v>
      </c>
      <c r="J498" s="21">
        <v>126121.73</v>
      </c>
      <c r="K498" s="21"/>
      <c r="L498" s="21">
        <v>105613.31000000001</v>
      </c>
      <c r="M498" s="21">
        <v>339192.52</v>
      </c>
      <c r="N498" s="21"/>
      <c r="O498" s="21">
        <v>288388.45</v>
      </c>
      <c r="S498" s="28">
        <f t="shared" si="165"/>
        <v>8.6308538120156264E-2</v>
      </c>
      <c r="T498" s="29">
        <f t="shared" si="166"/>
        <v>0.10046226953386461</v>
      </c>
      <c r="U498" s="30">
        <f t="shared" si="167"/>
        <v>6.6712083280108914E-2</v>
      </c>
      <c r="W498" s="13">
        <f t="shared" si="168"/>
        <v>0</v>
      </c>
      <c r="Y498" s="14">
        <f t="shared" si="169"/>
        <v>24.778697754520767</v>
      </c>
      <c r="Z498" s="14">
        <f t="shared" si="170"/>
        <v>116223.46281558361</v>
      </c>
      <c r="AA498" s="14">
        <f t="shared" si="171"/>
        <v>307627.44429342152</v>
      </c>
    </row>
    <row r="499" spans="5:27" outlineLevel="1" x14ac:dyDescent="0.25">
      <c r="E499" s="4" t="s">
        <v>60</v>
      </c>
      <c r="F499" s="4">
        <v>1</v>
      </c>
      <c r="G499" s="21">
        <v>201</v>
      </c>
      <c r="H499" s="21">
        <v>215</v>
      </c>
      <c r="I499" s="21">
        <v>255.07</v>
      </c>
      <c r="J499" s="21">
        <v>1010846.5199999999</v>
      </c>
      <c r="K499" s="21">
        <v>1141159.98</v>
      </c>
      <c r="L499" s="21">
        <v>1222502.9400000004</v>
      </c>
      <c r="M499" s="21">
        <v>2983996.8899999997</v>
      </c>
      <c r="N499" s="21">
        <v>3376159.42</v>
      </c>
      <c r="O499" s="21">
        <v>3736021.6999999993</v>
      </c>
      <c r="S499" s="22">
        <f t="shared" ref="S499:S510" si="172">IFERROR(SUMPRODUCT(H$499:H$510,$W$499:$W$510)/SUMPRODUCT(I$499:I$510,$W$499:$W$510)-1,"")</f>
        <v>-2.3480218719845625E-2</v>
      </c>
      <c r="T499" s="26">
        <f t="shared" ref="T499:T510" si="173">IFERROR(SUMPRODUCT(K$499:K$510,$W$499:$W$510)/SUMPRODUCT(L$499:L$510,$W$499:$W$510)-1,"")</f>
        <v>1.3722462722533413E-2</v>
      </c>
      <c r="U499" s="24">
        <f t="shared" ref="U499:U510" si="174">IFERROR(SUMPRODUCT(N$499:N$510,$W$499:$W$510)/SUMPRODUCT(O$499:O$510,$W$499:$W$510)-1,"")</f>
        <v>-1.081780133701693E-2</v>
      </c>
      <c r="W499" s="13">
        <f t="shared" si="168"/>
        <v>1</v>
      </c>
      <c r="Y499" s="14">
        <f t="shared" si="169"/>
        <v>215</v>
      </c>
      <c r="Z499" s="14">
        <f t="shared" si="170"/>
        <v>1141159.98</v>
      </c>
      <c r="AA499" s="14">
        <f t="shared" si="171"/>
        <v>3376159.42</v>
      </c>
    </row>
    <row r="500" spans="5:27" outlineLevel="1" x14ac:dyDescent="0.25">
      <c r="E500" s="4" t="s">
        <v>60</v>
      </c>
      <c r="F500" s="4">
        <v>2</v>
      </c>
      <c r="G500" s="21">
        <v>243</v>
      </c>
      <c r="H500" s="21">
        <v>261</v>
      </c>
      <c r="I500" s="21">
        <v>251.33000000000004</v>
      </c>
      <c r="J500" s="21">
        <v>1101776.6499999997</v>
      </c>
      <c r="K500" s="21">
        <v>1245506.8100000005</v>
      </c>
      <c r="L500" s="21">
        <v>1177026.7800000003</v>
      </c>
      <c r="M500" s="21">
        <v>3275694.1300000013</v>
      </c>
      <c r="N500" s="21">
        <v>3692767.790000001</v>
      </c>
      <c r="O500" s="21">
        <v>3589731.33</v>
      </c>
      <c r="S500" s="25">
        <f t="shared" si="172"/>
        <v>-2.3480218719845625E-2</v>
      </c>
      <c r="T500" s="26">
        <f t="shared" si="173"/>
        <v>1.3722462722533413E-2</v>
      </c>
      <c r="U500" s="27">
        <f t="shared" si="174"/>
        <v>-1.081780133701693E-2</v>
      </c>
      <c r="W500" s="13">
        <f t="shared" si="168"/>
        <v>1</v>
      </c>
      <c r="Y500" s="14">
        <f t="shared" si="169"/>
        <v>261</v>
      </c>
      <c r="Z500" s="14">
        <f t="shared" si="170"/>
        <v>1245506.8100000005</v>
      </c>
      <c r="AA500" s="14">
        <f t="shared" si="171"/>
        <v>3692767.790000001</v>
      </c>
    </row>
    <row r="501" spans="5:27" outlineLevel="1" x14ac:dyDescent="0.25">
      <c r="E501" s="4" t="s">
        <v>60</v>
      </c>
      <c r="F501" s="4">
        <v>3</v>
      </c>
      <c r="G501" s="21">
        <v>253</v>
      </c>
      <c r="H501" s="21">
        <v>268</v>
      </c>
      <c r="I501" s="21">
        <v>255.74000000000004</v>
      </c>
      <c r="J501" s="21">
        <v>1102542.8200000003</v>
      </c>
      <c r="K501" s="21">
        <v>1223490.2800000003</v>
      </c>
      <c r="L501" s="21">
        <v>1173836.3399999999</v>
      </c>
      <c r="M501" s="21">
        <v>3331844.31</v>
      </c>
      <c r="N501" s="21">
        <v>3758415.5199999986</v>
      </c>
      <c r="O501" s="21">
        <v>3543927.04</v>
      </c>
      <c r="S501" s="25">
        <f t="shared" si="172"/>
        <v>-2.3480218719845625E-2</v>
      </c>
      <c r="T501" s="26">
        <f t="shared" si="173"/>
        <v>1.3722462722533413E-2</v>
      </c>
      <c r="U501" s="27">
        <f t="shared" si="174"/>
        <v>-1.081780133701693E-2</v>
      </c>
      <c r="W501" s="13">
        <f t="shared" si="168"/>
        <v>1</v>
      </c>
      <c r="Y501" s="14">
        <f t="shared" si="169"/>
        <v>268</v>
      </c>
      <c r="Z501" s="14">
        <f t="shared" si="170"/>
        <v>1223490.2800000003</v>
      </c>
      <c r="AA501" s="14">
        <f t="shared" si="171"/>
        <v>3758415.5199999986</v>
      </c>
    </row>
    <row r="502" spans="5:27" outlineLevel="1" x14ac:dyDescent="0.25">
      <c r="E502" s="4" t="s">
        <v>60</v>
      </c>
      <c r="F502" s="4">
        <v>4</v>
      </c>
      <c r="G502" s="21">
        <v>226</v>
      </c>
      <c r="H502" s="21">
        <v>238</v>
      </c>
      <c r="I502" s="21">
        <v>247.05999999999995</v>
      </c>
      <c r="J502" s="21">
        <v>1067816.0299999998</v>
      </c>
      <c r="K502" s="21">
        <v>1199087.6199999999</v>
      </c>
      <c r="L502" s="21">
        <v>1160407.55</v>
      </c>
      <c r="M502" s="21">
        <v>3283498.5200000009</v>
      </c>
      <c r="N502" s="21">
        <v>3635029.48</v>
      </c>
      <c r="O502" s="21">
        <v>3523826.53</v>
      </c>
      <c r="S502" s="25">
        <f t="shared" si="172"/>
        <v>-2.3480218719845625E-2</v>
      </c>
      <c r="T502" s="26">
        <f t="shared" si="173"/>
        <v>1.3722462722533413E-2</v>
      </c>
      <c r="U502" s="27">
        <f t="shared" si="174"/>
        <v>-1.081780133701693E-2</v>
      </c>
      <c r="W502" s="13">
        <f t="shared" si="168"/>
        <v>1</v>
      </c>
      <c r="Y502" s="14">
        <f t="shared" si="169"/>
        <v>238</v>
      </c>
      <c r="Z502" s="14">
        <f t="shared" si="170"/>
        <v>1199087.6199999999</v>
      </c>
      <c r="AA502" s="14">
        <f t="shared" si="171"/>
        <v>3635029.48</v>
      </c>
    </row>
    <row r="503" spans="5:27" outlineLevel="1" x14ac:dyDescent="0.25">
      <c r="E503" s="4" t="s">
        <v>60</v>
      </c>
      <c r="F503" s="4">
        <v>5</v>
      </c>
      <c r="G503" s="21">
        <v>269</v>
      </c>
      <c r="H503" s="21">
        <v>281</v>
      </c>
      <c r="I503" s="21">
        <v>278.40999999999997</v>
      </c>
      <c r="J503" s="21">
        <v>1246837.0800000005</v>
      </c>
      <c r="K503" s="21">
        <v>1370521.2599999998</v>
      </c>
      <c r="L503" s="21">
        <v>1303307.5600000003</v>
      </c>
      <c r="M503" s="21">
        <v>3748010.5300000007</v>
      </c>
      <c r="N503" s="21">
        <v>3957772.1500000004</v>
      </c>
      <c r="O503" s="21">
        <v>3966699.37</v>
      </c>
      <c r="S503" s="25">
        <f t="shared" si="172"/>
        <v>-2.3480218719845625E-2</v>
      </c>
      <c r="T503" s="26">
        <f t="shared" si="173"/>
        <v>1.3722462722533413E-2</v>
      </c>
      <c r="U503" s="27">
        <f t="shared" si="174"/>
        <v>-1.081780133701693E-2</v>
      </c>
      <c r="W503" s="13">
        <f t="shared" si="168"/>
        <v>1</v>
      </c>
      <c r="Y503" s="14">
        <f t="shared" si="169"/>
        <v>281</v>
      </c>
      <c r="Z503" s="14">
        <f t="shared" si="170"/>
        <v>1370521.2599999998</v>
      </c>
      <c r="AA503" s="14">
        <f t="shared" si="171"/>
        <v>3957772.1500000004</v>
      </c>
    </row>
    <row r="504" spans="5:27" outlineLevel="1" x14ac:dyDescent="0.25">
      <c r="E504" s="4" t="s">
        <v>60</v>
      </c>
      <c r="F504" s="4">
        <v>6</v>
      </c>
      <c r="G504" s="21">
        <v>242</v>
      </c>
      <c r="H504" s="21">
        <v>255</v>
      </c>
      <c r="I504" s="21">
        <v>266.89</v>
      </c>
      <c r="J504" s="21">
        <v>1061104.47</v>
      </c>
      <c r="K504" s="21">
        <v>1180427.9999999995</v>
      </c>
      <c r="L504" s="21">
        <v>1223480.0000000002</v>
      </c>
      <c r="M504" s="21">
        <v>3131528.7600000002</v>
      </c>
      <c r="N504" s="21">
        <v>3401538.87</v>
      </c>
      <c r="O504" s="21">
        <v>3700121.5000000005</v>
      </c>
      <c r="S504" s="25">
        <f t="shared" si="172"/>
        <v>-2.3480218719845625E-2</v>
      </c>
      <c r="T504" s="26">
        <f t="shared" si="173"/>
        <v>1.3722462722533413E-2</v>
      </c>
      <c r="U504" s="27">
        <f t="shared" si="174"/>
        <v>-1.081780133701693E-2</v>
      </c>
      <c r="W504" s="13">
        <f t="shared" si="168"/>
        <v>1</v>
      </c>
      <c r="Y504" s="14">
        <f t="shared" si="169"/>
        <v>255</v>
      </c>
      <c r="Z504" s="14">
        <f t="shared" si="170"/>
        <v>1180427.9999999995</v>
      </c>
      <c r="AA504" s="14">
        <f t="shared" si="171"/>
        <v>3401538.87</v>
      </c>
    </row>
    <row r="505" spans="5:27" outlineLevel="1" x14ac:dyDescent="0.25">
      <c r="E505" s="4" t="s">
        <v>60</v>
      </c>
      <c r="F505" s="4">
        <v>7</v>
      </c>
      <c r="G505" s="21">
        <v>222</v>
      </c>
      <c r="H505" s="21"/>
      <c r="I505" s="21">
        <v>257.99</v>
      </c>
      <c r="J505" s="21">
        <v>989751.56999999983</v>
      </c>
      <c r="K505" s="21"/>
      <c r="L505" s="21">
        <v>1234950.7599999998</v>
      </c>
      <c r="M505" s="21">
        <v>2910801.2399999993</v>
      </c>
      <c r="N505" s="21"/>
      <c r="O505" s="21">
        <v>3799127.2499999986</v>
      </c>
      <c r="S505" s="25">
        <f t="shared" si="172"/>
        <v>-2.3480218719845625E-2</v>
      </c>
      <c r="T505" s="26">
        <f t="shared" si="173"/>
        <v>1.3722462722533413E-2</v>
      </c>
      <c r="U505" s="27">
        <f t="shared" si="174"/>
        <v>-1.081780133701693E-2</v>
      </c>
      <c r="W505" s="13">
        <f t="shared" si="168"/>
        <v>0</v>
      </c>
      <c r="Y505" s="14">
        <f t="shared" si="169"/>
        <v>251.93233837246703</v>
      </c>
      <c r="Z505" s="14">
        <f t="shared" si="170"/>
        <v>1251897.325768264</v>
      </c>
      <c r="AA505" s="14">
        <f t="shared" si="171"/>
        <v>3758029.0461554513</v>
      </c>
    </row>
    <row r="506" spans="5:27" outlineLevel="1" x14ac:dyDescent="0.25">
      <c r="E506" s="4" t="s">
        <v>60</v>
      </c>
      <c r="F506" s="4">
        <v>8</v>
      </c>
      <c r="G506" s="21">
        <v>220</v>
      </c>
      <c r="H506" s="21"/>
      <c r="I506" s="21">
        <v>268.60000000000002</v>
      </c>
      <c r="J506" s="21">
        <v>1062530.98</v>
      </c>
      <c r="K506" s="21"/>
      <c r="L506" s="21">
        <v>1266105.97</v>
      </c>
      <c r="M506" s="21">
        <v>3238424.77</v>
      </c>
      <c r="N506" s="21"/>
      <c r="O506" s="21">
        <v>3879422.54</v>
      </c>
      <c r="S506" s="25">
        <f t="shared" si="172"/>
        <v>-2.3480218719845625E-2</v>
      </c>
      <c r="T506" s="26">
        <f t="shared" si="173"/>
        <v>1.3722462722533413E-2</v>
      </c>
      <c r="U506" s="27">
        <f t="shared" si="174"/>
        <v>-1.081780133701693E-2</v>
      </c>
      <c r="W506" s="13">
        <f t="shared" si="168"/>
        <v>0</v>
      </c>
      <c r="Y506" s="14">
        <f t="shared" si="169"/>
        <v>262.29321325184947</v>
      </c>
      <c r="Z506" s="14">
        <f t="shared" si="170"/>
        <v>1283480.0619761019</v>
      </c>
      <c r="AA506" s="14">
        <f t="shared" si="171"/>
        <v>3837455.7176599344</v>
      </c>
    </row>
    <row r="507" spans="5:27" outlineLevel="1" x14ac:dyDescent="0.25">
      <c r="E507" s="4" t="s">
        <v>60</v>
      </c>
      <c r="F507" s="4">
        <v>9</v>
      </c>
      <c r="G507" s="21">
        <v>235</v>
      </c>
      <c r="H507" s="21"/>
      <c r="I507" s="21">
        <v>276.22000000000003</v>
      </c>
      <c r="J507" s="21">
        <v>1089125.48</v>
      </c>
      <c r="K507" s="21"/>
      <c r="L507" s="21">
        <v>1277385.53</v>
      </c>
      <c r="M507" s="21">
        <v>3321283.53</v>
      </c>
      <c r="N507" s="21"/>
      <c r="O507" s="21">
        <v>3881638.1599999997</v>
      </c>
      <c r="S507" s="25">
        <f t="shared" si="172"/>
        <v>-2.3480218719845625E-2</v>
      </c>
      <c r="T507" s="26">
        <f t="shared" si="173"/>
        <v>1.3722462722533413E-2</v>
      </c>
      <c r="U507" s="27">
        <f t="shared" si="174"/>
        <v>-1.081780133701693E-2</v>
      </c>
      <c r="W507" s="13">
        <f t="shared" si="168"/>
        <v>0</v>
      </c>
      <c r="Y507" s="14">
        <f t="shared" si="169"/>
        <v>269.73429398520426</v>
      </c>
      <c r="Z507" s="14">
        <f t="shared" si="170"/>
        <v>1294914.4053177286</v>
      </c>
      <c r="AA507" s="14">
        <f t="shared" si="171"/>
        <v>3839647.3695229357</v>
      </c>
    </row>
    <row r="508" spans="5:27" outlineLevel="1" x14ac:dyDescent="0.25">
      <c r="E508" s="4" t="s">
        <v>60</v>
      </c>
      <c r="F508" s="4">
        <v>10</v>
      </c>
      <c r="G508" s="21">
        <v>232</v>
      </c>
      <c r="H508" s="21"/>
      <c r="I508" s="21">
        <v>285.64000000000004</v>
      </c>
      <c r="J508" s="21">
        <v>1065335.0099999998</v>
      </c>
      <c r="K508" s="21"/>
      <c r="L508" s="21">
        <v>1357726.9199999995</v>
      </c>
      <c r="M508" s="21">
        <v>3223288.5500000007</v>
      </c>
      <c r="N508" s="21"/>
      <c r="O508" s="21">
        <v>4187014.5500000003</v>
      </c>
      <c r="S508" s="25">
        <f t="shared" si="172"/>
        <v>-2.3480218719845625E-2</v>
      </c>
      <c r="T508" s="26">
        <f t="shared" si="173"/>
        <v>1.3722462722533413E-2</v>
      </c>
      <c r="U508" s="27">
        <f t="shared" si="174"/>
        <v>-1.081780133701693E-2</v>
      </c>
      <c r="W508" s="13">
        <f t="shared" si="168"/>
        <v>0</v>
      </c>
      <c r="Y508" s="14">
        <f t="shared" si="169"/>
        <v>278.93311032486332</v>
      </c>
      <c r="Z508" s="14">
        <f t="shared" si="170"/>
        <v>1376358.2770470795</v>
      </c>
      <c r="AA508" s="14">
        <f t="shared" si="171"/>
        <v>4141720.2584029008</v>
      </c>
    </row>
    <row r="509" spans="5:27" outlineLevel="1" x14ac:dyDescent="0.25">
      <c r="E509" s="4" t="s">
        <v>60</v>
      </c>
      <c r="F509" s="4">
        <v>11</v>
      </c>
      <c r="G509" s="21">
        <v>330</v>
      </c>
      <c r="H509" s="21"/>
      <c r="I509" s="21">
        <v>331.29</v>
      </c>
      <c r="J509" s="21">
        <v>1536650.27</v>
      </c>
      <c r="K509" s="21"/>
      <c r="L509" s="21">
        <v>1574611.89</v>
      </c>
      <c r="M509" s="21">
        <v>4589008.5999999987</v>
      </c>
      <c r="N509" s="21"/>
      <c r="O509" s="21">
        <v>4865494.71</v>
      </c>
      <c r="S509" s="25">
        <f t="shared" si="172"/>
        <v>-2.3480218719845625E-2</v>
      </c>
      <c r="T509" s="26">
        <f t="shared" si="173"/>
        <v>1.3722462722533413E-2</v>
      </c>
      <c r="U509" s="27">
        <f t="shared" si="174"/>
        <v>-1.081780133701693E-2</v>
      </c>
      <c r="W509" s="13">
        <f t="shared" si="168"/>
        <v>0</v>
      </c>
      <c r="Y509" s="14">
        <f t="shared" si="169"/>
        <v>323.51123834030238</v>
      </c>
      <c r="Z509" s="14">
        <f t="shared" si="170"/>
        <v>1596219.4429629827</v>
      </c>
      <c r="AA509" s="14">
        <f t="shared" si="171"/>
        <v>4812860.7548209131</v>
      </c>
    </row>
    <row r="510" spans="5:27" outlineLevel="1" x14ac:dyDescent="0.25">
      <c r="E510" s="4" t="s">
        <v>60</v>
      </c>
      <c r="F510" s="4">
        <v>12</v>
      </c>
      <c r="G510" s="21">
        <v>438</v>
      </c>
      <c r="H510" s="21"/>
      <c r="I510" s="21">
        <v>295.75000000000006</v>
      </c>
      <c r="J510" s="21">
        <v>2028245.76</v>
      </c>
      <c r="K510" s="21"/>
      <c r="L510" s="21">
        <v>1371491.4599999997</v>
      </c>
      <c r="M510" s="21">
        <v>6086935.1899999995</v>
      </c>
      <c r="N510" s="21"/>
      <c r="O510" s="21">
        <v>4190335.5400000005</v>
      </c>
      <c r="S510" s="28">
        <f t="shared" si="172"/>
        <v>-2.3480218719845625E-2</v>
      </c>
      <c r="T510" s="26">
        <f t="shared" si="173"/>
        <v>1.3722462722533413E-2</v>
      </c>
      <c r="U510" s="30">
        <f t="shared" si="174"/>
        <v>-1.081780133701693E-2</v>
      </c>
      <c r="W510" s="13">
        <f t="shared" si="168"/>
        <v>0</v>
      </c>
      <c r="Y510" s="14">
        <f t="shared" si="169"/>
        <v>288.80572531360571</v>
      </c>
      <c r="Z510" s="14">
        <f t="shared" si="170"/>
        <v>1390311.7004341227</v>
      </c>
      <c r="AA510" s="14">
        <f t="shared" si="171"/>
        <v>4145005.3225928391</v>
      </c>
    </row>
    <row r="511" spans="5:27" outlineLevel="1" x14ac:dyDescent="0.25">
      <c r="E511" s="4" t="s">
        <v>61</v>
      </c>
      <c r="F511" s="4">
        <v>1</v>
      </c>
      <c r="G511" s="21">
        <v>168</v>
      </c>
      <c r="H511" s="21">
        <v>171</v>
      </c>
      <c r="I511" s="21">
        <v>225.46999999999997</v>
      </c>
      <c r="J511" s="21">
        <v>712211.6599999998</v>
      </c>
      <c r="K511" s="21">
        <v>751798.50999999989</v>
      </c>
      <c r="L511" s="21">
        <v>1047058.9500000001</v>
      </c>
      <c r="M511" s="21">
        <v>2016919.4200000002</v>
      </c>
      <c r="N511" s="21">
        <v>2161506.39</v>
      </c>
      <c r="O511" s="21">
        <v>3031550.39</v>
      </c>
      <c r="S511" s="22">
        <f t="shared" ref="S511:S522" si="175">IFERROR(SUMPRODUCT(H$511:H$522,$W$511:$W$522)/SUMPRODUCT(I$511:I$522,$W$511:$W$522)-1,"")</f>
        <v>-0.11452972650203874</v>
      </c>
      <c r="T511" s="23">
        <f t="shared" ref="T511:T522" si="176">IFERROR(SUMPRODUCT(K$511:K$522,$W$511:$W$522)/SUMPRODUCT(L$511:L$522,$W$511:$W$522)-1,"")</f>
        <v>-8.4218650024594721E-2</v>
      </c>
      <c r="U511" s="24">
        <f t="shared" ref="U511:U522" si="177">IFERROR(SUMPRODUCT(N$511:N$522,$W$511:$W$522)/SUMPRODUCT(O$511:O$522,$W$511:$W$522)-1,"")</f>
        <v>-9.3638101486158587E-2</v>
      </c>
      <c r="W511" s="13">
        <f t="shared" si="168"/>
        <v>1</v>
      </c>
      <c r="Y511" s="14">
        <f t="shared" si="169"/>
        <v>171</v>
      </c>
      <c r="Z511" s="14">
        <f t="shared" si="170"/>
        <v>751798.50999999989</v>
      </c>
      <c r="AA511" s="14">
        <f t="shared" si="171"/>
        <v>2161506.39</v>
      </c>
    </row>
    <row r="512" spans="5:27" outlineLevel="1" x14ac:dyDescent="0.25">
      <c r="E512" s="4" t="s">
        <v>61</v>
      </c>
      <c r="F512" s="4">
        <v>2</v>
      </c>
      <c r="G512" s="21">
        <v>191</v>
      </c>
      <c r="H512" s="21">
        <v>197</v>
      </c>
      <c r="I512" s="21">
        <v>214.14999999999995</v>
      </c>
      <c r="J512" s="21">
        <v>861443.41999999981</v>
      </c>
      <c r="K512" s="21">
        <v>937720.71000000008</v>
      </c>
      <c r="L512" s="21">
        <v>995973.85</v>
      </c>
      <c r="M512" s="21">
        <v>2500004.2599999998</v>
      </c>
      <c r="N512" s="21">
        <v>2724201.77</v>
      </c>
      <c r="O512" s="21">
        <v>2906051.32</v>
      </c>
      <c r="S512" s="25">
        <f t="shared" si="175"/>
        <v>-0.11452972650203874</v>
      </c>
      <c r="T512" s="26">
        <f t="shared" si="176"/>
        <v>-8.4218650024594721E-2</v>
      </c>
      <c r="U512" s="27">
        <f t="shared" si="177"/>
        <v>-9.3638101486158587E-2</v>
      </c>
      <c r="W512" s="13">
        <f t="shared" si="168"/>
        <v>1</v>
      </c>
      <c r="Y512" s="14">
        <f t="shared" si="169"/>
        <v>197</v>
      </c>
      <c r="Z512" s="14">
        <f t="shared" si="170"/>
        <v>937720.71000000008</v>
      </c>
      <c r="AA512" s="14">
        <f t="shared" si="171"/>
        <v>2724201.77</v>
      </c>
    </row>
    <row r="513" spans="5:27" outlineLevel="1" x14ac:dyDescent="0.25">
      <c r="E513" s="4" t="s">
        <v>61</v>
      </c>
      <c r="F513" s="4">
        <v>3</v>
      </c>
      <c r="G513" s="21">
        <v>186</v>
      </c>
      <c r="H513" s="21">
        <v>189</v>
      </c>
      <c r="I513" s="21">
        <v>224.17999999999998</v>
      </c>
      <c r="J513" s="21">
        <v>902982.61</v>
      </c>
      <c r="K513" s="21">
        <v>963310.66999999981</v>
      </c>
      <c r="L513" s="21">
        <v>1019274.7499999998</v>
      </c>
      <c r="M513" s="21">
        <v>2624714.37</v>
      </c>
      <c r="N513" s="21">
        <v>2726743.649999999</v>
      </c>
      <c r="O513" s="21">
        <v>2910740.0200000009</v>
      </c>
      <c r="S513" s="25">
        <f t="shared" si="175"/>
        <v>-0.11452972650203874</v>
      </c>
      <c r="T513" s="26">
        <f t="shared" si="176"/>
        <v>-8.4218650024594721E-2</v>
      </c>
      <c r="U513" s="27">
        <f t="shared" si="177"/>
        <v>-9.3638101486158587E-2</v>
      </c>
      <c r="W513" s="13">
        <f t="shared" si="168"/>
        <v>1</v>
      </c>
      <c r="Y513" s="14">
        <f t="shared" si="169"/>
        <v>189</v>
      </c>
      <c r="Z513" s="14">
        <f t="shared" si="170"/>
        <v>963310.66999999981</v>
      </c>
      <c r="AA513" s="14">
        <f t="shared" si="171"/>
        <v>2726743.649999999</v>
      </c>
    </row>
    <row r="514" spans="5:27" outlineLevel="1" x14ac:dyDescent="0.25">
      <c r="E514" s="4" t="s">
        <v>61</v>
      </c>
      <c r="F514" s="4">
        <v>4</v>
      </c>
      <c r="G514" s="21">
        <v>195</v>
      </c>
      <c r="H514" s="21">
        <v>200</v>
      </c>
      <c r="I514" s="21">
        <v>205.23999999999992</v>
      </c>
      <c r="J514" s="21">
        <v>871394.49000000011</v>
      </c>
      <c r="K514" s="21">
        <v>945428.92</v>
      </c>
      <c r="L514" s="21">
        <v>937996.89999999991</v>
      </c>
      <c r="M514" s="21">
        <v>2511545.8100000005</v>
      </c>
      <c r="N514" s="21">
        <v>2639559.9499999997</v>
      </c>
      <c r="O514" s="21">
        <v>2688960.9000000004</v>
      </c>
      <c r="S514" s="25">
        <f t="shared" si="175"/>
        <v>-0.11452972650203874</v>
      </c>
      <c r="T514" s="26">
        <f t="shared" si="176"/>
        <v>-8.4218650024594721E-2</v>
      </c>
      <c r="U514" s="27">
        <f t="shared" si="177"/>
        <v>-9.3638101486158587E-2</v>
      </c>
      <c r="W514" s="13">
        <f t="shared" si="168"/>
        <v>1</v>
      </c>
      <c r="Y514" s="14">
        <f t="shared" si="169"/>
        <v>200</v>
      </c>
      <c r="Z514" s="14">
        <f t="shared" si="170"/>
        <v>945428.92</v>
      </c>
      <c r="AA514" s="14">
        <f t="shared" si="171"/>
        <v>2639559.9499999997</v>
      </c>
    </row>
    <row r="515" spans="5:27" outlineLevel="1" x14ac:dyDescent="0.25">
      <c r="E515" s="4" t="s">
        <v>61</v>
      </c>
      <c r="F515" s="4">
        <v>5</v>
      </c>
      <c r="G515" s="21">
        <v>199</v>
      </c>
      <c r="H515" s="21">
        <v>206</v>
      </c>
      <c r="I515" s="21">
        <v>205.08999999999997</v>
      </c>
      <c r="J515" s="21">
        <v>874716.72</v>
      </c>
      <c r="K515" s="21">
        <v>940066.99</v>
      </c>
      <c r="L515" s="21">
        <v>907217.36</v>
      </c>
      <c r="M515" s="21">
        <v>2454085.89</v>
      </c>
      <c r="N515" s="21">
        <v>2645314.08</v>
      </c>
      <c r="O515" s="21">
        <v>2586810.4700000002</v>
      </c>
      <c r="S515" s="25">
        <f t="shared" si="175"/>
        <v>-0.11452972650203874</v>
      </c>
      <c r="T515" s="26">
        <f t="shared" si="176"/>
        <v>-8.4218650024594721E-2</v>
      </c>
      <c r="U515" s="27">
        <f t="shared" si="177"/>
        <v>-9.3638101486158587E-2</v>
      </c>
      <c r="W515" s="13">
        <f t="shared" si="168"/>
        <v>1</v>
      </c>
      <c r="Y515" s="14">
        <f t="shared" si="169"/>
        <v>206</v>
      </c>
      <c r="Z515" s="14">
        <f t="shared" si="170"/>
        <v>940066.99</v>
      </c>
      <c r="AA515" s="14">
        <f t="shared" si="171"/>
        <v>2645314.08</v>
      </c>
    </row>
    <row r="516" spans="5:27" outlineLevel="1" x14ac:dyDescent="0.25">
      <c r="E516" s="4" t="s">
        <v>61</v>
      </c>
      <c r="F516" s="4">
        <v>6</v>
      </c>
      <c r="G516" s="21">
        <v>164</v>
      </c>
      <c r="H516" s="21">
        <v>164</v>
      </c>
      <c r="I516" s="21">
        <v>198.64000000000001</v>
      </c>
      <c r="J516" s="21">
        <v>734842.04999999993</v>
      </c>
      <c r="K516" s="21">
        <v>778992.54999999993</v>
      </c>
      <c r="L516" s="21">
        <v>898796.8600000001</v>
      </c>
      <c r="M516" s="21">
        <v>2117894.81</v>
      </c>
      <c r="N516" s="21">
        <v>2250220.7599999993</v>
      </c>
      <c r="O516" s="21">
        <v>2588357.5200000005</v>
      </c>
      <c r="S516" s="25">
        <f t="shared" si="175"/>
        <v>-0.11452972650203874</v>
      </c>
      <c r="T516" s="26">
        <f t="shared" si="176"/>
        <v>-8.4218650024594721E-2</v>
      </c>
      <c r="U516" s="27">
        <f t="shared" si="177"/>
        <v>-9.3638101486158587E-2</v>
      </c>
      <c r="W516" s="13">
        <f t="shared" si="168"/>
        <v>1</v>
      </c>
      <c r="Y516" s="14">
        <f t="shared" si="169"/>
        <v>164</v>
      </c>
      <c r="Z516" s="14">
        <f t="shared" si="170"/>
        <v>778992.54999999993</v>
      </c>
      <c r="AA516" s="14">
        <f t="shared" si="171"/>
        <v>2250220.7599999993</v>
      </c>
    </row>
    <row r="517" spans="5:27" outlineLevel="1" x14ac:dyDescent="0.25">
      <c r="E517" s="4" t="s">
        <v>61</v>
      </c>
      <c r="F517" s="4">
        <v>7</v>
      </c>
      <c r="G517" s="21">
        <v>244</v>
      </c>
      <c r="H517" s="21"/>
      <c r="I517" s="21">
        <v>232.15000000000003</v>
      </c>
      <c r="J517" s="21">
        <v>1062024.2999999998</v>
      </c>
      <c r="K517" s="21"/>
      <c r="L517" s="21">
        <v>1080325.03</v>
      </c>
      <c r="M517" s="21">
        <v>2937870.0399999986</v>
      </c>
      <c r="N517" s="21"/>
      <c r="O517" s="21">
        <v>3148110.82</v>
      </c>
      <c r="S517" s="25">
        <f t="shared" si="175"/>
        <v>-0.11452972650203874</v>
      </c>
      <c r="T517" s="26">
        <f t="shared" si="176"/>
        <v>-8.4218650024594721E-2</v>
      </c>
      <c r="U517" s="27">
        <f t="shared" si="177"/>
        <v>-9.3638101486158587E-2</v>
      </c>
      <c r="W517" s="13">
        <f t="shared" si="168"/>
        <v>0</v>
      </c>
      <c r="Y517" s="14">
        <f t="shared" si="169"/>
        <v>205.56192399255173</v>
      </c>
      <c r="Z517" s="14">
        <f t="shared" si="170"/>
        <v>989341.51438562025</v>
      </c>
      <c r="AA517" s="14">
        <f t="shared" si="171"/>
        <v>2853327.699547166</v>
      </c>
    </row>
    <row r="518" spans="5:27" outlineLevel="1" x14ac:dyDescent="0.25">
      <c r="E518" s="4" t="s">
        <v>61</v>
      </c>
      <c r="F518" s="4">
        <v>8</v>
      </c>
      <c r="G518" s="21">
        <v>238</v>
      </c>
      <c r="H518" s="21"/>
      <c r="I518" s="21">
        <v>217.49</v>
      </c>
      <c r="J518" s="21">
        <v>1147588.99</v>
      </c>
      <c r="K518" s="21"/>
      <c r="L518" s="21">
        <v>1013074.8399999999</v>
      </c>
      <c r="M518" s="21">
        <v>3262306.37</v>
      </c>
      <c r="N518" s="21"/>
      <c r="O518" s="21">
        <v>2920890.4600000004</v>
      </c>
      <c r="S518" s="25">
        <f t="shared" si="175"/>
        <v>-0.11452972650203874</v>
      </c>
      <c r="T518" s="26">
        <f t="shared" si="176"/>
        <v>-8.4218650024594721E-2</v>
      </c>
      <c r="U518" s="27">
        <f t="shared" si="177"/>
        <v>-9.3638101486158587E-2</v>
      </c>
      <c r="W518" s="13">
        <f t="shared" si="168"/>
        <v>0</v>
      </c>
      <c r="Y518" s="14">
        <f t="shared" si="169"/>
        <v>192.58092978307161</v>
      </c>
      <c r="Z518" s="14">
        <f t="shared" si="170"/>
        <v>927755.04460131761</v>
      </c>
      <c r="AA518" s="14">
        <f t="shared" si="171"/>
        <v>2647383.8226765678</v>
      </c>
    </row>
    <row r="519" spans="5:27" outlineLevel="1" x14ac:dyDescent="0.25">
      <c r="E519" s="4" t="s">
        <v>61</v>
      </c>
      <c r="F519" s="4">
        <v>9</v>
      </c>
      <c r="G519" s="21">
        <v>180</v>
      </c>
      <c r="H519" s="21"/>
      <c r="I519" s="21">
        <v>216.97000000000006</v>
      </c>
      <c r="J519" s="21">
        <v>820688.11</v>
      </c>
      <c r="K519" s="21"/>
      <c r="L519" s="21">
        <v>1007511.6099999996</v>
      </c>
      <c r="M519" s="21">
        <v>2453614.39</v>
      </c>
      <c r="N519" s="21"/>
      <c r="O519" s="21">
        <v>2908267.6999999997</v>
      </c>
      <c r="S519" s="25">
        <f t="shared" si="175"/>
        <v>-0.11452972650203874</v>
      </c>
      <c r="T519" s="26">
        <f t="shared" si="176"/>
        <v>-8.4218650024594721E-2</v>
      </c>
      <c r="U519" s="27">
        <f t="shared" si="177"/>
        <v>-9.3638101486158587E-2</v>
      </c>
      <c r="W519" s="13">
        <f t="shared" si="168"/>
        <v>0</v>
      </c>
      <c r="Y519" s="14">
        <f t="shared" si="169"/>
        <v>192.1204852408527</v>
      </c>
      <c r="Z519" s="14">
        <f t="shared" si="170"/>
        <v>922660.34232169366</v>
      </c>
      <c r="AA519" s="14">
        <f t="shared" si="171"/>
        <v>2635943.0339584826</v>
      </c>
    </row>
    <row r="520" spans="5:27" outlineLevel="1" x14ac:dyDescent="0.25">
      <c r="E520" s="4" t="s">
        <v>61</v>
      </c>
      <c r="F520" s="4">
        <v>10</v>
      </c>
      <c r="G520" s="21">
        <v>190</v>
      </c>
      <c r="H520" s="21"/>
      <c r="I520" s="21">
        <v>235.55000000000004</v>
      </c>
      <c r="J520" s="21">
        <v>838701.38</v>
      </c>
      <c r="K520" s="21"/>
      <c r="L520" s="21">
        <v>1099956.94</v>
      </c>
      <c r="M520" s="21">
        <v>2368110.1100000003</v>
      </c>
      <c r="N520" s="21"/>
      <c r="O520" s="21">
        <v>3173953.15</v>
      </c>
      <c r="S520" s="25">
        <f t="shared" si="175"/>
        <v>-0.11452972650203874</v>
      </c>
      <c r="T520" s="26">
        <f t="shared" si="176"/>
        <v>-8.4218650024594721E-2</v>
      </c>
      <c r="U520" s="27">
        <f t="shared" si="177"/>
        <v>-9.3638101486158587E-2</v>
      </c>
      <c r="W520" s="13">
        <f t="shared" si="168"/>
        <v>0</v>
      </c>
      <c r="Y520" s="14">
        <f t="shared" si="169"/>
        <v>208.57252292244482</v>
      </c>
      <c r="Z520" s="14">
        <f t="shared" si="170"/>
        <v>1007320.0514280158</v>
      </c>
      <c r="AA520" s="14">
        <f t="shared" si="171"/>
        <v>2876750.2028279873</v>
      </c>
    </row>
    <row r="521" spans="5:27" outlineLevel="1" x14ac:dyDescent="0.25">
      <c r="E521" s="4" t="s">
        <v>61</v>
      </c>
      <c r="F521" s="4">
        <v>11</v>
      </c>
      <c r="G521" s="21">
        <v>295</v>
      </c>
      <c r="H521" s="21"/>
      <c r="I521" s="21">
        <v>230.23000000000005</v>
      </c>
      <c r="J521" s="21">
        <v>1271396.5</v>
      </c>
      <c r="K521" s="21"/>
      <c r="L521" s="21">
        <v>1085500.78</v>
      </c>
      <c r="M521" s="21">
        <v>3498999.37</v>
      </c>
      <c r="N521" s="21"/>
      <c r="O521" s="21">
        <v>3155719.6399999997</v>
      </c>
      <c r="S521" s="25">
        <f t="shared" si="175"/>
        <v>-0.11452972650203874</v>
      </c>
      <c r="T521" s="26">
        <f t="shared" si="176"/>
        <v>-8.4218650024594721E-2</v>
      </c>
      <c r="U521" s="27">
        <f t="shared" si="177"/>
        <v>-9.3638101486158587E-2</v>
      </c>
      <c r="W521" s="13">
        <f t="shared" si="168"/>
        <v>0</v>
      </c>
      <c r="Y521" s="14">
        <f t="shared" si="169"/>
        <v>203.86182106743567</v>
      </c>
      <c r="Z521" s="14">
        <f t="shared" si="170"/>
        <v>994081.3697077554</v>
      </c>
      <c r="AA521" s="14">
        <f t="shared" si="171"/>
        <v>2860224.044087816</v>
      </c>
    </row>
    <row r="522" spans="5:27" outlineLevel="1" x14ac:dyDescent="0.25">
      <c r="E522" s="4" t="s">
        <v>61</v>
      </c>
      <c r="F522" s="4">
        <v>12</v>
      </c>
      <c r="G522" s="21">
        <v>267</v>
      </c>
      <c r="H522" s="21"/>
      <c r="I522" s="21">
        <v>234.91000000000003</v>
      </c>
      <c r="J522" s="21">
        <v>1289978.42</v>
      </c>
      <c r="K522" s="21"/>
      <c r="L522" s="21">
        <v>1086575.58</v>
      </c>
      <c r="M522" s="21">
        <v>3641286.6</v>
      </c>
      <c r="N522" s="21"/>
      <c r="O522" s="21">
        <v>3156848.3400000012</v>
      </c>
      <c r="S522" s="28">
        <f t="shared" si="175"/>
        <v>-0.11452972650203874</v>
      </c>
      <c r="T522" s="29">
        <f t="shared" si="176"/>
        <v>-8.4218650024594721E-2</v>
      </c>
      <c r="U522" s="30">
        <f t="shared" si="177"/>
        <v>-9.3638101486158587E-2</v>
      </c>
      <c r="W522" s="13">
        <f t="shared" si="168"/>
        <v>0</v>
      </c>
      <c r="Y522" s="14">
        <f t="shared" si="169"/>
        <v>208.0058219474061</v>
      </c>
      <c r="Z522" s="14">
        <f t="shared" si="170"/>
        <v>995065.65150270902</v>
      </c>
      <c r="AA522" s="14">
        <f t="shared" si="171"/>
        <v>2861247.0547626698</v>
      </c>
    </row>
    <row r="523" spans="5:27" outlineLevel="1" x14ac:dyDescent="0.25">
      <c r="E523" s="4" t="s">
        <v>62</v>
      </c>
      <c r="F523" s="4">
        <v>1</v>
      </c>
      <c r="G523" s="21">
        <v>65</v>
      </c>
      <c r="H523" s="21">
        <v>67</v>
      </c>
      <c r="I523" s="21">
        <v>70.11</v>
      </c>
      <c r="J523" s="21">
        <v>282324.94000000006</v>
      </c>
      <c r="K523" s="21">
        <v>311002.42999999993</v>
      </c>
      <c r="L523" s="21">
        <v>325613.60000000003</v>
      </c>
      <c r="M523" s="21">
        <v>873365.24</v>
      </c>
      <c r="N523" s="21">
        <v>976751.7699999999</v>
      </c>
      <c r="O523" s="21">
        <v>1009220.06</v>
      </c>
      <c r="S523" s="22">
        <f t="shared" ref="S523:S534" si="178">IFERROR(SUMPRODUCT(H$523:H$534,$W$523:$W$534)/SUMPRODUCT(I$523:I$534,$W$523:$W$534)-1,"")</f>
        <v>-0.12023460410557185</v>
      </c>
      <c r="T523" s="26">
        <f t="shared" ref="T523:T534" si="179">IFERROR(SUMPRODUCT(K$523:K$534,$W$523:$W$534)/SUMPRODUCT(L$523:L$534,$W$523:$W$534)-1,"")</f>
        <v>-9.303224163907764E-2</v>
      </c>
      <c r="U523" s="24">
        <f t="shared" ref="U523:U534" si="180">IFERROR(SUMPRODUCT(N$523:N$534,$W$523:$W$534)/SUMPRODUCT(O$523:O$534,$W$523:$W$534)-1,"")</f>
        <v>-0.10393188554596788</v>
      </c>
      <c r="W523" s="13">
        <f t="shared" si="168"/>
        <v>1</v>
      </c>
      <c r="Y523" s="14">
        <f t="shared" si="169"/>
        <v>67</v>
      </c>
      <c r="Z523" s="14">
        <f t="shared" si="170"/>
        <v>311002.42999999993</v>
      </c>
      <c r="AA523" s="14">
        <f t="shared" si="171"/>
        <v>976751.7699999999</v>
      </c>
    </row>
    <row r="524" spans="5:27" outlineLevel="1" x14ac:dyDescent="0.25">
      <c r="E524" s="4" t="s">
        <v>62</v>
      </c>
      <c r="F524" s="4">
        <v>2</v>
      </c>
      <c r="G524" s="21">
        <v>47</v>
      </c>
      <c r="H524" s="21">
        <v>50</v>
      </c>
      <c r="I524" s="21">
        <v>66.899999999999991</v>
      </c>
      <c r="J524" s="21">
        <v>223377.75999999992</v>
      </c>
      <c r="K524" s="21">
        <v>242572.84000000003</v>
      </c>
      <c r="L524" s="21">
        <v>306295.63</v>
      </c>
      <c r="M524" s="21">
        <v>676831.42999999993</v>
      </c>
      <c r="N524" s="21">
        <v>750646.95999999985</v>
      </c>
      <c r="O524" s="21">
        <v>920833.46000000008</v>
      </c>
      <c r="S524" s="25">
        <f t="shared" si="178"/>
        <v>-0.12023460410557185</v>
      </c>
      <c r="T524" s="26">
        <f t="shared" si="179"/>
        <v>-9.303224163907764E-2</v>
      </c>
      <c r="U524" s="27">
        <f t="shared" si="180"/>
        <v>-0.10393188554596788</v>
      </c>
      <c r="W524" s="13">
        <f t="shared" si="168"/>
        <v>1</v>
      </c>
      <c r="Y524" s="14">
        <f t="shared" si="169"/>
        <v>50</v>
      </c>
      <c r="Z524" s="14">
        <f t="shared" si="170"/>
        <v>242572.84000000003</v>
      </c>
      <c r="AA524" s="14">
        <f t="shared" si="171"/>
        <v>750646.95999999985</v>
      </c>
    </row>
    <row r="525" spans="5:27" outlineLevel="1" x14ac:dyDescent="0.25">
      <c r="E525" s="4" t="s">
        <v>62</v>
      </c>
      <c r="F525" s="4">
        <v>3</v>
      </c>
      <c r="G525" s="21">
        <v>54</v>
      </c>
      <c r="H525" s="21">
        <v>55</v>
      </c>
      <c r="I525" s="21">
        <v>68.220000000000013</v>
      </c>
      <c r="J525" s="21">
        <v>248601.04</v>
      </c>
      <c r="K525" s="21">
        <v>262261.67</v>
      </c>
      <c r="L525" s="21">
        <v>313353.37</v>
      </c>
      <c r="M525" s="21">
        <v>742640.12999999989</v>
      </c>
      <c r="N525" s="21">
        <v>791585.81</v>
      </c>
      <c r="O525" s="21">
        <v>952234.15000000014</v>
      </c>
      <c r="S525" s="25">
        <f t="shared" si="178"/>
        <v>-0.12023460410557185</v>
      </c>
      <c r="T525" s="26">
        <f t="shared" si="179"/>
        <v>-9.303224163907764E-2</v>
      </c>
      <c r="U525" s="27">
        <f t="shared" si="180"/>
        <v>-0.10393188554596788</v>
      </c>
      <c r="W525" s="13">
        <f t="shared" si="168"/>
        <v>1</v>
      </c>
      <c r="Y525" s="14">
        <f t="shared" si="169"/>
        <v>55</v>
      </c>
      <c r="Z525" s="14">
        <f t="shared" si="170"/>
        <v>262261.67</v>
      </c>
      <c r="AA525" s="14">
        <f t="shared" si="171"/>
        <v>791585.81</v>
      </c>
    </row>
    <row r="526" spans="5:27" outlineLevel="1" x14ac:dyDescent="0.25">
      <c r="E526" s="4" t="s">
        <v>62</v>
      </c>
      <c r="F526" s="4">
        <v>4</v>
      </c>
      <c r="G526" s="21">
        <v>28</v>
      </c>
      <c r="H526" s="21">
        <v>32</v>
      </c>
      <c r="I526" s="21">
        <v>68.459999999999994</v>
      </c>
      <c r="J526" s="21">
        <v>102389.25</v>
      </c>
      <c r="K526" s="21">
        <v>120054.9</v>
      </c>
      <c r="L526" s="21">
        <v>313990.65000000008</v>
      </c>
      <c r="M526" s="21">
        <v>368692.31</v>
      </c>
      <c r="N526" s="21">
        <v>425790.76999999996</v>
      </c>
      <c r="O526" s="21">
        <v>954242.54</v>
      </c>
      <c r="S526" s="25">
        <f t="shared" si="178"/>
        <v>-0.12023460410557185</v>
      </c>
      <c r="T526" s="26">
        <f t="shared" si="179"/>
        <v>-9.303224163907764E-2</v>
      </c>
      <c r="U526" s="27">
        <f t="shared" si="180"/>
        <v>-0.10393188554596788</v>
      </c>
      <c r="W526" s="13">
        <f t="shared" si="168"/>
        <v>1</v>
      </c>
      <c r="Y526" s="14">
        <f t="shared" si="169"/>
        <v>32</v>
      </c>
      <c r="Z526" s="14">
        <f t="shared" si="170"/>
        <v>120054.9</v>
      </c>
      <c r="AA526" s="14">
        <f t="shared" si="171"/>
        <v>425790.76999999996</v>
      </c>
    </row>
    <row r="527" spans="5:27" outlineLevel="1" x14ac:dyDescent="0.25">
      <c r="E527" s="4" t="s">
        <v>62</v>
      </c>
      <c r="F527" s="4">
        <v>5</v>
      </c>
      <c r="G527" s="21">
        <v>80</v>
      </c>
      <c r="H527" s="21">
        <v>87</v>
      </c>
      <c r="I527" s="21">
        <v>72.409999999999982</v>
      </c>
      <c r="J527" s="21">
        <v>376891.79</v>
      </c>
      <c r="K527" s="21">
        <v>426340.61999999988</v>
      </c>
      <c r="L527" s="21">
        <v>337634.11999999994</v>
      </c>
      <c r="M527" s="21">
        <v>1139239.1000000001</v>
      </c>
      <c r="N527" s="21">
        <v>1255379.56</v>
      </c>
      <c r="O527" s="21">
        <v>1059478.2799999998</v>
      </c>
      <c r="S527" s="25">
        <f t="shared" si="178"/>
        <v>-0.12023460410557185</v>
      </c>
      <c r="T527" s="26">
        <f t="shared" si="179"/>
        <v>-9.303224163907764E-2</v>
      </c>
      <c r="U527" s="27">
        <f t="shared" si="180"/>
        <v>-0.10393188554596788</v>
      </c>
      <c r="W527" s="13">
        <f t="shared" si="168"/>
        <v>1</v>
      </c>
      <c r="Y527" s="14">
        <f t="shared" si="169"/>
        <v>87</v>
      </c>
      <c r="Z527" s="14">
        <f t="shared" si="170"/>
        <v>426340.61999999988</v>
      </c>
      <c r="AA527" s="14">
        <f t="shared" si="171"/>
        <v>1255379.56</v>
      </c>
    </row>
    <row r="528" spans="5:27" outlineLevel="1" x14ac:dyDescent="0.25">
      <c r="E528" s="4" t="s">
        <v>62</v>
      </c>
      <c r="F528" s="4">
        <v>6</v>
      </c>
      <c r="G528" s="21">
        <v>72</v>
      </c>
      <c r="H528" s="21">
        <v>75</v>
      </c>
      <c r="I528" s="21">
        <v>69.92</v>
      </c>
      <c r="J528" s="21">
        <v>351845.23000000004</v>
      </c>
      <c r="K528" s="21">
        <v>377503.18999999994</v>
      </c>
      <c r="L528" s="21">
        <v>321301.70999999996</v>
      </c>
      <c r="M528" s="21">
        <v>1009122.46</v>
      </c>
      <c r="N528" s="21">
        <v>1070042.8899999999</v>
      </c>
      <c r="O528" s="21">
        <v>985461.54</v>
      </c>
      <c r="S528" s="25">
        <f t="shared" si="178"/>
        <v>-0.12023460410557185</v>
      </c>
      <c r="T528" s="26">
        <f t="shared" si="179"/>
        <v>-9.303224163907764E-2</v>
      </c>
      <c r="U528" s="27">
        <f t="shared" si="180"/>
        <v>-0.10393188554596788</v>
      </c>
      <c r="W528" s="13">
        <f t="shared" si="168"/>
        <v>1</v>
      </c>
      <c r="Y528" s="14">
        <f t="shared" si="169"/>
        <v>75</v>
      </c>
      <c r="Z528" s="14">
        <f t="shared" si="170"/>
        <v>377503.18999999994</v>
      </c>
      <c r="AA528" s="14">
        <f t="shared" si="171"/>
        <v>1070042.8899999999</v>
      </c>
    </row>
    <row r="529" spans="5:27" outlineLevel="1" x14ac:dyDescent="0.25">
      <c r="E529" s="4" t="s">
        <v>62</v>
      </c>
      <c r="F529" s="4">
        <v>7</v>
      </c>
      <c r="G529" s="21">
        <v>87</v>
      </c>
      <c r="H529" s="21"/>
      <c r="I529" s="21">
        <v>70.36999999999999</v>
      </c>
      <c r="J529" s="21">
        <v>390722.43999999994</v>
      </c>
      <c r="K529" s="21"/>
      <c r="L529" s="21">
        <v>324155.87000000005</v>
      </c>
      <c r="M529" s="21">
        <v>1126148.1900000002</v>
      </c>
      <c r="N529" s="21"/>
      <c r="O529" s="21">
        <v>997012.46</v>
      </c>
      <c r="S529" s="25">
        <f t="shared" si="178"/>
        <v>-0.12023460410557185</v>
      </c>
      <c r="T529" s="26">
        <f t="shared" si="179"/>
        <v>-9.303224163907764E-2</v>
      </c>
      <c r="U529" s="27">
        <f t="shared" si="180"/>
        <v>-0.10393188554596788</v>
      </c>
      <c r="W529" s="13">
        <f t="shared" si="168"/>
        <v>0</v>
      </c>
      <c r="Y529" s="14">
        <f t="shared" si="169"/>
        <v>61.909090909090899</v>
      </c>
      <c r="Z529" s="14">
        <f t="shared" si="170"/>
        <v>293998.92277343461</v>
      </c>
      <c r="AA529" s="14">
        <f t="shared" si="171"/>
        <v>893391.07511937607</v>
      </c>
    </row>
    <row r="530" spans="5:27" outlineLevel="1" x14ac:dyDescent="0.25">
      <c r="E530" s="4" t="s">
        <v>62</v>
      </c>
      <c r="F530" s="4">
        <v>8</v>
      </c>
      <c r="G530" s="21">
        <v>83</v>
      </c>
      <c r="H530" s="21"/>
      <c r="I530" s="21">
        <v>67.95</v>
      </c>
      <c r="J530" s="21">
        <v>386310.41</v>
      </c>
      <c r="K530" s="21"/>
      <c r="L530" s="21">
        <v>309928.22000000009</v>
      </c>
      <c r="M530" s="21">
        <v>1105637.9100000001</v>
      </c>
      <c r="N530" s="21"/>
      <c r="O530" s="21">
        <v>930319.32999999984</v>
      </c>
      <c r="S530" s="25">
        <f t="shared" si="178"/>
        <v>-0.12023460410557185</v>
      </c>
      <c r="T530" s="26">
        <f t="shared" si="179"/>
        <v>-9.303224163907764E-2</v>
      </c>
      <c r="U530" s="27">
        <f t="shared" si="180"/>
        <v>-0.10393188554596788</v>
      </c>
      <c r="W530" s="13">
        <f t="shared" si="168"/>
        <v>0</v>
      </c>
      <c r="Y530" s="14">
        <f t="shared" si="169"/>
        <v>59.780058651026394</v>
      </c>
      <c r="Z530" s="14">
        <f t="shared" si="170"/>
        <v>281094.90294619085</v>
      </c>
      <c r="AA530" s="14">
        <f t="shared" si="171"/>
        <v>833629.48787323828</v>
      </c>
    </row>
    <row r="531" spans="5:27" outlineLevel="1" x14ac:dyDescent="0.25">
      <c r="E531" s="4" t="s">
        <v>62</v>
      </c>
      <c r="F531" s="4">
        <v>9</v>
      </c>
      <c r="G531" s="21">
        <v>32</v>
      </c>
      <c r="H531" s="21"/>
      <c r="I531" s="21">
        <v>71.209999999999994</v>
      </c>
      <c r="J531" s="21">
        <v>133023.72</v>
      </c>
      <c r="K531" s="21"/>
      <c r="L531" s="21">
        <v>330099.89</v>
      </c>
      <c r="M531" s="21">
        <v>457323.98</v>
      </c>
      <c r="N531" s="21"/>
      <c r="O531" s="21">
        <v>1020498.18</v>
      </c>
      <c r="S531" s="25">
        <f t="shared" si="178"/>
        <v>-0.12023460410557185</v>
      </c>
      <c r="T531" s="26">
        <f t="shared" si="179"/>
        <v>-9.303224163907764E-2</v>
      </c>
      <c r="U531" s="27">
        <f t="shared" si="180"/>
        <v>-0.10393188554596788</v>
      </c>
      <c r="W531" s="13">
        <f t="shared" si="168"/>
        <v>0</v>
      </c>
      <c r="Y531" s="14">
        <f t="shared" si="169"/>
        <v>62.648093841642222</v>
      </c>
      <c r="Z531" s="14">
        <f t="shared" si="170"/>
        <v>299389.95726848708</v>
      </c>
      <c r="AA531" s="14">
        <f t="shared" si="171"/>
        <v>914435.8799563715</v>
      </c>
    </row>
    <row r="532" spans="5:27" outlineLevel="1" x14ac:dyDescent="0.25">
      <c r="E532" s="4" t="s">
        <v>62</v>
      </c>
      <c r="F532" s="4">
        <v>10</v>
      </c>
      <c r="G532" s="21">
        <v>59</v>
      </c>
      <c r="H532" s="21"/>
      <c r="I532" s="21">
        <v>70.769999999999982</v>
      </c>
      <c r="J532" s="21">
        <v>285616.86</v>
      </c>
      <c r="K532" s="21"/>
      <c r="L532" s="21">
        <v>326059.16999999993</v>
      </c>
      <c r="M532" s="21">
        <v>885910.18999999983</v>
      </c>
      <c r="N532" s="21"/>
      <c r="O532" s="21">
        <v>1000813.1000000001</v>
      </c>
      <c r="S532" s="25">
        <f t="shared" si="178"/>
        <v>-0.12023460410557185</v>
      </c>
      <c r="T532" s="26">
        <f t="shared" si="179"/>
        <v>-9.303224163907764E-2</v>
      </c>
      <c r="U532" s="27">
        <f t="shared" si="180"/>
        <v>-0.10393188554596788</v>
      </c>
      <c r="W532" s="13">
        <f t="shared" si="168"/>
        <v>0</v>
      </c>
      <c r="Y532" s="14">
        <f t="shared" si="169"/>
        <v>62.260997067448663</v>
      </c>
      <c r="Z532" s="14">
        <f t="shared" si="170"/>
        <v>295725.15450792282</v>
      </c>
      <c r="AA532" s="14">
        <f t="shared" si="171"/>
        <v>896796.70743789477</v>
      </c>
    </row>
    <row r="533" spans="5:27" outlineLevel="1" x14ac:dyDescent="0.25">
      <c r="E533" s="4" t="s">
        <v>62</v>
      </c>
      <c r="F533" s="4">
        <v>11</v>
      </c>
      <c r="G533" s="21">
        <v>84</v>
      </c>
      <c r="H533" s="21"/>
      <c r="I533" s="21">
        <v>72.66</v>
      </c>
      <c r="J533" s="21">
        <v>385892.35999999993</v>
      </c>
      <c r="K533" s="21"/>
      <c r="L533" s="21">
        <v>336187.39000000007</v>
      </c>
      <c r="M533" s="21">
        <v>1166369.74</v>
      </c>
      <c r="N533" s="21"/>
      <c r="O533" s="21">
        <v>1047270.6799999999</v>
      </c>
      <c r="S533" s="25">
        <f t="shared" si="178"/>
        <v>-0.12023460410557185</v>
      </c>
      <c r="T533" s="26">
        <f t="shared" si="179"/>
        <v>-9.303224163907764E-2</v>
      </c>
      <c r="U533" s="27">
        <f t="shared" si="180"/>
        <v>-0.10393188554596788</v>
      </c>
      <c r="W533" s="13">
        <f t="shared" si="168"/>
        <v>0</v>
      </c>
      <c r="Y533" s="14">
        <f t="shared" si="169"/>
        <v>63.923753665689148</v>
      </c>
      <c r="Z533" s="14">
        <f t="shared" si="170"/>
        <v>304911.12349750922</v>
      </c>
      <c r="AA533" s="14">
        <f t="shared" si="171"/>
        <v>938425.86355059198</v>
      </c>
    </row>
    <row r="534" spans="5:27" outlineLevel="1" x14ac:dyDescent="0.25">
      <c r="E534" s="4" t="s">
        <v>62</v>
      </c>
      <c r="F534" s="4">
        <v>12</v>
      </c>
      <c r="G534" s="21">
        <v>109</v>
      </c>
      <c r="H534" s="21"/>
      <c r="I534" s="21">
        <v>70.97999999999999</v>
      </c>
      <c r="J534" s="21">
        <v>523247.12</v>
      </c>
      <c r="K534" s="21"/>
      <c r="L534" s="21">
        <v>325058.42</v>
      </c>
      <c r="M534" s="21">
        <v>1506069.6300000001</v>
      </c>
      <c r="N534" s="21"/>
      <c r="O534" s="21">
        <v>994947.38</v>
      </c>
      <c r="S534" s="28">
        <f t="shared" si="178"/>
        <v>-0.12023460410557185</v>
      </c>
      <c r="T534" s="26">
        <f t="shared" si="179"/>
        <v>-9.303224163907764E-2</v>
      </c>
      <c r="U534" s="30">
        <f t="shared" si="180"/>
        <v>-0.10393188554596788</v>
      </c>
      <c r="W534" s="13">
        <f t="shared" si="168"/>
        <v>0</v>
      </c>
      <c r="Y534" s="14">
        <f t="shared" si="169"/>
        <v>62.445747800586503</v>
      </c>
      <c r="Z534" s="14">
        <f t="shared" si="170"/>
        <v>294817.50652374321</v>
      </c>
      <c r="AA534" s="14">
        <f t="shared" si="171"/>
        <v>891540.62277757935</v>
      </c>
    </row>
    <row r="535" spans="5:27" outlineLevel="1" x14ac:dyDescent="0.25">
      <c r="E535" s="4" t="s">
        <v>63</v>
      </c>
      <c r="F535" s="4">
        <v>1</v>
      </c>
      <c r="G535" s="21">
        <v>51</v>
      </c>
      <c r="H535" s="21">
        <v>50</v>
      </c>
      <c r="I535" s="21">
        <v>38.6</v>
      </c>
      <c r="J535" s="21">
        <v>201974.15</v>
      </c>
      <c r="K535" s="21">
        <v>204789.74</v>
      </c>
      <c r="L535" s="21">
        <v>170837.08000000002</v>
      </c>
      <c r="M535" s="21">
        <v>547455.43000000005</v>
      </c>
      <c r="N535" s="21">
        <v>560395.69000000006</v>
      </c>
      <c r="O535" s="21">
        <v>478331.56</v>
      </c>
      <c r="S535" s="22">
        <f t="shared" ref="S535:S546" si="181">IFERROR(SUMPRODUCT(H$535:H$546,$W$535:$W$546)/SUMPRODUCT(I$535:I$546,$W$535:$W$546)-1,"")</f>
        <v>0.20244355088153432</v>
      </c>
      <c r="T535" s="23">
        <f t="shared" ref="T535:T546" si="182">IFERROR(SUMPRODUCT(K$535:K$546,$W$535:$W$546)/SUMPRODUCT(L$535:L$546,$W$535:$W$546)-1,"")</f>
        <v>0.25845387658594565</v>
      </c>
      <c r="U535" s="24">
        <f t="shared" ref="U535:U546" si="183">IFERROR(SUMPRODUCT(N$535:N$546,$W$535:$W$546)/SUMPRODUCT(O$535:O$546,$W$535:$W$546)-1,"")</f>
        <v>0.23597956734541747</v>
      </c>
      <c r="W535" s="13">
        <f t="shared" si="168"/>
        <v>1</v>
      </c>
      <c r="Y535" s="14">
        <f t="shared" si="169"/>
        <v>50</v>
      </c>
      <c r="Z535" s="14">
        <f t="shared" si="170"/>
        <v>204789.74</v>
      </c>
      <c r="AA535" s="14">
        <f t="shared" si="171"/>
        <v>560395.69000000006</v>
      </c>
    </row>
    <row r="536" spans="5:27" outlineLevel="1" x14ac:dyDescent="0.25">
      <c r="E536" s="4" t="s">
        <v>63</v>
      </c>
      <c r="F536" s="4">
        <v>2</v>
      </c>
      <c r="G536" s="21">
        <v>49</v>
      </c>
      <c r="H536" s="21">
        <v>50</v>
      </c>
      <c r="I536" s="21">
        <v>38.550000000000004</v>
      </c>
      <c r="J536" s="21">
        <v>222281.72999999998</v>
      </c>
      <c r="K536" s="21">
        <v>236305.53999999998</v>
      </c>
      <c r="L536" s="21">
        <v>170812.04</v>
      </c>
      <c r="M536" s="21">
        <v>624020.01000000013</v>
      </c>
      <c r="N536" s="21">
        <v>664196.76</v>
      </c>
      <c r="O536" s="21">
        <v>478013.16</v>
      </c>
      <c r="S536" s="25">
        <f t="shared" si="181"/>
        <v>0.20244355088153432</v>
      </c>
      <c r="T536" s="26">
        <f t="shared" si="182"/>
        <v>0.25845387658594565</v>
      </c>
      <c r="U536" s="27">
        <f t="shared" si="183"/>
        <v>0.23597956734541747</v>
      </c>
      <c r="W536" s="13">
        <f t="shared" si="168"/>
        <v>1</v>
      </c>
      <c r="Y536" s="14">
        <f t="shared" si="169"/>
        <v>50</v>
      </c>
      <c r="Z536" s="14">
        <f t="shared" si="170"/>
        <v>236305.53999999998</v>
      </c>
      <c r="AA536" s="14">
        <f t="shared" si="171"/>
        <v>664196.76</v>
      </c>
    </row>
    <row r="537" spans="5:27" outlineLevel="1" x14ac:dyDescent="0.25">
      <c r="E537" s="4" t="s">
        <v>63</v>
      </c>
      <c r="F537" s="4">
        <v>3</v>
      </c>
      <c r="G537" s="21">
        <v>51</v>
      </c>
      <c r="H537" s="21">
        <v>53</v>
      </c>
      <c r="I537" s="21">
        <v>45.03</v>
      </c>
      <c r="J537" s="21">
        <v>229949.68000000002</v>
      </c>
      <c r="K537" s="21">
        <v>249670.95000000004</v>
      </c>
      <c r="L537" s="21">
        <v>205317.86000000002</v>
      </c>
      <c r="M537" s="21">
        <v>657206.70999999985</v>
      </c>
      <c r="N537" s="21">
        <v>698720.34999999986</v>
      </c>
      <c r="O537" s="21">
        <v>588982.04</v>
      </c>
      <c r="S537" s="25">
        <f t="shared" si="181"/>
        <v>0.20244355088153432</v>
      </c>
      <c r="T537" s="26">
        <f t="shared" si="182"/>
        <v>0.25845387658594565</v>
      </c>
      <c r="U537" s="27">
        <f t="shared" si="183"/>
        <v>0.23597956734541747</v>
      </c>
      <c r="W537" s="13">
        <f t="shared" si="168"/>
        <v>1</v>
      </c>
      <c r="Y537" s="14">
        <f t="shared" si="169"/>
        <v>53</v>
      </c>
      <c r="Z537" s="14">
        <f t="shared" si="170"/>
        <v>249670.95000000004</v>
      </c>
      <c r="AA537" s="14">
        <f t="shared" si="171"/>
        <v>698720.34999999986</v>
      </c>
    </row>
    <row r="538" spans="5:27" outlineLevel="1" x14ac:dyDescent="0.25">
      <c r="E538" s="4" t="s">
        <v>63</v>
      </c>
      <c r="F538" s="4">
        <v>4</v>
      </c>
      <c r="G538" s="21">
        <v>47</v>
      </c>
      <c r="H538" s="21">
        <v>49</v>
      </c>
      <c r="I538" s="21">
        <v>47.18</v>
      </c>
      <c r="J538" s="21">
        <v>238556.08000000002</v>
      </c>
      <c r="K538" s="21">
        <v>257240.13000000003</v>
      </c>
      <c r="L538" s="21">
        <v>216949.98</v>
      </c>
      <c r="M538" s="21">
        <v>694633.22</v>
      </c>
      <c r="N538" s="21">
        <v>722489.55</v>
      </c>
      <c r="O538" s="21">
        <v>626816.68999999994</v>
      </c>
      <c r="S538" s="25">
        <f t="shared" si="181"/>
        <v>0.20244355088153432</v>
      </c>
      <c r="T538" s="26">
        <f t="shared" si="182"/>
        <v>0.25845387658594565</v>
      </c>
      <c r="U538" s="27">
        <f t="shared" si="183"/>
        <v>0.23597956734541747</v>
      </c>
      <c r="W538" s="13">
        <f t="shared" si="168"/>
        <v>1</v>
      </c>
      <c r="Y538" s="14">
        <f t="shared" si="169"/>
        <v>49</v>
      </c>
      <c r="Z538" s="14">
        <f t="shared" si="170"/>
        <v>257240.13000000003</v>
      </c>
      <c r="AA538" s="14">
        <f t="shared" si="171"/>
        <v>722489.55</v>
      </c>
    </row>
    <row r="539" spans="5:27" outlineLevel="1" x14ac:dyDescent="0.25">
      <c r="E539" s="4" t="s">
        <v>63</v>
      </c>
      <c r="F539" s="4">
        <v>5</v>
      </c>
      <c r="G539" s="21">
        <v>55</v>
      </c>
      <c r="H539" s="21">
        <v>57</v>
      </c>
      <c r="I539" s="21">
        <v>45.160000000000004</v>
      </c>
      <c r="J539" s="21">
        <v>236477.44000000003</v>
      </c>
      <c r="K539" s="21">
        <v>256906.95</v>
      </c>
      <c r="L539" s="21">
        <v>206572.26000000004</v>
      </c>
      <c r="M539" s="21">
        <v>662662.4700000002</v>
      </c>
      <c r="N539" s="21">
        <v>715911.8</v>
      </c>
      <c r="O539" s="21">
        <v>593228.49000000011</v>
      </c>
      <c r="S539" s="25">
        <f t="shared" si="181"/>
        <v>0.20244355088153432</v>
      </c>
      <c r="T539" s="26">
        <f t="shared" si="182"/>
        <v>0.25845387658594565</v>
      </c>
      <c r="U539" s="27">
        <f t="shared" si="183"/>
        <v>0.23597956734541747</v>
      </c>
      <c r="W539" s="13">
        <f t="shared" si="168"/>
        <v>1</v>
      </c>
      <c r="Y539" s="14">
        <f t="shared" si="169"/>
        <v>57</v>
      </c>
      <c r="Z539" s="14">
        <f t="shared" si="170"/>
        <v>256906.95</v>
      </c>
      <c r="AA539" s="14">
        <f t="shared" si="171"/>
        <v>715911.8</v>
      </c>
    </row>
    <row r="540" spans="5:27" outlineLevel="1" x14ac:dyDescent="0.25">
      <c r="E540" s="4" t="s">
        <v>63</v>
      </c>
      <c r="F540" s="4">
        <v>6</v>
      </c>
      <c r="G540" s="21">
        <v>51</v>
      </c>
      <c r="H540" s="21">
        <v>52</v>
      </c>
      <c r="I540" s="21">
        <v>44.120000000000005</v>
      </c>
      <c r="J540" s="21">
        <v>253176.95999999999</v>
      </c>
      <c r="K540" s="21">
        <v>269869.09000000003</v>
      </c>
      <c r="L540" s="21">
        <v>201411.01999999996</v>
      </c>
      <c r="M540" s="21">
        <v>717514.85</v>
      </c>
      <c r="N540" s="21">
        <v>769064.3600000001</v>
      </c>
      <c r="O540" s="21">
        <v>576737.12</v>
      </c>
      <c r="S540" s="25">
        <f t="shared" si="181"/>
        <v>0.20244355088153432</v>
      </c>
      <c r="T540" s="26">
        <f t="shared" si="182"/>
        <v>0.25845387658594565</v>
      </c>
      <c r="U540" s="27">
        <f t="shared" si="183"/>
        <v>0.23597956734541747</v>
      </c>
      <c r="W540" s="13">
        <f t="shared" si="168"/>
        <v>1</v>
      </c>
      <c r="Y540" s="14">
        <f t="shared" si="169"/>
        <v>52</v>
      </c>
      <c r="Z540" s="14">
        <f t="shared" si="170"/>
        <v>269869.09000000003</v>
      </c>
      <c r="AA540" s="14">
        <f t="shared" si="171"/>
        <v>769064.3600000001</v>
      </c>
    </row>
    <row r="541" spans="5:27" outlineLevel="1" x14ac:dyDescent="0.25">
      <c r="E541" s="4" t="s">
        <v>63</v>
      </c>
      <c r="F541" s="4">
        <v>7</v>
      </c>
      <c r="G541" s="21">
        <v>35</v>
      </c>
      <c r="H541" s="21"/>
      <c r="I541" s="21">
        <v>38.119999999999997</v>
      </c>
      <c r="J541" s="21">
        <v>157211.22</v>
      </c>
      <c r="K541" s="21"/>
      <c r="L541" s="21">
        <v>170033.54</v>
      </c>
      <c r="M541" s="21">
        <v>447525.42999999993</v>
      </c>
      <c r="N541" s="21"/>
      <c r="O541" s="21">
        <v>476421.31</v>
      </c>
      <c r="S541" s="25">
        <f t="shared" si="181"/>
        <v>0.20244355088153432</v>
      </c>
      <c r="T541" s="26">
        <f t="shared" si="182"/>
        <v>0.25845387658594565</v>
      </c>
      <c r="U541" s="27">
        <f t="shared" si="183"/>
        <v>0.23597956734541747</v>
      </c>
      <c r="W541" s="13">
        <f t="shared" si="168"/>
        <v>0</v>
      </c>
      <c r="Y541" s="14">
        <f t="shared" si="169"/>
        <v>45.837148159604084</v>
      </c>
      <c r="Z541" s="14">
        <f t="shared" si="170"/>
        <v>213979.36756263147</v>
      </c>
      <c r="AA541" s="14">
        <f t="shared" si="171"/>
        <v>588847.00460793707</v>
      </c>
    </row>
    <row r="542" spans="5:27" outlineLevel="1" x14ac:dyDescent="0.25">
      <c r="E542" s="4" t="s">
        <v>63</v>
      </c>
      <c r="F542" s="4">
        <v>8</v>
      </c>
      <c r="G542" s="21">
        <v>18</v>
      </c>
      <c r="H542" s="21"/>
      <c r="I542" s="21">
        <v>38.06</v>
      </c>
      <c r="J542" s="21">
        <v>65417.69</v>
      </c>
      <c r="K542" s="21"/>
      <c r="L542" s="21">
        <v>170024.17</v>
      </c>
      <c r="M542" s="21">
        <v>178269.55</v>
      </c>
      <c r="N542" s="21"/>
      <c r="O542" s="21">
        <v>476102.94999999995</v>
      </c>
      <c r="S542" s="25">
        <f t="shared" si="181"/>
        <v>0.20244355088153432</v>
      </c>
      <c r="T542" s="26">
        <f t="shared" si="182"/>
        <v>0.25845387658594565</v>
      </c>
      <c r="U542" s="27">
        <f t="shared" si="183"/>
        <v>0.23597956734541747</v>
      </c>
      <c r="W542" s="13">
        <f t="shared" si="168"/>
        <v>0</v>
      </c>
      <c r="Y542" s="14">
        <f t="shared" si="169"/>
        <v>45.765001546551197</v>
      </c>
      <c r="Z542" s="14">
        <f t="shared" si="170"/>
        <v>213967.57584980785</v>
      </c>
      <c r="AA542" s="14">
        <f t="shared" si="171"/>
        <v>588453.51815287687</v>
      </c>
    </row>
    <row r="543" spans="5:27" outlineLevel="1" x14ac:dyDescent="0.25">
      <c r="E543" s="4" t="s">
        <v>63</v>
      </c>
      <c r="F543" s="4">
        <v>9</v>
      </c>
      <c r="G543" s="21">
        <v>30</v>
      </c>
      <c r="H543" s="21"/>
      <c r="I543" s="21">
        <v>43.439999999999991</v>
      </c>
      <c r="J543" s="21">
        <v>123817.22000000002</v>
      </c>
      <c r="K543" s="21"/>
      <c r="L543" s="21">
        <v>198696.29</v>
      </c>
      <c r="M543" s="21">
        <v>345802.34</v>
      </c>
      <c r="N543" s="21"/>
      <c r="O543" s="21">
        <v>568549.19000000006</v>
      </c>
      <c r="S543" s="25">
        <f t="shared" si="181"/>
        <v>0.20244355088153432</v>
      </c>
      <c r="T543" s="26">
        <f t="shared" si="182"/>
        <v>0.25845387658594565</v>
      </c>
      <c r="U543" s="27">
        <f t="shared" si="183"/>
        <v>0.23597956734541747</v>
      </c>
      <c r="W543" s="13">
        <f t="shared" si="168"/>
        <v>0</v>
      </c>
      <c r="Y543" s="14">
        <f t="shared" si="169"/>
        <v>52.234147850293837</v>
      </c>
      <c r="Z543" s="14">
        <f t="shared" si="170"/>
        <v>250050.11641374527</v>
      </c>
      <c r="AA543" s="14">
        <f t="shared" si="171"/>
        <v>702715.18187078764</v>
      </c>
    </row>
    <row r="544" spans="5:27" outlineLevel="1" x14ac:dyDescent="0.25">
      <c r="E544" s="4" t="s">
        <v>63</v>
      </c>
      <c r="F544" s="4">
        <v>10</v>
      </c>
      <c r="G544" s="21">
        <v>17</v>
      </c>
      <c r="H544" s="21"/>
      <c r="I544" s="21">
        <v>45.61</v>
      </c>
      <c r="J544" s="21">
        <v>68177</v>
      </c>
      <c r="K544" s="21"/>
      <c r="L544" s="21">
        <v>210497.94999999998</v>
      </c>
      <c r="M544" s="21">
        <v>182390.27000000002</v>
      </c>
      <c r="N544" s="21"/>
      <c r="O544" s="21">
        <v>606383.80999999982</v>
      </c>
      <c r="S544" s="25">
        <f t="shared" si="181"/>
        <v>0.20244355088153432</v>
      </c>
      <c r="T544" s="26">
        <f t="shared" si="182"/>
        <v>0.25845387658594565</v>
      </c>
      <c r="U544" s="27">
        <f t="shared" si="183"/>
        <v>0.23597956734541747</v>
      </c>
      <c r="W544" s="13">
        <f t="shared" si="168"/>
        <v>0</v>
      </c>
      <c r="Y544" s="14">
        <f t="shared" si="169"/>
        <v>54.843450355706779</v>
      </c>
      <c r="Z544" s="14">
        <f t="shared" si="170"/>
        <v>264901.96119089454</v>
      </c>
      <c r="AA544" s="14">
        <f t="shared" si="171"/>
        <v>749477.99912906566</v>
      </c>
    </row>
    <row r="545" spans="5:27" outlineLevel="1" x14ac:dyDescent="0.25">
      <c r="E545" s="4" t="s">
        <v>63</v>
      </c>
      <c r="F545" s="4">
        <v>11</v>
      </c>
      <c r="G545" s="21">
        <v>23</v>
      </c>
      <c r="H545" s="21"/>
      <c r="I545" s="21">
        <v>43.58</v>
      </c>
      <c r="J545" s="21">
        <v>93302.430000000008</v>
      </c>
      <c r="K545" s="21"/>
      <c r="L545" s="21">
        <v>200008.65</v>
      </c>
      <c r="M545" s="21">
        <v>257753.10999999996</v>
      </c>
      <c r="N545" s="21"/>
      <c r="O545" s="21">
        <v>572795.62999999989</v>
      </c>
      <c r="S545" s="25">
        <f t="shared" si="181"/>
        <v>0.20244355088153432</v>
      </c>
      <c r="T545" s="26">
        <f t="shared" si="182"/>
        <v>0.25845387658594565</v>
      </c>
      <c r="U545" s="27">
        <f t="shared" si="183"/>
        <v>0.23597956734541747</v>
      </c>
      <c r="W545" s="13">
        <f t="shared" si="168"/>
        <v>0</v>
      </c>
      <c r="Y545" s="14">
        <f t="shared" si="169"/>
        <v>52.402489947417266</v>
      </c>
      <c r="Z545" s="14">
        <f t="shared" si="170"/>
        <v>251701.66094322159</v>
      </c>
      <c r="AA545" s="14">
        <f t="shared" si="171"/>
        <v>707963.69494474574</v>
      </c>
    </row>
    <row r="546" spans="5:27" outlineLevel="1" x14ac:dyDescent="0.25">
      <c r="E546" s="4" t="s">
        <v>63</v>
      </c>
      <c r="F546" s="4">
        <v>12</v>
      </c>
      <c r="G546" s="21">
        <v>54</v>
      </c>
      <c r="H546" s="21"/>
      <c r="I546" s="21">
        <v>42.529999999999994</v>
      </c>
      <c r="J546" s="21">
        <v>247977.18000000002</v>
      </c>
      <c r="K546" s="21"/>
      <c r="L546" s="21">
        <v>194782.93</v>
      </c>
      <c r="M546" s="21">
        <v>696913.97000000009</v>
      </c>
      <c r="N546" s="21"/>
      <c r="O546" s="21">
        <v>556304.23</v>
      </c>
      <c r="S546" s="28">
        <f t="shared" si="181"/>
        <v>0.20244355088153432</v>
      </c>
      <c r="T546" s="29">
        <f t="shared" si="182"/>
        <v>0.25845387658594565</v>
      </c>
      <c r="U546" s="30">
        <f t="shared" si="183"/>
        <v>0.23597956734541747</v>
      </c>
      <c r="W546" s="13">
        <f t="shared" si="168"/>
        <v>0</v>
      </c>
      <c r="Y546" s="14">
        <f t="shared" si="169"/>
        <v>51.139924218991645</v>
      </c>
      <c r="Z546" s="14">
        <f t="shared" si="170"/>
        <v>245125.33335126887</v>
      </c>
      <c r="AA546" s="14">
        <f t="shared" si="171"/>
        <v>687580.6615078256</v>
      </c>
    </row>
    <row r="547" spans="5:27" outlineLevel="1" x14ac:dyDescent="0.25">
      <c r="E547" s="4" t="s">
        <v>64</v>
      </c>
      <c r="F547" s="4">
        <v>1</v>
      </c>
      <c r="G547" s="21">
        <v>159</v>
      </c>
      <c r="H547" s="21">
        <v>170</v>
      </c>
      <c r="I547" s="21">
        <v>154.81999999999996</v>
      </c>
      <c r="J547" s="21">
        <v>749426.1</v>
      </c>
      <c r="K547" s="21">
        <v>837971.36</v>
      </c>
      <c r="L547" s="21">
        <v>702545.64</v>
      </c>
      <c r="M547" s="21">
        <v>2188515.5099999993</v>
      </c>
      <c r="N547" s="21">
        <v>2443269.4099999997</v>
      </c>
      <c r="O547" s="21">
        <v>2028039.92</v>
      </c>
      <c r="S547" s="22">
        <f t="shared" ref="S547:S558" si="184">IFERROR(SUMPRODUCT(H$547:H$558,$W$547:$W$558)/SUMPRODUCT(I$547:I$558,$W$547:$W$558)-1,"")</f>
        <v>-1.6836796941722132E-2</v>
      </c>
      <c r="T547" s="26">
        <f t="shared" ref="T547:T558" si="185">IFERROR(SUMPRODUCT(K$547:K$558,$W$547:$W$558)/SUMPRODUCT(L$547:L$558,$W$547:$W$558)-1,"")</f>
        <v>2.4754316360298567E-2</v>
      </c>
      <c r="U547" s="24">
        <f t="shared" ref="U547:U558" si="186">IFERROR(SUMPRODUCT(N$547:N$558,$W$547:$W$558)/SUMPRODUCT(O$547:O$558,$W$547:$W$558)-1,"")</f>
        <v>1.0456926030758762E-2</v>
      </c>
      <c r="W547" s="13">
        <f t="shared" si="168"/>
        <v>1</v>
      </c>
      <c r="Y547" s="14">
        <f t="shared" si="169"/>
        <v>170</v>
      </c>
      <c r="Z547" s="14">
        <f t="shared" si="170"/>
        <v>837971.36</v>
      </c>
      <c r="AA547" s="14">
        <f t="shared" si="171"/>
        <v>2443269.4099999997</v>
      </c>
    </row>
    <row r="548" spans="5:27" outlineLevel="1" x14ac:dyDescent="0.25">
      <c r="E548" s="4" t="s">
        <v>64</v>
      </c>
      <c r="F548" s="4">
        <v>2</v>
      </c>
      <c r="G548" s="21">
        <v>185</v>
      </c>
      <c r="H548" s="21">
        <v>193</v>
      </c>
      <c r="I548" s="21">
        <v>162.71000000000004</v>
      </c>
      <c r="J548" s="21">
        <v>838068.14</v>
      </c>
      <c r="K548" s="21">
        <v>904966.64999999991</v>
      </c>
      <c r="L548" s="21">
        <v>746149.05000000016</v>
      </c>
      <c r="M548" s="21">
        <v>2294279.3499999996</v>
      </c>
      <c r="N548" s="21">
        <v>2502196.85</v>
      </c>
      <c r="O548" s="21">
        <v>2149713.4099999997</v>
      </c>
      <c r="S548" s="25">
        <f t="shared" si="184"/>
        <v>-1.6836796941722132E-2</v>
      </c>
      <c r="T548" s="26">
        <f t="shared" si="185"/>
        <v>2.4754316360298567E-2</v>
      </c>
      <c r="U548" s="27">
        <f t="shared" si="186"/>
        <v>1.0456926030758762E-2</v>
      </c>
      <c r="W548" s="13">
        <f t="shared" si="168"/>
        <v>1</v>
      </c>
      <c r="Y548" s="14">
        <f t="shared" si="169"/>
        <v>193</v>
      </c>
      <c r="Z548" s="14">
        <f t="shared" si="170"/>
        <v>904966.64999999991</v>
      </c>
      <c r="AA548" s="14">
        <f t="shared" si="171"/>
        <v>2502196.85</v>
      </c>
    </row>
    <row r="549" spans="5:27" outlineLevel="1" x14ac:dyDescent="0.25">
      <c r="E549" s="4" t="s">
        <v>64</v>
      </c>
      <c r="F549" s="4">
        <v>3</v>
      </c>
      <c r="G549" s="21">
        <v>163</v>
      </c>
      <c r="H549" s="21">
        <v>172</v>
      </c>
      <c r="I549" s="21">
        <v>166.36</v>
      </c>
      <c r="J549" s="21">
        <v>768495.73</v>
      </c>
      <c r="K549" s="21">
        <v>866996.19000000006</v>
      </c>
      <c r="L549" s="21">
        <v>766264.42999999993</v>
      </c>
      <c r="M549" s="21">
        <v>2266315.7599999998</v>
      </c>
      <c r="N549" s="21">
        <v>2592522.15</v>
      </c>
      <c r="O549" s="21">
        <v>2220036.5699999994</v>
      </c>
      <c r="S549" s="25">
        <f t="shared" si="184"/>
        <v>-1.6836796941722132E-2</v>
      </c>
      <c r="T549" s="26">
        <f t="shared" si="185"/>
        <v>2.4754316360298567E-2</v>
      </c>
      <c r="U549" s="27">
        <f t="shared" si="186"/>
        <v>1.0456926030758762E-2</v>
      </c>
      <c r="W549" s="13">
        <f t="shared" si="168"/>
        <v>1</v>
      </c>
      <c r="Y549" s="14">
        <f t="shared" si="169"/>
        <v>172</v>
      </c>
      <c r="Z549" s="14">
        <f t="shared" si="170"/>
        <v>866996.19000000006</v>
      </c>
      <c r="AA549" s="14">
        <f t="shared" si="171"/>
        <v>2592522.15</v>
      </c>
    </row>
    <row r="550" spans="5:27" outlineLevel="1" x14ac:dyDescent="0.25">
      <c r="E550" s="4" t="s">
        <v>64</v>
      </c>
      <c r="F550" s="4">
        <v>4</v>
      </c>
      <c r="G550" s="21">
        <v>133</v>
      </c>
      <c r="H550" s="21">
        <v>143</v>
      </c>
      <c r="I550" s="21">
        <v>169.09</v>
      </c>
      <c r="J550" s="21">
        <v>609545.78000000026</v>
      </c>
      <c r="K550" s="21">
        <v>678321.25</v>
      </c>
      <c r="L550" s="21">
        <v>786355.33000000007</v>
      </c>
      <c r="M550" s="21">
        <v>1750546.58</v>
      </c>
      <c r="N550" s="21">
        <v>1939277.67</v>
      </c>
      <c r="O550" s="21">
        <v>2250647.4700000002</v>
      </c>
      <c r="S550" s="25">
        <f t="shared" si="184"/>
        <v>-1.6836796941722132E-2</v>
      </c>
      <c r="T550" s="26">
        <f t="shared" si="185"/>
        <v>2.4754316360298567E-2</v>
      </c>
      <c r="U550" s="27">
        <f t="shared" si="186"/>
        <v>1.0456926030758762E-2</v>
      </c>
      <c r="W550" s="13">
        <f t="shared" si="168"/>
        <v>1</v>
      </c>
      <c r="Y550" s="14">
        <f t="shared" si="169"/>
        <v>143</v>
      </c>
      <c r="Z550" s="14">
        <f t="shared" si="170"/>
        <v>678321.25</v>
      </c>
      <c r="AA550" s="14">
        <f t="shared" si="171"/>
        <v>1939277.67</v>
      </c>
    </row>
    <row r="551" spans="5:27" outlineLevel="1" x14ac:dyDescent="0.25">
      <c r="E551" s="4" t="s">
        <v>64</v>
      </c>
      <c r="F551" s="4">
        <v>5</v>
      </c>
      <c r="G551" s="21">
        <v>154</v>
      </c>
      <c r="H551" s="21">
        <v>163</v>
      </c>
      <c r="I551" s="21">
        <v>173.80000000000004</v>
      </c>
      <c r="J551" s="21">
        <v>686257.73</v>
      </c>
      <c r="K551" s="21">
        <v>761137.99</v>
      </c>
      <c r="L551" s="21">
        <v>805053.76999999979</v>
      </c>
      <c r="M551" s="21">
        <v>1910848.8900000001</v>
      </c>
      <c r="N551" s="21">
        <v>2051318.7500000002</v>
      </c>
      <c r="O551" s="21">
        <v>2327961.5500000003</v>
      </c>
      <c r="S551" s="25">
        <f t="shared" si="184"/>
        <v>-1.6836796941722132E-2</v>
      </c>
      <c r="T551" s="26">
        <f t="shared" si="185"/>
        <v>2.4754316360298567E-2</v>
      </c>
      <c r="U551" s="27">
        <f t="shared" si="186"/>
        <v>1.0456926030758762E-2</v>
      </c>
      <c r="W551" s="13">
        <f t="shared" ref="W551:W614" si="187">IFERROR(_xlfn.XLOOKUP(F551,$F$13:$F$24,$W$13:$W$24),"")</f>
        <v>1</v>
      </c>
      <c r="Y551" s="14">
        <f t="shared" ref="Y551:Y614" si="188">IFERROR(IF($W551=1,H551,I551*(1+S551)),"")</f>
        <v>163</v>
      </c>
      <c r="Z551" s="14">
        <f t="shared" ref="Z551:Z614" si="189">IFERROR(IF($W551=1,K551,L551*(1+T551)),"")</f>
        <v>761137.99</v>
      </c>
      <c r="AA551" s="14">
        <f t="shared" ref="AA551:AA614" si="190">IFERROR(IF($W551=1,N551,O551*(1+U551)),"")</f>
        <v>2051318.7500000002</v>
      </c>
    </row>
    <row r="552" spans="5:27" outlineLevel="1" x14ac:dyDescent="0.25">
      <c r="E552" s="4" t="s">
        <v>64</v>
      </c>
      <c r="F552" s="4">
        <v>6</v>
      </c>
      <c r="G552" s="21">
        <v>121</v>
      </c>
      <c r="H552" s="21">
        <v>126</v>
      </c>
      <c r="I552" s="21">
        <v>156.78000000000003</v>
      </c>
      <c r="J552" s="21">
        <v>529753.66999999993</v>
      </c>
      <c r="K552" s="21">
        <v>582221.60999999987</v>
      </c>
      <c r="L552" s="21">
        <v>713363.94999999972</v>
      </c>
      <c r="M552" s="21">
        <v>1521045.3199999998</v>
      </c>
      <c r="N552" s="21">
        <v>1655498.5600000003</v>
      </c>
      <c r="O552" s="21">
        <v>2071246.2100000004</v>
      </c>
      <c r="S552" s="25">
        <f t="shared" si="184"/>
        <v>-1.6836796941722132E-2</v>
      </c>
      <c r="T552" s="26">
        <f t="shared" si="185"/>
        <v>2.4754316360298567E-2</v>
      </c>
      <c r="U552" s="27">
        <f t="shared" si="186"/>
        <v>1.0456926030758762E-2</v>
      </c>
      <c r="W552" s="13">
        <f t="shared" si="187"/>
        <v>1</v>
      </c>
      <c r="Y552" s="14">
        <f t="shared" si="188"/>
        <v>126</v>
      </c>
      <c r="Z552" s="14">
        <f t="shared" si="189"/>
        <v>582221.60999999987</v>
      </c>
      <c r="AA552" s="14">
        <f t="shared" si="190"/>
        <v>1655498.5600000003</v>
      </c>
    </row>
    <row r="553" spans="5:27" outlineLevel="1" x14ac:dyDescent="0.25">
      <c r="E553" s="4" t="s">
        <v>64</v>
      </c>
      <c r="F553" s="4">
        <v>7</v>
      </c>
      <c r="G553" s="21">
        <v>142</v>
      </c>
      <c r="H553" s="21"/>
      <c r="I553" s="21">
        <v>156.22</v>
      </c>
      <c r="J553" s="21">
        <v>663383.35000000009</v>
      </c>
      <c r="K553" s="21"/>
      <c r="L553" s="21">
        <v>712925.44000000006</v>
      </c>
      <c r="M553" s="21">
        <v>1874850.6</v>
      </c>
      <c r="N553" s="21"/>
      <c r="O553" s="21">
        <v>2061817.98</v>
      </c>
      <c r="S553" s="25">
        <f t="shared" si="184"/>
        <v>-1.6836796941722132E-2</v>
      </c>
      <c r="T553" s="26">
        <f t="shared" si="185"/>
        <v>2.4754316360298567E-2</v>
      </c>
      <c r="U553" s="27">
        <f t="shared" si="186"/>
        <v>1.0456926030758762E-2</v>
      </c>
      <c r="W553" s="13">
        <f t="shared" si="187"/>
        <v>0</v>
      </c>
      <c r="Y553" s="14">
        <f t="shared" si="188"/>
        <v>153.58975558176417</v>
      </c>
      <c r="Z553" s="14">
        <f t="shared" si="189"/>
        <v>730573.42188306514</v>
      </c>
      <c r="AA553" s="14">
        <f t="shared" si="190"/>
        <v>2083378.2581057483</v>
      </c>
    </row>
    <row r="554" spans="5:27" outlineLevel="1" x14ac:dyDescent="0.25">
      <c r="E554" s="4" t="s">
        <v>64</v>
      </c>
      <c r="F554" s="4">
        <v>8</v>
      </c>
      <c r="G554" s="21">
        <v>129</v>
      </c>
      <c r="H554" s="21"/>
      <c r="I554" s="21">
        <v>157.12999999999994</v>
      </c>
      <c r="J554" s="21">
        <v>533224.81999999995</v>
      </c>
      <c r="K554" s="21"/>
      <c r="L554" s="21">
        <v>696206.38</v>
      </c>
      <c r="M554" s="21">
        <v>1478747.0999999999</v>
      </c>
      <c r="N554" s="21"/>
      <c r="O554" s="21">
        <v>1992709.1800000002</v>
      </c>
      <c r="S554" s="25">
        <f t="shared" si="184"/>
        <v>-1.6836796941722132E-2</v>
      </c>
      <c r="T554" s="26">
        <f t="shared" si="185"/>
        <v>2.4754316360298567E-2</v>
      </c>
      <c r="U554" s="27">
        <f t="shared" si="186"/>
        <v>1.0456926030758762E-2</v>
      </c>
      <c r="W554" s="13">
        <f t="shared" si="187"/>
        <v>0</v>
      </c>
      <c r="Y554" s="14">
        <f t="shared" si="188"/>
        <v>154.48443409654715</v>
      </c>
      <c r="Z554" s="14">
        <f t="shared" si="189"/>
        <v>713440.49298257823</v>
      </c>
      <c r="AA554" s="14">
        <f t="shared" si="190"/>
        <v>2013546.7924960742</v>
      </c>
    </row>
    <row r="555" spans="5:27" outlineLevel="1" x14ac:dyDescent="0.25">
      <c r="E555" s="4" t="s">
        <v>64</v>
      </c>
      <c r="F555" s="4">
        <v>9</v>
      </c>
      <c r="G555" s="21">
        <v>127</v>
      </c>
      <c r="H555" s="21"/>
      <c r="I555" s="21">
        <v>154.13</v>
      </c>
      <c r="J555" s="21">
        <v>525365.22</v>
      </c>
      <c r="K555" s="21"/>
      <c r="L555" s="21">
        <v>684971.7300000001</v>
      </c>
      <c r="M555" s="21">
        <v>1539161.07</v>
      </c>
      <c r="N555" s="21"/>
      <c r="O555" s="21">
        <v>1978619.93</v>
      </c>
      <c r="S555" s="25">
        <f t="shared" si="184"/>
        <v>-1.6836796941722132E-2</v>
      </c>
      <c r="T555" s="26">
        <f t="shared" si="185"/>
        <v>2.4754316360298567E-2</v>
      </c>
      <c r="U555" s="27">
        <f t="shared" si="186"/>
        <v>1.0456926030758762E-2</v>
      </c>
      <c r="W555" s="13">
        <f t="shared" si="187"/>
        <v>0</v>
      </c>
      <c r="Y555" s="14">
        <f t="shared" si="188"/>
        <v>151.53494448737237</v>
      </c>
      <c r="Z555" s="14">
        <f t="shared" si="189"/>
        <v>701927.73690228106</v>
      </c>
      <c r="AA555" s="14">
        <f t="shared" si="190"/>
        <v>1999310.212250995</v>
      </c>
    </row>
    <row r="556" spans="5:27" outlineLevel="1" x14ac:dyDescent="0.25">
      <c r="E556" s="4" t="s">
        <v>64</v>
      </c>
      <c r="F556" s="4">
        <v>10</v>
      </c>
      <c r="G556" s="21">
        <v>181</v>
      </c>
      <c r="H556" s="21"/>
      <c r="I556" s="21">
        <v>186</v>
      </c>
      <c r="J556" s="21">
        <v>769281.26</v>
      </c>
      <c r="K556" s="21"/>
      <c r="L556" s="21">
        <v>862766.37</v>
      </c>
      <c r="M556" s="21">
        <v>2099736.41</v>
      </c>
      <c r="N556" s="21"/>
      <c r="O556" s="21">
        <v>2460603.08</v>
      </c>
      <c r="S556" s="25">
        <f t="shared" si="184"/>
        <v>-1.6836796941722132E-2</v>
      </c>
      <c r="T556" s="26">
        <f t="shared" si="185"/>
        <v>2.4754316360298567E-2</v>
      </c>
      <c r="U556" s="27">
        <f t="shared" si="186"/>
        <v>1.0456926030758762E-2</v>
      </c>
      <c r="W556" s="13">
        <f t="shared" si="187"/>
        <v>0</v>
      </c>
      <c r="Y556" s="14">
        <f t="shared" si="188"/>
        <v>182.86835576883968</v>
      </c>
      <c r="Z556" s="14">
        <f t="shared" si="189"/>
        <v>884123.56166800635</v>
      </c>
      <c r="AA556" s="14">
        <f t="shared" si="190"/>
        <v>2486333.4243986174</v>
      </c>
    </row>
    <row r="557" spans="5:27" outlineLevel="1" x14ac:dyDescent="0.25">
      <c r="E557" s="4" t="s">
        <v>64</v>
      </c>
      <c r="F557" s="4">
        <v>11</v>
      </c>
      <c r="G557" s="21">
        <v>216</v>
      </c>
      <c r="H557" s="21"/>
      <c r="I557" s="21">
        <v>188.25</v>
      </c>
      <c r="J557" s="21">
        <v>940287.69</v>
      </c>
      <c r="K557" s="21"/>
      <c r="L557" s="21">
        <v>883045.75</v>
      </c>
      <c r="M557" s="21">
        <v>2617226.5500000003</v>
      </c>
      <c r="N557" s="21"/>
      <c r="O557" s="21">
        <v>2536962.69</v>
      </c>
      <c r="S557" s="25">
        <f t="shared" si="184"/>
        <v>-1.6836796941722132E-2</v>
      </c>
      <c r="T557" s="26">
        <f t="shared" si="185"/>
        <v>2.4754316360298567E-2</v>
      </c>
      <c r="U557" s="27">
        <f t="shared" si="186"/>
        <v>1.0456926030758762E-2</v>
      </c>
      <c r="W557" s="13">
        <f t="shared" si="187"/>
        <v>0</v>
      </c>
      <c r="Y557" s="14">
        <f t="shared" si="188"/>
        <v>185.0804729757208</v>
      </c>
      <c r="Z557" s="14">
        <f t="shared" si="189"/>
        <v>904904.94385611708</v>
      </c>
      <c r="AA557" s="14">
        <f t="shared" si="190"/>
        <v>2563491.5211921246</v>
      </c>
    </row>
    <row r="558" spans="5:27" outlineLevel="1" x14ac:dyDescent="0.25">
      <c r="E558" s="4" t="s">
        <v>64</v>
      </c>
      <c r="F558" s="4">
        <v>12</v>
      </c>
      <c r="G558" s="21">
        <v>203</v>
      </c>
      <c r="H558" s="21"/>
      <c r="I558" s="21">
        <v>184.77</v>
      </c>
      <c r="J558" s="21">
        <v>954928.1</v>
      </c>
      <c r="K558" s="21"/>
      <c r="L558" s="21">
        <v>870111.37</v>
      </c>
      <c r="M558" s="21">
        <v>2832373.370000001</v>
      </c>
      <c r="N558" s="21"/>
      <c r="O558" s="21">
        <v>2525815.3200000003</v>
      </c>
      <c r="S558" s="28">
        <f t="shared" si="184"/>
        <v>-1.6836796941722132E-2</v>
      </c>
      <c r="T558" s="26">
        <f t="shared" si="185"/>
        <v>2.4754316360298567E-2</v>
      </c>
      <c r="U558" s="30">
        <f t="shared" si="186"/>
        <v>1.0456926030758762E-2</v>
      </c>
      <c r="W558" s="13">
        <f t="shared" si="187"/>
        <v>0</v>
      </c>
      <c r="Y558" s="14">
        <f t="shared" si="188"/>
        <v>181.65906502907802</v>
      </c>
      <c r="Z558" s="14">
        <f t="shared" si="189"/>
        <v>891650.38212167274</v>
      </c>
      <c r="AA558" s="14">
        <f t="shared" si="190"/>
        <v>2552227.5839685975</v>
      </c>
    </row>
    <row r="559" spans="5:27" outlineLevel="1" x14ac:dyDescent="0.25">
      <c r="E559" s="4" t="s">
        <v>65</v>
      </c>
      <c r="F559" s="4">
        <v>1</v>
      </c>
      <c r="G559" s="21">
        <v>102</v>
      </c>
      <c r="H559" s="21">
        <v>106</v>
      </c>
      <c r="I559" s="21">
        <v>148.57000000000002</v>
      </c>
      <c r="J559" s="21">
        <v>471426.49999999994</v>
      </c>
      <c r="K559" s="21">
        <v>515935.01999999996</v>
      </c>
      <c r="L559" s="21">
        <v>691818.2</v>
      </c>
      <c r="M559" s="21">
        <v>1353644.4200000002</v>
      </c>
      <c r="N559" s="21">
        <v>1495899.9800000002</v>
      </c>
      <c r="O559" s="21">
        <v>1971217.07</v>
      </c>
      <c r="S559" s="22">
        <f t="shared" ref="S559:S570" si="191">IFERROR(SUMPRODUCT(H$559:H$570,$W$559:$W$570)/SUMPRODUCT(I$559:I$570,$W$559:$W$570)-1,"")</f>
        <v>-0.17271759634941863</v>
      </c>
      <c r="T559" s="23">
        <f t="shared" ref="T559:T570" si="192">IFERROR(SUMPRODUCT(K$559:K$570,$W$559:$W$570)/SUMPRODUCT(L$559:L$570,$W$559:$W$570)-1,"")</f>
        <v>-0.12998677203397124</v>
      </c>
      <c r="U559" s="24">
        <f t="shared" ref="U559:U570" si="193">IFERROR(SUMPRODUCT(N$559:N$570,$W$559:$W$570)/SUMPRODUCT(O$559:O$570,$W$559:$W$570)-1,"")</f>
        <v>-0.14962150074464831</v>
      </c>
      <c r="W559" s="13">
        <f t="shared" si="187"/>
        <v>1</v>
      </c>
      <c r="Y559" s="14">
        <f t="shared" si="188"/>
        <v>106</v>
      </c>
      <c r="Z559" s="14">
        <f t="shared" si="189"/>
        <v>515935.01999999996</v>
      </c>
      <c r="AA559" s="14">
        <f t="shared" si="190"/>
        <v>1495899.9800000002</v>
      </c>
    </row>
    <row r="560" spans="5:27" outlineLevel="1" x14ac:dyDescent="0.25">
      <c r="E560" s="4" t="s">
        <v>65</v>
      </c>
      <c r="F560" s="4">
        <v>2</v>
      </c>
      <c r="G560" s="21">
        <v>121</v>
      </c>
      <c r="H560" s="21">
        <v>128</v>
      </c>
      <c r="I560" s="21">
        <v>146.85999999999996</v>
      </c>
      <c r="J560" s="21">
        <v>570256.51000000013</v>
      </c>
      <c r="K560" s="21">
        <v>632855.89</v>
      </c>
      <c r="L560" s="21">
        <v>678383.5</v>
      </c>
      <c r="M560" s="21">
        <v>1619215.0000000005</v>
      </c>
      <c r="N560" s="21">
        <v>1815532.1</v>
      </c>
      <c r="O560" s="21">
        <v>1920319.52</v>
      </c>
      <c r="S560" s="25">
        <f t="shared" si="191"/>
        <v>-0.17271759634941863</v>
      </c>
      <c r="T560" s="26">
        <f t="shared" si="192"/>
        <v>-0.12998677203397124</v>
      </c>
      <c r="U560" s="27">
        <f t="shared" si="193"/>
        <v>-0.14962150074464831</v>
      </c>
      <c r="W560" s="13">
        <f t="shared" si="187"/>
        <v>1</v>
      </c>
      <c r="Y560" s="14">
        <f t="shared" si="188"/>
        <v>128</v>
      </c>
      <c r="Z560" s="14">
        <f t="shared" si="189"/>
        <v>632855.89</v>
      </c>
      <c r="AA560" s="14">
        <f t="shared" si="190"/>
        <v>1815532.1</v>
      </c>
    </row>
    <row r="561" spans="5:27" outlineLevel="1" x14ac:dyDescent="0.25">
      <c r="E561" s="4" t="s">
        <v>65</v>
      </c>
      <c r="F561" s="4">
        <v>3</v>
      </c>
      <c r="G561" s="21">
        <v>99</v>
      </c>
      <c r="H561" s="21">
        <v>104</v>
      </c>
      <c r="I561" s="21">
        <v>159.86000000000001</v>
      </c>
      <c r="J561" s="21">
        <v>404930.30000000005</v>
      </c>
      <c r="K561" s="21">
        <v>443030.08999999997</v>
      </c>
      <c r="L561" s="21">
        <v>725002.17000000016</v>
      </c>
      <c r="M561" s="21">
        <v>1141811.6099999999</v>
      </c>
      <c r="N561" s="21">
        <v>1257376.76</v>
      </c>
      <c r="O561" s="21">
        <v>2034980.8199999998</v>
      </c>
      <c r="S561" s="25">
        <f t="shared" si="191"/>
        <v>-0.17271759634941863</v>
      </c>
      <c r="T561" s="26">
        <f t="shared" si="192"/>
        <v>-0.12998677203397124</v>
      </c>
      <c r="U561" s="27">
        <f t="shared" si="193"/>
        <v>-0.14962150074464831</v>
      </c>
      <c r="W561" s="13">
        <f t="shared" si="187"/>
        <v>1</v>
      </c>
      <c r="Y561" s="14">
        <f t="shared" si="188"/>
        <v>104</v>
      </c>
      <c r="Z561" s="14">
        <f t="shared" si="189"/>
        <v>443030.08999999997</v>
      </c>
      <c r="AA561" s="14">
        <f t="shared" si="190"/>
        <v>1257376.76</v>
      </c>
    </row>
    <row r="562" spans="5:27" outlineLevel="1" x14ac:dyDescent="0.25">
      <c r="E562" s="4" t="s">
        <v>65</v>
      </c>
      <c r="F562" s="4">
        <v>4</v>
      </c>
      <c r="G562" s="21">
        <v>112</v>
      </c>
      <c r="H562" s="21">
        <v>119</v>
      </c>
      <c r="I562" s="21">
        <v>164.51</v>
      </c>
      <c r="J562" s="21">
        <v>479362.19999999995</v>
      </c>
      <c r="K562" s="21">
        <v>540480.87000000011</v>
      </c>
      <c r="L562" s="21">
        <v>730365.45000000019</v>
      </c>
      <c r="M562" s="21">
        <v>1301473.7100000002</v>
      </c>
      <c r="N562" s="21">
        <v>1447281.39</v>
      </c>
      <c r="O562" s="21">
        <v>2046055.3500000006</v>
      </c>
      <c r="S562" s="25">
        <f t="shared" si="191"/>
        <v>-0.17271759634941863</v>
      </c>
      <c r="T562" s="26">
        <f t="shared" si="192"/>
        <v>-0.12998677203397124</v>
      </c>
      <c r="U562" s="27">
        <f t="shared" si="193"/>
        <v>-0.14962150074464831</v>
      </c>
      <c r="W562" s="13">
        <f t="shared" si="187"/>
        <v>1</v>
      </c>
      <c r="Y562" s="14">
        <f t="shared" si="188"/>
        <v>119</v>
      </c>
      <c r="Z562" s="14">
        <f t="shared" si="189"/>
        <v>540480.87000000011</v>
      </c>
      <c r="AA562" s="14">
        <f t="shared" si="190"/>
        <v>1447281.39</v>
      </c>
    </row>
    <row r="563" spans="5:27" outlineLevel="1" x14ac:dyDescent="0.25">
      <c r="E563" s="4" t="s">
        <v>65</v>
      </c>
      <c r="F563" s="4">
        <v>5</v>
      </c>
      <c r="G563" s="21">
        <v>152</v>
      </c>
      <c r="H563" s="21">
        <v>159</v>
      </c>
      <c r="I563" s="21">
        <v>167.92999999999998</v>
      </c>
      <c r="J563" s="21">
        <v>672350.51</v>
      </c>
      <c r="K563" s="21">
        <v>729759.70000000007</v>
      </c>
      <c r="L563" s="21">
        <v>734838.86999999988</v>
      </c>
      <c r="M563" s="21">
        <v>1865768.5800000003</v>
      </c>
      <c r="N563" s="21">
        <v>1960361.63</v>
      </c>
      <c r="O563" s="21">
        <v>2072666.7600000002</v>
      </c>
      <c r="S563" s="25">
        <f t="shared" si="191"/>
        <v>-0.17271759634941863</v>
      </c>
      <c r="T563" s="26">
        <f t="shared" si="192"/>
        <v>-0.12998677203397124</v>
      </c>
      <c r="U563" s="27">
        <f t="shared" si="193"/>
        <v>-0.14962150074464831</v>
      </c>
      <c r="W563" s="13">
        <f t="shared" si="187"/>
        <v>1</v>
      </c>
      <c r="Y563" s="14">
        <f t="shared" si="188"/>
        <v>159</v>
      </c>
      <c r="Z563" s="14">
        <f t="shared" si="189"/>
        <v>729759.70000000007</v>
      </c>
      <c r="AA563" s="14">
        <f t="shared" si="190"/>
        <v>1960361.63</v>
      </c>
    </row>
    <row r="564" spans="5:27" outlineLevel="1" x14ac:dyDescent="0.25">
      <c r="E564" s="4" t="s">
        <v>65</v>
      </c>
      <c r="F564" s="4">
        <v>6</v>
      </c>
      <c r="G564" s="21">
        <v>168</v>
      </c>
      <c r="H564" s="21">
        <v>169</v>
      </c>
      <c r="I564" s="21">
        <v>161.15999999999997</v>
      </c>
      <c r="J564" s="21">
        <v>806245.32000000007</v>
      </c>
      <c r="K564" s="21">
        <v>861799.28999999992</v>
      </c>
      <c r="L564" s="21">
        <v>719826.56999999972</v>
      </c>
      <c r="M564" s="21">
        <v>2204507.4299999997</v>
      </c>
      <c r="N564" s="21">
        <v>2291547.2200000002</v>
      </c>
      <c r="O564" s="21">
        <v>2029382.6499999994</v>
      </c>
      <c r="S564" s="25">
        <f t="shared" si="191"/>
        <v>-0.17271759634941863</v>
      </c>
      <c r="T564" s="26">
        <f t="shared" si="192"/>
        <v>-0.12998677203397124</v>
      </c>
      <c r="U564" s="27">
        <f t="shared" si="193"/>
        <v>-0.14962150074464831</v>
      </c>
      <c r="W564" s="13">
        <f t="shared" si="187"/>
        <v>1</v>
      </c>
      <c r="Y564" s="14">
        <f t="shared" si="188"/>
        <v>169</v>
      </c>
      <c r="Z564" s="14">
        <f t="shared" si="189"/>
        <v>861799.28999999992</v>
      </c>
      <c r="AA564" s="14">
        <f t="shared" si="190"/>
        <v>2291547.2200000002</v>
      </c>
    </row>
    <row r="565" spans="5:27" outlineLevel="1" x14ac:dyDescent="0.25">
      <c r="E565" s="4" t="s">
        <v>65</v>
      </c>
      <c r="F565" s="4">
        <v>7</v>
      </c>
      <c r="G565" s="21">
        <v>190</v>
      </c>
      <c r="H565" s="21"/>
      <c r="I565" s="21">
        <v>155.76999999999998</v>
      </c>
      <c r="J565" s="21">
        <v>811959.45</v>
      </c>
      <c r="K565" s="21"/>
      <c r="L565" s="21">
        <v>714456.63000000024</v>
      </c>
      <c r="M565" s="21">
        <v>2251251.0700000003</v>
      </c>
      <c r="N565" s="21"/>
      <c r="O565" s="21">
        <v>2015108.6800000004</v>
      </c>
      <c r="S565" s="25">
        <f t="shared" si="191"/>
        <v>-0.17271759634941863</v>
      </c>
      <c r="T565" s="26">
        <f t="shared" si="192"/>
        <v>-0.12998677203397124</v>
      </c>
      <c r="U565" s="27">
        <f t="shared" si="193"/>
        <v>-0.14962150074464831</v>
      </c>
      <c r="W565" s="13">
        <f t="shared" si="187"/>
        <v>0</v>
      </c>
      <c r="Y565" s="14">
        <f t="shared" si="188"/>
        <v>128.86578001665106</v>
      </c>
      <c r="Z565" s="14">
        <f t="shared" si="189"/>
        <v>621586.71890803089</v>
      </c>
      <c r="AA565" s="14">
        <f t="shared" si="190"/>
        <v>1713605.0951348331</v>
      </c>
    </row>
    <row r="566" spans="5:27" outlineLevel="1" x14ac:dyDescent="0.25">
      <c r="E566" s="4" t="s">
        <v>65</v>
      </c>
      <c r="F566" s="4">
        <v>8</v>
      </c>
      <c r="G566" s="21">
        <v>109</v>
      </c>
      <c r="H566" s="21"/>
      <c r="I566" s="21">
        <v>165.75000000000003</v>
      </c>
      <c r="J566" s="21">
        <v>533241.09</v>
      </c>
      <c r="K566" s="21"/>
      <c r="L566" s="21">
        <v>742097.24999999988</v>
      </c>
      <c r="M566" s="21">
        <v>1453768.0699999996</v>
      </c>
      <c r="N566" s="21"/>
      <c r="O566" s="21">
        <v>2086065.7999999998</v>
      </c>
      <c r="S566" s="25">
        <f t="shared" si="191"/>
        <v>-0.17271759634941863</v>
      </c>
      <c r="T566" s="26">
        <f t="shared" si="192"/>
        <v>-0.12998677203397124</v>
      </c>
      <c r="U566" s="27">
        <f t="shared" si="193"/>
        <v>-0.14962150074464831</v>
      </c>
      <c r="W566" s="13">
        <f t="shared" si="187"/>
        <v>0</v>
      </c>
      <c r="Y566" s="14">
        <f t="shared" si="188"/>
        <v>137.12205840508389</v>
      </c>
      <c r="Z566" s="14">
        <f t="shared" si="189"/>
        <v>645634.42393721291</v>
      </c>
      <c r="AA566" s="14">
        <f t="shared" si="190"/>
        <v>1773945.5043519144</v>
      </c>
    </row>
    <row r="567" spans="5:27" outlineLevel="1" x14ac:dyDescent="0.25">
      <c r="E567" s="4" t="s">
        <v>65</v>
      </c>
      <c r="F567" s="4">
        <v>9</v>
      </c>
      <c r="G567" s="21">
        <v>143</v>
      </c>
      <c r="H567" s="21"/>
      <c r="I567" s="21">
        <v>170.3</v>
      </c>
      <c r="J567" s="21">
        <v>612421.47999999986</v>
      </c>
      <c r="K567" s="21"/>
      <c r="L567" s="21">
        <v>760664.80999999994</v>
      </c>
      <c r="M567" s="21">
        <v>1771994.6699999997</v>
      </c>
      <c r="N567" s="21"/>
      <c r="O567" s="21">
        <v>2151339.83</v>
      </c>
      <c r="S567" s="25">
        <f t="shared" si="191"/>
        <v>-0.17271759634941863</v>
      </c>
      <c r="T567" s="26">
        <f t="shared" si="192"/>
        <v>-0.12998677203397124</v>
      </c>
      <c r="U567" s="27">
        <f t="shared" si="193"/>
        <v>-0.14962150074464831</v>
      </c>
      <c r="W567" s="13">
        <f t="shared" si="187"/>
        <v>0</v>
      </c>
      <c r="Y567" s="14">
        <f t="shared" si="188"/>
        <v>140.88619334169402</v>
      </c>
      <c r="Z567" s="14">
        <f t="shared" si="189"/>
        <v>661788.44674826588</v>
      </c>
      <c r="AA567" s="14">
        <f t="shared" si="190"/>
        <v>1829453.1360236635</v>
      </c>
    </row>
    <row r="568" spans="5:27" outlineLevel="1" x14ac:dyDescent="0.25">
      <c r="E568" s="4" t="s">
        <v>65</v>
      </c>
      <c r="F568" s="4">
        <v>10</v>
      </c>
      <c r="G568" s="21">
        <v>174</v>
      </c>
      <c r="H568" s="21"/>
      <c r="I568" s="21">
        <v>177.70999999999998</v>
      </c>
      <c r="J568" s="21">
        <v>805991.75</v>
      </c>
      <c r="K568" s="21"/>
      <c r="L568" s="21">
        <v>791518.57000000007</v>
      </c>
      <c r="M568" s="21">
        <v>2191533.9500000002</v>
      </c>
      <c r="N568" s="21"/>
      <c r="O568" s="21">
        <v>2219608.2899999996</v>
      </c>
      <c r="S568" s="25">
        <f t="shared" si="191"/>
        <v>-0.17271759634941863</v>
      </c>
      <c r="T568" s="26">
        <f t="shared" si="192"/>
        <v>-0.12998677203397124</v>
      </c>
      <c r="U568" s="27">
        <f t="shared" si="193"/>
        <v>-0.14962150074464831</v>
      </c>
      <c r="W568" s="13">
        <f t="shared" si="187"/>
        <v>0</v>
      </c>
      <c r="Y568" s="14">
        <f t="shared" si="188"/>
        <v>147.01635595274479</v>
      </c>
      <c r="Z568" s="14">
        <f t="shared" si="189"/>
        <v>688631.62608075514</v>
      </c>
      <c r="AA568" s="14">
        <f t="shared" si="190"/>
        <v>1887507.1665849371</v>
      </c>
    </row>
    <row r="569" spans="5:27" outlineLevel="1" x14ac:dyDescent="0.25">
      <c r="E569" s="4" t="s">
        <v>65</v>
      </c>
      <c r="F569" s="4">
        <v>11</v>
      </c>
      <c r="G569" s="21">
        <v>259</v>
      </c>
      <c r="H569" s="21"/>
      <c r="I569" s="21">
        <v>174.49000000000004</v>
      </c>
      <c r="J569" s="21">
        <v>1062832.9700000002</v>
      </c>
      <c r="K569" s="21"/>
      <c r="L569" s="21">
        <v>777860.4800000001</v>
      </c>
      <c r="M569" s="21">
        <v>2885209.7699999996</v>
      </c>
      <c r="N569" s="21"/>
      <c r="O569" s="21">
        <v>2185554.61</v>
      </c>
      <c r="S569" s="25">
        <f t="shared" si="191"/>
        <v>-0.17271759634941863</v>
      </c>
      <c r="T569" s="26">
        <f t="shared" si="192"/>
        <v>-0.12998677203397124</v>
      </c>
      <c r="U569" s="27">
        <f t="shared" si="193"/>
        <v>-0.14962150074464831</v>
      </c>
      <c r="W569" s="13">
        <f t="shared" si="187"/>
        <v>0</v>
      </c>
      <c r="Y569" s="14">
        <f t="shared" si="188"/>
        <v>144.35250661298997</v>
      </c>
      <c r="Z569" s="14">
        <f t="shared" si="189"/>
        <v>676748.90711200458</v>
      </c>
      <c r="AA569" s="14">
        <f t="shared" si="190"/>
        <v>1858548.6492924152</v>
      </c>
    </row>
    <row r="570" spans="5:27" outlineLevel="1" x14ac:dyDescent="0.25">
      <c r="E570" s="4" t="s">
        <v>65</v>
      </c>
      <c r="F570" s="4">
        <v>12</v>
      </c>
      <c r="G570" s="21">
        <v>247</v>
      </c>
      <c r="H570" s="21"/>
      <c r="I570" s="21">
        <v>177.08999999999997</v>
      </c>
      <c r="J570" s="21">
        <v>1117637.1600000001</v>
      </c>
      <c r="K570" s="21"/>
      <c r="L570" s="21">
        <v>802444.03000000014</v>
      </c>
      <c r="M570" s="21">
        <v>3130475.2499999991</v>
      </c>
      <c r="N570" s="21"/>
      <c r="O570" s="21">
        <v>2272098.2800000003</v>
      </c>
      <c r="S570" s="28">
        <f t="shared" si="191"/>
        <v>-0.17271759634941863</v>
      </c>
      <c r="T570" s="29">
        <f t="shared" si="192"/>
        <v>-0.12998677203397124</v>
      </c>
      <c r="U570" s="30">
        <f t="shared" si="193"/>
        <v>-0.14962150074464831</v>
      </c>
      <c r="W570" s="13">
        <f t="shared" si="187"/>
        <v>0</v>
      </c>
      <c r="Y570" s="14">
        <f t="shared" si="188"/>
        <v>146.50344086248143</v>
      </c>
      <c r="Z570" s="14">
        <f t="shared" si="189"/>
        <v>698136.9208023689</v>
      </c>
      <c r="AA570" s="14">
        <f t="shared" si="190"/>
        <v>1932143.5255070662</v>
      </c>
    </row>
    <row r="571" spans="5:27" outlineLevel="1" x14ac:dyDescent="0.25">
      <c r="E571" s="4" t="s">
        <v>66</v>
      </c>
      <c r="F571" s="4">
        <v>1</v>
      </c>
      <c r="G571" s="21">
        <v>261</v>
      </c>
      <c r="H571" s="21">
        <v>282</v>
      </c>
      <c r="I571" s="21">
        <v>263.15999999999997</v>
      </c>
      <c r="J571" s="21">
        <v>1170677.1599999997</v>
      </c>
      <c r="K571" s="21">
        <v>1318492.3299999998</v>
      </c>
      <c r="L571" s="21">
        <v>1221593.0900000001</v>
      </c>
      <c r="M571" s="21">
        <v>3438181.5100000012</v>
      </c>
      <c r="N571" s="21">
        <v>3891684.1600000006</v>
      </c>
      <c r="O571" s="21">
        <v>3596844.6799999992</v>
      </c>
      <c r="S571" s="22">
        <f t="shared" ref="S571:S582" si="194">IFERROR(SUMPRODUCT(H$571:H$582,$W$571:$W$582)/SUMPRODUCT(I$571:I$582,$W$571:$W$582)-1,"")</f>
        <v>-1.4686744748094394E-2</v>
      </c>
      <c r="T571" s="26">
        <f t="shared" ref="T571:T582" si="195">IFERROR(SUMPRODUCT(K$571:K$582,$W$571:$W$582)/SUMPRODUCT(L$571:L$582,$W$571:$W$582)-1,"")</f>
        <v>8.7822499525518349E-3</v>
      </c>
      <c r="U571" s="24">
        <f t="shared" ref="U571:U582" si="196">IFERROR(SUMPRODUCT(N$571:N$582,$W$571:$W$582)/SUMPRODUCT(O$571:O$582,$W$571:$W$582)-1,"")</f>
        <v>-1.9579288316723842E-2</v>
      </c>
      <c r="W571" s="13">
        <f t="shared" si="187"/>
        <v>1</v>
      </c>
      <c r="Y571" s="14">
        <f t="shared" si="188"/>
        <v>282</v>
      </c>
      <c r="Z571" s="14">
        <f t="shared" si="189"/>
        <v>1318492.3299999998</v>
      </c>
      <c r="AA571" s="14">
        <f t="shared" si="190"/>
        <v>3891684.1600000006</v>
      </c>
    </row>
    <row r="572" spans="5:27" outlineLevel="1" x14ac:dyDescent="0.25">
      <c r="E572" s="4" t="s">
        <v>66</v>
      </c>
      <c r="F572" s="4">
        <v>2</v>
      </c>
      <c r="G572" s="21">
        <v>216</v>
      </c>
      <c r="H572" s="21">
        <v>229</v>
      </c>
      <c r="I572" s="21">
        <v>249.04999999999995</v>
      </c>
      <c r="J572" s="21">
        <v>952875.52000000002</v>
      </c>
      <c r="K572" s="21">
        <v>1059162.21</v>
      </c>
      <c r="L572" s="21">
        <v>1162801.6700000002</v>
      </c>
      <c r="M572" s="21">
        <v>2712959.3600000003</v>
      </c>
      <c r="N572" s="21">
        <v>3011382</v>
      </c>
      <c r="O572" s="21">
        <v>3452222.4499999997</v>
      </c>
      <c r="S572" s="25">
        <f t="shared" si="194"/>
        <v>-1.4686744748094394E-2</v>
      </c>
      <c r="T572" s="26">
        <f t="shared" si="195"/>
        <v>8.7822499525518349E-3</v>
      </c>
      <c r="U572" s="27">
        <f t="shared" si="196"/>
        <v>-1.9579288316723842E-2</v>
      </c>
      <c r="W572" s="13">
        <f t="shared" si="187"/>
        <v>1</v>
      </c>
      <c r="Y572" s="14">
        <f t="shared" si="188"/>
        <v>229</v>
      </c>
      <c r="Z572" s="14">
        <f t="shared" si="189"/>
        <v>1059162.21</v>
      </c>
      <c r="AA572" s="14">
        <f t="shared" si="190"/>
        <v>3011382</v>
      </c>
    </row>
    <row r="573" spans="5:27" outlineLevel="1" x14ac:dyDescent="0.25">
      <c r="E573" s="4" t="s">
        <v>66</v>
      </c>
      <c r="F573" s="4">
        <v>3</v>
      </c>
      <c r="G573" s="21">
        <v>246</v>
      </c>
      <c r="H573" s="21">
        <v>267</v>
      </c>
      <c r="I573" s="21">
        <v>258.85000000000002</v>
      </c>
      <c r="J573" s="21">
        <v>1191009.5</v>
      </c>
      <c r="K573" s="21">
        <v>1348260.3599999996</v>
      </c>
      <c r="L573" s="21">
        <v>1198366.44</v>
      </c>
      <c r="M573" s="21">
        <v>3505108.620000001</v>
      </c>
      <c r="N573" s="21">
        <v>4019943.2100000004</v>
      </c>
      <c r="O573" s="21">
        <v>3538017.16</v>
      </c>
      <c r="S573" s="25">
        <f t="shared" si="194"/>
        <v>-1.4686744748094394E-2</v>
      </c>
      <c r="T573" s="26">
        <f t="shared" si="195"/>
        <v>8.7822499525518349E-3</v>
      </c>
      <c r="U573" s="27">
        <f t="shared" si="196"/>
        <v>-1.9579288316723842E-2</v>
      </c>
      <c r="W573" s="13">
        <f t="shared" si="187"/>
        <v>1</v>
      </c>
      <c r="Y573" s="14">
        <f t="shared" si="188"/>
        <v>267</v>
      </c>
      <c r="Z573" s="14">
        <f t="shared" si="189"/>
        <v>1348260.3599999996</v>
      </c>
      <c r="AA573" s="14">
        <f t="shared" si="190"/>
        <v>4019943.2100000004</v>
      </c>
    </row>
    <row r="574" spans="5:27" outlineLevel="1" x14ac:dyDescent="0.25">
      <c r="E574" s="4" t="s">
        <v>66</v>
      </c>
      <c r="F574" s="4">
        <v>4</v>
      </c>
      <c r="G574" s="21">
        <v>213</v>
      </c>
      <c r="H574" s="21">
        <v>233</v>
      </c>
      <c r="I574" s="21">
        <v>253.82999999999998</v>
      </c>
      <c r="J574" s="21">
        <v>980983.59</v>
      </c>
      <c r="K574" s="21">
        <v>1130851.1800000002</v>
      </c>
      <c r="L574" s="21">
        <v>1182613.9400000002</v>
      </c>
      <c r="M574" s="21">
        <v>2829260.2100000004</v>
      </c>
      <c r="N574" s="21">
        <v>3232679.4999999991</v>
      </c>
      <c r="O574" s="21">
        <v>3491737.3999999994</v>
      </c>
      <c r="S574" s="25">
        <f t="shared" si="194"/>
        <v>-1.4686744748094394E-2</v>
      </c>
      <c r="T574" s="26">
        <f t="shared" si="195"/>
        <v>8.7822499525518349E-3</v>
      </c>
      <c r="U574" s="27">
        <f t="shared" si="196"/>
        <v>-1.9579288316723842E-2</v>
      </c>
      <c r="W574" s="13">
        <f t="shared" si="187"/>
        <v>1</v>
      </c>
      <c r="Y574" s="14">
        <f t="shared" si="188"/>
        <v>233</v>
      </c>
      <c r="Z574" s="14">
        <f t="shared" si="189"/>
        <v>1130851.1800000002</v>
      </c>
      <c r="AA574" s="14">
        <f t="shared" si="190"/>
        <v>3232679.4999999991</v>
      </c>
    </row>
    <row r="575" spans="5:27" outlineLevel="1" x14ac:dyDescent="0.25">
      <c r="E575" s="4" t="s">
        <v>66</v>
      </c>
      <c r="F575" s="4">
        <v>5</v>
      </c>
      <c r="G575" s="21">
        <v>242</v>
      </c>
      <c r="H575" s="21">
        <v>254</v>
      </c>
      <c r="I575" s="21">
        <v>263.19</v>
      </c>
      <c r="J575" s="21">
        <v>1027054.5499999999</v>
      </c>
      <c r="K575" s="21">
        <v>1127611.4500000002</v>
      </c>
      <c r="L575" s="21">
        <v>1229230.6100000001</v>
      </c>
      <c r="M575" s="21">
        <v>2928784.56</v>
      </c>
      <c r="N575" s="21">
        <v>3081685.4799999995</v>
      </c>
      <c r="O575" s="21">
        <v>3610337.9899999993</v>
      </c>
      <c r="S575" s="25">
        <f t="shared" si="194"/>
        <v>-1.4686744748094394E-2</v>
      </c>
      <c r="T575" s="26">
        <f t="shared" si="195"/>
        <v>8.7822499525518349E-3</v>
      </c>
      <c r="U575" s="27">
        <f t="shared" si="196"/>
        <v>-1.9579288316723842E-2</v>
      </c>
      <c r="W575" s="13">
        <f t="shared" si="187"/>
        <v>1</v>
      </c>
      <c r="Y575" s="14">
        <f t="shared" si="188"/>
        <v>254</v>
      </c>
      <c r="Z575" s="14">
        <f t="shared" si="189"/>
        <v>1127611.4500000002</v>
      </c>
      <c r="AA575" s="14">
        <f t="shared" si="190"/>
        <v>3081685.4799999995</v>
      </c>
    </row>
    <row r="576" spans="5:27" outlineLevel="1" x14ac:dyDescent="0.25">
      <c r="E576" s="4" t="s">
        <v>66</v>
      </c>
      <c r="F576" s="4">
        <v>6</v>
      </c>
      <c r="G576" s="21">
        <v>247</v>
      </c>
      <c r="H576" s="21">
        <v>272</v>
      </c>
      <c r="I576" s="21">
        <v>271.83000000000004</v>
      </c>
      <c r="J576" s="21">
        <v>1143730.3699999999</v>
      </c>
      <c r="K576" s="21">
        <v>1332427.08</v>
      </c>
      <c r="L576" s="21">
        <v>1258500.2700000003</v>
      </c>
      <c r="M576" s="21">
        <v>3276457.3099999996</v>
      </c>
      <c r="N576" s="21">
        <v>3725403.8100000005</v>
      </c>
      <c r="O576" s="21">
        <v>3692251.29</v>
      </c>
      <c r="S576" s="25">
        <f t="shared" si="194"/>
        <v>-1.4686744748094394E-2</v>
      </c>
      <c r="T576" s="26">
        <f t="shared" si="195"/>
        <v>8.7822499525518349E-3</v>
      </c>
      <c r="U576" s="27">
        <f t="shared" si="196"/>
        <v>-1.9579288316723842E-2</v>
      </c>
      <c r="W576" s="13">
        <f t="shared" si="187"/>
        <v>1</v>
      </c>
      <c r="Y576" s="14">
        <f t="shared" si="188"/>
        <v>272</v>
      </c>
      <c r="Z576" s="14">
        <f t="shared" si="189"/>
        <v>1332427.08</v>
      </c>
      <c r="AA576" s="14">
        <f t="shared" si="190"/>
        <v>3725403.8100000005</v>
      </c>
    </row>
    <row r="577" spans="5:27" outlineLevel="1" x14ac:dyDescent="0.25">
      <c r="E577" s="4" t="s">
        <v>66</v>
      </c>
      <c r="F577" s="4">
        <v>7</v>
      </c>
      <c r="G577" s="21">
        <v>242</v>
      </c>
      <c r="H577" s="21"/>
      <c r="I577" s="21">
        <v>266.89000000000004</v>
      </c>
      <c r="J577" s="21">
        <v>1166482</v>
      </c>
      <c r="K577" s="21"/>
      <c r="L577" s="21">
        <v>1250083.5899999999</v>
      </c>
      <c r="M577" s="21">
        <v>3386426.2499999995</v>
      </c>
      <c r="N577" s="21"/>
      <c r="O577" s="21">
        <v>3679028.5300000003</v>
      </c>
      <c r="S577" s="25">
        <f t="shared" si="194"/>
        <v>-1.4686744748094394E-2</v>
      </c>
      <c r="T577" s="26">
        <f t="shared" si="195"/>
        <v>8.7822499525518349E-3</v>
      </c>
      <c r="U577" s="27">
        <f t="shared" si="196"/>
        <v>-1.9579288316723842E-2</v>
      </c>
      <c r="W577" s="13">
        <f t="shared" si="187"/>
        <v>0</v>
      </c>
      <c r="Y577" s="14">
        <f t="shared" si="188"/>
        <v>262.97025469418111</v>
      </c>
      <c r="Z577" s="14">
        <f t="shared" si="189"/>
        <v>1261062.1365489631</v>
      </c>
      <c r="AA577" s="14">
        <f t="shared" si="190"/>
        <v>3606995.7696856777</v>
      </c>
    </row>
    <row r="578" spans="5:27" outlineLevel="1" x14ac:dyDescent="0.25">
      <c r="E578" s="4" t="s">
        <v>66</v>
      </c>
      <c r="F578" s="4">
        <v>8</v>
      </c>
      <c r="G578" s="21">
        <v>232</v>
      </c>
      <c r="H578" s="21"/>
      <c r="I578" s="21">
        <v>252.07</v>
      </c>
      <c r="J578" s="21">
        <v>1052272.25</v>
      </c>
      <c r="K578" s="21"/>
      <c r="L578" s="21">
        <v>1187560.7999999998</v>
      </c>
      <c r="M578" s="21">
        <v>3026445.63</v>
      </c>
      <c r="N578" s="21"/>
      <c r="O578" s="21">
        <v>3518696.6700000004</v>
      </c>
      <c r="S578" s="25">
        <f t="shared" si="194"/>
        <v>-1.4686744748094394E-2</v>
      </c>
      <c r="T578" s="26">
        <f t="shared" si="195"/>
        <v>8.7822499525518349E-3</v>
      </c>
      <c r="U578" s="27">
        <f t="shared" si="196"/>
        <v>-1.9579288316723842E-2</v>
      </c>
      <c r="W578" s="13">
        <f t="shared" si="187"/>
        <v>0</v>
      </c>
      <c r="Y578" s="14">
        <f t="shared" si="188"/>
        <v>248.36791225134783</v>
      </c>
      <c r="Z578" s="14">
        <f t="shared" si="189"/>
        <v>1197990.2557794522</v>
      </c>
      <c r="AA578" s="14">
        <f t="shared" si="190"/>
        <v>3449803.0933989743</v>
      </c>
    </row>
    <row r="579" spans="5:27" outlineLevel="1" x14ac:dyDescent="0.25">
      <c r="E579" s="4" t="s">
        <v>66</v>
      </c>
      <c r="F579" s="4">
        <v>9</v>
      </c>
      <c r="G579" s="21">
        <v>191</v>
      </c>
      <c r="H579" s="21"/>
      <c r="I579" s="21">
        <v>265.03000000000003</v>
      </c>
      <c r="J579" s="21">
        <v>885560.69000000018</v>
      </c>
      <c r="K579" s="21"/>
      <c r="L579" s="21">
        <v>1226304.8599999999</v>
      </c>
      <c r="M579" s="21">
        <v>2589593.13</v>
      </c>
      <c r="N579" s="21"/>
      <c r="O579" s="21">
        <v>3610512.69</v>
      </c>
      <c r="S579" s="25">
        <f t="shared" si="194"/>
        <v>-1.4686744748094394E-2</v>
      </c>
      <c r="T579" s="26">
        <f t="shared" si="195"/>
        <v>8.7822499525518349E-3</v>
      </c>
      <c r="U579" s="27">
        <f t="shared" si="196"/>
        <v>-1.9579288316723842E-2</v>
      </c>
      <c r="W579" s="13">
        <f t="shared" si="187"/>
        <v>0</v>
      </c>
      <c r="Y579" s="14">
        <f t="shared" si="188"/>
        <v>261.13757203941259</v>
      </c>
      <c r="Z579" s="14">
        <f t="shared" si="189"/>
        <v>1237074.575798549</v>
      </c>
      <c r="AA579" s="14">
        <f t="shared" si="190"/>
        <v>3539821.4210712998</v>
      </c>
    </row>
    <row r="580" spans="5:27" outlineLevel="1" x14ac:dyDescent="0.25">
      <c r="E580" s="4" t="s">
        <v>66</v>
      </c>
      <c r="F580" s="4">
        <v>10</v>
      </c>
      <c r="G580" s="21">
        <v>287</v>
      </c>
      <c r="H580" s="21"/>
      <c r="I580" s="21">
        <v>259.86</v>
      </c>
      <c r="J580" s="21">
        <v>1305872.4100000001</v>
      </c>
      <c r="K580" s="21"/>
      <c r="L580" s="21">
        <v>1212033.5899999999</v>
      </c>
      <c r="M580" s="21">
        <v>3729268.29</v>
      </c>
      <c r="N580" s="21"/>
      <c r="O580" s="21">
        <v>3571796.0100000002</v>
      </c>
      <c r="S580" s="25">
        <f t="shared" si="194"/>
        <v>-1.4686744748094394E-2</v>
      </c>
      <c r="T580" s="26">
        <f t="shared" si="195"/>
        <v>8.7822499525518349E-3</v>
      </c>
      <c r="U580" s="27">
        <f t="shared" si="196"/>
        <v>-1.9579288316723842E-2</v>
      </c>
      <c r="W580" s="13">
        <f t="shared" si="187"/>
        <v>0</v>
      </c>
      <c r="Y580" s="14">
        <f t="shared" si="188"/>
        <v>256.04350250976023</v>
      </c>
      <c r="Z580" s="14">
        <f t="shared" si="189"/>
        <v>1222677.9719382685</v>
      </c>
      <c r="AA580" s="14">
        <f t="shared" si="190"/>
        <v>3501862.7861116864</v>
      </c>
    </row>
    <row r="581" spans="5:27" outlineLevel="1" x14ac:dyDescent="0.25">
      <c r="E581" s="4" t="s">
        <v>66</v>
      </c>
      <c r="F581" s="4">
        <v>11</v>
      </c>
      <c r="G581" s="21">
        <v>231</v>
      </c>
      <c r="H581" s="21"/>
      <c r="I581" s="21">
        <v>273.43</v>
      </c>
      <c r="J581" s="21">
        <v>1088590.05</v>
      </c>
      <c r="K581" s="21"/>
      <c r="L581" s="21">
        <v>1275221.2999999996</v>
      </c>
      <c r="M581" s="21">
        <v>3195025.4700000011</v>
      </c>
      <c r="N581" s="21"/>
      <c r="O581" s="21">
        <v>3753749.100000001</v>
      </c>
      <c r="S581" s="25">
        <f t="shared" si="194"/>
        <v>-1.4686744748094394E-2</v>
      </c>
      <c r="T581" s="26">
        <f t="shared" si="195"/>
        <v>8.7822499525518349E-3</v>
      </c>
      <c r="U581" s="27">
        <f t="shared" si="196"/>
        <v>-1.9579288316723842E-2</v>
      </c>
      <c r="W581" s="13">
        <f t="shared" si="187"/>
        <v>0</v>
      </c>
      <c r="Y581" s="14">
        <f t="shared" si="188"/>
        <v>269.41420338352856</v>
      </c>
      <c r="Z581" s="14">
        <f t="shared" si="189"/>
        <v>1286420.6122014176</v>
      </c>
      <c r="AA581" s="14">
        <f t="shared" si="190"/>
        <v>3680253.3641024586</v>
      </c>
    </row>
    <row r="582" spans="5:27" outlineLevel="1" x14ac:dyDescent="0.25">
      <c r="E582" s="4" t="s">
        <v>66</v>
      </c>
      <c r="F582" s="4">
        <v>12</v>
      </c>
      <c r="G582" s="21">
        <v>403</v>
      </c>
      <c r="H582" s="21"/>
      <c r="I582" s="21">
        <v>282.72000000000003</v>
      </c>
      <c r="J582" s="21">
        <v>1817589.12</v>
      </c>
      <c r="K582" s="21"/>
      <c r="L582" s="21">
        <v>1304399.0599999998</v>
      </c>
      <c r="M582" s="21">
        <v>5333776.4399999995</v>
      </c>
      <c r="N582" s="21"/>
      <c r="O582" s="21">
        <v>3832866.31</v>
      </c>
      <c r="S582" s="28">
        <f t="shared" si="194"/>
        <v>-1.4686744748094394E-2</v>
      </c>
      <c r="T582" s="26">
        <f t="shared" si="195"/>
        <v>8.7822499525518349E-3</v>
      </c>
      <c r="U582" s="30">
        <f t="shared" si="196"/>
        <v>-1.9579288316723842E-2</v>
      </c>
      <c r="W582" s="13">
        <f t="shared" si="187"/>
        <v>0</v>
      </c>
      <c r="Y582" s="14">
        <f t="shared" si="188"/>
        <v>278.56776352481876</v>
      </c>
      <c r="Z582" s="14">
        <f t="shared" si="189"/>
        <v>1315854.6185827935</v>
      </c>
      <c r="AA582" s="14">
        <f t="shared" si="190"/>
        <v>3757821.5154370526</v>
      </c>
    </row>
    <row r="583" spans="5:27" outlineLevel="1" x14ac:dyDescent="0.25">
      <c r="E583" s="4" t="s">
        <v>67</v>
      </c>
      <c r="F583" s="4">
        <v>1</v>
      </c>
      <c r="G583" s="21">
        <v>94</v>
      </c>
      <c r="H583" s="21">
        <v>97</v>
      </c>
      <c r="I583" s="21">
        <v>132.13999999999999</v>
      </c>
      <c r="J583" s="21">
        <v>465101.90999999992</v>
      </c>
      <c r="K583" s="21">
        <v>500882.74000000005</v>
      </c>
      <c r="L583" s="21">
        <v>617535.54000000015</v>
      </c>
      <c r="M583" s="21">
        <v>1399989.79</v>
      </c>
      <c r="N583" s="21">
        <v>1541822.7799999998</v>
      </c>
      <c r="O583" s="21">
        <v>1810891.8899999997</v>
      </c>
      <c r="S583" s="22">
        <f t="shared" ref="S583:S594" si="197">IFERROR(SUMPRODUCT(H$583:H$594,$W$583:$W$594)/SUMPRODUCT(I$583:I$594,$W$583:$W$594)-1,"")</f>
        <v>-0.10610633851869067</v>
      </c>
      <c r="T583" s="23">
        <f t="shared" ref="T583:T594" si="198">IFERROR(SUMPRODUCT(K$583:K$594,$W$583:$W$594)/SUMPRODUCT(L$583:L$594,$W$583:$W$594)-1,"")</f>
        <v>-6.0856779389471982E-2</v>
      </c>
      <c r="U583" s="24">
        <f t="shared" ref="U583:U594" si="199">IFERROR(SUMPRODUCT(N$583:N$594,$W$583:$W$594)/SUMPRODUCT(O$583:O$594,$W$583:$W$594)-1,"")</f>
        <v>-7.4439734801008406E-2</v>
      </c>
      <c r="W583" s="13">
        <f t="shared" si="187"/>
        <v>1</v>
      </c>
      <c r="Y583" s="14">
        <f t="shared" si="188"/>
        <v>97</v>
      </c>
      <c r="Z583" s="14">
        <f t="shared" si="189"/>
        <v>500882.74000000005</v>
      </c>
      <c r="AA583" s="14">
        <f t="shared" si="190"/>
        <v>1541822.7799999998</v>
      </c>
    </row>
    <row r="584" spans="5:27" outlineLevel="1" x14ac:dyDescent="0.25">
      <c r="E584" s="4" t="s">
        <v>67</v>
      </c>
      <c r="F584" s="4">
        <v>2</v>
      </c>
      <c r="G584" s="21">
        <v>91</v>
      </c>
      <c r="H584" s="21">
        <v>87</v>
      </c>
      <c r="I584" s="21">
        <v>123.21000000000002</v>
      </c>
      <c r="J584" s="21">
        <v>381879.25999999995</v>
      </c>
      <c r="K584" s="21">
        <v>391263.41000000003</v>
      </c>
      <c r="L584" s="21">
        <v>568493.26</v>
      </c>
      <c r="M584" s="21">
        <v>1029487.1400000001</v>
      </c>
      <c r="N584" s="21">
        <v>1042105.49</v>
      </c>
      <c r="O584" s="21">
        <v>1662010.0999999996</v>
      </c>
      <c r="S584" s="25">
        <f t="shared" si="197"/>
        <v>-0.10610633851869067</v>
      </c>
      <c r="T584" s="26">
        <f t="shared" si="198"/>
        <v>-6.0856779389471982E-2</v>
      </c>
      <c r="U584" s="27">
        <f t="shared" si="199"/>
        <v>-7.4439734801008406E-2</v>
      </c>
      <c r="W584" s="13">
        <f t="shared" si="187"/>
        <v>1</v>
      </c>
      <c r="Y584" s="14">
        <f t="shared" si="188"/>
        <v>87</v>
      </c>
      <c r="Z584" s="14">
        <f t="shared" si="189"/>
        <v>391263.41000000003</v>
      </c>
      <c r="AA584" s="14">
        <f t="shared" si="190"/>
        <v>1042105.49</v>
      </c>
    </row>
    <row r="585" spans="5:27" outlineLevel="1" x14ac:dyDescent="0.25">
      <c r="E585" s="4" t="s">
        <v>67</v>
      </c>
      <c r="F585" s="4">
        <v>3</v>
      </c>
      <c r="G585" s="21">
        <v>123</v>
      </c>
      <c r="H585" s="21">
        <v>129</v>
      </c>
      <c r="I585" s="21">
        <v>121.18</v>
      </c>
      <c r="J585" s="21">
        <v>612788.29</v>
      </c>
      <c r="K585" s="21">
        <v>667131.01</v>
      </c>
      <c r="L585" s="21">
        <v>548137.85999999987</v>
      </c>
      <c r="M585" s="21">
        <v>1772977.23</v>
      </c>
      <c r="N585" s="21">
        <v>1915424.5599999994</v>
      </c>
      <c r="O585" s="21">
        <v>1634682.1700000002</v>
      </c>
      <c r="S585" s="25">
        <f t="shared" si="197"/>
        <v>-0.10610633851869067</v>
      </c>
      <c r="T585" s="26">
        <f t="shared" si="198"/>
        <v>-6.0856779389471982E-2</v>
      </c>
      <c r="U585" s="27">
        <f t="shared" si="199"/>
        <v>-7.4439734801008406E-2</v>
      </c>
      <c r="W585" s="13">
        <f t="shared" si="187"/>
        <v>1</v>
      </c>
      <c r="Y585" s="14">
        <f t="shared" si="188"/>
        <v>129</v>
      </c>
      <c r="Z585" s="14">
        <f t="shared" si="189"/>
        <v>667131.01</v>
      </c>
      <c r="AA585" s="14">
        <f t="shared" si="190"/>
        <v>1915424.5599999994</v>
      </c>
    </row>
    <row r="586" spans="5:27" outlineLevel="1" x14ac:dyDescent="0.25">
      <c r="E586" s="4" t="s">
        <v>67</v>
      </c>
      <c r="F586" s="4">
        <v>4</v>
      </c>
      <c r="G586" s="21">
        <v>135</v>
      </c>
      <c r="H586" s="21">
        <v>133</v>
      </c>
      <c r="I586" s="21">
        <v>131.32999999999998</v>
      </c>
      <c r="J586" s="21">
        <v>604995.18000000005</v>
      </c>
      <c r="K586" s="21">
        <v>621988.43000000017</v>
      </c>
      <c r="L586" s="21">
        <v>611684.4</v>
      </c>
      <c r="M586" s="21">
        <v>1764160.5499999996</v>
      </c>
      <c r="N586" s="21">
        <v>1790381.4700000002</v>
      </c>
      <c r="O586" s="21">
        <v>1810649.22</v>
      </c>
      <c r="S586" s="25">
        <f t="shared" si="197"/>
        <v>-0.10610633851869067</v>
      </c>
      <c r="T586" s="26">
        <f t="shared" si="198"/>
        <v>-6.0856779389471982E-2</v>
      </c>
      <c r="U586" s="27">
        <f t="shared" si="199"/>
        <v>-7.4439734801008406E-2</v>
      </c>
      <c r="W586" s="13">
        <f t="shared" si="187"/>
        <v>1</v>
      </c>
      <c r="Y586" s="14">
        <f t="shared" si="188"/>
        <v>133</v>
      </c>
      <c r="Z586" s="14">
        <f t="shared" si="189"/>
        <v>621988.43000000017</v>
      </c>
      <c r="AA586" s="14">
        <f t="shared" si="190"/>
        <v>1790381.4700000002</v>
      </c>
    </row>
    <row r="587" spans="5:27" outlineLevel="1" x14ac:dyDescent="0.25">
      <c r="E587" s="4" t="s">
        <v>67</v>
      </c>
      <c r="F587" s="4">
        <v>5</v>
      </c>
      <c r="G587" s="21">
        <v>141</v>
      </c>
      <c r="H587" s="21">
        <v>140</v>
      </c>
      <c r="I587" s="21">
        <v>132.18000000000004</v>
      </c>
      <c r="J587" s="21">
        <v>686750.22999999986</v>
      </c>
      <c r="K587" s="21">
        <v>706450.55000000016</v>
      </c>
      <c r="L587" s="21">
        <v>613263.36999999988</v>
      </c>
      <c r="M587" s="21">
        <v>1918654.2</v>
      </c>
      <c r="N587" s="21">
        <v>1991257.74</v>
      </c>
      <c r="O587" s="21">
        <v>1796585.1600000001</v>
      </c>
      <c r="S587" s="25">
        <f t="shared" si="197"/>
        <v>-0.10610633851869067</v>
      </c>
      <c r="T587" s="26">
        <f t="shared" si="198"/>
        <v>-6.0856779389471982E-2</v>
      </c>
      <c r="U587" s="27">
        <f t="shared" si="199"/>
        <v>-7.4439734801008406E-2</v>
      </c>
      <c r="W587" s="13">
        <f t="shared" si="187"/>
        <v>1</v>
      </c>
      <c r="Y587" s="14">
        <f t="shared" si="188"/>
        <v>140</v>
      </c>
      <c r="Z587" s="14">
        <f t="shared" si="189"/>
        <v>706450.55000000016</v>
      </c>
      <c r="AA587" s="14">
        <f t="shared" si="190"/>
        <v>1991257.74</v>
      </c>
    </row>
    <row r="588" spans="5:27" outlineLevel="1" x14ac:dyDescent="0.25">
      <c r="E588" s="4" t="s">
        <v>67</v>
      </c>
      <c r="F588" s="4">
        <v>6</v>
      </c>
      <c r="G588" s="21">
        <v>105</v>
      </c>
      <c r="H588" s="21">
        <v>107</v>
      </c>
      <c r="I588" s="21">
        <v>135.22</v>
      </c>
      <c r="J588" s="21">
        <v>459243.59</v>
      </c>
      <c r="K588" s="21">
        <v>485571.47</v>
      </c>
      <c r="L588" s="21">
        <v>632763.29</v>
      </c>
      <c r="M588" s="21">
        <v>1386919.75</v>
      </c>
      <c r="N588" s="21">
        <v>1491522.2199999993</v>
      </c>
      <c r="O588" s="21">
        <v>1843666.5500000003</v>
      </c>
      <c r="S588" s="25">
        <f t="shared" si="197"/>
        <v>-0.10610633851869067</v>
      </c>
      <c r="T588" s="26">
        <f t="shared" si="198"/>
        <v>-6.0856779389471982E-2</v>
      </c>
      <c r="U588" s="27">
        <f t="shared" si="199"/>
        <v>-7.4439734801008406E-2</v>
      </c>
      <c r="W588" s="13">
        <f t="shared" si="187"/>
        <v>1</v>
      </c>
      <c r="Y588" s="14">
        <f t="shared" si="188"/>
        <v>107</v>
      </c>
      <c r="Z588" s="14">
        <f t="shared" si="189"/>
        <v>485571.47</v>
      </c>
      <c r="AA588" s="14">
        <f t="shared" si="190"/>
        <v>1491522.2199999993</v>
      </c>
    </row>
    <row r="589" spans="5:27" outlineLevel="1" x14ac:dyDescent="0.25">
      <c r="E589" s="4" t="s">
        <v>67</v>
      </c>
      <c r="F589" s="4">
        <v>7</v>
      </c>
      <c r="G589" s="21">
        <v>101</v>
      </c>
      <c r="H589" s="21"/>
      <c r="I589" s="21">
        <v>133.96</v>
      </c>
      <c r="J589" s="21">
        <v>441985.26</v>
      </c>
      <c r="K589" s="21"/>
      <c r="L589" s="21">
        <v>624319.77</v>
      </c>
      <c r="M589" s="21">
        <v>1282367.5600000003</v>
      </c>
      <c r="N589" s="21"/>
      <c r="O589" s="21">
        <v>1843882.8599999999</v>
      </c>
      <c r="S589" s="25">
        <f t="shared" si="197"/>
        <v>-0.10610633851869067</v>
      </c>
      <c r="T589" s="26">
        <f t="shared" si="198"/>
        <v>-6.0856779389471982E-2</v>
      </c>
      <c r="U589" s="27">
        <f t="shared" si="199"/>
        <v>-7.4439734801008406E-2</v>
      </c>
      <c r="W589" s="13">
        <f t="shared" si="187"/>
        <v>0</v>
      </c>
      <c r="Y589" s="14">
        <f t="shared" si="188"/>
        <v>119.74599489203621</v>
      </c>
      <c r="Z589" s="14">
        <f t="shared" si="189"/>
        <v>586325.6794886241</v>
      </c>
      <c r="AA589" s="14">
        <f t="shared" si="190"/>
        <v>1706624.7088974749</v>
      </c>
    </row>
    <row r="590" spans="5:27" outlineLevel="1" x14ac:dyDescent="0.25">
      <c r="E590" s="4" t="s">
        <v>67</v>
      </c>
      <c r="F590" s="4">
        <v>8</v>
      </c>
      <c r="G590" s="21">
        <v>94</v>
      </c>
      <c r="H590" s="21"/>
      <c r="I590" s="21">
        <v>124.99</v>
      </c>
      <c r="J590" s="21">
        <v>417399.31000000006</v>
      </c>
      <c r="K590" s="21"/>
      <c r="L590" s="21">
        <v>577198.26</v>
      </c>
      <c r="M590" s="21">
        <v>1210470.45</v>
      </c>
      <c r="N590" s="21"/>
      <c r="O590" s="21">
        <v>1706107.7200000007</v>
      </c>
      <c r="S590" s="25">
        <f t="shared" si="197"/>
        <v>-0.10610633851869067</v>
      </c>
      <c r="T590" s="26">
        <f t="shared" si="198"/>
        <v>-6.0856779389471982E-2</v>
      </c>
      <c r="U590" s="27">
        <f t="shared" si="199"/>
        <v>-7.4439734801008406E-2</v>
      </c>
      <c r="W590" s="13">
        <f t="shared" si="187"/>
        <v>0</v>
      </c>
      <c r="Y590" s="14">
        <f t="shared" si="188"/>
        <v>111.72776874854885</v>
      </c>
      <c r="Z590" s="14">
        <f t="shared" si="189"/>
        <v>542071.83282719296</v>
      </c>
      <c r="AA590" s="14">
        <f t="shared" si="190"/>
        <v>1579105.5137812474</v>
      </c>
    </row>
    <row r="591" spans="5:27" outlineLevel="1" x14ac:dyDescent="0.25">
      <c r="E591" s="4" t="s">
        <v>67</v>
      </c>
      <c r="F591" s="4">
        <v>9</v>
      </c>
      <c r="G591" s="21">
        <v>110</v>
      </c>
      <c r="H591" s="21"/>
      <c r="I591" s="21">
        <v>114.98000000000003</v>
      </c>
      <c r="J591" s="21">
        <v>518136.6</v>
      </c>
      <c r="K591" s="21"/>
      <c r="L591" s="21">
        <v>522736.55</v>
      </c>
      <c r="M591" s="21">
        <v>1551129.1400000001</v>
      </c>
      <c r="N591" s="21"/>
      <c r="O591" s="21">
        <v>1529520.37</v>
      </c>
      <c r="S591" s="25">
        <f t="shared" si="197"/>
        <v>-0.10610633851869067</v>
      </c>
      <c r="T591" s="26">
        <f t="shared" si="198"/>
        <v>-6.0856779389471982E-2</v>
      </c>
      <c r="U591" s="27">
        <f t="shared" si="199"/>
        <v>-7.4439734801008406E-2</v>
      </c>
      <c r="W591" s="13">
        <f t="shared" si="187"/>
        <v>0</v>
      </c>
      <c r="Y591" s="14">
        <f t="shared" si="188"/>
        <v>102.77989319712097</v>
      </c>
      <c r="Z591" s="14">
        <f t="shared" si="189"/>
        <v>490924.48709783627</v>
      </c>
      <c r="AA591" s="14">
        <f t="shared" si="190"/>
        <v>1415663.2792844598</v>
      </c>
    </row>
    <row r="592" spans="5:27" outlineLevel="1" x14ac:dyDescent="0.25">
      <c r="E592" s="4" t="s">
        <v>67</v>
      </c>
      <c r="F592" s="4">
        <v>10</v>
      </c>
      <c r="G592" s="21">
        <v>132</v>
      </c>
      <c r="H592" s="21"/>
      <c r="I592" s="21">
        <v>128.07999999999998</v>
      </c>
      <c r="J592" s="21">
        <v>595072.02000000014</v>
      </c>
      <c r="K592" s="21"/>
      <c r="L592" s="21">
        <v>593026.43999999983</v>
      </c>
      <c r="M592" s="21">
        <v>1684044.6500000001</v>
      </c>
      <c r="N592" s="21"/>
      <c r="O592" s="21">
        <v>1726381.24</v>
      </c>
      <c r="S592" s="25">
        <f t="shared" si="197"/>
        <v>-0.10610633851869067</v>
      </c>
      <c r="T592" s="26">
        <f t="shared" si="198"/>
        <v>-6.0856779389471982E-2</v>
      </c>
      <c r="U592" s="27">
        <f t="shared" si="199"/>
        <v>-7.4439734801008406E-2</v>
      </c>
      <c r="W592" s="13">
        <f t="shared" si="187"/>
        <v>0</v>
      </c>
      <c r="Y592" s="14">
        <f t="shared" si="188"/>
        <v>114.48990016252608</v>
      </c>
      <c r="Z592" s="14">
        <f t="shared" si="189"/>
        <v>556936.76076879585</v>
      </c>
      <c r="AA592" s="14">
        <f t="shared" si="190"/>
        <v>1597869.8783289639</v>
      </c>
    </row>
    <row r="593" spans="5:27" outlineLevel="1" x14ac:dyDescent="0.25">
      <c r="E593" s="4" t="s">
        <v>67</v>
      </c>
      <c r="F593" s="4">
        <v>11</v>
      </c>
      <c r="G593" s="21">
        <v>155</v>
      </c>
      <c r="H593" s="21"/>
      <c r="I593" s="21">
        <v>135.58000000000001</v>
      </c>
      <c r="J593" s="21">
        <v>671177.2899999998</v>
      </c>
      <c r="K593" s="21"/>
      <c r="L593" s="21">
        <v>624328.15999999968</v>
      </c>
      <c r="M593" s="21">
        <v>1898433.7100000002</v>
      </c>
      <c r="N593" s="21"/>
      <c r="O593" s="21">
        <v>1844177.3799999997</v>
      </c>
      <c r="S593" s="25">
        <f t="shared" si="197"/>
        <v>-0.10610633851869067</v>
      </c>
      <c r="T593" s="26">
        <f t="shared" si="198"/>
        <v>-6.0856779389471982E-2</v>
      </c>
      <c r="U593" s="27">
        <f t="shared" si="199"/>
        <v>-7.4439734801008406E-2</v>
      </c>
      <c r="W593" s="13">
        <f t="shared" si="187"/>
        <v>0</v>
      </c>
      <c r="Y593" s="14">
        <f t="shared" si="188"/>
        <v>121.19410262363593</v>
      </c>
      <c r="Z593" s="14">
        <f t="shared" si="189"/>
        <v>586333.55890024477</v>
      </c>
      <c r="AA593" s="14">
        <f t="shared" si="190"/>
        <v>1706897.3049067811</v>
      </c>
    </row>
    <row r="594" spans="5:27" outlineLevel="1" x14ac:dyDescent="0.25">
      <c r="E594" s="4" t="s">
        <v>67</v>
      </c>
      <c r="F594" s="4">
        <v>12</v>
      </c>
      <c r="G594" s="21">
        <v>199</v>
      </c>
      <c r="H594" s="21"/>
      <c r="I594" s="21">
        <v>137.17999999999998</v>
      </c>
      <c r="J594" s="21">
        <v>908884.79999999993</v>
      </c>
      <c r="K594" s="21"/>
      <c r="L594" s="21">
        <v>641542.22999999986</v>
      </c>
      <c r="M594" s="21">
        <v>2613267.33</v>
      </c>
      <c r="N594" s="21"/>
      <c r="O594" s="21">
        <v>1886657.96</v>
      </c>
      <c r="S594" s="28">
        <f t="shared" si="197"/>
        <v>-0.10610633851869067</v>
      </c>
      <c r="T594" s="29">
        <f t="shared" si="198"/>
        <v>-6.0856779389471982E-2</v>
      </c>
      <c r="U594" s="30">
        <f t="shared" si="199"/>
        <v>-7.4439734801008406E-2</v>
      </c>
      <c r="W594" s="13">
        <f t="shared" si="187"/>
        <v>0</v>
      </c>
      <c r="Y594" s="14">
        <f t="shared" si="188"/>
        <v>122.624332482006</v>
      </c>
      <c r="Z594" s="14">
        <f t="shared" si="189"/>
        <v>602500.03603985999</v>
      </c>
      <c r="AA594" s="14">
        <f t="shared" si="190"/>
        <v>1746215.6417973884</v>
      </c>
    </row>
    <row r="595" spans="5:27" outlineLevel="1" x14ac:dyDescent="0.25">
      <c r="E595" s="4" t="s">
        <v>68</v>
      </c>
      <c r="F595" s="4">
        <v>1</v>
      </c>
      <c r="G595" s="21">
        <v>318</v>
      </c>
      <c r="H595" s="21">
        <v>340</v>
      </c>
      <c r="I595" s="21">
        <v>389.2</v>
      </c>
      <c r="J595" s="21">
        <v>1410122.0000000007</v>
      </c>
      <c r="K595" s="21">
        <v>1581034.24</v>
      </c>
      <c r="L595" s="21">
        <v>1769836.5399999996</v>
      </c>
      <c r="M595" s="21">
        <v>4412072.1399999997</v>
      </c>
      <c r="N595" s="21">
        <v>4872466.5600000005</v>
      </c>
      <c r="O595" s="21">
        <v>5726280.1600000029</v>
      </c>
      <c r="S595" s="22">
        <f t="shared" ref="S595:S606" si="200">IFERROR(SUMPRODUCT(H$595:H$606,$W$595:$W$606)/SUMPRODUCT(I$595:I$606,$W$595:$W$606)-1,"")</f>
        <v>-7.7179874413798699E-2</v>
      </c>
      <c r="T595" s="26">
        <f t="shared" ref="T595:T606" si="201">IFERROR(SUMPRODUCT(K$595:K$606,$W$595:$W$606)/SUMPRODUCT(L$595:L$606,$W$595:$W$606)-1,"")</f>
        <v>-3.7670469675023188E-2</v>
      </c>
      <c r="U595" s="24">
        <f t="shared" ref="U595:U606" si="202">IFERROR(SUMPRODUCT(N$595:N$606,$W$595:$W$606)/SUMPRODUCT(O$595:O$606,$W$595:$W$606)-1,"")</f>
        <v>-6.9334384502722446E-2</v>
      </c>
      <c r="W595" s="13">
        <f t="shared" si="187"/>
        <v>1</v>
      </c>
      <c r="Y595" s="14">
        <f t="shared" si="188"/>
        <v>340</v>
      </c>
      <c r="Z595" s="14">
        <f t="shared" si="189"/>
        <v>1581034.24</v>
      </c>
      <c r="AA595" s="14">
        <f t="shared" si="190"/>
        <v>4872466.5600000005</v>
      </c>
    </row>
    <row r="596" spans="5:27" outlineLevel="1" x14ac:dyDescent="0.25">
      <c r="E596" s="4" t="s">
        <v>68</v>
      </c>
      <c r="F596" s="4">
        <v>2</v>
      </c>
      <c r="G596" s="21">
        <v>298</v>
      </c>
      <c r="H596" s="21">
        <v>325</v>
      </c>
      <c r="I596" s="21">
        <v>415.03000000000003</v>
      </c>
      <c r="J596" s="21">
        <v>1379452.3900000001</v>
      </c>
      <c r="K596" s="21">
        <v>1583543.2</v>
      </c>
      <c r="L596" s="21">
        <v>1844273.6700000002</v>
      </c>
      <c r="M596" s="21">
        <v>4445298.01</v>
      </c>
      <c r="N596" s="21">
        <v>5037690.3099999996</v>
      </c>
      <c r="O596" s="21">
        <v>5947420.4600000009</v>
      </c>
      <c r="S596" s="25">
        <f t="shared" si="200"/>
        <v>-7.7179874413798699E-2</v>
      </c>
      <c r="T596" s="26">
        <f t="shared" si="201"/>
        <v>-3.7670469675023188E-2</v>
      </c>
      <c r="U596" s="27">
        <f t="shared" si="202"/>
        <v>-6.9334384502722446E-2</v>
      </c>
      <c r="W596" s="13">
        <f t="shared" si="187"/>
        <v>1</v>
      </c>
      <c r="Y596" s="14">
        <f t="shared" si="188"/>
        <v>325</v>
      </c>
      <c r="Z596" s="14">
        <f t="shared" si="189"/>
        <v>1583543.2</v>
      </c>
      <c r="AA596" s="14">
        <f t="shared" si="190"/>
        <v>5037690.3099999996</v>
      </c>
    </row>
    <row r="597" spans="5:27" outlineLevel="1" x14ac:dyDescent="0.25">
      <c r="E597" s="4" t="s">
        <v>68</v>
      </c>
      <c r="F597" s="4">
        <v>3</v>
      </c>
      <c r="G597" s="21">
        <v>402</v>
      </c>
      <c r="H597" s="21">
        <v>419</v>
      </c>
      <c r="I597" s="21">
        <v>456.40000000000003</v>
      </c>
      <c r="J597" s="21">
        <v>1794198.4100000001</v>
      </c>
      <c r="K597" s="21">
        <v>1960975.0199999998</v>
      </c>
      <c r="L597" s="21">
        <v>2073505.82</v>
      </c>
      <c r="M597" s="21">
        <v>5581250.0300000003</v>
      </c>
      <c r="N597" s="21">
        <v>6037918.7899999991</v>
      </c>
      <c r="O597" s="21">
        <v>6643610.4500000002</v>
      </c>
      <c r="S597" s="25">
        <f t="shared" si="200"/>
        <v>-7.7179874413798699E-2</v>
      </c>
      <c r="T597" s="26">
        <f t="shared" si="201"/>
        <v>-3.7670469675023188E-2</v>
      </c>
      <c r="U597" s="27">
        <f t="shared" si="202"/>
        <v>-6.9334384502722446E-2</v>
      </c>
      <c r="W597" s="13">
        <f t="shared" si="187"/>
        <v>1</v>
      </c>
      <c r="Y597" s="14">
        <f t="shared" si="188"/>
        <v>419</v>
      </c>
      <c r="Z597" s="14">
        <f t="shared" si="189"/>
        <v>1960975.0199999998</v>
      </c>
      <c r="AA597" s="14">
        <f t="shared" si="190"/>
        <v>6037918.7899999991</v>
      </c>
    </row>
    <row r="598" spans="5:27" outlineLevel="1" x14ac:dyDescent="0.25">
      <c r="E598" s="4" t="s">
        <v>68</v>
      </c>
      <c r="F598" s="4">
        <v>4</v>
      </c>
      <c r="G598" s="21">
        <v>377</v>
      </c>
      <c r="H598" s="21">
        <v>403</v>
      </c>
      <c r="I598" s="21">
        <v>383.57999999999993</v>
      </c>
      <c r="J598" s="21">
        <v>1700358.5699999998</v>
      </c>
      <c r="K598" s="21">
        <v>1912130.59</v>
      </c>
      <c r="L598" s="21">
        <v>1793079.9199999997</v>
      </c>
      <c r="M598" s="21">
        <v>5367113.67</v>
      </c>
      <c r="N598" s="21">
        <v>5897076.7899999991</v>
      </c>
      <c r="O598" s="21">
        <v>5887587.1199999992</v>
      </c>
      <c r="S598" s="25">
        <f t="shared" si="200"/>
        <v>-7.7179874413798699E-2</v>
      </c>
      <c r="T598" s="26">
        <f t="shared" si="201"/>
        <v>-3.7670469675023188E-2</v>
      </c>
      <c r="U598" s="27">
        <f t="shared" si="202"/>
        <v>-6.9334384502722446E-2</v>
      </c>
      <c r="W598" s="13">
        <f t="shared" si="187"/>
        <v>1</v>
      </c>
      <c r="Y598" s="14">
        <f t="shared" si="188"/>
        <v>403</v>
      </c>
      <c r="Z598" s="14">
        <f t="shared" si="189"/>
        <v>1912130.59</v>
      </c>
      <c r="AA598" s="14">
        <f t="shared" si="190"/>
        <v>5897076.7899999991</v>
      </c>
    </row>
    <row r="599" spans="5:27" outlineLevel="1" x14ac:dyDescent="0.25">
      <c r="E599" s="4" t="s">
        <v>68</v>
      </c>
      <c r="F599" s="4">
        <v>5</v>
      </c>
      <c r="G599" s="21">
        <v>413</v>
      </c>
      <c r="H599" s="21">
        <v>449</v>
      </c>
      <c r="I599" s="21">
        <v>433.33999999999992</v>
      </c>
      <c r="J599" s="21">
        <v>1833217.02</v>
      </c>
      <c r="K599" s="21">
        <v>2107489.7100000004</v>
      </c>
      <c r="L599" s="21">
        <v>2043437.25</v>
      </c>
      <c r="M599" s="21">
        <v>5841078.7700000014</v>
      </c>
      <c r="N599" s="21">
        <v>6661198.7400000002</v>
      </c>
      <c r="O599" s="21">
        <v>6623073.6100000013</v>
      </c>
      <c r="S599" s="25">
        <f t="shared" si="200"/>
        <v>-7.7179874413798699E-2</v>
      </c>
      <c r="T599" s="26">
        <f t="shared" si="201"/>
        <v>-3.7670469675023188E-2</v>
      </c>
      <c r="U599" s="27">
        <f t="shared" si="202"/>
        <v>-6.9334384502722446E-2</v>
      </c>
      <c r="W599" s="13">
        <f t="shared" si="187"/>
        <v>1</v>
      </c>
      <c r="Y599" s="14">
        <f t="shared" si="188"/>
        <v>449</v>
      </c>
      <c r="Z599" s="14">
        <f t="shared" si="189"/>
        <v>2107489.7100000004</v>
      </c>
      <c r="AA599" s="14">
        <f t="shared" si="190"/>
        <v>6661198.7400000002</v>
      </c>
    </row>
    <row r="600" spans="5:27" outlineLevel="1" x14ac:dyDescent="0.25">
      <c r="E600" s="4" t="s">
        <v>68</v>
      </c>
      <c r="F600" s="4">
        <v>6</v>
      </c>
      <c r="G600" s="21">
        <v>365</v>
      </c>
      <c r="H600" s="21">
        <v>386</v>
      </c>
      <c r="I600" s="21">
        <v>438.65</v>
      </c>
      <c r="J600" s="21">
        <v>1742253.9500000002</v>
      </c>
      <c r="K600" s="21">
        <v>1946138.66</v>
      </c>
      <c r="L600" s="21">
        <v>2001348.5299999996</v>
      </c>
      <c r="M600" s="21">
        <v>5624005.2699999986</v>
      </c>
      <c r="N600" s="21">
        <v>6192031.2300000023</v>
      </c>
      <c r="O600" s="21">
        <v>6455432.5100000007</v>
      </c>
      <c r="S600" s="25">
        <f t="shared" si="200"/>
        <v>-7.7179874413798699E-2</v>
      </c>
      <c r="T600" s="26">
        <f t="shared" si="201"/>
        <v>-3.7670469675023188E-2</v>
      </c>
      <c r="U600" s="27">
        <f t="shared" si="202"/>
        <v>-6.9334384502722446E-2</v>
      </c>
      <c r="W600" s="13">
        <f t="shared" si="187"/>
        <v>1</v>
      </c>
      <c r="Y600" s="14">
        <f t="shared" si="188"/>
        <v>386</v>
      </c>
      <c r="Z600" s="14">
        <f t="shared" si="189"/>
        <v>1946138.66</v>
      </c>
      <c r="AA600" s="14">
        <f t="shared" si="190"/>
        <v>6192031.2300000023</v>
      </c>
    </row>
    <row r="601" spans="5:27" outlineLevel="1" x14ac:dyDescent="0.25">
      <c r="E601" s="4" t="s">
        <v>68</v>
      </c>
      <c r="F601" s="4">
        <v>7</v>
      </c>
      <c r="G601" s="21">
        <v>420</v>
      </c>
      <c r="H601" s="21"/>
      <c r="I601" s="21">
        <v>391.90000000000003</v>
      </c>
      <c r="J601" s="21">
        <v>1974271.4000000001</v>
      </c>
      <c r="K601" s="21"/>
      <c r="L601" s="21">
        <v>1834840.6999999997</v>
      </c>
      <c r="M601" s="21">
        <v>6312707.54</v>
      </c>
      <c r="N601" s="21"/>
      <c r="O601" s="21">
        <v>5993024.9799999986</v>
      </c>
      <c r="S601" s="25">
        <f t="shared" si="200"/>
        <v>-7.7179874413798699E-2</v>
      </c>
      <c r="T601" s="26">
        <f t="shared" si="201"/>
        <v>-3.7670469675023188E-2</v>
      </c>
      <c r="U601" s="27">
        <f t="shared" si="202"/>
        <v>-6.9334384502722446E-2</v>
      </c>
      <c r="W601" s="13">
        <f t="shared" si="187"/>
        <v>0</v>
      </c>
      <c r="Y601" s="14">
        <f t="shared" si="188"/>
        <v>361.65320721723231</v>
      </c>
      <c r="Z601" s="14">
        <f t="shared" si="189"/>
        <v>1765721.3890521515</v>
      </c>
      <c r="AA601" s="14">
        <f t="shared" si="190"/>
        <v>5577502.2817022586</v>
      </c>
    </row>
    <row r="602" spans="5:27" outlineLevel="1" x14ac:dyDescent="0.25">
      <c r="E602" s="4" t="s">
        <v>68</v>
      </c>
      <c r="F602" s="4">
        <v>8</v>
      </c>
      <c r="G602" s="21">
        <v>326</v>
      </c>
      <c r="H602" s="21"/>
      <c r="I602" s="21">
        <v>415.78</v>
      </c>
      <c r="J602" s="21">
        <v>1446826.6799999997</v>
      </c>
      <c r="K602" s="21"/>
      <c r="L602" s="21">
        <v>1888245.2100000002</v>
      </c>
      <c r="M602" s="21">
        <v>4568169.9500000011</v>
      </c>
      <c r="N602" s="21"/>
      <c r="O602" s="21">
        <v>6136272.2599999988</v>
      </c>
      <c r="S602" s="25">
        <f t="shared" si="200"/>
        <v>-7.7179874413798699E-2</v>
      </c>
      <c r="T602" s="26">
        <f t="shared" si="201"/>
        <v>-3.7670469675023188E-2</v>
      </c>
      <c r="U602" s="27">
        <f t="shared" si="202"/>
        <v>-6.9334384502722446E-2</v>
      </c>
      <c r="W602" s="13">
        <f t="shared" si="187"/>
        <v>0</v>
      </c>
      <c r="Y602" s="14">
        <f t="shared" si="188"/>
        <v>383.69015181623075</v>
      </c>
      <c r="Z602" s="14">
        <f t="shared" si="189"/>
        <v>1817114.1260776874</v>
      </c>
      <c r="AA602" s="14">
        <f t="shared" si="190"/>
        <v>5710817.5997117693</v>
      </c>
    </row>
    <row r="603" spans="5:27" outlineLevel="1" x14ac:dyDescent="0.25">
      <c r="E603" s="4" t="s">
        <v>68</v>
      </c>
      <c r="F603" s="4">
        <v>9</v>
      </c>
      <c r="G603" s="21">
        <v>386</v>
      </c>
      <c r="H603" s="21"/>
      <c r="I603" s="21">
        <v>445.22999999999996</v>
      </c>
      <c r="J603" s="21">
        <v>1772493.4699999997</v>
      </c>
      <c r="K603" s="21"/>
      <c r="L603" s="21">
        <v>2060664.8099999996</v>
      </c>
      <c r="M603" s="21">
        <v>5677038.8399999999</v>
      </c>
      <c r="N603" s="21"/>
      <c r="O603" s="21">
        <v>6659676.9600000018</v>
      </c>
      <c r="S603" s="25">
        <f t="shared" si="200"/>
        <v>-7.7179874413798699E-2</v>
      </c>
      <c r="T603" s="26">
        <f t="shared" si="201"/>
        <v>-3.7670469675023188E-2</v>
      </c>
      <c r="U603" s="27">
        <f t="shared" si="202"/>
        <v>-6.9334384502722446E-2</v>
      </c>
      <c r="W603" s="13">
        <f t="shared" si="187"/>
        <v>0</v>
      </c>
      <c r="Y603" s="14">
        <f t="shared" si="188"/>
        <v>410.86720451474434</v>
      </c>
      <c r="Z603" s="14">
        <f t="shared" si="189"/>
        <v>1983038.5987645071</v>
      </c>
      <c r="AA603" s="14">
        <f t="shared" si="190"/>
        <v>6197932.3569914401</v>
      </c>
    </row>
    <row r="604" spans="5:27" outlineLevel="1" x14ac:dyDescent="0.25">
      <c r="E604" s="4" t="s">
        <v>68</v>
      </c>
      <c r="F604" s="4">
        <v>10</v>
      </c>
      <c r="G604" s="21">
        <v>583</v>
      </c>
      <c r="H604" s="21"/>
      <c r="I604" s="21">
        <v>450.46000000000004</v>
      </c>
      <c r="J604" s="21">
        <v>2592752.8399999989</v>
      </c>
      <c r="K604" s="21"/>
      <c r="L604" s="21">
        <v>2175516.8899999997</v>
      </c>
      <c r="M604" s="21">
        <v>8208202.2699999996</v>
      </c>
      <c r="N604" s="21"/>
      <c r="O604" s="21">
        <v>7058515.8800000018</v>
      </c>
      <c r="S604" s="25">
        <f t="shared" si="200"/>
        <v>-7.7179874413798699E-2</v>
      </c>
      <c r="T604" s="26">
        <f t="shared" si="201"/>
        <v>-3.7670469675023188E-2</v>
      </c>
      <c r="U604" s="27">
        <f t="shared" si="202"/>
        <v>-6.9334384502722446E-2</v>
      </c>
      <c r="W604" s="13">
        <f t="shared" si="187"/>
        <v>0</v>
      </c>
      <c r="Y604" s="14">
        <f t="shared" si="188"/>
        <v>415.69355377156029</v>
      </c>
      <c r="Z604" s="14">
        <f t="shared" si="189"/>
        <v>2093564.146967754</v>
      </c>
      <c r="AA604" s="14">
        <f t="shared" si="190"/>
        <v>6569118.0259575089</v>
      </c>
    </row>
    <row r="605" spans="5:27" outlineLevel="1" x14ac:dyDescent="0.25">
      <c r="E605" s="4" t="s">
        <v>68</v>
      </c>
      <c r="F605" s="4">
        <v>11</v>
      </c>
      <c r="G605" s="21">
        <v>567</v>
      </c>
      <c r="H605" s="21"/>
      <c r="I605" s="21">
        <v>534.26</v>
      </c>
      <c r="J605" s="21">
        <v>2662681.79</v>
      </c>
      <c r="K605" s="21"/>
      <c r="L605" s="21">
        <v>2515350.91</v>
      </c>
      <c r="M605" s="21">
        <v>8449845.2000000011</v>
      </c>
      <c r="N605" s="21"/>
      <c r="O605" s="21">
        <v>8044409.8300000001</v>
      </c>
      <c r="S605" s="25">
        <f t="shared" si="200"/>
        <v>-7.7179874413798699E-2</v>
      </c>
      <c r="T605" s="26">
        <f t="shared" si="201"/>
        <v>-3.7670469675023188E-2</v>
      </c>
      <c r="U605" s="27">
        <f t="shared" si="202"/>
        <v>-6.9334384502722446E-2</v>
      </c>
      <c r="W605" s="13">
        <f t="shared" si="187"/>
        <v>0</v>
      </c>
      <c r="Y605" s="14">
        <f t="shared" si="188"/>
        <v>493.02588029568392</v>
      </c>
      <c r="Z605" s="14">
        <f t="shared" si="189"/>
        <v>2420596.4598228033</v>
      </c>
      <c r="AA605" s="14">
        <f t="shared" si="190"/>
        <v>7486655.6257493002</v>
      </c>
    </row>
    <row r="606" spans="5:27" outlineLevel="1" x14ac:dyDescent="0.25">
      <c r="E606" s="4" t="s">
        <v>68</v>
      </c>
      <c r="F606" s="4">
        <v>12</v>
      </c>
      <c r="G606" s="21">
        <v>602</v>
      </c>
      <c r="H606" s="21"/>
      <c r="I606" s="21">
        <v>556.08000000000004</v>
      </c>
      <c r="J606" s="21">
        <v>2604079.9</v>
      </c>
      <c r="K606" s="21"/>
      <c r="L606" s="21">
        <v>2604072.7799999998</v>
      </c>
      <c r="M606" s="21">
        <v>8245044.049999997</v>
      </c>
      <c r="N606" s="21"/>
      <c r="O606" s="21">
        <v>8303544.21</v>
      </c>
      <c r="S606" s="28">
        <f t="shared" si="200"/>
        <v>-7.7179874413798699E-2</v>
      </c>
      <c r="T606" s="26">
        <f t="shared" si="201"/>
        <v>-3.7670469675023188E-2</v>
      </c>
      <c r="U606" s="30">
        <f t="shared" si="202"/>
        <v>-6.9334384502722446E-2</v>
      </c>
      <c r="W606" s="13">
        <f t="shared" si="187"/>
        <v>0</v>
      </c>
      <c r="Y606" s="14">
        <f t="shared" si="188"/>
        <v>513.16181543597486</v>
      </c>
      <c r="Z606" s="14">
        <f t="shared" si="189"/>
        <v>2505976.1353094564</v>
      </c>
      <c r="AA606" s="14">
        <f t="shared" si="190"/>
        <v>7727823.0830085054</v>
      </c>
    </row>
    <row r="607" spans="5:27" outlineLevel="1" x14ac:dyDescent="0.25">
      <c r="E607" s="4" t="s">
        <v>69</v>
      </c>
      <c r="F607" s="4">
        <v>1</v>
      </c>
      <c r="G607" s="21">
        <v>29</v>
      </c>
      <c r="H607" s="21">
        <v>33</v>
      </c>
      <c r="I607" s="21">
        <v>45.11</v>
      </c>
      <c r="J607" s="21">
        <v>117247.30000000002</v>
      </c>
      <c r="K607" s="21">
        <v>142593.22</v>
      </c>
      <c r="L607" s="21">
        <v>203655.35000000003</v>
      </c>
      <c r="M607" s="21">
        <v>406882.25999999995</v>
      </c>
      <c r="N607" s="21">
        <v>506539.31000000006</v>
      </c>
      <c r="O607" s="21">
        <v>697646.79</v>
      </c>
      <c r="S607" s="22">
        <f t="shared" ref="S607:S618" si="203">IFERROR(SUMPRODUCT(H$607:H$618,$W$607:$W$618)/SUMPRODUCT(I$607:I$618,$W$607:$W$618)-1,"")</f>
        <v>-8.3237437667817327E-2</v>
      </c>
      <c r="T607" s="23">
        <f t="shared" ref="T607:T618" si="204">IFERROR(SUMPRODUCT(K$607:K$618,$W$607:$W$618)/SUMPRODUCT(L$607:L$618,$W$607:$W$618)-1,"")</f>
        <v>-1.9377513134511748E-2</v>
      </c>
      <c r="U607" s="24">
        <f t="shared" ref="U607:U618" si="205">IFERROR(SUMPRODUCT(N$607:N$618,$W$607:$W$618)/SUMPRODUCT(O$607:O$618,$W$607:$W$618)-1,"")</f>
        <v>-2.4533053407589156E-2</v>
      </c>
      <c r="W607" s="13">
        <f t="shared" si="187"/>
        <v>1</v>
      </c>
      <c r="Y607" s="14">
        <f t="shared" si="188"/>
        <v>33</v>
      </c>
      <c r="Z607" s="14">
        <f t="shared" si="189"/>
        <v>142593.22</v>
      </c>
      <c r="AA607" s="14">
        <f t="shared" si="190"/>
        <v>506539.31000000006</v>
      </c>
    </row>
    <row r="608" spans="5:27" outlineLevel="1" x14ac:dyDescent="0.25">
      <c r="E608" s="4" t="s">
        <v>69</v>
      </c>
      <c r="F608" s="4">
        <v>2</v>
      </c>
      <c r="G608" s="21">
        <v>36</v>
      </c>
      <c r="H608" s="21">
        <v>38</v>
      </c>
      <c r="I608" s="21">
        <v>40.96</v>
      </c>
      <c r="J608" s="21">
        <v>171666.51</v>
      </c>
      <c r="K608" s="21">
        <v>190389.79000000004</v>
      </c>
      <c r="L608" s="21">
        <v>189767.48</v>
      </c>
      <c r="M608" s="21">
        <v>637927.99000000022</v>
      </c>
      <c r="N608" s="21">
        <v>718264.65</v>
      </c>
      <c r="O608" s="21">
        <v>646888.77</v>
      </c>
      <c r="S608" s="25">
        <f t="shared" si="203"/>
        <v>-8.3237437667817327E-2</v>
      </c>
      <c r="T608" s="26">
        <f t="shared" si="204"/>
        <v>-1.9377513134511748E-2</v>
      </c>
      <c r="U608" s="27">
        <f t="shared" si="205"/>
        <v>-2.4533053407589156E-2</v>
      </c>
      <c r="W608" s="13">
        <f t="shared" si="187"/>
        <v>1</v>
      </c>
      <c r="Y608" s="14">
        <f t="shared" si="188"/>
        <v>38</v>
      </c>
      <c r="Z608" s="14">
        <f t="shared" si="189"/>
        <v>190389.79000000004</v>
      </c>
      <c r="AA608" s="14">
        <f t="shared" si="190"/>
        <v>718264.65</v>
      </c>
    </row>
    <row r="609" spans="5:27" outlineLevel="1" x14ac:dyDescent="0.25">
      <c r="E609" s="4" t="s">
        <v>69</v>
      </c>
      <c r="F609" s="4">
        <v>3</v>
      </c>
      <c r="G609" s="21">
        <v>42</v>
      </c>
      <c r="H609" s="21">
        <v>47</v>
      </c>
      <c r="I609" s="21">
        <v>41.000000000000007</v>
      </c>
      <c r="J609" s="21">
        <v>182712.01</v>
      </c>
      <c r="K609" s="21">
        <v>220028.33000000002</v>
      </c>
      <c r="L609" s="21">
        <v>190887.15</v>
      </c>
      <c r="M609" s="21">
        <v>575358.0199999999</v>
      </c>
      <c r="N609" s="21">
        <v>707931.87</v>
      </c>
      <c r="O609" s="21">
        <v>650434.4</v>
      </c>
      <c r="S609" s="25">
        <f t="shared" si="203"/>
        <v>-8.3237437667817327E-2</v>
      </c>
      <c r="T609" s="26">
        <f t="shared" si="204"/>
        <v>-1.9377513134511748E-2</v>
      </c>
      <c r="U609" s="27">
        <f t="shared" si="205"/>
        <v>-2.4533053407589156E-2</v>
      </c>
      <c r="W609" s="13">
        <f t="shared" si="187"/>
        <v>1</v>
      </c>
      <c r="Y609" s="14">
        <f t="shared" si="188"/>
        <v>47</v>
      </c>
      <c r="Z609" s="14">
        <f t="shared" si="189"/>
        <v>220028.33000000002</v>
      </c>
      <c r="AA609" s="14">
        <f t="shared" si="190"/>
        <v>707931.87</v>
      </c>
    </row>
    <row r="610" spans="5:27" outlineLevel="1" x14ac:dyDescent="0.25">
      <c r="E610" s="4" t="s">
        <v>69</v>
      </c>
      <c r="F610" s="4">
        <v>4</v>
      </c>
      <c r="G610" s="21">
        <v>30</v>
      </c>
      <c r="H610" s="21">
        <v>35</v>
      </c>
      <c r="I610" s="21">
        <v>44.879999999999995</v>
      </c>
      <c r="J610" s="21">
        <v>139652.78</v>
      </c>
      <c r="K610" s="21">
        <v>173118.90999999997</v>
      </c>
      <c r="L610" s="21">
        <v>205087.27999999997</v>
      </c>
      <c r="M610" s="21">
        <v>466423.70999999996</v>
      </c>
      <c r="N610" s="21">
        <v>583636.02999999991</v>
      </c>
      <c r="O610" s="21">
        <v>700528.98999999987</v>
      </c>
      <c r="S610" s="25">
        <f t="shared" si="203"/>
        <v>-8.3237437667817327E-2</v>
      </c>
      <c r="T610" s="26">
        <f t="shared" si="204"/>
        <v>-1.9377513134511748E-2</v>
      </c>
      <c r="U610" s="27">
        <f t="shared" si="205"/>
        <v>-2.4533053407589156E-2</v>
      </c>
      <c r="W610" s="13">
        <f t="shared" si="187"/>
        <v>1</v>
      </c>
      <c r="Y610" s="14">
        <f t="shared" si="188"/>
        <v>35</v>
      </c>
      <c r="Z610" s="14">
        <f t="shared" si="189"/>
        <v>173118.90999999997</v>
      </c>
      <c r="AA610" s="14">
        <f t="shared" si="190"/>
        <v>583636.02999999991</v>
      </c>
    </row>
    <row r="611" spans="5:27" outlineLevel="1" x14ac:dyDescent="0.25">
      <c r="E611" s="4" t="s">
        <v>69</v>
      </c>
      <c r="F611" s="4">
        <v>5</v>
      </c>
      <c r="G611" s="21">
        <v>35</v>
      </c>
      <c r="H611" s="21">
        <v>39</v>
      </c>
      <c r="I611" s="21">
        <v>46.400000000000006</v>
      </c>
      <c r="J611" s="21">
        <v>161446.93</v>
      </c>
      <c r="K611" s="21">
        <v>187839.27</v>
      </c>
      <c r="L611" s="21">
        <v>210267.41000000003</v>
      </c>
      <c r="M611" s="21">
        <v>553546.88</v>
      </c>
      <c r="N611" s="21">
        <v>623121.72</v>
      </c>
      <c r="O611" s="21">
        <v>718764.63000000012</v>
      </c>
      <c r="S611" s="25">
        <f t="shared" si="203"/>
        <v>-8.3237437667817327E-2</v>
      </c>
      <c r="T611" s="26">
        <f t="shared" si="204"/>
        <v>-1.9377513134511748E-2</v>
      </c>
      <c r="U611" s="27">
        <f t="shared" si="205"/>
        <v>-2.4533053407589156E-2</v>
      </c>
      <c r="W611" s="13">
        <f t="shared" si="187"/>
        <v>1</v>
      </c>
      <c r="Y611" s="14">
        <f t="shared" si="188"/>
        <v>39</v>
      </c>
      <c r="Z611" s="14">
        <f t="shared" si="189"/>
        <v>187839.27</v>
      </c>
      <c r="AA611" s="14">
        <f t="shared" si="190"/>
        <v>623121.72</v>
      </c>
    </row>
    <row r="612" spans="5:27" outlineLevel="1" x14ac:dyDescent="0.25">
      <c r="E612" s="4" t="s">
        <v>69</v>
      </c>
      <c r="F612" s="4">
        <v>6</v>
      </c>
      <c r="G612" s="21">
        <v>46</v>
      </c>
      <c r="H612" s="21">
        <v>47</v>
      </c>
      <c r="I612" s="21">
        <v>42.35</v>
      </c>
      <c r="J612" s="21">
        <v>239486.8</v>
      </c>
      <c r="K612" s="21">
        <v>260114.78000000003</v>
      </c>
      <c r="L612" s="21">
        <v>197620.03</v>
      </c>
      <c r="M612" s="21">
        <v>807366.35000000009</v>
      </c>
      <c r="N612" s="21">
        <v>847303.08</v>
      </c>
      <c r="O612" s="21">
        <v>672801.25999999989</v>
      </c>
      <c r="S612" s="25">
        <f t="shared" si="203"/>
        <v>-8.3237437667817327E-2</v>
      </c>
      <c r="T612" s="26">
        <f t="shared" si="204"/>
        <v>-1.9377513134511748E-2</v>
      </c>
      <c r="U612" s="27">
        <f t="shared" si="205"/>
        <v>-2.4533053407589156E-2</v>
      </c>
      <c r="W612" s="13">
        <f t="shared" si="187"/>
        <v>1</v>
      </c>
      <c r="Y612" s="14">
        <f t="shared" si="188"/>
        <v>47</v>
      </c>
      <c r="Z612" s="14">
        <f t="shared" si="189"/>
        <v>260114.78000000003</v>
      </c>
      <c r="AA612" s="14">
        <f t="shared" si="190"/>
        <v>847303.08</v>
      </c>
    </row>
    <row r="613" spans="5:27" outlineLevel="1" x14ac:dyDescent="0.25">
      <c r="E613" s="4" t="s">
        <v>69</v>
      </c>
      <c r="F613" s="4">
        <v>7</v>
      </c>
      <c r="G613" s="21">
        <v>33</v>
      </c>
      <c r="H613" s="21"/>
      <c r="I613" s="21">
        <v>42.2</v>
      </c>
      <c r="J613" s="21">
        <v>181591.01</v>
      </c>
      <c r="K613" s="21"/>
      <c r="L613" s="21">
        <v>198162.31</v>
      </c>
      <c r="M613" s="21">
        <v>605821.30000000005</v>
      </c>
      <c r="N613" s="21"/>
      <c r="O613" s="21">
        <v>674484.33</v>
      </c>
      <c r="S613" s="25">
        <f t="shared" si="203"/>
        <v>-8.3237437667817327E-2</v>
      </c>
      <c r="T613" s="26">
        <f t="shared" si="204"/>
        <v>-1.9377513134511748E-2</v>
      </c>
      <c r="U613" s="27">
        <f t="shared" si="205"/>
        <v>-2.4533053407589156E-2</v>
      </c>
      <c r="W613" s="13">
        <f t="shared" si="187"/>
        <v>0</v>
      </c>
      <c r="Y613" s="14">
        <f t="shared" si="188"/>
        <v>38.687380130418113</v>
      </c>
      <c r="Z613" s="14">
        <f t="shared" si="189"/>
        <v>194322.41723520981</v>
      </c>
      <c r="AA613" s="14">
        <f t="shared" si="190"/>
        <v>657937.16990952799</v>
      </c>
    </row>
    <row r="614" spans="5:27" outlineLevel="1" x14ac:dyDescent="0.25">
      <c r="E614" s="4" t="s">
        <v>69</v>
      </c>
      <c r="F614" s="4">
        <v>8</v>
      </c>
      <c r="G614" s="21">
        <v>50</v>
      </c>
      <c r="H614" s="21"/>
      <c r="I614" s="21">
        <v>46.130000000000017</v>
      </c>
      <c r="J614" s="21">
        <v>211119.49000000002</v>
      </c>
      <c r="K614" s="21"/>
      <c r="L614" s="21">
        <v>211465.24999999994</v>
      </c>
      <c r="M614" s="21">
        <v>729216.7</v>
      </c>
      <c r="N614" s="21"/>
      <c r="O614" s="21">
        <v>721646.84</v>
      </c>
      <c r="S614" s="25">
        <f t="shared" si="203"/>
        <v>-8.3237437667817327E-2</v>
      </c>
      <c r="T614" s="26">
        <f t="shared" si="204"/>
        <v>-1.9377513134511748E-2</v>
      </c>
      <c r="U614" s="27">
        <f t="shared" si="205"/>
        <v>-2.4533053407589156E-2</v>
      </c>
      <c r="W614" s="13">
        <f t="shared" si="187"/>
        <v>0</v>
      </c>
      <c r="Y614" s="14">
        <f t="shared" si="188"/>
        <v>42.290257000383605</v>
      </c>
      <c r="Z614" s="14">
        <f t="shared" si="189"/>
        <v>207367.57934063213</v>
      </c>
      <c r="AA614" s="14">
        <f t="shared" si="190"/>
        <v>703942.639532862</v>
      </c>
    </row>
    <row r="615" spans="5:27" outlineLevel="1" x14ac:dyDescent="0.25">
      <c r="E615" s="4" t="s">
        <v>69</v>
      </c>
      <c r="F615" s="4">
        <v>9</v>
      </c>
      <c r="G615" s="21">
        <v>42</v>
      </c>
      <c r="H615" s="21"/>
      <c r="I615" s="21">
        <v>46.309999999999995</v>
      </c>
      <c r="J615" s="21">
        <v>177723.91999999998</v>
      </c>
      <c r="K615" s="21"/>
      <c r="L615" s="21">
        <v>213111.81999999998</v>
      </c>
      <c r="M615" s="21">
        <v>530852.07000000007</v>
      </c>
      <c r="N615" s="21"/>
      <c r="O615" s="21">
        <v>726289.93999999983</v>
      </c>
      <c r="S615" s="25">
        <f t="shared" si="203"/>
        <v>-8.3237437667817327E-2</v>
      </c>
      <c r="T615" s="26">
        <f t="shared" si="204"/>
        <v>-1.9377513134511748E-2</v>
      </c>
      <c r="U615" s="27">
        <f t="shared" si="205"/>
        <v>-2.4533053407589156E-2</v>
      </c>
      <c r="W615" s="13">
        <f t="shared" ref="W615:W678" si="206">IFERROR(_xlfn.XLOOKUP(F615,$F$13:$F$24,$W$13:$W$24),"")</f>
        <v>0</v>
      </c>
      <c r="Y615" s="14">
        <f t="shared" ref="Y615:Y678" si="207">IFERROR(IF($W615=1,H615,I615*(1+S615)),"")</f>
        <v>42.455274261603378</v>
      </c>
      <c r="Z615" s="14">
        <f t="shared" ref="Z615:Z678" si="208">IFERROR(IF($W615=1,K615,L615*(1+T615)),"")</f>
        <v>208982.24290883029</v>
      </c>
      <c r="AA615" s="14">
        <f t="shared" ref="AA615:AA678" si="209">IFERROR(IF($W615=1,N615,O615*(1+U615)),"")</f>
        <v>708471.8301125851</v>
      </c>
    </row>
    <row r="616" spans="5:27" outlineLevel="1" x14ac:dyDescent="0.25">
      <c r="E616" s="4" t="s">
        <v>69</v>
      </c>
      <c r="F616" s="4">
        <v>10</v>
      </c>
      <c r="G616" s="21">
        <v>18</v>
      </c>
      <c r="H616" s="21"/>
      <c r="I616" s="21">
        <v>43.550000000000011</v>
      </c>
      <c r="J616" s="21">
        <v>90991.429999999978</v>
      </c>
      <c r="K616" s="21"/>
      <c r="L616" s="21">
        <v>204919.81</v>
      </c>
      <c r="M616" s="21">
        <v>348597.47</v>
      </c>
      <c r="N616" s="21"/>
      <c r="O616" s="21">
        <v>696851.24</v>
      </c>
      <c r="S616" s="25">
        <f t="shared" si="203"/>
        <v>-8.3237437667817327E-2</v>
      </c>
      <c r="T616" s="26">
        <f t="shared" si="204"/>
        <v>-1.9377513134511748E-2</v>
      </c>
      <c r="U616" s="27">
        <f t="shared" si="205"/>
        <v>-2.4533053407589156E-2</v>
      </c>
      <c r="W616" s="13">
        <f t="shared" si="206"/>
        <v>0</v>
      </c>
      <c r="Y616" s="14">
        <f t="shared" si="207"/>
        <v>39.925009589566564</v>
      </c>
      <c r="Z616" s="14">
        <f t="shared" si="208"/>
        <v>200948.97369020333</v>
      </c>
      <c r="AA616" s="14">
        <f t="shared" si="209"/>
        <v>679755.35131193523</v>
      </c>
    </row>
    <row r="617" spans="5:27" outlineLevel="1" x14ac:dyDescent="0.25">
      <c r="E617" s="4" t="s">
        <v>69</v>
      </c>
      <c r="F617" s="4">
        <v>11</v>
      </c>
      <c r="G617" s="21">
        <v>73</v>
      </c>
      <c r="H617" s="21"/>
      <c r="I617" s="21">
        <v>45.009999999999991</v>
      </c>
      <c r="J617" s="21">
        <v>330280.97999999992</v>
      </c>
      <c r="K617" s="21"/>
      <c r="L617" s="21">
        <v>209967.78</v>
      </c>
      <c r="M617" s="21">
        <v>1065813.8800000001</v>
      </c>
      <c r="N617" s="21"/>
      <c r="O617" s="21">
        <v>713989.37</v>
      </c>
      <c r="S617" s="25">
        <f t="shared" si="203"/>
        <v>-8.3237437667817327E-2</v>
      </c>
      <c r="T617" s="26">
        <f t="shared" si="204"/>
        <v>-1.9377513134511748E-2</v>
      </c>
      <c r="U617" s="27">
        <f t="shared" si="205"/>
        <v>-2.4533053407589156E-2</v>
      </c>
      <c r="W617" s="13">
        <f t="shared" si="206"/>
        <v>0</v>
      </c>
      <c r="Y617" s="14">
        <f t="shared" si="207"/>
        <v>41.263482930571534</v>
      </c>
      <c r="Z617" s="14">
        <f t="shared" si="208"/>
        <v>205899.12658522572</v>
      </c>
      <c r="AA617" s="14">
        <f t="shared" si="209"/>
        <v>696473.03065333911</v>
      </c>
    </row>
    <row r="618" spans="5:27" outlineLevel="1" x14ac:dyDescent="0.25">
      <c r="E618" s="4" t="s">
        <v>69</v>
      </c>
      <c r="F618" s="4">
        <v>12</v>
      </c>
      <c r="G618" s="21">
        <v>73</v>
      </c>
      <c r="H618" s="21"/>
      <c r="I618" s="21">
        <v>46.039999999999992</v>
      </c>
      <c r="J618" s="21">
        <v>323208.25</v>
      </c>
      <c r="K618" s="21"/>
      <c r="L618" s="21">
        <v>214375.51000000004</v>
      </c>
      <c r="M618" s="21">
        <v>1015841.8</v>
      </c>
      <c r="N618" s="21"/>
      <c r="O618" s="21">
        <v>729172.16999999981</v>
      </c>
      <c r="S618" s="28">
        <f t="shared" si="203"/>
        <v>-8.3237437667817327E-2</v>
      </c>
      <c r="T618" s="29">
        <f t="shared" si="204"/>
        <v>-1.9377513134511748E-2</v>
      </c>
      <c r="U618" s="30">
        <f t="shared" si="205"/>
        <v>-2.4533053407589156E-2</v>
      </c>
      <c r="W618" s="13">
        <f t="shared" si="206"/>
        <v>0</v>
      </c>
      <c r="Y618" s="14">
        <f t="shared" si="207"/>
        <v>42.207748369773682</v>
      </c>
      <c r="Z618" s="14">
        <f t="shared" si="208"/>
        <v>210221.44573925738</v>
      </c>
      <c r="AA618" s="14">
        <f t="shared" si="209"/>
        <v>711283.35021006211</v>
      </c>
    </row>
    <row r="619" spans="5:27" outlineLevel="1" x14ac:dyDescent="0.25">
      <c r="E619" s="4" t="s">
        <v>70</v>
      </c>
      <c r="F619" s="4">
        <v>1</v>
      </c>
      <c r="G619" s="21">
        <v>30</v>
      </c>
      <c r="H619" s="21">
        <v>31</v>
      </c>
      <c r="I619" s="21">
        <v>39.61</v>
      </c>
      <c r="J619" s="21">
        <v>129034.77</v>
      </c>
      <c r="K619" s="21">
        <v>146953.53</v>
      </c>
      <c r="L619" s="21">
        <v>186638.97</v>
      </c>
      <c r="M619" s="21">
        <v>349055.02999999997</v>
      </c>
      <c r="N619" s="21">
        <v>392380.04000000004</v>
      </c>
      <c r="O619" s="21">
        <v>520575.17000000004</v>
      </c>
      <c r="S619" s="22">
        <f t="shared" ref="S619:S630" si="210">IFERROR(SUMPRODUCT(H$619:H$630,$W$619:$W$630)/SUMPRODUCT(I$619:I$630,$W$619:$W$630)-1,"")</f>
        <v>-0.1579718103606077</v>
      </c>
      <c r="T619" s="26">
        <f t="shared" ref="T619:T630" si="211">IFERROR(SUMPRODUCT(K$619:K$630,$W$619:$W$630)/SUMPRODUCT(L$619:L$630,$W$619:$W$630)-1,"")</f>
        <v>-0.14053063560883328</v>
      </c>
      <c r="U619" s="24">
        <f t="shared" ref="U619:U630" si="212">IFERROR(SUMPRODUCT(N$619:N$630,$W$619:$W$630)/SUMPRODUCT(O$619:O$630,$W$619:$W$630)-1,"")</f>
        <v>-0.14554250001633295</v>
      </c>
      <c r="W619" s="13">
        <f t="shared" si="206"/>
        <v>1</v>
      </c>
      <c r="Y619" s="14">
        <f t="shared" si="207"/>
        <v>31</v>
      </c>
      <c r="Z619" s="14">
        <f t="shared" si="208"/>
        <v>146953.53</v>
      </c>
      <c r="AA619" s="14">
        <f t="shared" si="209"/>
        <v>392380.04000000004</v>
      </c>
    </row>
    <row r="620" spans="5:27" outlineLevel="1" x14ac:dyDescent="0.25">
      <c r="E620" s="4" t="s">
        <v>70</v>
      </c>
      <c r="F620" s="4">
        <v>2</v>
      </c>
      <c r="G620" s="21">
        <v>23</v>
      </c>
      <c r="H620" s="21">
        <v>23</v>
      </c>
      <c r="I620" s="21">
        <v>38.4</v>
      </c>
      <c r="J620" s="21">
        <v>107531.59</v>
      </c>
      <c r="K620" s="21">
        <v>110250.53000000001</v>
      </c>
      <c r="L620" s="21">
        <v>178882.65999999997</v>
      </c>
      <c r="M620" s="21">
        <v>310228.82</v>
      </c>
      <c r="N620" s="21">
        <v>326285.90000000002</v>
      </c>
      <c r="O620" s="21">
        <v>497517.97</v>
      </c>
      <c r="S620" s="25">
        <f t="shared" si="210"/>
        <v>-0.1579718103606077</v>
      </c>
      <c r="T620" s="26">
        <f t="shared" si="211"/>
        <v>-0.14053063560883328</v>
      </c>
      <c r="U620" s="27">
        <f t="shared" si="212"/>
        <v>-0.14554250001633295</v>
      </c>
      <c r="W620" s="13">
        <f t="shared" si="206"/>
        <v>1</v>
      </c>
      <c r="Y620" s="14">
        <f t="shared" si="207"/>
        <v>23</v>
      </c>
      <c r="Z620" s="14">
        <f t="shared" si="208"/>
        <v>110250.53000000001</v>
      </c>
      <c r="AA620" s="14">
        <f t="shared" si="209"/>
        <v>326285.90000000002</v>
      </c>
    </row>
    <row r="621" spans="5:27" outlineLevel="1" x14ac:dyDescent="0.25">
      <c r="E621" s="4" t="s">
        <v>70</v>
      </c>
      <c r="F621" s="4">
        <v>3</v>
      </c>
      <c r="G621" s="21">
        <v>31</v>
      </c>
      <c r="H621" s="21">
        <v>31</v>
      </c>
      <c r="I621" s="21">
        <v>34.08</v>
      </c>
      <c r="J621" s="21">
        <v>136921.94</v>
      </c>
      <c r="K621" s="21">
        <v>139391.41999999998</v>
      </c>
      <c r="L621" s="21">
        <v>150546.66</v>
      </c>
      <c r="M621" s="21">
        <v>381353.05</v>
      </c>
      <c r="N621" s="21">
        <v>395657.51</v>
      </c>
      <c r="O621" s="21">
        <v>414226.54000000004</v>
      </c>
      <c r="S621" s="25">
        <f t="shared" si="210"/>
        <v>-0.1579718103606077</v>
      </c>
      <c r="T621" s="26">
        <f t="shared" si="211"/>
        <v>-0.14053063560883328</v>
      </c>
      <c r="U621" s="27">
        <f t="shared" si="212"/>
        <v>-0.14554250001633295</v>
      </c>
      <c r="W621" s="13">
        <f t="shared" si="206"/>
        <v>1</v>
      </c>
      <c r="Y621" s="14">
        <f t="shared" si="207"/>
        <v>31</v>
      </c>
      <c r="Z621" s="14">
        <f t="shared" si="208"/>
        <v>139391.41999999998</v>
      </c>
      <c r="AA621" s="14">
        <f t="shared" si="209"/>
        <v>395657.51</v>
      </c>
    </row>
    <row r="622" spans="5:27" outlineLevel="1" x14ac:dyDescent="0.25">
      <c r="E622" s="4" t="s">
        <v>70</v>
      </c>
      <c r="F622" s="4">
        <v>4</v>
      </c>
      <c r="G622" s="21">
        <v>49</v>
      </c>
      <c r="H622" s="21">
        <v>49</v>
      </c>
      <c r="I622" s="21">
        <v>33.93</v>
      </c>
      <c r="J622" s="21">
        <v>216618.28999999998</v>
      </c>
      <c r="K622" s="21">
        <v>224065</v>
      </c>
      <c r="L622" s="21">
        <v>149842.19000000003</v>
      </c>
      <c r="M622" s="21">
        <v>597211.19999999995</v>
      </c>
      <c r="N622" s="21">
        <v>616414</v>
      </c>
      <c r="O622" s="21">
        <v>412233.32999999996</v>
      </c>
      <c r="S622" s="25">
        <f t="shared" si="210"/>
        <v>-0.1579718103606077</v>
      </c>
      <c r="T622" s="26">
        <f t="shared" si="211"/>
        <v>-0.14053063560883328</v>
      </c>
      <c r="U622" s="27">
        <f t="shared" si="212"/>
        <v>-0.14554250001633295</v>
      </c>
      <c r="W622" s="13">
        <f t="shared" si="206"/>
        <v>1</v>
      </c>
      <c r="Y622" s="14">
        <f t="shared" si="207"/>
        <v>49</v>
      </c>
      <c r="Z622" s="14">
        <f t="shared" si="208"/>
        <v>224065</v>
      </c>
      <c r="AA622" s="14">
        <f t="shared" si="209"/>
        <v>616414</v>
      </c>
    </row>
    <row r="623" spans="5:27" outlineLevel="1" x14ac:dyDescent="0.25">
      <c r="E623" s="4" t="s">
        <v>70</v>
      </c>
      <c r="F623" s="4">
        <v>5</v>
      </c>
      <c r="G623" s="21">
        <v>38</v>
      </c>
      <c r="H623" s="21">
        <v>39</v>
      </c>
      <c r="I623" s="21">
        <v>38.85</v>
      </c>
      <c r="J623" s="21">
        <v>170964.87</v>
      </c>
      <c r="K623" s="21">
        <v>182130.43</v>
      </c>
      <c r="L623" s="21">
        <v>182784.00000000003</v>
      </c>
      <c r="M623" s="21">
        <v>472522.55</v>
      </c>
      <c r="N623" s="21">
        <v>480752.04</v>
      </c>
      <c r="O623" s="21">
        <v>508503.98</v>
      </c>
      <c r="S623" s="25">
        <f t="shared" si="210"/>
        <v>-0.1579718103606077</v>
      </c>
      <c r="T623" s="26">
        <f t="shared" si="211"/>
        <v>-0.14053063560883328</v>
      </c>
      <c r="U623" s="27">
        <f t="shared" si="212"/>
        <v>-0.14554250001633295</v>
      </c>
      <c r="W623" s="13">
        <f t="shared" si="206"/>
        <v>1</v>
      </c>
      <c r="Y623" s="14">
        <f t="shared" si="207"/>
        <v>39</v>
      </c>
      <c r="Z623" s="14">
        <f t="shared" si="208"/>
        <v>182130.43</v>
      </c>
      <c r="AA623" s="14">
        <f t="shared" si="209"/>
        <v>480752.04</v>
      </c>
    </row>
    <row r="624" spans="5:27" outlineLevel="1" x14ac:dyDescent="0.25">
      <c r="E624" s="4" t="s">
        <v>70</v>
      </c>
      <c r="F624" s="4">
        <v>6</v>
      </c>
      <c r="G624" s="21">
        <v>11</v>
      </c>
      <c r="H624" s="21">
        <v>11</v>
      </c>
      <c r="I624" s="21">
        <v>33.650000000000006</v>
      </c>
      <c r="J624" s="21">
        <v>50511.44</v>
      </c>
      <c r="K624" s="21">
        <v>54341.54</v>
      </c>
      <c r="L624" s="21">
        <v>148586.5</v>
      </c>
      <c r="M624" s="21">
        <v>142378</v>
      </c>
      <c r="N624" s="21">
        <v>147927.31999999998</v>
      </c>
      <c r="O624" s="21">
        <v>408246.89</v>
      </c>
      <c r="S624" s="25">
        <f t="shared" si="210"/>
        <v>-0.1579718103606077</v>
      </c>
      <c r="T624" s="26">
        <f t="shared" si="211"/>
        <v>-0.14053063560883328</v>
      </c>
      <c r="U624" s="27">
        <f t="shared" si="212"/>
        <v>-0.14554250001633295</v>
      </c>
      <c r="W624" s="13">
        <f t="shared" si="206"/>
        <v>1</v>
      </c>
      <c r="Y624" s="14">
        <f t="shared" si="207"/>
        <v>11</v>
      </c>
      <c r="Z624" s="14">
        <f t="shared" si="208"/>
        <v>54341.54</v>
      </c>
      <c r="AA624" s="14">
        <f t="shared" si="209"/>
        <v>147927.31999999998</v>
      </c>
    </row>
    <row r="625" spans="5:27" outlineLevel="1" x14ac:dyDescent="0.25">
      <c r="E625" s="4" t="s">
        <v>70</v>
      </c>
      <c r="F625" s="4">
        <v>7</v>
      </c>
      <c r="G625" s="21">
        <v>25</v>
      </c>
      <c r="H625" s="21"/>
      <c r="I625" s="21">
        <v>33.520000000000003</v>
      </c>
      <c r="J625" s="21">
        <v>82685.53</v>
      </c>
      <c r="K625" s="21"/>
      <c r="L625" s="21">
        <v>147997.13999999998</v>
      </c>
      <c r="M625" s="21">
        <v>216660.61</v>
      </c>
      <c r="N625" s="21"/>
      <c r="O625" s="21">
        <v>406253.69</v>
      </c>
      <c r="S625" s="25">
        <f t="shared" si="210"/>
        <v>-0.1579718103606077</v>
      </c>
      <c r="T625" s="26">
        <f t="shared" si="211"/>
        <v>-0.14053063560883328</v>
      </c>
      <c r="U625" s="27">
        <f t="shared" si="212"/>
        <v>-0.14554250001633295</v>
      </c>
      <c r="W625" s="13">
        <f t="shared" si="206"/>
        <v>0</v>
      </c>
      <c r="Y625" s="14">
        <f t="shared" si="207"/>
        <v>28.224784916712434</v>
      </c>
      <c r="Z625" s="14">
        <f t="shared" si="208"/>
        <v>127199.0078475105</v>
      </c>
      <c r="AA625" s="14">
        <f t="shared" si="209"/>
        <v>347126.51231653965</v>
      </c>
    </row>
    <row r="626" spans="5:27" outlineLevel="1" x14ac:dyDescent="0.25">
      <c r="E626" s="4" t="s">
        <v>70</v>
      </c>
      <c r="F626" s="4">
        <v>8</v>
      </c>
      <c r="G626" s="21">
        <v>42</v>
      </c>
      <c r="H626" s="21"/>
      <c r="I626" s="21">
        <v>33.379999999999995</v>
      </c>
      <c r="J626" s="21">
        <v>166873.25</v>
      </c>
      <c r="K626" s="21"/>
      <c r="L626" s="21">
        <v>147439</v>
      </c>
      <c r="M626" s="21">
        <v>437794.14999999991</v>
      </c>
      <c r="N626" s="21"/>
      <c r="O626" s="21">
        <v>404448.84</v>
      </c>
      <c r="S626" s="25">
        <f t="shared" si="210"/>
        <v>-0.1579718103606077</v>
      </c>
      <c r="T626" s="26">
        <f t="shared" si="211"/>
        <v>-0.14053063560883328</v>
      </c>
      <c r="U626" s="27">
        <f t="shared" si="212"/>
        <v>-0.14554250001633295</v>
      </c>
      <c r="W626" s="13">
        <f t="shared" si="206"/>
        <v>0</v>
      </c>
      <c r="Y626" s="14">
        <f t="shared" si="207"/>
        <v>28.106900970162911</v>
      </c>
      <c r="Z626" s="14">
        <f t="shared" si="208"/>
        <v>126719.30361646923</v>
      </c>
      <c r="AA626" s="14">
        <f t="shared" si="209"/>
        <v>345584.34469769418</v>
      </c>
    </row>
    <row r="627" spans="5:27" outlineLevel="1" x14ac:dyDescent="0.25">
      <c r="E627" s="4" t="s">
        <v>70</v>
      </c>
      <c r="F627" s="4">
        <v>9</v>
      </c>
      <c r="G627" s="21">
        <v>40</v>
      </c>
      <c r="H627" s="21"/>
      <c r="I627" s="21">
        <v>33.22</v>
      </c>
      <c r="J627" s="21">
        <v>186879.68</v>
      </c>
      <c r="K627" s="21"/>
      <c r="L627" s="21">
        <v>146661.74000000002</v>
      </c>
      <c r="M627" s="21">
        <v>516406.35</v>
      </c>
      <c r="N627" s="21"/>
      <c r="O627" s="21">
        <v>402267.25000000006</v>
      </c>
      <c r="S627" s="25">
        <f t="shared" si="210"/>
        <v>-0.1579718103606077</v>
      </c>
      <c r="T627" s="26">
        <f t="shared" si="211"/>
        <v>-0.14053063560883328</v>
      </c>
      <c r="U627" s="27">
        <f t="shared" si="212"/>
        <v>-0.14554250001633295</v>
      </c>
      <c r="W627" s="13">
        <f t="shared" si="206"/>
        <v>0</v>
      </c>
      <c r="Y627" s="14">
        <f t="shared" si="207"/>
        <v>27.972176459820613</v>
      </c>
      <c r="Z627" s="14">
        <f t="shared" si="208"/>
        <v>126051.27245830257</v>
      </c>
      <c r="AA627" s="14">
        <f t="shared" si="209"/>
        <v>343720.26876030484</v>
      </c>
    </row>
    <row r="628" spans="5:27" outlineLevel="1" x14ac:dyDescent="0.25">
      <c r="E628" s="4" t="s">
        <v>70</v>
      </c>
      <c r="F628" s="4">
        <v>10</v>
      </c>
      <c r="G628" s="21">
        <v>47</v>
      </c>
      <c r="H628" s="21"/>
      <c r="I628" s="21">
        <v>40.35</v>
      </c>
      <c r="J628" s="21">
        <v>245941.51999999996</v>
      </c>
      <c r="K628" s="21"/>
      <c r="L628" s="21">
        <v>194236.56000000003</v>
      </c>
      <c r="M628" s="21">
        <v>671913.33</v>
      </c>
      <c r="N628" s="21"/>
      <c r="O628" s="21">
        <v>541315.54</v>
      </c>
      <c r="S628" s="25">
        <f t="shared" si="210"/>
        <v>-0.1579718103606077</v>
      </c>
      <c r="T628" s="26">
        <f t="shared" si="211"/>
        <v>-0.14053063560883328</v>
      </c>
      <c r="U628" s="27">
        <f t="shared" si="212"/>
        <v>-0.14554250001633295</v>
      </c>
      <c r="W628" s="13">
        <f t="shared" si="206"/>
        <v>0</v>
      </c>
      <c r="Y628" s="14">
        <f t="shared" si="207"/>
        <v>33.975837451949481</v>
      </c>
      <c r="Z628" s="14">
        <f t="shared" si="208"/>
        <v>166940.37276472675</v>
      </c>
      <c r="AA628" s="14">
        <f t="shared" si="209"/>
        <v>462531.12301070878</v>
      </c>
    </row>
    <row r="629" spans="5:27" outlineLevel="1" x14ac:dyDescent="0.25">
      <c r="E629" s="4" t="s">
        <v>70</v>
      </c>
      <c r="F629" s="4">
        <v>11</v>
      </c>
      <c r="G629" s="21">
        <v>85</v>
      </c>
      <c r="H629" s="21"/>
      <c r="I629" s="21">
        <v>51.53</v>
      </c>
      <c r="J629" s="21">
        <v>419501.42</v>
      </c>
      <c r="K629" s="21"/>
      <c r="L629" s="21">
        <v>268733.04999999993</v>
      </c>
      <c r="M629" s="21">
        <v>1186873.6900000004</v>
      </c>
      <c r="N629" s="21"/>
      <c r="O629" s="21">
        <v>759411.46999999986</v>
      </c>
      <c r="S629" s="25">
        <f t="shared" si="210"/>
        <v>-0.1579718103606077</v>
      </c>
      <c r="T629" s="26">
        <f t="shared" si="211"/>
        <v>-0.14053063560883328</v>
      </c>
      <c r="U629" s="27">
        <f t="shared" si="212"/>
        <v>-0.14554250001633295</v>
      </c>
      <c r="W629" s="13">
        <f t="shared" si="206"/>
        <v>0</v>
      </c>
      <c r="Y629" s="14">
        <f t="shared" si="207"/>
        <v>43.389712612117883</v>
      </c>
      <c r="Z629" s="14">
        <f t="shared" si="208"/>
        <v>230967.82367439958</v>
      </c>
      <c r="AA629" s="14">
        <f t="shared" si="209"/>
        <v>648884.82611512148</v>
      </c>
    </row>
    <row r="630" spans="5:27" outlineLevel="1" x14ac:dyDescent="0.25">
      <c r="E630" s="4" t="s">
        <v>70</v>
      </c>
      <c r="F630" s="4">
        <v>12</v>
      </c>
      <c r="G630" s="21">
        <v>77</v>
      </c>
      <c r="H630" s="21"/>
      <c r="I630" s="21">
        <v>39.47</v>
      </c>
      <c r="J630" s="21">
        <v>324436.7</v>
      </c>
      <c r="K630" s="21"/>
      <c r="L630" s="21">
        <v>189019.53</v>
      </c>
      <c r="M630" s="21">
        <v>865730.38</v>
      </c>
      <c r="N630" s="21"/>
      <c r="O630" s="21">
        <v>525820.03</v>
      </c>
      <c r="S630" s="28">
        <f t="shared" si="210"/>
        <v>-0.1579718103606077</v>
      </c>
      <c r="T630" s="26">
        <f t="shared" si="211"/>
        <v>-0.14053063560883328</v>
      </c>
      <c r="U630" s="30">
        <f t="shared" si="212"/>
        <v>-0.14554250001633295</v>
      </c>
      <c r="W630" s="13">
        <f t="shared" si="206"/>
        <v>0</v>
      </c>
      <c r="Y630" s="14">
        <f t="shared" si="207"/>
        <v>33.234852645066816</v>
      </c>
      <c r="Z630" s="14">
        <f t="shared" si="208"/>
        <v>162456.49530661706</v>
      </c>
      <c r="AA630" s="14">
        <f t="shared" si="209"/>
        <v>449290.8682751368</v>
      </c>
    </row>
    <row r="631" spans="5:27" outlineLevel="1" x14ac:dyDescent="0.25">
      <c r="E631" s="4" t="s">
        <v>71</v>
      </c>
      <c r="F631" s="4">
        <v>1</v>
      </c>
      <c r="G631" s="21">
        <v>220</v>
      </c>
      <c r="H631" s="21">
        <v>227</v>
      </c>
      <c r="I631" s="21">
        <v>241.96</v>
      </c>
      <c r="J631" s="21">
        <v>989408.47</v>
      </c>
      <c r="K631" s="21">
        <v>1064255.29</v>
      </c>
      <c r="L631" s="21">
        <v>1110219.9000000001</v>
      </c>
      <c r="M631" s="21">
        <v>2903337.9</v>
      </c>
      <c r="N631" s="21">
        <v>3178198.85</v>
      </c>
      <c r="O631" s="21">
        <v>3326018.63</v>
      </c>
      <c r="S631" s="22">
        <f t="shared" ref="S631:S642" si="213">IFERROR(SUMPRODUCT(H$631:H$642,$W$631:$W$642)/SUMPRODUCT(I$631:I$642,$W$631:$W$642)-1,"")</f>
        <v>-0.14303344751158587</v>
      </c>
      <c r="T631" s="23">
        <f t="shared" ref="T631:T642" si="214">IFERROR(SUMPRODUCT(K$631:K$642,$W$631:$W$642)/SUMPRODUCT(L$631:L$642,$W$631:$W$642)-1,"")</f>
        <v>-0.12053623659989254</v>
      </c>
      <c r="U631" s="24">
        <f t="shared" ref="U631:U642" si="215">IFERROR(SUMPRODUCT(N$631:N$642,$W$631:$W$642)/SUMPRODUCT(O$631:O$642,$W$631:$W$642)-1,"")</f>
        <v>-0.12943755499998477</v>
      </c>
      <c r="W631" s="13">
        <f t="shared" si="206"/>
        <v>1</v>
      </c>
      <c r="Y631" s="14">
        <f t="shared" si="207"/>
        <v>227</v>
      </c>
      <c r="Z631" s="14">
        <f t="shared" si="208"/>
        <v>1064255.29</v>
      </c>
      <c r="AA631" s="14">
        <f t="shared" si="209"/>
        <v>3178198.85</v>
      </c>
    </row>
    <row r="632" spans="5:27" outlineLevel="1" x14ac:dyDescent="0.25">
      <c r="E632" s="4" t="s">
        <v>71</v>
      </c>
      <c r="F632" s="4">
        <v>2</v>
      </c>
      <c r="G632" s="21">
        <v>163</v>
      </c>
      <c r="H632" s="21">
        <v>167</v>
      </c>
      <c r="I632" s="21">
        <v>241.81</v>
      </c>
      <c r="J632" s="21">
        <v>729732.28999999969</v>
      </c>
      <c r="K632" s="21">
        <v>790210.66999999993</v>
      </c>
      <c r="L632" s="21">
        <v>1098319.1299999999</v>
      </c>
      <c r="M632" s="21">
        <v>2200514.89</v>
      </c>
      <c r="N632" s="21">
        <v>2402451.9399999995</v>
      </c>
      <c r="O632" s="21">
        <v>3294133.0100000007</v>
      </c>
      <c r="S632" s="25">
        <f t="shared" si="213"/>
        <v>-0.14303344751158587</v>
      </c>
      <c r="T632" s="26">
        <f t="shared" si="214"/>
        <v>-0.12053623659989254</v>
      </c>
      <c r="U632" s="27">
        <f t="shared" si="215"/>
        <v>-0.12943755499998477</v>
      </c>
      <c r="W632" s="13">
        <f t="shared" si="206"/>
        <v>1</v>
      </c>
      <c r="Y632" s="14">
        <f t="shared" si="207"/>
        <v>167</v>
      </c>
      <c r="Z632" s="14">
        <f t="shared" si="208"/>
        <v>790210.66999999993</v>
      </c>
      <c r="AA632" s="14">
        <f t="shared" si="209"/>
        <v>2402451.9399999995</v>
      </c>
    </row>
    <row r="633" spans="5:27" outlineLevel="1" x14ac:dyDescent="0.25">
      <c r="E633" s="4" t="s">
        <v>71</v>
      </c>
      <c r="F633" s="4">
        <v>3</v>
      </c>
      <c r="G633" s="21">
        <v>228</v>
      </c>
      <c r="H633" s="21">
        <v>236</v>
      </c>
      <c r="I633" s="21">
        <v>252.2</v>
      </c>
      <c r="J633" s="21">
        <v>1057232.77</v>
      </c>
      <c r="K633" s="21">
        <v>1159253.1799999997</v>
      </c>
      <c r="L633" s="21">
        <v>1177368.1599999999</v>
      </c>
      <c r="M633" s="21">
        <v>3189069.9099999997</v>
      </c>
      <c r="N633" s="21">
        <v>3514721.39</v>
      </c>
      <c r="O633" s="21">
        <v>3550722.0800000005</v>
      </c>
      <c r="S633" s="25">
        <f t="shared" si="213"/>
        <v>-0.14303344751158587</v>
      </c>
      <c r="T633" s="26">
        <f t="shared" si="214"/>
        <v>-0.12053623659989254</v>
      </c>
      <c r="U633" s="27">
        <f t="shared" si="215"/>
        <v>-0.12943755499998477</v>
      </c>
      <c r="W633" s="13">
        <f t="shared" si="206"/>
        <v>1</v>
      </c>
      <c r="Y633" s="14">
        <f t="shared" si="207"/>
        <v>236</v>
      </c>
      <c r="Z633" s="14">
        <f t="shared" si="208"/>
        <v>1159253.1799999997</v>
      </c>
      <c r="AA633" s="14">
        <f t="shared" si="209"/>
        <v>3514721.39</v>
      </c>
    </row>
    <row r="634" spans="5:27" outlineLevel="1" x14ac:dyDescent="0.25">
      <c r="E634" s="4" t="s">
        <v>71</v>
      </c>
      <c r="F634" s="4">
        <v>4</v>
      </c>
      <c r="G634" s="21">
        <v>243</v>
      </c>
      <c r="H634" s="21">
        <v>242</v>
      </c>
      <c r="I634" s="21">
        <v>267.96999999999997</v>
      </c>
      <c r="J634" s="21">
        <v>1094980.8899999999</v>
      </c>
      <c r="K634" s="21">
        <v>1140636.1199999999</v>
      </c>
      <c r="L634" s="21">
        <v>1242502.6599999999</v>
      </c>
      <c r="M634" s="21">
        <v>3224295.9999999995</v>
      </c>
      <c r="N634" s="21">
        <v>3331556.5399999996</v>
      </c>
      <c r="O634" s="21">
        <v>3715738.2600000002</v>
      </c>
      <c r="S634" s="25">
        <f t="shared" si="213"/>
        <v>-0.14303344751158587</v>
      </c>
      <c r="T634" s="26">
        <f t="shared" si="214"/>
        <v>-0.12053623659989254</v>
      </c>
      <c r="U634" s="27">
        <f t="shared" si="215"/>
        <v>-0.12943755499998477</v>
      </c>
      <c r="W634" s="13">
        <f t="shared" si="206"/>
        <v>1</v>
      </c>
      <c r="Y634" s="14">
        <f t="shared" si="207"/>
        <v>242</v>
      </c>
      <c r="Z634" s="14">
        <f t="shared" si="208"/>
        <v>1140636.1199999999</v>
      </c>
      <c r="AA634" s="14">
        <f t="shared" si="209"/>
        <v>3331556.5399999996</v>
      </c>
    </row>
    <row r="635" spans="5:27" outlineLevel="1" x14ac:dyDescent="0.25">
      <c r="E635" s="4" t="s">
        <v>71</v>
      </c>
      <c r="F635" s="4">
        <v>5</v>
      </c>
      <c r="G635" s="21">
        <v>209</v>
      </c>
      <c r="H635" s="21">
        <v>205</v>
      </c>
      <c r="I635" s="21">
        <v>289.18</v>
      </c>
      <c r="J635" s="21">
        <v>976468.58999999985</v>
      </c>
      <c r="K635" s="21">
        <v>1003636.3100000002</v>
      </c>
      <c r="L635" s="21">
        <v>1347575.9099999997</v>
      </c>
      <c r="M635" s="21">
        <v>2976156.54</v>
      </c>
      <c r="N635" s="21">
        <v>2964101.42</v>
      </c>
      <c r="O635" s="21">
        <v>4043491.4899999998</v>
      </c>
      <c r="S635" s="25">
        <f t="shared" si="213"/>
        <v>-0.14303344751158587</v>
      </c>
      <c r="T635" s="26">
        <f t="shared" si="214"/>
        <v>-0.12053623659989254</v>
      </c>
      <c r="U635" s="27">
        <f t="shared" si="215"/>
        <v>-0.12943755499998477</v>
      </c>
      <c r="W635" s="13">
        <f t="shared" si="206"/>
        <v>1</v>
      </c>
      <c r="Y635" s="14">
        <f t="shared" si="207"/>
        <v>205</v>
      </c>
      <c r="Z635" s="14">
        <f t="shared" si="208"/>
        <v>1003636.3100000002</v>
      </c>
      <c r="AA635" s="14">
        <f t="shared" si="209"/>
        <v>2964101.42</v>
      </c>
    </row>
    <row r="636" spans="5:27" outlineLevel="1" x14ac:dyDescent="0.25">
      <c r="E636" s="4" t="s">
        <v>71</v>
      </c>
      <c r="F636" s="4">
        <v>6</v>
      </c>
      <c r="G636" s="21">
        <v>277</v>
      </c>
      <c r="H636" s="21">
        <v>284</v>
      </c>
      <c r="I636" s="21">
        <v>295.04000000000008</v>
      </c>
      <c r="J636" s="21">
        <v>1225168.1800000002</v>
      </c>
      <c r="K636" s="21">
        <v>1304052.0900000001</v>
      </c>
      <c r="L636" s="21">
        <v>1371723.07</v>
      </c>
      <c r="M636" s="21">
        <v>3613617.8400000003</v>
      </c>
      <c r="N636" s="21">
        <v>3777296.08</v>
      </c>
      <c r="O636" s="21">
        <v>4088220.81</v>
      </c>
      <c r="S636" s="25">
        <f t="shared" si="213"/>
        <v>-0.14303344751158587</v>
      </c>
      <c r="T636" s="26">
        <f t="shared" si="214"/>
        <v>-0.12053623659989254</v>
      </c>
      <c r="U636" s="27">
        <f t="shared" si="215"/>
        <v>-0.12943755499998477</v>
      </c>
      <c r="W636" s="13">
        <f t="shared" si="206"/>
        <v>1</v>
      </c>
      <c r="Y636" s="14">
        <f t="shared" si="207"/>
        <v>284</v>
      </c>
      <c r="Z636" s="14">
        <f t="shared" si="208"/>
        <v>1304052.0900000001</v>
      </c>
      <c r="AA636" s="14">
        <f t="shared" si="209"/>
        <v>3777296.08</v>
      </c>
    </row>
    <row r="637" spans="5:27" outlineLevel="1" x14ac:dyDescent="0.25">
      <c r="E637" s="4" t="s">
        <v>71</v>
      </c>
      <c r="F637" s="4">
        <v>7</v>
      </c>
      <c r="G637" s="21">
        <v>226</v>
      </c>
      <c r="H637" s="21"/>
      <c r="I637" s="21">
        <v>254.35000000000005</v>
      </c>
      <c r="J637" s="21">
        <v>962797.58000000007</v>
      </c>
      <c r="K637" s="21"/>
      <c r="L637" s="21">
        <v>1169683.07</v>
      </c>
      <c r="M637" s="21">
        <v>2762713.58</v>
      </c>
      <c r="N637" s="21"/>
      <c r="O637" s="21">
        <v>3516580.2300000004</v>
      </c>
      <c r="S637" s="25">
        <f t="shared" si="213"/>
        <v>-0.14303344751158587</v>
      </c>
      <c r="T637" s="26">
        <f t="shared" si="214"/>
        <v>-0.12053623659989254</v>
      </c>
      <c r="U637" s="27">
        <f t="shared" si="215"/>
        <v>-0.12943755499998477</v>
      </c>
      <c r="W637" s="13">
        <f t="shared" si="206"/>
        <v>0</v>
      </c>
      <c r="Y637" s="14">
        <f t="shared" si="207"/>
        <v>217.96944262542817</v>
      </c>
      <c r="Z637" s="14">
        <f t="shared" si="208"/>
        <v>1028693.8747275914</v>
      </c>
      <c r="AA637" s="14">
        <f t="shared" si="209"/>
        <v>3061402.6830675164</v>
      </c>
    </row>
    <row r="638" spans="5:27" outlineLevel="1" x14ac:dyDescent="0.25">
      <c r="E638" s="4" t="s">
        <v>71</v>
      </c>
      <c r="F638" s="4">
        <v>8</v>
      </c>
      <c r="G638" s="21">
        <v>239</v>
      </c>
      <c r="H638" s="21"/>
      <c r="I638" s="21">
        <v>253.59</v>
      </c>
      <c r="J638" s="21">
        <v>1052781.1599999999</v>
      </c>
      <c r="K638" s="21"/>
      <c r="L638" s="21">
        <v>1156129.3799999999</v>
      </c>
      <c r="M638" s="21">
        <v>3022863.6900000004</v>
      </c>
      <c r="N638" s="21"/>
      <c r="O638" s="21">
        <v>3478910.63</v>
      </c>
      <c r="S638" s="25">
        <f t="shared" si="213"/>
        <v>-0.14303344751158587</v>
      </c>
      <c r="T638" s="26">
        <f t="shared" si="214"/>
        <v>-0.12053623659989254</v>
      </c>
      <c r="U638" s="27">
        <f t="shared" si="215"/>
        <v>-0.12943755499998477</v>
      </c>
      <c r="W638" s="13">
        <f t="shared" si="206"/>
        <v>0</v>
      </c>
      <c r="Y638" s="14">
        <f t="shared" si="207"/>
        <v>217.31814804553693</v>
      </c>
      <c r="Z638" s="14">
        <f t="shared" si="208"/>
        <v>1016773.8955122328</v>
      </c>
      <c r="AA638" s="14">
        <f t="shared" si="209"/>
        <v>3028608.943989343</v>
      </c>
    </row>
    <row r="639" spans="5:27" outlineLevel="1" x14ac:dyDescent="0.25">
      <c r="E639" s="4" t="s">
        <v>71</v>
      </c>
      <c r="F639" s="4">
        <v>9</v>
      </c>
      <c r="G639" s="21">
        <v>317</v>
      </c>
      <c r="H639" s="21"/>
      <c r="I639" s="21">
        <v>264.49</v>
      </c>
      <c r="J639" s="21">
        <v>1535517.0399999998</v>
      </c>
      <c r="K639" s="21"/>
      <c r="L639" s="21">
        <v>1236617.2</v>
      </c>
      <c r="M639" s="21">
        <v>4558262.0199999996</v>
      </c>
      <c r="N639" s="21"/>
      <c r="O639" s="21">
        <v>3739962.2900000005</v>
      </c>
      <c r="S639" s="25">
        <f t="shared" si="213"/>
        <v>-0.14303344751158587</v>
      </c>
      <c r="T639" s="26">
        <f t="shared" si="214"/>
        <v>-0.12053623659989254</v>
      </c>
      <c r="U639" s="27">
        <f t="shared" si="215"/>
        <v>-0.12943755499998477</v>
      </c>
      <c r="W639" s="13">
        <f t="shared" si="206"/>
        <v>0</v>
      </c>
      <c r="Y639" s="14">
        <f t="shared" si="207"/>
        <v>226.65908346766065</v>
      </c>
      <c r="Z639" s="14">
        <f t="shared" si="208"/>
        <v>1087560.0165973033</v>
      </c>
      <c r="AA639" s="14">
        <f t="shared" si="209"/>
        <v>3255870.7153902566</v>
      </c>
    </row>
    <row r="640" spans="5:27" outlineLevel="1" x14ac:dyDescent="0.25">
      <c r="E640" s="4" t="s">
        <v>71</v>
      </c>
      <c r="F640" s="4">
        <v>10</v>
      </c>
      <c r="G640" s="21">
        <v>248</v>
      </c>
      <c r="H640" s="21"/>
      <c r="I640" s="21">
        <v>280.23</v>
      </c>
      <c r="J640" s="21">
        <v>1239642.2499999998</v>
      </c>
      <c r="K640" s="21"/>
      <c r="L640" s="21">
        <v>1301629.9500000004</v>
      </c>
      <c r="M640" s="21">
        <v>3726069.25</v>
      </c>
      <c r="N640" s="21"/>
      <c r="O640" s="21">
        <v>3905120.96</v>
      </c>
      <c r="S640" s="25">
        <f t="shared" si="213"/>
        <v>-0.14303344751158587</v>
      </c>
      <c r="T640" s="26">
        <f t="shared" si="214"/>
        <v>-0.12053623659989254</v>
      </c>
      <c r="U640" s="27">
        <f t="shared" si="215"/>
        <v>-0.12943755499998477</v>
      </c>
      <c r="W640" s="13">
        <f t="shared" si="206"/>
        <v>0</v>
      </c>
      <c r="Y640" s="14">
        <f t="shared" si="207"/>
        <v>240.1477370038283</v>
      </c>
      <c r="Z640" s="14">
        <f t="shared" si="208"/>
        <v>1144736.374381294</v>
      </c>
      <c r="AA640" s="14">
        <f t="shared" si="209"/>
        <v>3399651.6509584067</v>
      </c>
    </row>
    <row r="641" spans="5:27" outlineLevel="1" x14ac:dyDescent="0.25">
      <c r="E641" s="4" t="s">
        <v>71</v>
      </c>
      <c r="F641" s="4">
        <v>11</v>
      </c>
      <c r="G641" s="21">
        <v>274</v>
      </c>
      <c r="H641" s="21"/>
      <c r="I641" s="21">
        <v>301.60999999999996</v>
      </c>
      <c r="J641" s="21">
        <v>1255048.2200000004</v>
      </c>
      <c r="K641" s="21"/>
      <c r="L641" s="21">
        <v>1407175.8499999996</v>
      </c>
      <c r="M641" s="21">
        <v>3646408.2900000005</v>
      </c>
      <c r="N641" s="21"/>
      <c r="O641" s="21">
        <v>4234111.4700000007</v>
      </c>
      <c r="S641" s="25">
        <f t="shared" si="213"/>
        <v>-0.14303344751158587</v>
      </c>
      <c r="T641" s="26">
        <f t="shared" si="214"/>
        <v>-0.12053623659989254</v>
      </c>
      <c r="U641" s="27">
        <f t="shared" si="215"/>
        <v>-0.12943755499998477</v>
      </c>
      <c r="W641" s="13">
        <f t="shared" si="206"/>
        <v>0</v>
      </c>
      <c r="Y641" s="14">
        <f t="shared" si="207"/>
        <v>258.46968189603052</v>
      </c>
      <c r="Z641" s="14">
        <f t="shared" si="208"/>
        <v>1237560.1688067447</v>
      </c>
      <c r="AA641" s="14">
        <f t="shared" si="209"/>
        <v>3686058.4337258092</v>
      </c>
    </row>
    <row r="642" spans="5:27" outlineLevel="1" x14ac:dyDescent="0.25">
      <c r="E642" s="4" t="s">
        <v>71</v>
      </c>
      <c r="F642" s="4">
        <v>12</v>
      </c>
      <c r="G642" s="21">
        <v>449</v>
      </c>
      <c r="H642" s="21"/>
      <c r="I642" s="21">
        <v>307.60000000000008</v>
      </c>
      <c r="J642" s="21">
        <v>1908362.9099999995</v>
      </c>
      <c r="K642" s="21"/>
      <c r="L642" s="21">
        <v>1431645.2399999995</v>
      </c>
      <c r="M642" s="21">
        <v>5612850.1299999999</v>
      </c>
      <c r="N642" s="21"/>
      <c r="O642" s="21">
        <v>4280293.58</v>
      </c>
      <c r="S642" s="28">
        <f t="shared" si="213"/>
        <v>-0.14303344751158587</v>
      </c>
      <c r="T642" s="29">
        <f t="shared" si="214"/>
        <v>-0.12053623659989254</v>
      </c>
      <c r="U642" s="30">
        <f t="shared" si="215"/>
        <v>-0.12943755499998477</v>
      </c>
      <c r="W642" s="13">
        <f t="shared" si="206"/>
        <v>0</v>
      </c>
      <c r="Y642" s="14">
        <f t="shared" si="207"/>
        <v>263.60291154543626</v>
      </c>
      <c r="Z642" s="14">
        <f t="shared" si="208"/>
        <v>1259080.1106242496</v>
      </c>
      <c r="AA642" s="14">
        <f t="shared" si="209"/>
        <v>3726262.8443226684</v>
      </c>
    </row>
    <row r="643" spans="5:27" outlineLevel="1" x14ac:dyDescent="0.25">
      <c r="E643" s="4" t="s">
        <v>72</v>
      </c>
      <c r="F643" s="4">
        <v>1</v>
      </c>
      <c r="G643" s="21">
        <v>369</v>
      </c>
      <c r="H643" s="21">
        <v>384</v>
      </c>
      <c r="I643" s="21">
        <v>433.54000000000008</v>
      </c>
      <c r="J643" s="21">
        <v>1632493.0299999998</v>
      </c>
      <c r="K643" s="21">
        <v>1775861.1799999995</v>
      </c>
      <c r="L643" s="21">
        <v>2017630.949999999</v>
      </c>
      <c r="M643" s="21">
        <v>5065735.33</v>
      </c>
      <c r="N643" s="21">
        <v>5623009.1499999994</v>
      </c>
      <c r="O643" s="21">
        <v>6343461.370000002</v>
      </c>
      <c r="S643" s="22">
        <f t="shared" ref="S643:S654" si="216">IFERROR(SUMPRODUCT(H$643:H$654,$W$643:$W$654)/SUMPRODUCT(I$643:I$654,$W$643:$W$654)-1,"")</f>
        <v>-9.2251842505883586E-2</v>
      </c>
      <c r="T643" s="26">
        <f t="shared" ref="T643:T654" si="217">IFERROR(SUMPRODUCT(K$643:K$654,$W$643:$W$654)/SUMPRODUCT(L$643:L$654,$W$643:$W$654)-1,"")</f>
        <v>-7.1280413426795919E-2</v>
      </c>
      <c r="U643" s="24">
        <f t="shared" ref="U643:U654" si="218">IFERROR(SUMPRODUCT(N$643:N$654,$W$643:$W$654)/SUMPRODUCT(O$643:O$654,$W$643:$W$654)-1,"")</f>
        <v>-6.4094838414448518E-2</v>
      </c>
      <c r="W643" s="13">
        <f t="shared" si="206"/>
        <v>1</v>
      </c>
      <c r="Y643" s="14">
        <f t="shared" si="207"/>
        <v>384</v>
      </c>
      <c r="Z643" s="14">
        <f t="shared" si="208"/>
        <v>1775861.1799999995</v>
      </c>
      <c r="AA643" s="14">
        <f t="shared" si="209"/>
        <v>5623009.1499999994</v>
      </c>
    </row>
    <row r="644" spans="5:27" outlineLevel="1" x14ac:dyDescent="0.25">
      <c r="E644" s="4" t="s">
        <v>72</v>
      </c>
      <c r="F644" s="4">
        <v>2</v>
      </c>
      <c r="G644" s="21">
        <v>351</v>
      </c>
      <c r="H644" s="21">
        <v>363</v>
      </c>
      <c r="I644" s="21">
        <v>430.81000000000006</v>
      </c>
      <c r="J644" s="21">
        <v>1606589.9800000004</v>
      </c>
      <c r="K644" s="21">
        <v>1735290.79</v>
      </c>
      <c r="L644" s="21">
        <v>2018201.32</v>
      </c>
      <c r="M644" s="21">
        <v>4920277.3299999991</v>
      </c>
      <c r="N644" s="21">
        <v>5448309.6500000004</v>
      </c>
      <c r="O644" s="21">
        <v>6344366.1000000015</v>
      </c>
      <c r="S644" s="25">
        <f t="shared" si="216"/>
        <v>-9.2251842505883586E-2</v>
      </c>
      <c r="T644" s="26">
        <f t="shared" si="217"/>
        <v>-7.1280413426795919E-2</v>
      </c>
      <c r="U644" s="27">
        <f t="shared" si="218"/>
        <v>-6.4094838414448518E-2</v>
      </c>
      <c r="W644" s="13">
        <f t="shared" si="206"/>
        <v>1</v>
      </c>
      <c r="Y644" s="14">
        <f t="shared" si="207"/>
        <v>363</v>
      </c>
      <c r="Z644" s="14">
        <f t="shared" si="208"/>
        <v>1735290.79</v>
      </c>
      <c r="AA644" s="14">
        <f t="shared" si="209"/>
        <v>5448309.6500000004</v>
      </c>
    </row>
    <row r="645" spans="5:27" outlineLevel="1" x14ac:dyDescent="0.25">
      <c r="E645" s="4" t="s">
        <v>72</v>
      </c>
      <c r="F645" s="4">
        <v>3</v>
      </c>
      <c r="G645" s="21">
        <v>412</v>
      </c>
      <c r="H645" s="21">
        <v>436</v>
      </c>
      <c r="I645" s="21">
        <v>442.35</v>
      </c>
      <c r="J645" s="21">
        <v>1955158.37</v>
      </c>
      <c r="K645" s="21">
        <v>2190660.2800000007</v>
      </c>
      <c r="L645" s="21">
        <v>2057295.8799999997</v>
      </c>
      <c r="M645" s="21">
        <v>6190883.4800000023</v>
      </c>
      <c r="N645" s="21">
        <v>7186735.9700000007</v>
      </c>
      <c r="O645" s="21">
        <v>6459538.5700000003</v>
      </c>
      <c r="S645" s="25">
        <f t="shared" si="216"/>
        <v>-9.2251842505883586E-2</v>
      </c>
      <c r="T645" s="26">
        <f t="shared" si="217"/>
        <v>-7.1280413426795919E-2</v>
      </c>
      <c r="U645" s="27">
        <f t="shared" si="218"/>
        <v>-6.4094838414448518E-2</v>
      </c>
      <c r="W645" s="13">
        <f t="shared" si="206"/>
        <v>1</v>
      </c>
      <c r="Y645" s="14">
        <f t="shared" si="207"/>
        <v>436</v>
      </c>
      <c r="Z645" s="14">
        <f t="shared" si="208"/>
        <v>2190660.2800000007</v>
      </c>
      <c r="AA645" s="14">
        <f t="shared" si="209"/>
        <v>7186735.9700000007</v>
      </c>
    </row>
    <row r="646" spans="5:27" outlineLevel="1" x14ac:dyDescent="0.25">
      <c r="E646" s="4" t="s">
        <v>72</v>
      </c>
      <c r="F646" s="4">
        <v>4</v>
      </c>
      <c r="G646" s="21">
        <v>372</v>
      </c>
      <c r="H646" s="21">
        <v>387</v>
      </c>
      <c r="I646" s="21">
        <v>452.07999999999987</v>
      </c>
      <c r="J646" s="21">
        <v>1640096.7699999998</v>
      </c>
      <c r="K646" s="21">
        <v>1799294.0500000003</v>
      </c>
      <c r="L646" s="21">
        <v>2093079.8099999998</v>
      </c>
      <c r="M646" s="21">
        <v>4905407.4099999992</v>
      </c>
      <c r="N646" s="21">
        <v>5514477.5</v>
      </c>
      <c r="O646" s="21">
        <v>6544430.3800000036</v>
      </c>
      <c r="S646" s="25">
        <f t="shared" si="216"/>
        <v>-9.2251842505883586E-2</v>
      </c>
      <c r="T646" s="26">
        <f t="shared" si="217"/>
        <v>-7.1280413426795919E-2</v>
      </c>
      <c r="U646" s="27">
        <f t="shared" si="218"/>
        <v>-6.4094838414448518E-2</v>
      </c>
      <c r="W646" s="13">
        <f t="shared" si="206"/>
        <v>1</v>
      </c>
      <c r="Y646" s="14">
        <f t="shared" si="207"/>
        <v>387</v>
      </c>
      <c r="Z646" s="14">
        <f t="shared" si="208"/>
        <v>1799294.0500000003</v>
      </c>
      <c r="AA646" s="14">
        <f t="shared" si="209"/>
        <v>5514477.5</v>
      </c>
    </row>
    <row r="647" spans="5:27" outlineLevel="1" x14ac:dyDescent="0.25">
      <c r="E647" s="4" t="s">
        <v>72</v>
      </c>
      <c r="F647" s="4">
        <v>5</v>
      </c>
      <c r="G647" s="21">
        <v>453</v>
      </c>
      <c r="H647" s="21">
        <v>477</v>
      </c>
      <c r="I647" s="21">
        <v>447.35000000000014</v>
      </c>
      <c r="J647" s="21">
        <v>2068975.41</v>
      </c>
      <c r="K647" s="21">
        <v>2283059.14</v>
      </c>
      <c r="L647" s="21">
        <v>2078714.0100000005</v>
      </c>
      <c r="M647" s="21">
        <v>6411052.46</v>
      </c>
      <c r="N647" s="21">
        <v>7218615.9700000007</v>
      </c>
      <c r="O647" s="21">
        <v>6530443.8200000012</v>
      </c>
      <c r="S647" s="25">
        <f t="shared" si="216"/>
        <v>-9.2251842505883586E-2</v>
      </c>
      <c r="T647" s="26">
        <f t="shared" si="217"/>
        <v>-7.1280413426795919E-2</v>
      </c>
      <c r="U647" s="27">
        <f t="shared" si="218"/>
        <v>-6.4094838414448518E-2</v>
      </c>
      <c r="W647" s="13">
        <f t="shared" si="206"/>
        <v>1</v>
      </c>
      <c r="Y647" s="14">
        <f t="shared" si="207"/>
        <v>477</v>
      </c>
      <c r="Z647" s="14">
        <f t="shared" si="208"/>
        <v>2283059.14</v>
      </c>
      <c r="AA647" s="14">
        <f t="shared" si="209"/>
        <v>7218615.9700000007</v>
      </c>
    </row>
    <row r="648" spans="5:27" outlineLevel="1" x14ac:dyDescent="0.25">
      <c r="E648" s="4" t="s">
        <v>72</v>
      </c>
      <c r="F648" s="4">
        <v>6</v>
      </c>
      <c r="G648" s="21">
        <v>334</v>
      </c>
      <c r="H648" s="21">
        <v>356</v>
      </c>
      <c r="I648" s="21">
        <v>441.07999999999993</v>
      </c>
      <c r="J648" s="21">
        <v>1469247.5200000003</v>
      </c>
      <c r="K648" s="21">
        <v>1644866.8100000005</v>
      </c>
      <c r="L648" s="21">
        <v>2041303.0899999996</v>
      </c>
      <c r="M648" s="21">
        <v>4558423.5900000008</v>
      </c>
      <c r="N648" s="21">
        <v>5180402.8499999987</v>
      </c>
      <c r="O648" s="21">
        <v>6426495.3100000015</v>
      </c>
      <c r="S648" s="25">
        <f t="shared" si="216"/>
        <v>-9.2251842505883586E-2</v>
      </c>
      <c r="T648" s="26">
        <f t="shared" si="217"/>
        <v>-7.1280413426795919E-2</v>
      </c>
      <c r="U648" s="27">
        <f t="shared" si="218"/>
        <v>-6.4094838414448518E-2</v>
      </c>
      <c r="W648" s="13">
        <f t="shared" si="206"/>
        <v>1</v>
      </c>
      <c r="Y648" s="14">
        <f t="shared" si="207"/>
        <v>356</v>
      </c>
      <c r="Z648" s="14">
        <f t="shared" si="208"/>
        <v>1644866.8100000005</v>
      </c>
      <c r="AA648" s="14">
        <f t="shared" si="209"/>
        <v>5180402.8499999987</v>
      </c>
    </row>
    <row r="649" spans="5:27" outlineLevel="1" x14ac:dyDescent="0.25">
      <c r="E649" s="4" t="s">
        <v>72</v>
      </c>
      <c r="F649" s="4">
        <v>7</v>
      </c>
      <c r="G649" s="21">
        <v>401</v>
      </c>
      <c r="H649" s="21"/>
      <c r="I649" s="21">
        <v>451.27000000000004</v>
      </c>
      <c r="J649" s="21">
        <v>1904841.52</v>
      </c>
      <c r="K649" s="21"/>
      <c r="L649" s="21">
        <v>2088908.4100000004</v>
      </c>
      <c r="M649" s="21">
        <v>6033021.589999998</v>
      </c>
      <c r="N649" s="21"/>
      <c r="O649" s="21">
        <v>6568435.4100000011</v>
      </c>
      <c r="S649" s="25">
        <f t="shared" si="216"/>
        <v>-9.2251842505883586E-2</v>
      </c>
      <c r="T649" s="26">
        <f t="shared" si="217"/>
        <v>-7.1280413426795919E-2</v>
      </c>
      <c r="U649" s="27">
        <f t="shared" si="218"/>
        <v>-6.4094838414448518E-2</v>
      </c>
      <c r="W649" s="13">
        <f t="shared" si="206"/>
        <v>0</v>
      </c>
      <c r="Y649" s="14">
        <f t="shared" si="207"/>
        <v>409.63951103236997</v>
      </c>
      <c r="Z649" s="14">
        <f t="shared" si="208"/>
        <v>1940010.1549244893</v>
      </c>
      <c r="AA649" s="14">
        <f t="shared" si="209"/>
        <v>6147432.6037603095</v>
      </c>
    </row>
    <row r="650" spans="5:27" outlineLevel="1" x14ac:dyDescent="0.25">
      <c r="E650" s="4" t="s">
        <v>72</v>
      </c>
      <c r="F650" s="4">
        <v>8</v>
      </c>
      <c r="G650" s="21">
        <v>426</v>
      </c>
      <c r="H650" s="21"/>
      <c r="I650" s="21">
        <v>464.88000000000005</v>
      </c>
      <c r="J650" s="21">
        <v>1812907.5899999994</v>
      </c>
      <c r="K650" s="21"/>
      <c r="L650" s="21">
        <v>2143237.8000000003</v>
      </c>
      <c r="M650" s="21">
        <v>5489515.4800000014</v>
      </c>
      <c r="N650" s="21"/>
      <c r="O650" s="21">
        <v>6701658.6999999993</v>
      </c>
      <c r="S650" s="25">
        <f t="shared" si="216"/>
        <v>-9.2251842505883586E-2</v>
      </c>
      <c r="T650" s="26">
        <f t="shared" si="217"/>
        <v>-7.1280413426795919E-2</v>
      </c>
      <c r="U650" s="27">
        <f t="shared" si="218"/>
        <v>-6.4094838414448518E-2</v>
      </c>
      <c r="W650" s="13">
        <f t="shared" si="206"/>
        <v>0</v>
      </c>
      <c r="Y650" s="14">
        <f t="shared" si="207"/>
        <v>421.9939634558649</v>
      </c>
      <c r="Z650" s="14">
        <f t="shared" si="208"/>
        <v>1990466.9235440637</v>
      </c>
      <c r="AA650" s="14">
        <f t="shared" si="209"/>
        <v>6272116.9685147163</v>
      </c>
    </row>
    <row r="651" spans="5:27" outlineLevel="1" x14ac:dyDescent="0.25">
      <c r="E651" s="4" t="s">
        <v>72</v>
      </c>
      <c r="F651" s="4">
        <v>9</v>
      </c>
      <c r="G651" s="21">
        <v>416</v>
      </c>
      <c r="H651" s="21"/>
      <c r="I651" s="21">
        <v>460.56999999999994</v>
      </c>
      <c r="J651" s="21">
        <v>1865932.9799999997</v>
      </c>
      <c r="K651" s="21"/>
      <c r="L651" s="21">
        <v>2145324.9099999997</v>
      </c>
      <c r="M651" s="21">
        <v>5784689.3900000006</v>
      </c>
      <c r="N651" s="21"/>
      <c r="O651" s="21">
        <v>6734748.4099999992</v>
      </c>
      <c r="S651" s="25">
        <f t="shared" si="216"/>
        <v>-9.2251842505883586E-2</v>
      </c>
      <c r="T651" s="26">
        <f t="shared" si="217"/>
        <v>-7.1280413426795919E-2</v>
      </c>
      <c r="U651" s="27">
        <f t="shared" si="218"/>
        <v>-6.4094838414448518E-2</v>
      </c>
      <c r="W651" s="13">
        <f t="shared" si="206"/>
        <v>0</v>
      </c>
      <c r="Y651" s="14">
        <f t="shared" si="207"/>
        <v>418.08156889706515</v>
      </c>
      <c r="Z651" s="14">
        <f t="shared" si="208"/>
        <v>1992405.263480396</v>
      </c>
      <c r="AA651" s="14">
        <f t="shared" si="209"/>
        <v>6303085.7988990853</v>
      </c>
    </row>
    <row r="652" spans="5:27" outlineLevel="1" x14ac:dyDescent="0.25">
      <c r="E652" s="4" t="s">
        <v>72</v>
      </c>
      <c r="F652" s="4">
        <v>10</v>
      </c>
      <c r="G652" s="21">
        <v>500</v>
      </c>
      <c r="H652" s="21"/>
      <c r="I652" s="21">
        <v>460.81999999999988</v>
      </c>
      <c r="J652" s="21">
        <v>2285776.0200000005</v>
      </c>
      <c r="K652" s="21"/>
      <c r="L652" s="21">
        <v>2140036.7199999997</v>
      </c>
      <c r="M652" s="21">
        <v>6965796.6300000008</v>
      </c>
      <c r="N652" s="21"/>
      <c r="O652" s="21">
        <v>6714295.9900000012</v>
      </c>
      <c r="S652" s="25">
        <f t="shared" si="216"/>
        <v>-9.2251842505883586E-2</v>
      </c>
      <c r="T652" s="26">
        <f t="shared" si="217"/>
        <v>-7.1280413426795919E-2</v>
      </c>
      <c r="U652" s="27">
        <f t="shared" si="218"/>
        <v>-6.4094838414448518E-2</v>
      </c>
      <c r="W652" s="13">
        <f t="shared" si="206"/>
        <v>0</v>
      </c>
      <c r="Y652" s="14">
        <f t="shared" si="207"/>
        <v>418.30850593643862</v>
      </c>
      <c r="Z652" s="14">
        <f t="shared" si="208"/>
        <v>1987494.0178498754</v>
      </c>
      <c r="AA652" s="14">
        <f t="shared" si="209"/>
        <v>6283944.2734541716</v>
      </c>
    </row>
    <row r="653" spans="5:27" outlineLevel="1" x14ac:dyDescent="0.25">
      <c r="E653" s="4" t="s">
        <v>72</v>
      </c>
      <c r="F653" s="4">
        <v>11</v>
      </c>
      <c r="G653" s="21">
        <v>659</v>
      </c>
      <c r="H653" s="21"/>
      <c r="I653" s="21">
        <v>502.12999999999994</v>
      </c>
      <c r="J653" s="21">
        <v>2830569.5000000005</v>
      </c>
      <c r="K653" s="21"/>
      <c r="L653" s="21">
        <v>2290649.3199999989</v>
      </c>
      <c r="M653" s="21">
        <v>8478950.0999999996</v>
      </c>
      <c r="N653" s="21"/>
      <c r="O653" s="21">
        <v>7108506.0999999996</v>
      </c>
      <c r="S653" s="25">
        <f t="shared" si="216"/>
        <v>-9.2251842505883586E-2</v>
      </c>
      <c r="T653" s="26">
        <f t="shared" si="217"/>
        <v>-7.1280413426795919E-2</v>
      </c>
      <c r="U653" s="27">
        <f t="shared" si="218"/>
        <v>-6.4094838414448518E-2</v>
      </c>
      <c r="W653" s="13">
        <f t="shared" si="206"/>
        <v>0</v>
      </c>
      <c r="Y653" s="14">
        <f t="shared" si="207"/>
        <v>455.8075823225206</v>
      </c>
      <c r="Z653" s="14">
        <f t="shared" si="208"/>
        <v>2127370.8894545902</v>
      </c>
      <c r="AA653" s="14">
        <f t="shared" si="209"/>
        <v>6652887.5501523782</v>
      </c>
    </row>
    <row r="654" spans="5:27" outlineLevel="1" x14ac:dyDescent="0.25">
      <c r="E654" s="4" t="s">
        <v>72</v>
      </c>
      <c r="F654" s="4">
        <v>12</v>
      </c>
      <c r="G654" s="21">
        <v>530</v>
      </c>
      <c r="H654" s="21"/>
      <c r="I654" s="21">
        <v>493.07</v>
      </c>
      <c r="J654" s="21">
        <v>2488418.0500000007</v>
      </c>
      <c r="K654" s="21"/>
      <c r="L654" s="21">
        <v>2274459.5099999998</v>
      </c>
      <c r="M654" s="21">
        <v>7757372.7000000011</v>
      </c>
      <c r="N654" s="21"/>
      <c r="O654" s="21">
        <v>7071168.9699999988</v>
      </c>
      <c r="S654" s="28">
        <f t="shared" si="216"/>
        <v>-9.2251842505883586E-2</v>
      </c>
      <c r="T654" s="26">
        <f t="shared" si="217"/>
        <v>-7.1280413426795919E-2</v>
      </c>
      <c r="U654" s="30">
        <f t="shared" si="218"/>
        <v>-6.4094838414448518E-2</v>
      </c>
      <c r="W654" s="13">
        <f t="shared" si="206"/>
        <v>0</v>
      </c>
      <c r="Y654" s="14">
        <f t="shared" si="207"/>
        <v>447.58338401562395</v>
      </c>
      <c r="Z654" s="14">
        <f t="shared" si="208"/>
        <v>2112335.0958046922</v>
      </c>
      <c r="AA654" s="14">
        <f t="shared" si="209"/>
        <v>6617943.5374665866</v>
      </c>
    </row>
    <row r="655" spans="5:27" outlineLevel="1" x14ac:dyDescent="0.25">
      <c r="E655" s="4" t="s">
        <v>73</v>
      </c>
      <c r="F655" s="4">
        <v>1</v>
      </c>
      <c r="G655" s="21">
        <v>429</v>
      </c>
      <c r="H655" s="21">
        <v>442</v>
      </c>
      <c r="I655" s="21">
        <v>513.28999999999985</v>
      </c>
      <c r="J655" s="21">
        <v>1954554.9800000002</v>
      </c>
      <c r="K655" s="21">
        <v>2124825.7499999995</v>
      </c>
      <c r="L655" s="21">
        <v>2363663.4999999995</v>
      </c>
      <c r="M655" s="21">
        <v>5929308.3500000015</v>
      </c>
      <c r="N655" s="21">
        <v>6469732.919999999</v>
      </c>
      <c r="O655" s="21">
        <v>7196704.8599999994</v>
      </c>
      <c r="S655" s="22">
        <f t="shared" ref="S655:S666" si="219">IFERROR(SUMPRODUCT(H$655:H$666,$W$655:$W$666)/SUMPRODUCT(I$655:I$666,$W$655:$W$666)-1,"")</f>
        <v>-9.203533525471197E-2</v>
      </c>
      <c r="T655" s="23">
        <f t="shared" ref="T655:T666" si="220">IFERROR(SUMPRODUCT(K$655:K$666,$W$655:$W$666)/SUMPRODUCT(L$655:L$666,$W$655:$W$666)-1,"")</f>
        <v>-5.9866983142977115E-2</v>
      </c>
      <c r="U655" s="24">
        <f t="shared" ref="U655:U666" si="221">IFERROR(SUMPRODUCT(N$655:N$666,$W$655:$W$666)/SUMPRODUCT(O$655:O$666,$W$655:$W$666)-1,"")</f>
        <v>-7.9218409543948765E-2</v>
      </c>
      <c r="W655" s="13">
        <f t="shared" si="206"/>
        <v>1</v>
      </c>
      <c r="Y655" s="14">
        <f t="shared" si="207"/>
        <v>442</v>
      </c>
      <c r="Z655" s="14">
        <f t="shared" si="208"/>
        <v>2124825.7499999995</v>
      </c>
      <c r="AA655" s="14">
        <f t="shared" si="209"/>
        <v>6469732.919999999</v>
      </c>
    </row>
    <row r="656" spans="5:27" outlineLevel="1" x14ac:dyDescent="0.25">
      <c r="E656" s="4" t="s">
        <v>73</v>
      </c>
      <c r="F656" s="4">
        <v>2</v>
      </c>
      <c r="G656" s="21">
        <v>433</v>
      </c>
      <c r="H656" s="21">
        <v>446</v>
      </c>
      <c r="I656" s="21">
        <v>506.39999999999992</v>
      </c>
      <c r="J656" s="21">
        <v>2015712.3800000001</v>
      </c>
      <c r="K656" s="21">
        <v>2187091.6599999992</v>
      </c>
      <c r="L656" s="21">
        <v>2356768.14</v>
      </c>
      <c r="M656" s="21">
        <v>6068353.1200000001</v>
      </c>
      <c r="N656" s="21">
        <v>6604816.910000002</v>
      </c>
      <c r="O656" s="21">
        <v>7195836.9899999984</v>
      </c>
      <c r="S656" s="25">
        <f t="shared" si="219"/>
        <v>-9.203533525471197E-2</v>
      </c>
      <c r="T656" s="26">
        <f t="shared" si="220"/>
        <v>-5.9866983142977115E-2</v>
      </c>
      <c r="U656" s="27">
        <f t="shared" si="221"/>
        <v>-7.9218409543948765E-2</v>
      </c>
      <c r="W656" s="13">
        <f t="shared" si="206"/>
        <v>1</v>
      </c>
      <c r="Y656" s="14">
        <f t="shared" si="207"/>
        <v>446</v>
      </c>
      <c r="Z656" s="14">
        <f t="shared" si="208"/>
        <v>2187091.6599999992</v>
      </c>
      <c r="AA656" s="14">
        <f t="shared" si="209"/>
        <v>6604816.910000002</v>
      </c>
    </row>
    <row r="657" spans="5:27" outlineLevel="1" x14ac:dyDescent="0.25">
      <c r="E657" s="4" t="s">
        <v>73</v>
      </c>
      <c r="F657" s="4">
        <v>3</v>
      </c>
      <c r="G657" s="21">
        <v>422</v>
      </c>
      <c r="H657" s="21">
        <v>425</v>
      </c>
      <c r="I657" s="21">
        <v>510.53999999999996</v>
      </c>
      <c r="J657" s="21">
        <v>1926864.68</v>
      </c>
      <c r="K657" s="21">
        <v>2059105.0700000003</v>
      </c>
      <c r="L657" s="21">
        <v>2343978.7700000005</v>
      </c>
      <c r="M657" s="21">
        <v>5777169.29</v>
      </c>
      <c r="N657" s="21">
        <v>6212089.4500000002</v>
      </c>
      <c r="O657" s="21">
        <v>7182274.3300000001</v>
      </c>
      <c r="S657" s="25">
        <f t="shared" si="219"/>
        <v>-9.203533525471197E-2</v>
      </c>
      <c r="T657" s="26">
        <f t="shared" si="220"/>
        <v>-5.9866983142977115E-2</v>
      </c>
      <c r="U657" s="27">
        <f t="shared" si="221"/>
        <v>-7.9218409543948765E-2</v>
      </c>
      <c r="W657" s="13">
        <f t="shared" si="206"/>
        <v>1</v>
      </c>
      <c r="Y657" s="14">
        <f t="shared" si="207"/>
        <v>425</v>
      </c>
      <c r="Z657" s="14">
        <f t="shared" si="208"/>
        <v>2059105.0700000003</v>
      </c>
      <c r="AA657" s="14">
        <f t="shared" si="209"/>
        <v>6212089.4500000002</v>
      </c>
    </row>
    <row r="658" spans="5:27" outlineLevel="1" x14ac:dyDescent="0.25">
      <c r="E658" s="4" t="s">
        <v>73</v>
      </c>
      <c r="F658" s="4">
        <v>4</v>
      </c>
      <c r="G658" s="21">
        <v>511</v>
      </c>
      <c r="H658" s="21">
        <v>523</v>
      </c>
      <c r="I658" s="21">
        <v>505.63999999999987</v>
      </c>
      <c r="J658" s="21">
        <v>2407349.25</v>
      </c>
      <c r="K658" s="21">
        <v>2602808.5499999993</v>
      </c>
      <c r="L658" s="21">
        <v>2392116.7100000004</v>
      </c>
      <c r="M658" s="21">
        <v>7304192.8600000003</v>
      </c>
      <c r="N658" s="21">
        <v>7828573.4600000018</v>
      </c>
      <c r="O658" s="21">
        <v>7341226.709999999</v>
      </c>
      <c r="S658" s="25">
        <f t="shared" si="219"/>
        <v>-9.203533525471197E-2</v>
      </c>
      <c r="T658" s="26">
        <f t="shared" si="220"/>
        <v>-5.9866983142977115E-2</v>
      </c>
      <c r="U658" s="27">
        <f t="shared" si="221"/>
        <v>-7.9218409543948765E-2</v>
      </c>
      <c r="W658" s="13">
        <f t="shared" si="206"/>
        <v>1</v>
      </c>
      <c r="Y658" s="14">
        <f t="shared" si="207"/>
        <v>523</v>
      </c>
      <c r="Z658" s="14">
        <f t="shared" si="208"/>
        <v>2602808.5499999993</v>
      </c>
      <c r="AA658" s="14">
        <f t="shared" si="209"/>
        <v>7828573.4600000018</v>
      </c>
    </row>
    <row r="659" spans="5:27" outlineLevel="1" x14ac:dyDescent="0.25">
      <c r="E659" s="4" t="s">
        <v>73</v>
      </c>
      <c r="F659" s="4">
        <v>5</v>
      </c>
      <c r="G659" s="21">
        <v>500</v>
      </c>
      <c r="H659" s="21">
        <v>517</v>
      </c>
      <c r="I659" s="21">
        <v>511.06999999999988</v>
      </c>
      <c r="J659" s="21">
        <v>2244346.4</v>
      </c>
      <c r="K659" s="21">
        <v>2445115.48</v>
      </c>
      <c r="L659" s="21">
        <v>2381437.2299999995</v>
      </c>
      <c r="M659" s="21">
        <v>6813232.0599999996</v>
      </c>
      <c r="N659" s="21">
        <v>7169651.6299999999</v>
      </c>
      <c r="O659" s="21">
        <v>7309812.0899999989</v>
      </c>
      <c r="S659" s="25">
        <f t="shared" si="219"/>
        <v>-9.203533525471197E-2</v>
      </c>
      <c r="T659" s="26">
        <f t="shared" si="220"/>
        <v>-5.9866983142977115E-2</v>
      </c>
      <c r="U659" s="27">
        <f t="shared" si="221"/>
        <v>-7.9218409543948765E-2</v>
      </c>
      <c r="W659" s="13">
        <f t="shared" si="206"/>
        <v>1</v>
      </c>
      <c r="Y659" s="14">
        <f t="shared" si="207"/>
        <v>517</v>
      </c>
      <c r="Z659" s="14">
        <f t="shared" si="208"/>
        <v>2445115.48</v>
      </c>
      <c r="AA659" s="14">
        <f t="shared" si="209"/>
        <v>7169651.6299999999</v>
      </c>
    </row>
    <row r="660" spans="5:27" outlineLevel="1" x14ac:dyDescent="0.25">
      <c r="E660" s="4" t="s">
        <v>73</v>
      </c>
      <c r="F660" s="4">
        <v>6</v>
      </c>
      <c r="G660" s="21">
        <v>447</v>
      </c>
      <c r="H660" s="21">
        <v>454</v>
      </c>
      <c r="I660" s="21">
        <v>544.58999999999992</v>
      </c>
      <c r="J660" s="21">
        <v>1973095.1399999997</v>
      </c>
      <c r="K660" s="21">
        <v>2112591.3899999997</v>
      </c>
      <c r="L660" s="21">
        <v>2555251.9900000002</v>
      </c>
      <c r="M660" s="21">
        <v>6025005.6600000001</v>
      </c>
      <c r="N660" s="21">
        <v>6292286.4699999988</v>
      </c>
      <c r="O660" s="21">
        <v>7842305.4400000004</v>
      </c>
      <c r="S660" s="25">
        <f t="shared" si="219"/>
        <v>-9.203533525471197E-2</v>
      </c>
      <c r="T660" s="26">
        <f t="shared" si="220"/>
        <v>-5.9866983142977115E-2</v>
      </c>
      <c r="U660" s="27">
        <f t="shared" si="221"/>
        <v>-7.9218409543948765E-2</v>
      </c>
      <c r="W660" s="13">
        <f t="shared" si="206"/>
        <v>1</v>
      </c>
      <c r="Y660" s="14">
        <f t="shared" si="207"/>
        <v>454</v>
      </c>
      <c r="Z660" s="14">
        <f t="shared" si="208"/>
        <v>2112591.3899999997</v>
      </c>
      <c r="AA660" s="14">
        <f t="shared" si="209"/>
        <v>6292286.4699999988</v>
      </c>
    </row>
    <row r="661" spans="5:27" outlineLevel="1" x14ac:dyDescent="0.25">
      <c r="E661" s="4" t="s">
        <v>73</v>
      </c>
      <c r="F661" s="4">
        <v>7</v>
      </c>
      <c r="G661" s="21">
        <v>466</v>
      </c>
      <c r="H661" s="21"/>
      <c r="I661" s="21">
        <v>492.55</v>
      </c>
      <c r="J661" s="21">
        <v>2096827.87</v>
      </c>
      <c r="K661" s="21"/>
      <c r="L661" s="21">
        <v>2331555.6</v>
      </c>
      <c r="M661" s="21">
        <v>6193344.299999998</v>
      </c>
      <c r="N661" s="21"/>
      <c r="O661" s="21">
        <v>7182389.4399999995</v>
      </c>
      <c r="S661" s="25">
        <f t="shared" si="219"/>
        <v>-9.203533525471197E-2</v>
      </c>
      <c r="T661" s="26">
        <f t="shared" si="220"/>
        <v>-5.9866983142977115E-2</v>
      </c>
      <c r="U661" s="27">
        <f t="shared" si="221"/>
        <v>-7.9218409543948765E-2</v>
      </c>
      <c r="W661" s="13">
        <f t="shared" si="206"/>
        <v>0</v>
      </c>
      <c r="Y661" s="14">
        <f t="shared" si="207"/>
        <v>447.21799562029162</v>
      </c>
      <c r="Z661" s="14">
        <f t="shared" si="208"/>
        <v>2191972.4001978864</v>
      </c>
      <c r="AA661" s="14">
        <f t="shared" si="209"/>
        <v>6613411.9718379471</v>
      </c>
    </row>
    <row r="662" spans="5:27" outlineLevel="1" x14ac:dyDescent="0.25">
      <c r="E662" s="4" t="s">
        <v>73</v>
      </c>
      <c r="F662" s="4">
        <v>8</v>
      </c>
      <c r="G662" s="21">
        <v>465</v>
      </c>
      <c r="H662" s="21"/>
      <c r="I662" s="21">
        <v>536.44000000000005</v>
      </c>
      <c r="J662" s="21">
        <v>2182055.5100000007</v>
      </c>
      <c r="K662" s="21"/>
      <c r="L662" s="21">
        <v>2466102.2300000004</v>
      </c>
      <c r="M662" s="21">
        <v>6595297.1100000013</v>
      </c>
      <c r="N662" s="21"/>
      <c r="O662" s="21">
        <v>7518010.1800000006</v>
      </c>
      <c r="S662" s="25">
        <f t="shared" si="219"/>
        <v>-9.203533525471197E-2</v>
      </c>
      <c r="T662" s="26">
        <f t="shared" si="220"/>
        <v>-5.9866983142977115E-2</v>
      </c>
      <c r="U662" s="27">
        <f t="shared" si="221"/>
        <v>-7.9218409543948765E-2</v>
      </c>
      <c r="W662" s="13">
        <f t="shared" si="206"/>
        <v>0</v>
      </c>
      <c r="Y662" s="14">
        <f t="shared" si="207"/>
        <v>487.06856475596237</v>
      </c>
      <c r="Z662" s="14">
        <f t="shared" si="208"/>
        <v>2318464.129367732</v>
      </c>
      <c r="AA662" s="14">
        <f t="shared" si="209"/>
        <v>6922445.3706051847</v>
      </c>
    </row>
    <row r="663" spans="5:27" outlineLevel="1" x14ac:dyDescent="0.25">
      <c r="E663" s="4" t="s">
        <v>73</v>
      </c>
      <c r="F663" s="4">
        <v>9</v>
      </c>
      <c r="G663" s="21">
        <v>538</v>
      </c>
      <c r="H663" s="21"/>
      <c r="I663" s="21">
        <v>525.98</v>
      </c>
      <c r="J663" s="21">
        <v>2469448.2299999995</v>
      </c>
      <c r="K663" s="21"/>
      <c r="L663" s="21">
        <v>2465728.6400000011</v>
      </c>
      <c r="M663" s="21">
        <v>7363233.7100000009</v>
      </c>
      <c r="N663" s="21"/>
      <c r="O663" s="21">
        <v>7643547.7599999998</v>
      </c>
      <c r="S663" s="25">
        <f t="shared" si="219"/>
        <v>-9.203533525471197E-2</v>
      </c>
      <c r="T663" s="26">
        <f t="shared" si="220"/>
        <v>-5.9866983142977115E-2</v>
      </c>
      <c r="U663" s="27">
        <f t="shared" si="221"/>
        <v>-7.9218409543948765E-2</v>
      </c>
      <c r="W663" s="13">
        <f t="shared" si="206"/>
        <v>0</v>
      </c>
      <c r="Y663" s="14">
        <f t="shared" si="207"/>
        <v>477.57125436272662</v>
      </c>
      <c r="Z663" s="14">
        <f t="shared" si="208"/>
        <v>2318112.905073965</v>
      </c>
      <c r="AA663" s="14">
        <f t="shared" si="209"/>
        <v>7038038.0631795879</v>
      </c>
    </row>
    <row r="664" spans="5:27" outlineLevel="1" x14ac:dyDescent="0.25">
      <c r="E664" s="4" t="s">
        <v>73</v>
      </c>
      <c r="F664" s="4">
        <v>10</v>
      </c>
      <c r="G664" s="21">
        <v>518</v>
      </c>
      <c r="H664" s="21"/>
      <c r="I664" s="21">
        <v>569.61</v>
      </c>
      <c r="J664" s="21">
        <v>2211494.96</v>
      </c>
      <c r="K664" s="21"/>
      <c r="L664" s="21">
        <v>2658936.8200000008</v>
      </c>
      <c r="M664" s="21">
        <v>6651093.0200000023</v>
      </c>
      <c r="N664" s="21"/>
      <c r="O664" s="21">
        <v>8170634.2300000014</v>
      </c>
      <c r="S664" s="25">
        <f t="shared" si="219"/>
        <v>-9.203533525471197E-2</v>
      </c>
      <c r="T664" s="26">
        <f t="shared" si="220"/>
        <v>-5.9866983142977115E-2</v>
      </c>
      <c r="U664" s="27">
        <f t="shared" si="221"/>
        <v>-7.9218409543948765E-2</v>
      </c>
      <c r="W664" s="13">
        <f t="shared" si="206"/>
        <v>0</v>
      </c>
      <c r="Y664" s="14">
        <f t="shared" si="207"/>
        <v>517.18575268556356</v>
      </c>
      <c r="Z664" s="14">
        <f t="shared" si="208"/>
        <v>2499754.2942188196</v>
      </c>
      <c r="AA664" s="14">
        <f t="shared" si="209"/>
        <v>7523369.5813340545</v>
      </c>
    </row>
    <row r="665" spans="5:27" outlineLevel="1" x14ac:dyDescent="0.25">
      <c r="E665" s="4" t="s">
        <v>73</v>
      </c>
      <c r="F665" s="4">
        <v>11</v>
      </c>
      <c r="G665" s="21">
        <v>663</v>
      </c>
      <c r="H665" s="21"/>
      <c r="I665" s="21">
        <v>604.48000000000013</v>
      </c>
      <c r="J665" s="21">
        <v>3115572.14</v>
      </c>
      <c r="K665" s="21"/>
      <c r="L665" s="21">
        <v>2780028.4800000004</v>
      </c>
      <c r="M665" s="21">
        <v>9330727.0999999978</v>
      </c>
      <c r="N665" s="21"/>
      <c r="O665" s="21">
        <v>8549120.8000000007</v>
      </c>
      <c r="S665" s="25">
        <f t="shared" si="219"/>
        <v>-9.203533525471197E-2</v>
      </c>
      <c r="T665" s="26">
        <f t="shared" si="220"/>
        <v>-5.9866983142977115E-2</v>
      </c>
      <c r="U665" s="27">
        <f t="shared" si="221"/>
        <v>-7.9218409543948765E-2</v>
      </c>
      <c r="W665" s="13">
        <f t="shared" si="206"/>
        <v>0</v>
      </c>
      <c r="Y665" s="14">
        <f t="shared" si="207"/>
        <v>548.84648054523188</v>
      </c>
      <c r="Z665" s="14">
        <f t="shared" si="208"/>
        <v>2613596.561850844</v>
      </c>
      <c r="AA665" s="14">
        <f t="shared" si="209"/>
        <v>7871873.04722491</v>
      </c>
    </row>
    <row r="666" spans="5:27" outlineLevel="1" x14ac:dyDescent="0.25">
      <c r="E666" s="4" t="s">
        <v>73</v>
      </c>
      <c r="F666" s="4">
        <v>12</v>
      </c>
      <c r="G666" s="21">
        <v>750</v>
      </c>
      <c r="H666" s="21"/>
      <c r="I666" s="21">
        <v>629.41999999999985</v>
      </c>
      <c r="J666" s="21">
        <v>3458294.0099999984</v>
      </c>
      <c r="K666" s="21"/>
      <c r="L666" s="21">
        <v>2921881.0599999996</v>
      </c>
      <c r="M666" s="21">
        <v>10643753.689999998</v>
      </c>
      <c r="N666" s="21"/>
      <c r="O666" s="21">
        <v>9001832.8899999969</v>
      </c>
      <c r="S666" s="28">
        <f t="shared" si="219"/>
        <v>-9.203533525471197E-2</v>
      </c>
      <c r="T666" s="29">
        <f t="shared" si="220"/>
        <v>-5.9866983142977115E-2</v>
      </c>
      <c r="U666" s="30">
        <f t="shared" si="221"/>
        <v>-7.9218409543948765E-2</v>
      </c>
      <c r="W666" s="13">
        <f t="shared" si="206"/>
        <v>0</v>
      </c>
      <c r="Y666" s="14">
        <f t="shared" si="207"/>
        <v>571.49111928397906</v>
      </c>
      <c r="Z666" s="14">
        <f t="shared" si="208"/>
        <v>2746956.8558351956</v>
      </c>
      <c r="AA666" s="14">
        <f t="shared" si="209"/>
        <v>8288722.0054737888</v>
      </c>
    </row>
    <row r="667" spans="5:27" outlineLevel="1" x14ac:dyDescent="0.25">
      <c r="E667" s="4" t="s">
        <v>74</v>
      </c>
      <c r="F667" s="4">
        <v>1</v>
      </c>
      <c r="G667" s="21">
        <v>37</v>
      </c>
      <c r="H667" s="21">
        <v>39</v>
      </c>
      <c r="I667" s="21">
        <v>64.56</v>
      </c>
      <c r="J667" s="21">
        <v>168817.39</v>
      </c>
      <c r="K667" s="21">
        <v>185573.47999999998</v>
      </c>
      <c r="L667" s="21">
        <v>296127.59999999998</v>
      </c>
      <c r="M667" s="21">
        <v>495813.14</v>
      </c>
      <c r="N667" s="21">
        <v>562153.6</v>
      </c>
      <c r="O667" s="21">
        <v>997297.66</v>
      </c>
      <c r="S667" s="22">
        <f t="shared" ref="S667:S678" si="222">IFERROR(SUMPRODUCT(H$667:H$678,$W$667:$W$678)/SUMPRODUCT(I$667:I$678,$W$667:$W$678)-1,"")</f>
        <v>-0.1302804401845935</v>
      </c>
      <c r="T667" s="26">
        <f t="shared" ref="T667:T678" si="223">IFERROR(SUMPRODUCT(K$667:K$678,$W$667:$W$678)/SUMPRODUCT(L$667:L$678,$W$667:$W$678)-1,"")</f>
        <v>-9.2400203609644738E-2</v>
      </c>
      <c r="U667" s="24">
        <f t="shared" ref="U667:U678" si="224">IFERROR(SUMPRODUCT(N$667:N$678,$W$667:$W$678)/SUMPRODUCT(O$667:O$678,$W$667:$W$678)-1,"")</f>
        <v>-0.16964978144287957</v>
      </c>
      <c r="W667" s="13">
        <f t="shared" si="206"/>
        <v>1</v>
      </c>
      <c r="Y667" s="14">
        <f t="shared" si="207"/>
        <v>39</v>
      </c>
      <c r="Z667" s="14">
        <f t="shared" si="208"/>
        <v>185573.47999999998</v>
      </c>
      <c r="AA667" s="14">
        <f t="shared" si="209"/>
        <v>562153.6</v>
      </c>
    </row>
    <row r="668" spans="5:27" outlineLevel="1" x14ac:dyDescent="0.25">
      <c r="E668" s="4" t="s">
        <v>74</v>
      </c>
      <c r="F668" s="4">
        <v>2</v>
      </c>
      <c r="G668" s="21">
        <v>36</v>
      </c>
      <c r="H668" s="21">
        <v>38</v>
      </c>
      <c r="I668" s="21">
        <v>65.650000000000006</v>
      </c>
      <c r="J668" s="21">
        <v>146802.45000000001</v>
      </c>
      <c r="K668" s="21">
        <v>168130.86</v>
      </c>
      <c r="L668" s="21">
        <v>299580.08</v>
      </c>
      <c r="M668" s="21">
        <v>486750.49</v>
      </c>
      <c r="N668" s="21">
        <v>555583.67000000004</v>
      </c>
      <c r="O668" s="21">
        <v>1009337.6000000003</v>
      </c>
      <c r="S668" s="25">
        <f t="shared" si="222"/>
        <v>-0.1302804401845935</v>
      </c>
      <c r="T668" s="26">
        <f t="shared" si="223"/>
        <v>-9.2400203609644738E-2</v>
      </c>
      <c r="U668" s="27">
        <f t="shared" si="224"/>
        <v>-0.16964978144287957</v>
      </c>
      <c r="W668" s="13">
        <f t="shared" si="206"/>
        <v>1</v>
      </c>
      <c r="Y668" s="14">
        <f t="shared" si="207"/>
        <v>38</v>
      </c>
      <c r="Z668" s="14">
        <f t="shared" si="208"/>
        <v>168130.86</v>
      </c>
      <c r="AA668" s="14">
        <f t="shared" si="209"/>
        <v>555583.67000000004</v>
      </c>
    </row>
    <row r="669" spans="5:27" outlineLevel="1" x14ac:dyDescent="0.25">
      <c r="E669" s="4" t="s">
        <v>74</v>
      </c>
      <c r="F669" s="4">
        <v>3</v>
      </c>
      <c r="G669" s="21">
        <v>65</v>
      </c>
      <c r="H669" s="21">
        <v>66</v>
      </c>
      <c r="I669" s="21">
        <v>65.170000000000016</v>
      </c>
      <c r="J669" s="21">
        <v>308710.47000000003</v>
      </c>
      <c r="K669" s="21">
        <v>325503.02</v>
      </c>
      <c r="L669" s="21">
        <v>298886.21999999997</v>
      </c>
      <c r="M669" s="21">
        <v>978015.03000000014</v>
      </c>
      <c r="N669" s="21">
        <v>1063558.8299999998</v>
      </c>
      <c r="O669" s="21">
        <v>1006378.2</v>
      </c>
      <c r="S669" s="25">
        <f t="shared" si="222"/>
        <v>-0.1302804401845935</v>
      </c>
      <c r="T669" s="26">
        <f t="shared" si="223"/>
        <v>-9.2400203609644738E-2</v>
      </c>
      <c r="U669" s="27">
        <f t="shared" si="224"/>
        <v>-0.16964978144287957</v>
      </c>
      <c r="W669" s="13">
        <f t="shared" si="206"/>
        <v>1</v>
      </c>
      <c r="Y669" s="14">
        <f t="shared" si="207"/>
        <v>66</v>
      </c>
      <c r="Z669" s="14">
        <f t="shared" si="208"/>
        <v>325503.02</v>
      </c>
      <c r="AA669" s="14">
        <f t="shared" si="209"/>
        <v>1063558.8299999998</v>
      </c>
    </row>
    <row r="670" spans="5:27" outlineLevel="1" x14ac:dyDescent="0.25">
      <c r="E670" s="4" t="s">
        <v>74</v>
      </c>
      <c r="F670" s="4">
        <v>4</v>
      </c>
      <c r="G670" s="21">
        <v>74</v>
      </c>
      <c r="H670" s="21">
        <v>75</v>
      </c>
      <c r="I670" s="21">
        <v>66.28</v>
      </c>
      <c r="J670" s="21">
        <v>318036.18999999994</v>
      </c>
      <c r="K670" s="21">
        <v>334272.60999999993</v>
      </c>
      <c r="L670" s="21">
        <v>302439.83</v>
      </c>
      <c r="M670" s="21">
        <v>979303.31</v>
      </c>
      <c r="N670" s="21">
        <v>1029209.56</v>
      </c>
      <c r="O670" s="21">
        <v>1018418.1600000001</v>
      </c>
      <c r="S670" s="25">
        <f t="shared" si="222"/>
        <v>-0.1302804401845935</v>
      </c>
      <c r="T670" s="26">
        <f t="shared" si="223"/>
        <v>-9.2400203609644738E-2</v>
      </c>
      <c r="U670" s="27">
        <f t="shared" si="224"/>
        <v>-0.16964978144287957</v>
      </c>
      <c r="W670" s="13">
        <f t="shared" si="206"/>
        <v>1</v>
      </c>
      <c r="Y670" s="14">
        <f t="shared" si="207"/>
        <v>75</v>
      </c>
      <c r="Z670" s="14">
        <f t="shared" si="208"/>
        <v>334272.60999999993</v>
      </c>
      <c r="AA670" s="14">
        <f t="shared" si="209"/>
        <v>1029209.56</v>
      </c>
    </row>
    <row r="671" spans="5:27" outlineLevel="1" x14ac:dyDescent="0.25">
      <c r="E671" s="4" t="s">
        <v>74</v>
      </c>
      <c r="F671" s="4">
        <v>5</v>
      </c>
      <c r="G671" s="21">
        <v>78</v>
      </c>
      <c r="H671" s="21">
        <v>85</v>
      </c>
      <c r="I671" s="21">
        <v>65.8</v>
      </c>
      <c r="J671" s="21">
        <v>393689.47999999992</v>
      </c>
      <c r="K671" s="21">
        <v>447363.01000000007</v>
      </c>
      <c r="L671" s="21">
        <v>301762.56</v>
      </c>
      <c r="M671" s="21">
        <v>1152797.28</v>
      </c>
      <c r="N671" s="21">
        <v>1279438.5799999998</v>
      </c>
      <c r="O671" s="21">
        <v>1015458.7700000003</v>
      </c>
      <c r="S671" s="25">
        <f t="shared" si="222"/>
        <v>-0.1302804401845935</v>
      </c>
      <c r="T671" s="26">
        <f t="shared" si="223"/>
        <v>-9.2400203609644738E-2</v>
      </c>
      <c r="U671" s="27">
        <f t="shared" si="224"/>
        <v>-0.16964978144287957</v>
      </c>
      <c r="W671" s="13">
        <f t="shared" si="206"/>
        <v>1</v>
      </c>
      <c r="Y671" s="14">
        <f t="shared" si="207"/>
        <v>85</v>
      </c>
      <c r="Z671" s="14">
        <f t="shared" si="208"/>
        <v>447363.01000000007</v>
      </c>
      <c r="AA671" s="14">
        <f t="shared" si="209"/>
        <v>1279438.5799999998</v>
      </c>
    </row>
    <row r="672" spans="5:27" outlineLevel="1" x14ac:dyDescent="0.25">
      <c r="E672" s="4" t="s">
        <v>74</v>
      </c>
      <c r="F672" s="4">
        <v>6</v>
      </c>
      <c r="G672" s="21">
        <v>38</v>
      </c>
      <c r="H672" s="21">
        <v>40</v>
      </c>
      <c r="I672" s="21">
        <v>66.919999999999987</v>
      </c>
      <c r="J672" s="21">
        <v>158570.63</v>
      </c>
      <c r="K672" s="21">
        <v>176574.93</v>
      </c>
      <c r="L672" s="21">
        <v>305322.57</v>
      </c>
      <c r="M672" s="21">
        <v>503726.87999999989</v>
      </c>
      <c r="N672" s="21">
        <v>553926.11</v>
      </c>
      <c r="O672" s="21">
        <v>1027498.7499999999</v>
      </c>
      <c r="S672" s="25">
        <f t="shared" si="222"/>
        <v>-0.1302804401845935</v>
      </c>
      <c r="T672" s="26">
        <f t="shared" si="223"/>
        <v>-9.2400203609644738E-2</v>
      </c>
      <c r="U672" s="27">
        <f t="shared" si="224"/>
        <v>-0.16964978144287957</v>
      </c>
      <c r="W672" s="13">
        <f t="shared" si="206"/>
        <v>1</v>
      </c>
      <c r="Y672" s="14">
        <f t="shared" si="207"/>
        <v>40</v>
      </c>
      <c r="Z672" s="14">
        <f t="shared" si="208"/>
        <v>176574.93</v>
      </c>
      <c r="AA672" s="14">
        <f t="shared" si="209"/>
        <v>553926.11</v>
      </c>
    </row>
    <row r="673" spans="4:27" outlineLevel="1" x14ac:dyDescent="0.25">
      <c r="E673" s="4" t="s">
        <v>74</v>
      </c>
      <c r="F673" s="4">
        <v>7</v>
      </c>
      <c r="G673" s="21">
        <v>44</v>
      </c>
      <c r="H673" s="21"/>
      <c r="I673" s="21">
        <v>66.42</v>
      </c>
      <c r="J673" s="21">
        <v>199569.3</v>
      </c>
      <c r="K673" s="21"/>
      <c r="L673" s="21">
        <v>304603.96000000002</v>
      </c>
      <c r="M673" s="21">
        <v>589595.39000000013</v>
      </c>
      <c r="N673" s="21"/>
      <c r="O673" s="21">
        <v>1024539.32</v>
      </c>
      <c r="S673" s="25">
        <f t="shared" si="222"/>
        <v>-0.1302804401845935</v>
      </c>
      <c r="T673" s="26">
        <f t="shared" si="223"/>
        <v>-9.2400203609644738E-2</v>
      </c>
      <c r="U673" s="27">
        <f t="shared" si="224"/>
        <v>-0.16964978144287957</v>
      </c>
      <c r="W673" s="13">
        <f t="shared" si="206"/>
        <v>0</v>
      </c>
      <c r="Y673" s="14">
        <f t="shared" si="207"/>
        <v>57.766773162939302</v>
      </c>
      <c r="Z673" s="14">
        <f t="shared" si="208"/>
        <v>276458.49207569595</v>
      </c>
      <c r="AA673" s="14">
        <f t="shared" si="209"/>
        <v>850726.44828236348</v>
      </c>
    </row>
    <row r="674" spans="4:27" outlineLevel="1" x14ac:dyDescent="0.25">
      <c r="E674" s="4" t="s">
        <v>74</v>
      </c>
      <c r="F674" s="4">
        <v>8</v>
      </c>
      <c r="G674" s="21">
        <v>42</v>
      </c>
      <c r="H674" s="21"/>
      <c r="I674" s="21">
        <v>67.540000000000006</v>
      </c>
      <c r="J674" s="21">
        <v>177140.75999999998</v>
      </c>
      <c r="K674" s="21"/>
      <c r="L674" s="21">
        <v>308183.72000000003</v>
      </c>
      <c r="M674" s="21">
        <v>588025.55999999994</v>
      </c>
      <c r="N674" s="21"/>
      <c r="O674" s="21">
        <v>1036579.2899999998</v>
      </c>
      <c r="S674" s="25">
        <f t="shared" si="222"/>
        <v>-0.1302804401845935</v>
      </c>
      <c r="T674" s="26">
        <f t="shared" si="223"/>
        <v>-9.2400203609644738E-2</v>
      </c>
      <c r="U674" s="27">
        <f t="shared" si="224"/>
        <v>-0.16964978144287957</v>
      </c>
      <c r="W674" s="13">
        <f t="shared" si="206"/>
        <v>0</v>
      </c>
      <c r="Y674" s="14">
        <f t="shared" si="207"/>
        <v>58.740859069932561</v>
      </c>
      <c r="Z674" s="14">
        <f t="shared" si="208"/>
        <v>279707.48152282229</v>
      </c>
      <c r="AA674" s="14">
        <f t="shared" si="209"/>
        <v>860723.84000328451</v>
      </c>
    </row>
    <row r="675" spans="4:27" outlineLevel="1" x14ac:dyDescent="0.25">
      <c r="E675" s="4" t="s">
        <v>74</v>
      </c>
      <c r="F675" s="4">
        <v>9</v>
      </c>
      <c r="G675" s="21">
        <v>69</v>
      </c>
      <c r="H675" s="21"/>
      <c r="I675" s="21">
        <v>67.03</v>
      </c>
      <c r="J675" s="21">
        <v>293204.28999999992</v>
      </c>
      <c r="K675" s="21"/>
      <c r="L675" s="21">
        <v>307356.56</v>
      </c>
      <c r="M675" s="21">
        <v>834669.74000000011</v>
      </c>
      <c r="N675" s="21"/>
      <c r="O675" s="21">
        <v>1033619.8700000001</v>
      </c>
      <c r="S675" s="25">
        <f t="shared" si="222"/>
        <v>-0.1302804401845935</v>
      </c>
      <c r="T675" s="26">
        <f t="shared" si="223"/>
        <v>-9.2400203609644738E-2</v>
      </c>
      <c r="U675" s="27">
        <f t="shared" si="224"/>
        <v>-0.16964978144287957</v>
      </c>
      <c r="W675" s="13">
        <f t="shared" si="206"/>
        <v>0</v>
      </c>
      <c r="Y675" s="14">
        <f t="shared" si="207"/>
        <v>58.297302094426698</v>
      </c>
      <c r="Z675" s="14">
        <f t="shared" si="208"/>
        <v>278956.75127524004</v>
      </c>
      <c r="AA675" s="14">
        <f t="shared" si="209"/>
        <v>858266.48495948245</v>
      </c>
    </row>
    <row r="676" spans="4:27" outlineLevel="1" x14ac:dyDescent="0.25">
      <c r="E676" s="4" t="s">
        <v>74</v>
      </c>
      <c r="F676" s="4">
        <v>10</v>
      </c>
      <c r="G676" s="21">
        <v>50</v>
      </c>
      <c r="H676" s="21"/>
      <c r="I676" s="21">
        <v>68.169999999999987</v>
      </c>
      <c r="J676" s="21">
        <v>213681.11</v>
      </c>
      <c r="K676" s="21"/>
      <c r="L676" s="21">
        <v>311043.93999999994</v>
      </c>
      <c r="M676" s="21">
        <v>625828.12</v>
      </c>
      <c r="N676" s="21"/>
      <c r="O676" s="21">
        <v>1045659.85</v>
      </c>
      <c r="S676" s="25">
        <f t="shared" si="222"/>
        <v>-0.1302804401845935</v>
      </c>
      <c r="T676" s="26">
        <f t="shared" si="223"/>
        <v>-9.2400203609644738E-2</v>
      </c>
      <c r="U676" s="27">
        <f t="shared" si="224"/>
        <v>-0.16964978144287957</v>
      </c>
      <c r="W676" s="13">
        <f t="shared" si="206"/>
        <v>0</v>
      </c>
      <c r="Y676" s="14">
        <f t="shared" si="207"/>
        <v>59.288782392616248</v>
      </c>
      <c r="Z676" s="14">
        <f t="shared" si="208"/>
        <v>282303.41661245382</v>
      </c>
      <c r="AA676" s="14">
        <f t="shared" si="209"/>
        <v>868263.88498390571</v>
      </c>
    </row>
    <row r="677" spans="4:27" outlineLevel="1" x14ac:dyDescent="0.25">
      <c r="E677" s="4" t="s">
        <v>74</v>
      </c>
      <c r="F677" s="4">
        <v>11</v>
      </c>
      <c r="G677" s="21">
        <v>57</v>
      </c>
      <c r="H677" s="21"/>
      <c r="I677" s="21">
        <v>67.679999999999993</v>
      </c>
      <c r="J677" s="21">
        <v>270192.90000000002</v>
      </c>
      <c r="K677" s="21"/>
      <c r="L677" s="21">
        <v>310312.15000000002</v>
      </c>
      <c r="M677" s="21">
        <v>895609.96999999986</v>
      </c>
      <c r="N677" s="21"/>
      <c r="O677" s="21">
        <v>1042700.4400000002</v>
      </c>
      <c r="S677" s="25">
        <f t="shared" si="222"/>
        <v>-0.1302804401845935</v>
      </c>
      <c r="T677" s="26">
        <f t="shared" si="223"/>
        <v>-9.2400203609644738E-2</v>
      </c>
      <c r="U677" s="27">
        <f t="shared" si="224"/>
        <v>-0.16964978144287957</v>
      </c>
      <c r="W677" s="13">
        <f t="shared" si="206"/>
        <v>0</v>
      </c>
      <c r="Y677" s="14">
        <f t="shared" si="207"/>
        <v>58.862619808306704</v>
      </c>
      <c r="Z677" s="14">
        <f t="shared" si="208"/>
        <v>281639.24415745342</v>
      </c>
      <c r="AA677" s="14">
        <f t="shared" si="209"/>
        <v>865806.53824360576</v>
      </c>
    </row>
    <row r="678" spans="4:27" outlineLevel="1" x14ac:dyDescent="0.25">
      <c r="E678" s="4" t="s">
        <v>74</v>
      </c>
      <c r="F678" s="4">
        <v>12</v>
      </c>
      <c r="G678" s="21">
        <v>97</v>
      </c>
      <c r="H678" s="21"/>
      <c r="I678" s="21">
        <v>68.81</v>
      </c>
      <c r="J678" s="21">
        <v>419262.29000000004</v>
      </c>
      <c r="K678" s="21"/>
      <c r="L678" s="21">
        <v>313972.68</v>
      </c>
      <c r="M678" s="21">
        <v>1317513.1300000001</v>
      </c>
      <c r="N678" s="21"/>
      <c r="O678" s="21">
        <v>1054740.4299999997</v>
      </c>
      <c r="S678" s="28">
        <f t="shared" si="222"/>
        <v>-0.1302804401845935</v>
      </c>
      <c r="T678" s="29">
        <f t="shared" si="223"/>
        <v>-9.2400203609644738E-2</v>
      </c>
      <c r="U678" s="30">
        <f t="shared" si="224"/>
        <v>-0.16964978144287957</v>
      </c>
      <c r="W678" s="13">
        <f t="shared" si="206"/>
        <v>0</v>
      </c>
      <c r="Y678" s="14">
        <f t="shared" si="207"/>
        <v>59.845402910898123</v>
      </c>
      <c r="Z678" s="14">
        <f t="shared" si="208"/>
        <v>284961.54044013418</v>
      </c>
      <c r="AA678" s="14">
        <f t="shared" si="209"/>
        <v>875803.94657153089</v>
      </c>
    </row>
    <row r="679" spans="4:27" x14ac:dyDescent="0.25">
      <c r="E679" s="4" t="s">
        <v>1</v>
      </c>
      <c r="G679" s="21">
        <v>70972</v>
      </c>
      <c r="H679" s="21">
        <v>32888</v>
      </c>
      <c r="I679" s="21">
        <v>74712.839999999982</v>
      </c>
      <c r="J679" s="21">
        <v>322300531.08999974</v>
      </c>
      <c r="K679" s="21">
        <v>156640261.47000006</v>
      </c>
      <c r="L679" s="21">
        <v>345851990.06999993</v>
      </c>
      <c r="M679" s="21">
        <v>952787356.04000032</v>
      </c>
      <c r="N679" s="21">
        <v>462709055.24000037</v>
      </c>
      <c r="O679" s="21">
        <v>1044312160.7700003</v>
      </c>
      <c r="S679" s="77"/>
      <c r="T679" s="77"/>
      <c r="U679" s="77"/>
      <c r="V679" s="74"/>
      <c r="W679" s="76"/>
      <c r="X679" s="74"/>
      <c r="Y679" s="73">
        <f>IFERROR(SUM(Y295:Y678),"")</f>
        <v>68028.222546530189</v>
      </c>
      <c r="Z679" s="73">
        <f>IFERROR(SUM(Z295:Z678),"")</f>
        <v>324953192.10993528</v>
      </c>
      <c r="AA679" s="73">
        <f>IFERROR(SUM(AA295:AA678),"")</f>
        <v>960897530.79111087</v>
      </c>
    </row>
    <row r="680" spans="4:27" x14ac:dyDescent="0.25">
      <c r="D680" s="68" t="str">
        <f>E680</f>
        <v>Argentina</v>
      </c>
      <c r="E680" s="12" t="s">
        <v>43</v>
      </c>
      <c r="G680" s="14">
        <f t="shared" ref="G680:O689" si="225">SUMIF($E$295:$E$678,$E680,G$295:G$678)</f>
        <v>468</v>
      </c>
      <c r="H680" s="14">
        <f t="shared" si="225"/>
        <v>254</v>
      </c>
      <c r="I680" s="14">
        <f t="shared" si="225"/>
        <v>490.03999999999996</v>
      </c>
      <c r="J680" s="14">
        <f t="shared" si="225"/>
        <v>2081353.0300000003</v>
      </c>
      <c r="K680" s="14">
        <f t="shared" si="225"/>
        <v>1213592.82</v>
      </c>
      <c r="L680" s="14">
        <f t="shared" si="225"/>
        <v>2225750.7600000002</v>
      </c>
      <c r="M680" s="14">
        <f t="shared" si="225"/>
        <v>6855862.8200000012</v>
      </c>
      <c r="N680" s="14">
        <f t="shared" si="225"/>
        <v>4099164.5</v>
      </c>
      <c r="O680" s="14">
        <f t="shared" si="225"/>
        <v>7486142.6700000018</v>
      </c>
      <c r="S680" s="31"/>
      <c r="T680" s="31"/>
      <c r="U680" s="31"/>
      <c r="Y680" s="14">
        <f t="shared" ref="Y680:AA711" si="226">IFERROR(SUMIF($E$295:$E$678,$E680,Y$295:Y$678),"")</f>
        <v>538.48219770711648</v>
      </c>
      <c r="Z680" s="14">
        <f t="shared" si="226"/>
        <v>2576237.0644471329</v>
      </c>
      <c r="AA680" s="14">
        <f t="shared" si="226"/>
        <v>8755372.877946509</v>
      </c>
    </row>
    <row r="681" spans="4:27" x14ac:dyDescent="0.25">
      <c r="D681" s="68" t="str">
        <f>E681</f>
        <v>Australia</v>
      </c>
      <c r="E681" s="12" t="s">
        <v>44</v>
      </c>
      <c r="G681" s="14">
        <f t="shared" si="225"/>
        <v>2055</v>
      </c>
      <c r="H681" s="14">
        <f t="shared" si="225"/>
        <v>1036</v>
      </c>
      <c r="I681" s="14">
        <f t="shared" si="225"/>
        <v>2160.0199999999995</v>
      </c>
      <c r="J681" s="14">
        <f t="shared" si="225"/>
        <v>9361235.9799999986</v>
      </c>
      <c r="K681" s="14">
        <f t="shared" si="225"/>
        <v>4944151.7699999986</v>
      </c>
      <c r="L681" s="14">
        <f t="shared" si="225"/>
        <v>10076324.34</v>
      </c>
      <c r="M681" s="14">
        <f t="shared" si="225"/>
        <v>28062403.479999997</v>
      </c>
      <c r="N681" s="14">
        <f t="shared" si="225"/>
        <v>14428921.220000003</v>
      </c>
      <c r="O681" s="14">
        <f t="shared" si="225"/>
        <v>30718394.490000002</v>
      </c>
      <c r="S681" s="31"/>
      <c r="T681" s="31"/>
      <c r="U681" s="31"/>
      <c r="Y681" s="14">
        <f t="shared" si="226"/>
        <v>2170.0533547967925</v>
      </c>
      <c r="Z681" s="14">
        <f t="shared" si="226"/>
        <v>10407726.209290061</v>
      </c>
      <c r="AA681" s="14">
        <f t="shared" si="226"/>
        <v>30441847.226867065</v>
      </c>
    </row>
    <row r="682" spans="4:27" x14ac:dyDescent="0.25">
      <c r="D682" s="68" t="str">
        <f t="shared" ref="D682:D711" si="227">E682</f>
        <v>Austria</v>
      </c>
      <c r="E682" s="12" t="s">
        <v>45</v>
      </c>
      <c r="G682" s="14">
        <f t="shared" si="225"/>
        <v>264</v>
      </c>
      <c r="H682" s="14">
        <f t="shared" si="225"/>
        <v>73</v>
      </c>
      <c r="I682" s="14">
        <f t="shared" si="225"/>
        <v>280.01</v>
      </c>
      <c r="J682" s="14">
        <f t="shared" si="225"/>
        <v>1339063.5399999998</v>
      </c>
      <c r="K682" s="14">
        <f t="shared" si="225"/>
        <v>380128.01999999996</v>
      </c>
      <c r="L682" s="14">
        <f t="shared" si="225"/>
        <v>1369194.78</v>
      </c>
      <c r="M682" s="14">
        <f t="shared" si="225"/>
        <v>3865846.4199999995</v>
      </c>
      <c r="N682" s="14">
        <f t="shared" si="225"/>
        <v>1076147.8500000001</v>
      </c>
      <c r="O682" s="14">
        <f t="shared" si="225"/>
        <v>3991680.5200000005</v>
      </c>
      <c r="S682" s="31"/>
      <c r="T682" s="31"/>
      <c r="U682" s="31"/>
      <c r="Y682" s="14">
        <f t="shared" si="226"/>
        <v>161.66347674786462</v>
      </c>
      <c r="Z682" s="14">
        <f t="shared" si="226"/>
        <v>860301.54962049285</v>
      </c>
      <c r="AA682" s="14">
        <f t="shared" si="226"/>
        <v>2467948.5740585281</v>
      </c>
    </row>
    <row r="683" spans="4:27" x14ac:dyDescent="0.25">
      <c r="D683" s="68" t="str">
        <f t="shared" si="227"/>
        <v>Belgium</v>
      </c>
      <c r="E683" s="12" t="s">
        <v>46</v>
      </c>
      <c r="G683" s="14">
        <f t="shared" si="225"/>
        <v>508</v>
      </c>
      <c r="H683" s="14">
        <f t="shared" si="225"/>
        <v>243</v>
      </c>
      <c r="I683" s="14">
        <f t="shared" si="225"/>
        <v>530.02</v>
      </c>
      <c r="J683" s="14">
        <f t="shared" si="225"/>
        <v>2274334.5700000003</v>
      </c>
      <c r="K683" s="14">
        <f t="shared" si="225"/>
        <v>1082143.8999999999</v>
      </c>
      <c r="L683" s="14">
        <f t="shared" si="225"/>
        <v>2469218.08</v>
      </c>
      <c r="M683" s="14">
        <f t="shared" si="225"/>
        <v>6436011.3400000008</v>
      </c>
      <c r="N683" s="14">
        <f t="shared" si="225"/>
        <v>3019844.54</v>
      </c>
      <c r="O683" s="14">
        <f t="shared" si="225"/>
        <v>7101675.1199999992</v>
      </c>
      <c r="S683" s="31"/>
      <c r="T683" s="31"/>
      <c r="U683" s="31"/>
      <c r="Y683" s="14">
        <f t="shared" si="226"/>
        <v>494.81293941373076</v>
      </c>
      <c r="Z683" s="14">
        <f t="shared" si="226"/>
        <v>2215738.0966282738</v>
      </c>
      <c r="AA683" s="14">
        <f t="shared" si="226"/>
        <v>6195889.5227830233</v>
      </c>
    </row>
    <row r="684" spans="4:27" x14ac:dyDescent="0.25">
      <c r="D684" s="68" t="str">
        <f t="shared" si="227"/>
        <v>Brazil</v>
      </c>
      <c r="E684" s="12" t="s">
        <v>47</v>
      </c>
      <c r="G684" s="14">
        <f t="shared" si="225"/>
        <v>2709</v>
      </c>
      <c r="H684" s="14">
        <f t="shared" si="225"/>
        <v>1136</v>
      </c>
      <c r="I684" s="14">
        <f t="shared" si="225"/>
        <v>2999.96</v>
      </c>
      <c r="J684" s="14">
        <f t="shared" si="225"/>
        <v>12554570.970000001</v>
      </c>
      <c r="K684" s="14">
        <f t="shared" si="225"/>
        <v>5566194.9399999995</v>
      </c>
      <c r="L684" s="14">
        <f t="shared" si="225"/>
        <v>14084345.259999998</v>
      </c>
      <c r="M684" s="14">
        <f t="shared" si="225"/>
        <v>33244194.140000001</v>
      </c>
      <c r="N684" s="14">
        <f t="shared" si="225"/>
        <v>14655709.300000001</v>
      </c>
      <c r="O684" s="14">
        <f t="shared" si="225"/>
        <v>39604826.219999991</v>
      </c>
      <c r="S684" s="31"/>
      <c r="T684" s="31"/>
      <c r="U684" s="31"/>
      <c r="Y684" s="14">
        <f t="shared" si="226"/>
        <v>2389.8867172981572</v>
      </c>
      <c r="Z684" s="14">
        <f t="shared" si="226"/>
        <v>11694393.160781359</v>
      </c>
      <c r="AA684" s="14">
        <f t="shared" si="226"/>
        <v>30673535.407317042</v>
      </c>
    </row>
    <row r="685" spans="4:27" x14ac:dyDescent="0.25">
      <c r="D685" s="68" t="str">
        <f t="shared" si="227"/>
        <v>Canada</v>
      </c>
      <c r="E685" s="12" t="s">
        <v>48</v>
      </c>
      <c r="G685" s="14">
        <f t="shared" si="225"/>
        <v>1988</v>
      </c>
      <c r="H685" s="14">
        <f t="shared" si="225"/>
        <v>875</v>
      </c>
      <c r="I685" s="14">
        <f t="shared" si="225"/>
        <v>2089.9899999999998</v>
      </c>
      <c r="J685" s="14">
        <f t="shared" si="225"/>
        <v>9175909.2100000009</v>
      </c>
      <c r="K685" s="14">
        <f t="shared" si="225"/>
        <v>4131904.7900000005</v>
      </c>
      <c r="L685" s="14">
        <f t="shared" si="225"/>
        <v>9795951.8599999994</v>
      </c>
      <c r="M685" s="14">
        <f t="shared" si="225"/>
        <v>27093257.640000004</v>
      </c>
      <c r="N685" s="14">
        <f t="shared" si="225"/>
        <v>12095491.939999999</v>
      </c>
      <c r="O685" s="14">
        <f t="shared" si="225"/>
        <v>29428531.879999999</v>
      </c>
      <c r="S685" s="31"/>
      <c r="T685" s="31"/>
      <c r="U685" s="31"/>
      <c r="Y685" s="14">
        <f t="shared" si="226"/>
        <v>1787.3812479230608</v>
      </c>
      <c r="Z685" s="14">
        <f t="shared" si="226"/>
        <v>8471240.5997849368</v>
      </c>
      <c r="AA685" s="14">
        <f t="shared" si="226"/>
        <v>24824575.844415888</v>
      </c>
    </row>
    <row r="686" spans="4:27" x14ac:dyDescent="0.25">
      <c r="D686" s="68" t="str">
        <f t="shared" si="227"/>
        <v>Chile</v>
      </c>
      <c r="E686" s="12" t="s">
        <v>49</v>
      </c>
      <c r="G686" s="14">
        <f t="shared" si="225"/>
        <v>540</v>
      </c>
      <c r="H686" s="14">
        <f t="shared" si="225"/>
        <v>297</v>
      </c>
      <c r="I686" s="14">
        <f t="shared" si="225"/>
        <v>570.04</v>
      </c>
      <c r="J686" s="14">
        <f t="shared" si="225"/>
        <v>2464182.83</v>
      </c>
      <c r="K686" s="14">
        <f t="shared" si="225"/>
        <v>1450147.1600000001</v>
      </c>
      <c r="L686" s="14">
        <f t="shared" si="225"/>
        <v>2634976.0999999996</v>
      </c>
      <c r="M686" s="14">
        <f t="shared" si="225"/>
        <v>8176885.5</v>
      </c>
      <c r="N686" s="14">
        <f t="shared" si="225"/>
        <v>4756165.46</v>
      </c>
      <c r="O686" s="14">
        <f t="shared" si="225"/>
        <v>8954264.8300000001</v>
      </c>
      <c r="S686" s="31"/>
      <c r="T686" s="31"/>
      <c r="U686" s="31"/>
      <c r="Y686" s="14">
        <f t="shared" si="226"/>
        <v>621.86181818181808</v>
      </c>
      <c r="Z686" s="14">
        <f t="shared" si="226"/>
        <v>3037708.1808090499</v>
      </c>
      <c r="AA686" s="14">
        <f t="shared" si="226"/>
        <v>10048555.862248667</v>
      </c>
    </row>
    <row r="687" spans="4:27" x14ac:dyDescent="0.25">
      <c r="D687" s="68" t="str">
        <f t="shared" si="227"/>
        <v>China</v>
      </c>
      <c r="E687" s="12" t="s">
        <v>50</v>
      </c>
      <c r="G687" s="14">
        <f t="shared" si="225"/>
        <v>4710</v>
      </c>
      <c r="H687" s="14">
        <f t="shared" si="225"/>
        <v>2264</v>
      </c>
      <c r="I687" s="14">
        <f t="shared" si="225"/>
        <v>5000.0700000000006</v>
      </c>
      <c r="J687" s="14">
        <f t="shared" si="225"/>
        <v>21129129.710000005</v>
      </c>
      <c r="K687" s="14">
        <f t="shared" si="225"/>
        <v>10681051.849999998</v>
      </c>
      <c r="L687" s="14">
        <f t="shared" si="225"/>
        <v>22723839.939999998</v>
      </c>
      <c r="M687" s="14">
        <f t="shared" si="225"/>
        <v>61225099.240000002</v>
      </c>
      <c r="N687" s="14">
        <f t="shared" si="225"/>
        <v>31154927.619999997</v>
      </c>
      <c r="O687" s="14">
        <f t="shared" si="225"/>
        <v>68853049.280000001</v>
      </c>
      <c r="S687" s="31"/>
      <c r="T687" s="31"/>
      <c r="U687" s="31"/>
      <c r="Y687" s="14">
        <f t="shared" si="226"/>
        <v>4593.8845701206892</v>
      </c>
      <c r="Z687" s="14">
        <f t="shared" si="226"/>
        <v>21661992.418241985</v>
      </c>
      <c r="AA687" s="14">
        <f t="shared" si="226"/>
        <v>63340833.038602464</v>
      </c>
    </row>
    <row r="688" spans="4:27" x14ac:dyDescent="0.25">
      <c r="D688" s="68" t="str">
        <f t="shared" si="227"/>
        <v>Colombia</v>
      </c>
      <c r="E688" s="12" t="s">
        <v>51</v>
      </c>
      <c r="G688" s="14">
        <f t="shared" si="225"/>
        <v>280</v>
      </c>
      <c r="H688" s="14">
        <f t="shared" si="225"/>
        <v>137</v>
      </c>
      <c r="I688" s="14">
        <f t="shared" si="225"/>
        <v>262.5</v>
      </c>
      <c r="J688" s="14">
        <f t="shared" si="225"/>
        <v>1287280.22</v>
      </c>
      <c r="K688" s="14">
        <f t="shared" si="225"/>
        <v>633972.65</v>
      </c>
      <c r="L688" s="14">
        <f t="shared" si="225"/>
        <v>1253726.96</v>
      </c>
      <c r="M688" s="14">
        <f t="shared" si="225"/>
        <v>3357002.9</v>
      </c>
      <c r="N688" s="14">
        <f t="shared" si="225"/>
        <v>1600808.0099999998</v>
      </c>
      <c r="O688" s="14">
        <f t="shared" si="225"/>
        <v>3320851.3900000006</v>
      </c>
      <c r="S688" s="31"/>
      <c r="T688" s="31"/>
      <c r="U688" s="31"/>
      <c r="Y688" s="14">
        <f t="shared" si="226"/>
        <v>255.59701492537314</v>
      </c>
      <c r="Z688" s="14">
        <f t="shared" si="226"/>
        <v>1247381.8020098789</v>
      </c>
      <c r="AA688" s="14">
        <f t="shared" si="226"/>
        <v>3191324.3600165541</v>
      </c>
    </row>
    <row r="689" spans="4:27" x14ac:dyDescent="0.25">
      <c r="D689" s="68" t="str">
        <f t="shared" si="227"/>
        <v>Estonia</v>
      </c>
      <c r="E689" s="12" t="s">
        <v>52</v>
      </c>
      <c r="G689" s="14">
        <f t="shared" si="225"/>
        <v>248</v>
      </c>
      <c r="H689" s="14">
        <f t="shared" si="225"/>
        <v>142</v>
      </c>
      <c r="I689" s="14">
        <f t="shared" si="225"/>
        <v>259.97999999999996</v>
      </c>
      <c r="J689" s="14">
        <f t="shared" si="225"/>
        <v>1138643.6600000001</v>
      </c>
      <c r="K689" s="14">
        <f t="shared" si="225"/>
        <v>661888.89</v>
      </c>
      <c r="L689" s="14">
        <f t="shared" si="225"/>
        <v>1263646.7399999998</v>
      </c>
      <c r="M689" s="14">
        <f t="shared" si="225"/>
        <v>3226640.5700000003</v>
      </c>
      <c r="N689" s="14">
        <f t="shared" si="225"/>
        <v>1842194.62</v>
      </c>
      <c r="O689" s="14">
        <f t="shared" si="225"/>
        <v>3662176.33</v>
      </c>
      <c r="S689" s="31"/>
      <c r="T689" s="31"/>
      <c r="U689" s="31"/>
      <c r="Y689" s="14">
        <f t="shared" si="226"/>
        <v>266.64615384615388</v>
      </c>
      <c r="Z689" s="14">
        <f t="shared" si="226"/>
        <v>1244777.2809638712</v>
      </c>
      <c r="AA689" s="14">
        <f t="shared" si="226"/>
        <v>3439988.6936600194</v>
      </c>
    </row>
    <row r="690" spans="4:27" x14ac:dyDescent="0.25">
      <c r="D690" s="68" t="str">
        <f t="shared" si="227"/>
        <v>France</v>
      </c>
      <c r="E690" s="12" t="s">
        <v>53</v>
      </c>
      <c r="G690" s="14">
        <f t="shared" ref="G690:O699" si="228">SUMIF($E$295:$E$678,$E690,G$295:G$678)</f>
        <v>4904</v>
      </c>
      <c r="H690" s="14">
        <f t="shared" si="228"/>
        <v>2289</v>
      </c>
      <c r="I690" s="14">
        <f t="shared" si="228"/>
        <v>5149.9500000000007</v>
      </c>
      <c r="J690" s="14">
        <f t="shared" si="228"/>
        <v>22195409.269999996</v>
      </c>
      <c r="K690" s="14">
        <f t="shared" si="228"/>
        <v>10788101.030000001</v>
      </c>
      <c r="L690" s="14">
        <f t="shared" si="228"/>
        <v>23718828.419999998</v>
      </c>
      <c r="M690" s="14">
        <f t="shared" si="228"/>
        <v>65526891.530000001</v>
      </c>
      <c r="N690" s="14">
        <f t="shared" si="228"/>
        <v>31957385.66</v>
      </c>
      <c r="O690" s="14">
        <f t="shared" si="228"/>
        <v>71167772.260000005</v>
      </c>
      <c r="S690" s="31"/>
      <c r="T690" s="31"/>
      <c r="U690" s="31"/>
      <c r="Y690" s="14">
        <f t="shared" si="226"/>
        <v>4693.8713909716062</v>
      </c>
      <c r="Z690" s="14">
        <f t="shared" si="226"/>
        <v>22153955.488900863</v>
      </c>
      <c r="AA690" s="14">
        <f t="shared" si="226"/>
        <v>65700803.20494163</v>
      </c>
    </row>
    <row r="691" spans="4:27" x14ac:dyDescent="0.25">
      <c r="D691" s="68" t="str">
        <f t="shared" si="227"/>
        <v>Germany</v>
      </c>
      <c r="E691" s="32" t="s">
        <v>54</v>
      </c>
      <c r="G691" s="14">
        <f t="shared" si="228"/>
        <v>5124</v>
      </c>
      <c r="H691" s="14">
        <f t="shared" si="228"/>
        <v>2304</v>
      </c>
      <c r="I691" s="14">
        <f t="shared" si="228"/>
        <v>5380.0900000000011</v>
      </c>
      <c r="J691" s="14">
        <f t="shared" si="228"/>
        <v>23145017.75</v>
      </c>
      <c r="K691" s="14">
        <f t="shared" si="228"/>
        <v>10849389.180000002</v>
      </c>
      <c r="L691" s="14">
        <f t="shared" si="228"/>
        <v>24918760.830000006</v>
      </c>
      <c r="M691" s="14">
        <f t="shared" si="228"/>
        <v>69251898.050000012</v>
      </c>
      <c r="N691" s="14">
        <f t="shared" si="228"/>
        <v>32463769.169999998</v>
      </c>
      <c r="O691" s="14">
        <f t="shared" si="228"/>
        <v>75904893.959999993</v>
      </c>
      <c r="S691" s="31"/>
      <c r="T691" s="31"/>
      <c r="U691" s="31"/>
      <c r="Y691" s="14">
        <f t="shared" si="226"/>
        <v>4736.2733924552658</v>
      </c>
      <c r="Z691" s="14">
        <f t="shared" si="226"/>
        <v>22352054.046212379</v>
      </c>
      <c r="AA691" s="14">
        <f t="shared" si="226"/>
        <v>67001146.856779374</v>
      </c>
    </row>
    <row r="692" spans="4:27" x14ac:dyDescent="0.25">
      <c r="D692" s="68" t="str">
        <f t="shared" si="227"/>
        <v>Greece</v>
      </c>
      <c r="E692" s="12" t="s">
        <v>55</v>
      </c>
      <c r="G692" s="14">
        <f t="shared" si="228"/>
        <v>521</v>
      </c>
      <c r="H692" s="14">
        <f t="shared" si="228"/>
        <v>211</v>
      </c>
      <c r="I692" s="14">
        <f t="shared" si="228"/>
        <v>550.11</v>
      </c>
      <c r="J692" s="14">
        <f t="shared" si="228"/>
        <v>2433321.54</v>
      </c>
      <c r="K692" s="14">
        <f t="shared" si="228"/>
        <v>1066281.0899999999</v>
      </c>
      <c r="L692" s="14">
        <f t="shared" si="228"/>
        <v>2544515.46</v>
      </c>
      <c r="M692" s="14">
        <f t="shared" si="228"/>
        <v>6862212.959999999</v>
      </c>
      <c r="N692" s="14">
        <f t="shared" si="228"/>
        <v>2990508.63</v>
      </c>
      <c r="O692" s="14">
        <f t="shared" si="228"/>
        <v>7250288.3600000003</v>
      </c>
      <c r="S692" s="31"/>
      <c r="T692" s="31"/>
      <c r="U692" s="31"/>
      <c r="Y692" s="14">
        <f t="shared" si="226"/>
        <v>431.67544348990288</v>
      </c>
      <c r="Z692" s="14">
        <f t="shared" si="226"/>
        <v>2190581.5294083557</v>
      </c>
      <c r="AA692" s="14">
        <f t="shared" si="226"/>
        <v>6155204.4691986106</v>
      </c>
    </row>
    <row r="693" spans="4:27" x14ac:dyDescent="0.25">
      <c r="D693" s="68" t="str">
        <f t="shared" si="227"/>
        <v>Hong Kong</v>
      </c>
      <c r="E693" s="12" t="s">
        <v>56</v>
      </c>
      <c r="G693" s="14">
        <f t="shared" si="228"/>
        <v>2613</v>
      </c>
      <c r="H693" s="14">
        <f t="shared" si="228"/>
        <v>1113</v>
      </c>
      <c r="I693" s="14">
        <f t="shared" si="228"/>
        <v>2740.01</v>
      </c>
      <c r="J693" s="14">
        <f t="shared" si="228"/>
        <v>11856392.819999997</v>
      </c>
      <c r="K693" s="14">
        <f t="shared" si="228"/>
        <v>5315856.5599999996</v>
      </c>
      <c r="L693" s="14">
        <f t="shared" si="228"/>
        <v>12793906.670000002</v>
      </c>
      <c r="M693" s="14">
        <f t="shared" si="228"/>
        <v>33911293.409999996</v>
      </c>
      <c r="N693" s="14">
        <f t="shared" si="228"/>
        <v>15385840.550000001</v>
      </c>
      <c r="O693" s="14">
        <f t="shared" si="228"/>
        <v>37213203.890000001</v>
      </c>
      <c r="S693" s="31"/>
      <c r="T693" s="31"/>
      <c r="U693" s="31"/>
      <c r="Y693" s="14">
        <f t="shared" si="226"/>
        <v>2284.6759338337752</v>
      </c>
      <c r="Z693" s="14">
        <f t="shared" si="226"/>
        <v>10895901.526293434</v>
      </c>
      <c r="AA693" s="14">
        <f t="shared" si="226"/>
        <v>31591595.180916343</v>
      </c>
    </row>
    <row r="694" spans="4:27" x14ac:dyDescent="0.25">
      <c r="D694" s="68" t="str">
        <f t="shared" si="227"/>
        <v>Italy</v>
      </c>
      <c r="E694" s="12" t="s">
        <v>57</v>
      </c>
      <c r="G694" s="14">
        <f t="shared" si="228"/>
        <v>2123</v>
      </c>
      <c r="H694" s="14">
        <f t="shared" si="228"/>
        <v>1011</v>
      </c>
      <c r="I694" s="14">
        <f t="shared" si="228"/>
        <v>2230.09</v>
      </c>
      <c r="J694" s="14">
        <f t="shared" si="228"/>
        <v>9569579.3899999987</v>
      </c>
      <c r="K694" s="14">
        <f t="shared" si="228"/>
        <v>4816290.74</v>
      </c>
      <c r="L694" s="14">
        <f t="shared" si="228"/>
        <v>10290744.82</v>
      </c>
      <c r="M694" s="14">
        <f t="shared" si="228"/>
        <v>29396619.969999995</v>
      </c>
      <c r="N694" s="14">
        <f t="shared" si="228"/>
        <v>14784311.449999999</v>
      </c>
      <c r="O694" s="14">
        <f t="shared" si="228"/>
        <v>32110358.539999999</v>
      </c>
      <c r="S694" s="31"/>
      <c r="T694" s="31"/>
      <c r="U694" s="31"/>
      <c r="Y694" s="14">
        <f t="shared" si="226"/>
        <v>2072.7191567992936</v>
      </c>
      <c r="Z694" s="14">
        <f t="shared" si="226"/>
        <v>9854057.111250395</v>
      </c>
      <c r="AA694" s="14">
        <f t="shared" si="226"/>
        <v>30217286.677640248</v>
      </c>
    </row>
    <row r="695" spans="4:27" x14ac:dyDescent="0.25">
      <c r="D695" s="68" t="str">
        <f t="shared" si="227"/>
        <v>Japan</v>
      </c>
      <c r="E695" s="12" t="s">
        <v>58</v>
      </c>
      <c r="G695" s="14">
        <f t="shared" si="228"/>
        <v>5228</v>
      </c>
      <c r="H695" s="14">
        <f t="shared" si="228"/>
        <v>2376</v>
      </c>
      <c r="I695" s="14">
        <f t="shared" si="228"/>
        <v>5490.1100000000006</v>
      </c>
      <c r="J695" s="14">
        <f t="shared" si="228"/>
        <v>23751719.890000001</v>
      </c>
      <c r="K695" s="14">
        <f t="shared" si="228"/>
        <v>11178834.07</v>
      </c>
      <c r="L695" s="14">
        <f t="shared" si="228"/>
        <v>25324670.039999995</v>
      </c>
      <c r="M695" s="14">
        <f t="shared" si="228"/>
        <v>68446213.50999999</v>
      </c>
      <c r="N695" s="14">
        <f t="shared" si="228"/>
        <v>31831200.279999994</v>
      </c>
      <c r="O695" s="14">
        <f t="shared" si="228"/>
        <v>74351401.599999994</v>
      </c>
      <c r="S695" s="31"/>
      <c r="T695" s="31"/>
      <c r="U695" s="31"/>
      <c r="Y695" s="14">
        <f t="shared" si="226"/>
        <v>5127.2734047654603</v>
      </c>
      <c r="Z695" s="14">
        <f t="shared" si="226"/>
        <v>24419513.384509481</v>
      </c>
      <c r="AA695" s="14">
        <f t="shared" si="226"/>
        <v>69655669.865581453</v>
      </c>
    </row>
    <row r="696" spans="4:27" x14ac:dyDescent="0.25">
      <c r="D696" s="68" t="str">
        <f t="shared" si="227"/>
        <v>Malaysia</v>
      </c>
      <c r="E696" s="12" t="s">
        <v>59</v>
      </c>
      <c r="G696" s="14">
        <f t="shared" si="228"/>
        <v>293</v>
      </c>
      <c r="H696" s="14">
        <f t="shared" si="228"/>
        <v>164</v>
      </c>
      <c r="I696" s="14">
        <f t="shared" si="228"/>
        <v>309.99</v>
      </c>
      <c r="J696" s="14">
        <f t="shared" si="228"/>
        <v>1312333.21</v>
      </c>
      <c r="K696" s="14">
        <f t="shared" si="228"/>
        <v>760173.64000000013</v>
      </c>
      <c r="L696" s="14">
        <f t="shared" si="228"/>
        <v>1411795.4600000002</v>
      </c>
      <c r="M696" s="14">
        <f t="shared" si="228"/>
        <v>3497124.9400000004</v>
      </c>
      <c r="N696" s="14">
        <f t="shared" si="228"/>
        <v>2003589.06</v>
      </c>
      <c r="O696" s="14">
        <f t="shared" si="228"/>
        <v>3834242.78</v>
      </c>
      <c r="S696" s="31"/>
      <c r="T696" s="31"/>
      <c r="U696" s="31"/>
      <c r="Y696" s="14">
        <f t="shared" si="226"/>
        <v>336.74478373186724</v>
      </c>
      <c r="Z696" s="14">
        <f t="shared" si="226"/>
        <v>1553627.6360292067</v>
      </c>
      <c r="AA696" s="14">
        <f t="shared" si="226"/>
        <v>4090033.1036555157</v>
      </c>
    </row>
    <row r="697" spans="4:27" x14ac:dyDescent="0.25">
      <c r="D697" s="68" t="str">
        <f t="shared" si="227"/>
        <v>Mexico</v>
      </c>
      <c r="E697" s="12" t="s">
        <v>60</v>
      </c>
      <c r="G697" s="14">
        <f t="shared" si="228"/>
        <v>3111</v>
      </c>
      <c r="H697" s="14">
        <f t="shared" si="228"/>
        <v>1518</v>
      </c>
      <c r="I697" s="14">
        <f t="shared" si="228"/>
        <v>3269.9900000000002</v>
      </c>
      <c r="J697" s="14">
        <f t="shared" si="228"/>
        <v>14362562.639999999</v>
      </c>
      <c r="K697" s="14">
        <f t="shared" si="228"/>
        <v>7360193.9499999993</v>
      </c>
      <c r="L697" s="14">
        <f t="shared" si="228"/>
        <v>15342833.699999999</v>
      </c>
      <c r="M697" s="14">
        <f t="shared" si="228"/>
        <v>43124315.020000003</v>
      </c>
      <c r="N697" s="14">
        <f t="shared" si="228"/>
        <v>21821683.23</v>
      </c>
      <c r="O697" s="14">
        <f t="shared" si="228"/>
        <v>46863360.219999991</v>
      </c>
      <c r="S697" s="31"/>
      <c r="T697" s="31"/>
      <c r="U697" s="31"/>
      <c r="Y697" s="14">
        <f t="shared" si="226"/>
        <v>3193.2099195882925</v>
      </c>
      <c r="Z697" s="14">
        <f t="shared" si="226"/>
        <v>15553375.163506277</v>
      </c>
      <c r="AA697" s="14">
        <f t="shared" si="226"/>
        <v>46356401.69915498</v>
      </c>
    </row>
    <row r="698" spans="4:27" x14ac:dyDescent="0.25">
      <c r="D698" s="68" t="str">
        <f t="shared" si="227"/>
        <v>Netherlands</v>
      </c>
      <c r="E698" s="12" t="s">
        <v>61</v>
      </c>
      <c r="G698" s="14">
        <f t="shared" si="228"/>
        <v>2517</v>
      </c>
      <c r="H698" s="14">
        <f t="shared" si="228"/>
        <v>1127</v>
      </c>
      <c r="I698" s="14">
        <f t="shared" si="228"/>
        <v>2640.0699999999997</v>
      </c>
      <c r="J698" s="14">
        <f t="shared" si="228"/>
        <v>11387968.65</v>
      </c>
      <c r="K698" s="14">
        <f t="shared" si="228"/>
        <v>5317318.3499999996</v>
      </c>
      <c r="L698" s="14">
        <f t="shared" si="228"/>
        <v>12179263.449999999</v>
      </c>
      <c r="M698" s="14">
        <f t="shared" si="228"/>
        <v>32387351.440000001</v>
      </c>
      <c r="N698" s="14">
        <f t="shared" si="228"/>
        <v>15147546.599999998</v>
      </c>
      <c r="O698" s="14">
        <f t="shared" si="228"/>
        <v>35176260.730000004</v>
      </c>
      <c r="S698" s="31"/>
      <c r="T698" s="31"/>
      <c r="U698" s="31"/>
      <c r="Y698" s="14">
        <f t="shared" si="226"/>
        <v>2337.7035049537631</v>
      </c>
      <c r="Z698" s="14">
        <f t="shared" si="226"/>
        <v>11153542.323947113</v>
      </c>
      <c r="AA698" s="14">
        <f t="shared" si="226"/>
        <v>31882422.45786069</v>
      </c>
    </row>
    <row r="699" spans="4:27" x14ac:dyDescent="0.25">
      <c r="D699" s="68" t="str">
        <f t="shared" si="227"/>
        <v>Peru</v>
      </c>
      <c r="E699" s="12" t="s">
        <v>62</v>
      </c>
      <c r="G699" s="14">
        <f t="shared" si="228"/>
        <v>800</v>
      </c>
      <c r="H699" s="14">
        <f t="shared" si="228"/>
        <v>366</v>
      </c>
      <c r="I699" s="14">
        <f t="shared" si="228"/>
        <v>839.96</v>
      </c>
      <c r="J699" s="14">
        <f t="shared" si="228"/>
        <v>3690242.92</v>
      </c>
      <c r="K699" s="14">
        <f t="shared" si="228"/>
        <v>1739735.65</v>
      </c>
      <c r="L699" s="14">
        <f t="shared" si="228"/>
        <v>3869678.04</v>
      </c>
      <c r="M699" s="14">
        <f t="shared" si="228"/>
        <v>11057350.310000001</v>
      </c>
      <c r="N699" s="14">
        <f t="shared" si="228"/>
        <v>5270197.76</v>
      </c>
      <c r="O699" s="14">
        <f t="shared" si="228"/>
        <v>11872331.16</v>
      </c>
      <c r="S699" s="31"/>
      <c r="T699" s="31"/>
      <c r="U699" s="31"/>
      <c r="Y699" s="14">
        <f t="shared" si="226"/>
        <v>738.96774193548367</v>
      </c>
      <c r="Z699" s="14">
        <f t="shared" si="226"/>
        <v>3509673.2175172879</v>
      </c>
      <c r="AA699" s="14">
        <f t="shared" si="226"/>
        <v>10638417.396715052</v>
      </c>
    </row>
    <row r="700" spans="4:27" x14ac:dyDescent="0.25">
      <c r="D700" s="68" t="str">
        <f t="shared" si="227"/>
        <v>Portugal</v>
      </c>
      <c r="E700" s="12" t="s">
        <v>63</v>
      </c>
      <c r="G700" s="14">
        <f t="shared" ref="G700:O711" si="229">SUMIF($E$295:$E$678,$E700,G$295:G$678)</f>
        <v>481</v>
      </c>
      <c r="H700" s="14">
        <f t="shared" si="229"/>
        <v>311</v>
      </c>
      <c r="I700" s="14">
        <f t="shared" si="229"/>
        <v>509.97999999999996</v>
      </c>
      <c r="J700" s="14">
        <f t="shared" si="229"/>
        <v>2138318.7799999998</v>
      </c>
      <c r="K700" s="14">
        <f t="shared" si="229"/>
        <v>1474782.4000000001</v>
      </c>
      <c r="L700" s="14">
        <f t="shared" si="229"/>
        <v>2315943.77</v>
      </c>
      <c r="M700" s="14">
        <f t="shared" si="229"/>
        <v>6012147.3599999994</v>
      </c>
      <c r="N700" s="14">
        <f t="shared" si="229"/>
        <v>4130778.5100000007</v>
      </c>
      <c r="O700" s="14">
        <f t="shared" si="229"/>
        <v>6598666.1799999997</v>
      </c>
      <c r="S700" s="31"/>
      <c r="T700" s="31"/>
      <c r="U700" s="31"/>
      <c r="Y700" s="14">
        <f t="shared" si="226"/>
        <v>613.22216207856479</v>
      </c>
      <c r="Z700" s="14">
        <f t="shared" si="226"/>
        <v>2914508.4153115698</v>
      </c>
      <c r="AA700" s="14">
        <f t="shared" si="226"/>
        <v>8155816.5702132387</v>
      </c>
    </row>
    <row r="701" spans="4:27" x14ac:dyDescent="0.25">
      <c r="D701" s="68" t="str">
        <f t="shared" si="227"/>
        <v>Saudi Arabia</v>
      </c>
      <c r="E701" s="12" t="s">
        <v>64</v>
      </c>
      <c r="G701" s="14">
        <f t="shared" si="229"/>
        <v>1913</v>
      </c>
      <c r="H701" s="14">
        <f t="shared" si="229"/>
        <v>967</v>
      </c>
      <c r="I701" s="14">
        <f t="shared" si="229"/>
        <v>2010.06</v>
      </c>
      <c r="J701" s="14">
        <f t="shared" si="229"/>
        <v>8568017.5899999999</v>
      </c>
      <c r="K701" s="14">
        <f t="shared" si="229"/>
        <v>4631615.0499999989</v>
      </c>
      <c r="L701" s="14">
        <f t="shared" si="229"/>
        <v>9229759.2100000009</v>
      </c>
      <c r="M701" s="14">
        <f t="shared" si="229"/>
        <v>24373646.510000002</v>
      </c>
      <c r="N701" s="14">
        <f t="shared" si="229"/>
        <v>13184083.390000001</v>
      </c>
      <c r="O701" s="14">
        <f t="shared" si="229"/>
        <v>26604173.310000006</v>
      </c>
      <c r="S701" s="31"/>
      <c r="T701" s="31"/>
      <c r="U701" s="31"/>
      <c r="Y701" s="14">
        <f t="shared" si="226"/>
        <v>1976.217027939322</v>
      </c>
      <c r="Z701" s="14">
        <f t="shared" si="226"/>
        <v>9458235.5894137193</v>
      </c>
      <c r="AA701" s="14">
        <f t="shared" si="226"/>
        <v>26882371.182412159</v>
      </c>
    </row>
    <row r="702" spans="4:27" x14ac:dyDescent="0.25">
      <c r="D702" s="68" t="str">
        <f t="shared" si="227"/>
        <v>Singapore</v>
      </c>
      <c r="E702" s="12" t="s">
        <v>65</v>
      </c>
      <c r="G702" s="14">
        <f t="shared" si="229"/>
        <v>1876</v>
      </c>
      <c r="H702" s="14">
        <f t="shared" si="229"/>
        <v>785</v>
      </c>
      <c r="I702" s="14">
        <f t="shared" si="229"/>
        <v>1969.9999999999998</v>
      </c>
      <c r="J702" s="14">
        <f t="shared" si="229"/>
        <v>8348655.2400000002</v>
      </c>
      <c r="K702" s="14">
        <f t="shared" si="229"/>
        <v>3723860.8600000003</v>
      </c>
      <c r="L702" s="14">
        <f t="shared" si="229"/>
        <v>8869276.5299999993</v>
      </c>
      <c r="M702" s="14">
        <f t="shared" si="229"/>
        <v>23170653.530000001</v>
      </c>
      <c r="N702" s="14">
        <f t="shared" si="229"/>
        <v>10267999.08</v>
      </c>
      <c r="O702" s="14">
        <f t="shared" si="229"/>
        <v>25004397.660000004</v>
      </c>
      <c r="S702" s="31"/>
      <c r="T702" s="31"/>
      <c r="U702" s="31"/>
      <c r="Y702" s="14">
        <f t="shared" si="226"/>
        <v>1629.7463351916454</v>
      </c>
      <c r="Z702" s="14">
        <f t="shared" si="226"/>
        <v>7716387.9035886377</v>
      </c>
      <c r="AA702" s="14">
        <f t="shared" si="226"/>
        <v>21263202.156894833</v>
      </c>
    </row>
    <row r="703" spans="4:27" x14ac:dyDescent="0.25">
      <c r="D703" s="68" t="str">
        <f t="shared" si="227"/>
        <v>South Korea</v>
      </c>
      <c r="E703" s="32" t="s">
        <v>66</v>
      </c>
      <c r="G703" s="14">
        <f t="shared" si="229"/>
        <v>3011</v>
      </c>
      <c r="H703" s="14">
        <f t="shared" si="229"/>
        <v>1537</v>
      </c>
      <c r="I703" s="14">
        <f t="shared" si="229"/>
        <v>3159.91</v>
      </c>
      <c r="J703" s="14">
        <f t="shared" si="229"/>
        <v>13782697.210000001</v>
      </c>
      <c r="K703" s="14">
        <f t="shared" si="229"/>
        <v>7316804.6100000003</v>
      </c>
      <c r="L703" s="14">
        <f t="shared" si="229"/>
        <v>14708709.219999999</v>
      </c>
      <c r="M703" s="14">
        <f t="shared" si="229"/>
        <v>39951286.780000001</v>
      </c>
      <c r="N703" s="14">
        <f t="shared" si="229"/>
        <v>20962778.160000004</v>
      </c>
      <c r="O703" s="14">
        <f t="shared" si="229"/>
        <v>43348060.280000001</v>
      </c>
      <c r="S703" s="31"/>
      <c r="T703" s="31"/>
      <c r="U703" s="31"/>
      <c r="Y703" s="14">
        <f t="shared" si="226"/>
        <v>3113.5012084030495</v>
      </c>
      <c r="Z703" s="14">
        <f t="shared" si="226"/>
        <v>14837884.780849446</v>
      </c>
      <c r="AA703" s="14">
        <f t="shared" si="226"/>
        <v>42499336.109807156</v>
      </c>
    </row>
    <row r="704" spans="4:27" x14ac:dyDescent="0.25">
      <c r="D704" s="68" t="str">
        <f t="shared" si="227"/>
        <v>Spain</v>
      </c>
      <c r="E704" s="12" t="s">
        <v>67</v>
      </c>
      <c r="G704" s="14">
        <f t="shared" si="229"/>
        <v>1480</v>
      </c>
      <c r="H704" s="14">
        <f t="shared" si="229"/>
        <v>693</v>
      </c>
      <c r="I704" s="14">
        <f t="shared" si="229"/>
        <v>1550.03</v>
      </c>
      <c r="J704" s="14">
        <f t="shared" si="229"/>
        <v>6763413.7400000002</v>
      </c>
      <c r="K704" s="14">
        <f t="shared" si="229"/>
        <v>3373287.6100000003</v>
      </c>
      <c r="L704" s="14">
        <f t="shared" si="229"/>
        <v>7175029.129999998</v>
      </c>
      <c r="M704" s="14">
        <f t="shared" si="229"/>
        <v>19511901.5</v>
      </c>
      <c r="N704" s="14">
        <f t="shared" si="229"/>
        <v>9772514.2599999979</v>
      </c>
      <c r="O704" s="14">
        <f t="shared" si="229"/>
        <v>21095212.619999997</v>
      </c>
      <c r="S704" s="31"/>
      <c r="T704" s="31"/>
      <c r="U704" s="31"/>
      <c r="Y704" s="14">
        <f t="shared" si="226"/>
        <v>1385.561992105874</v>
      </c>
      <c r="Z704" s="14">
        <f t="shared" si="226"/>
        <v>6738379.9651225535</v>
      </c>
      <c r="AA704" s="14">
        <f t="shared" si="226"/>
        <v>19524890.586996317</v>
      </c>
    </row>
    <row r="705" spans="4:27" x14ac:dyDescent="0.25">
      <c r="D705" s="68" t="str">
        <f t="shared" si="227"/>
        <v>Switzerland</v>
      </c>
      <c r="E705" s="12" t="s">
        <v>68</v>
      </c>
      <c r="G705" s="14">
        <f t="shared" si="229"/>
        <v>5057</v>
      </c>
      <c r="H705" s="14">
        <f t="shared" si="229"/>
        <v>2322</v>
      </c>
      <c r="I705" s="14">
        <f t="shared" si="229"/>
        <v>5309.91</v>
      </c>
      <c r="J705" s="14">
        <f t="shared" si="229"/>
        <v>22912708.419999998</v>
      </c>
      <c r="K705" s="14">
        <f t="shared" si="229"/>
        <v>11091311.42</v>
      </c>
      <c r="L705" s="14">
        <f t="shared" si="229"/>
        <v>24604173.030000001</v>
      </c>
      <c r="M705" s="14">
        <f t="shared" si="229"/>
        <v>72731825.74000001</v>
      </c>
      <c r="N705" s="14">
        <f t="shared" si="229"/>
        <v>34698382.420000002</v>
      </c>
      <c r="O705" s="14">
        <f t="shared" si="229"/>
        <v>79478848.429999992</v>
      </c>
      <c r="S705" s="31"/>
      <c r="T705" s="31"/>
      <c r="U705" s="31"/>
      <c r="Y705" s="14">
        <f t="shared" si="226"/>
        <v>4900.0918130514265</v>
      </c>
      <c r="Z705" s="14">
        <f t="shared" si="226"/>
        <v>23677322.27599436</v>
      </c>
      <c r="AA705" s="14">
        <f t="shared" si="226"/>
        <v>73968231.393120781</v>
      </c>
    </row>
    <row r="706" spans="4:27" x14ac:dyDescent="0.25">
      <c r="D706" s="68" t="str">
        <f t="shared" si="227"/>
        <v>Taiwan</v>
      </c>
      <c r="E706" s="12" t="s">
        <v>69</v>
      </c>
      <c r="G706" s="14">
        <f t="shared" si="229"/>
        <v>507</v>
      </c>
      <c r="H706" s="14">
        <f t="shared" si="229"/>
        <v>239</v>
      </c>
      <c r="I706" s="14">
        <f t="shared" si="229"/>
        <v>529.93999999999994</v>
      </c>
      <c r="J706" s="14">
        <f t="shared" si="229"/>
        <v>2327127.41</v>
      </c>
      <c r="K706" s="14">
        <f t="shared" si="229"/>
        <v>1174084.3</v>
      </c>
      <c r="L706" s="14">
        <f t="shared" si="229"/>
        <v>2449287.1800000002</v>
      </c>
      <c r="M706" s="14">
        <f t="shared" si="229"/>
        <v>7743648.4299999997</v>
      </c>
      <c r="N706" s="14">
        <f t="shared" si="229"/>
        <v>3986796.66</v>
      </c>
      <c r="O706" s="14">
        <f t="shared" si="229"/>
        <v>8349498.7299999995</v>
      </c>
      <c r="S706" s="31"/>
      <c r="T706" s="31"/>
      <c r="U706" s="31"/>
      <c r="Y706" s="14">
        <f t="shared" si="226"/>
        <v>485.82915228231684</v>
      </c>
      <c r="Z706" s="14">
        <f t="shared" si="226"/>
        <v>2401826.0854993584</v>
      </c>
      <c r="AA706" s="14">
        <f t="shared" si="226"/>
        <v>8144660.031730311</v>
      </c>
    </row>
    <row r="707" spans="4:27" x14ac:dyDescent="0.25">
      <c r="D707" s="68" t="str">
        <f t="shared" si="227"/>
        <v>Thailand</v>
      </c>
      <c r="E707" s="12" t="s">
        <v>70</v>
      </c>
      <c r="G707" s="14">
        <f t="shared" si="229"/>
        <v>498</v>
      </c>
      <c r="H707" s="14">
        <f t="shared" si="229"/>
        <v>184</v>
      </c>
      <c r="I707" s="14">
        <f t="shared" si="229"/>
        <v>449.99</v>
      </c>
      <c r="J707" s="14">
        <f t="shared" si="229"/>
        <v>2237901</v>
      </c>
      <c r="K707" s="14">
        <f t="shared" si="229"/>
        <v>857132.45</v>
      </c>
      <c r="L707" s="14">
        <f t="shared" si="229"/>
        <v>2091368.0000000002</v>
      </c>
      <c r="M707" s="14">
        <f t="shared" si="229"/>
        <v>6148127.1600000001</v>
      </c>
      <c r="N707" s="14">
        <f t="shared" si="229"/>
        <v>2359416.81</v>
      </c>
      <c r="O707" s="14">
        <f t="shared" si="229"/>
        <v>5800820.7000000002</v>
      </c>
      <c r="S707" s="31"/>
      <c r="T707" s="31"/>
      <c r="U707" s="31"/>
      <c r="Y707" s="14">
        <f t="shared" si="226"/>
        <v>378.90426505583014</v>
      </c>
      <c r="Z707" s="14">
        <f t="shared" si="226"/>
        <v>1797466.7256680259</v>
      </c>
      <c r="AA707" s="14">
        <f t="shared" si="226"/>
        <v>4956554.7531755054</v>
      </c>
    </row>
    <row r="708" spans="4:27" x14ac:dyDescent="0.25">
      <c r="D708" s="68" t="str">
        <f t="shared" si="227"/>
        <v>UAE</v>
      </c>
      <c r="E708" s="12" t="s">
        <v>71</v>
      </c>
      <c r="G708" s="14">
        <f t="shared" si="229"/>
        <v>3093</v>
      </c>
      <c r="H708" s="14">
        <f t="shared" si="229"/>
        <v>1361</v>
      </c>
      <c r="I708" s="14">
        <f t="shared" si="229"/>
        <v>3250.03</v>
      </c>
      <c r="J708" s="14">
        <f t="shared" si="229"/>
        <v>14027140.35</v>
      </c>
      <c r="K708" s="14">
        <f t="shared" si="229"/>
        <v>6462043.6600000001</v>
      </c>
      <c r="L708" s="14">
        <f t="shared" si="229"/>
        <v>15050589.520000001</v>
      </c>
      <c r="M708" s="14">
        <f t="shared" si="229"/>
        <v>41436160.039999999</v>
      </c>
      <c r="N708" s="14">
        <f t="shared" si="229"/>
        <v>19168326.219999999</v>
      </c>
      <c r="O708" s="14">
        <f t="shared" si="229"/>
        <v>45173303.43999999</v>
      </c>
      <c r="S708" s="31"/>
      <c r="T708" s="31"/>
      <c r="U708" s="31"/>
      <c r="Y708" s="14">
        <f t="shared" si="226"/>
        <v>2785.167004583921</v>
      </c>
      <c r="Z708" s="14">
        <f t="shared" si="226"/>
        <v>13236448.100649416</v>
      </c>
      <c r="AA708" s="14">
        <f t="shared" si="226"/>
        <v>39326181.491453998</v>
      </c>
    </row>
    <row r="709" spans="4:27" x14ac:dyDescent="0.25">
      <c r="D709" s="68" t="str">
        <f t="shared" si="227"/>
        <v>United Kingdom</v>
      </c>
      <c r="E709" s="12" t="s">
        <v>72</v>
      </c>
      <c r="G709" s="14">
        <f t="shared" si="229"/>
        <v>5223</v>
      </c>
      <c r="H709" s="14">
        <f t="shared" si="229"/>
        <v>2403</v>
      </c>
      <c r="I709" s="14">
        <f t="shared" si="229"/>
        <v>5479.95</v>
      </c>
      <c r="J709" s="14">
        <f t="shared" si="229"/>
        <v>23561006.740000002</v>
      </c>
      <c r="K709" s="14">
        <f t="shared" si="229"/>
        <v>11429032.250000002</v>
      </c>
      <c r="L709" s="14">
        <f t="shared" si="229"/>
        <v>25388841.729999997</v>
      </c>
      <c r="M709" s="14">
        <f t="shared" si="229"/>
        <v>72561125.49000001</v>
      </c>
      <c r="N709" s="14">
        <f t="shared" si="229"/>
        <v>36171551.090000004</v>
      </c>
      <c r="O709" s="14">
        <f t="shared" si="229"/>
        <v>79547549.13000001</v>
      </c>
      <c r="S709" s="31"/>
      <c r="T709" s="31"/>
      <c r="U709" s="31"/>
      <c r="Y709" s="14">
        <f t="shared" si="226"/>
        <v>4974.4145156598834</v>
      </c>
      <c r="Z709" s="14">
        <f t="shared" si="226"/>
        <v>23579114.595058106</v>
      </c>
      <c r="AA709" s="14">
        <f t="shared" si="226"/>
        <v>74448961.822247252</v>
      </c>
    </row>
    <row r="710" spans="4:27" x14ac:dyDescent="0.25">
      <c r="D710" s="68" t="str">
        <f t="shared" si="227"/>
        <v>United States</v>
      </c>
      <c r="E710" s="12" t="s">
        <v>73</v>
      </c>
      <c r="G710" s="14">
        <f t="shared" si="229"/>
        <v>6142</v>
      </c>
      <c r="H710" s="14">
        <f t="shared" si="229"/>
        <v>2807</v>
      </c>
      <c r="I710" s="14">
        <f t="shared" si="229"/>
        <v>6450.01</v>
      </c>
      <c r="J710" s="14">
        <f t="shared" si="229"/>
        <v>28055615.550000001</v>
      </c>
      <c r="K710" s="14">
        <f t="shared" si="229"/>
        <v>13531537.899999999</v>
      </c>
      <c r="L710" s="14">
        <f t="shared" si="229"/>
        <v>30017449.170000002</v>
      </c>
      <c r="M710" s="14">
        <f t="shared" si="229"/>
        <v>84694710.269999996</v>
      </c>
      <c r="N710" s="14">
        <f t="shared" si="229"/>
        <v>40577150.840000004</v>
      </c>
      <c r="O710" s="14">
        <f t="shared" si="229"/>
        <v>92133695.719999984</v>
      </c>
      <c r="S710" s="31"/>
      <c r="T710" s="31"/>
      <c r="U710" s="31"/>
      <c r="Y710" s="14">
        <f t="shared" si="226"/>
        <v>5856.3811672537558</v>
      </c>
      <c r="Z710" s="14">
        <f t="shared" si="226"/>
        <v>28220395.046544436</v>
      </c>
      <c r="AA710" s="14">
        <f t="shared" si="226"/>
        <v>84835010.87965548</v>
      </c>
    </row>
    <row r="711" spans="4:27" x14ac:dyDescent="0.25">
      <c r="D711" s="68" t="str">
        <f t="shared" si="227"/>
        <v>Vietnam</v>
      </c>
      <c r="E711" s="12" t="s">
        <v>74</v>
      </c>
      <c r="G711" s="14">
        <f t="shared" si="229"/>
        <v>687</v>
      </c>
      <c r="H711" s="14">
        <f t="shared" si="229"/>
        <v>343</v>
      </c>
      <c r="I711" s="14">
        <f t="shared" si="229"/>
        <v>800.03</v>
      </c>
      <c r="J711" s="14">
        <f t="shared" si="229"/>
        <v>3067677.26</v>
      </c>
      <c r="K711" s="14">
        <f t="shared" si="229"/>
        <v>1637417.91</v>
      </c>
      <c r="L711" s="14">
        <f t="shared" si="229"/>
        <v>3659591.8700000006</v>
      </c>
      <c r="M711" s="14">
        <f t="shared" si="229"/>
        <v>9447648.0399999991</v>
      </c>
      <c r="N711" s="14">
        <f t="shared" si="229"/>
        <v>5043870.3499999996</v>
      </c>
      <c r="O711" s="14">
        <f t="shared" si="229"/>
        <v>12312228.34</v>
      </c>
      <c r="S711" s="31"/>
      <c r="T711" s="31"/>
      <c r="U711" s="31"/>
      <c r="Y711" s="14">
        <f t="shared" si="226"/>
        <v>695.80173943911961</v>
      </c>
      <c r="Z711" s="14">
        <f t="shared" si="226"/>
        <v>3321444.8360837996</v>
      </c>
      <c r="AA711" s="14">
        <f t="shared" si="226"/>
        <v>10223461.493044173</v>
      </c>
    </row>
  </sheetData>
  <mergeCells count="4">
    <mergeCell ref="S3:U3"/>
    <mergeCell ref="Y3:AA3"/>
    <mergeCell ref="Y4:AA4"/>
    <mergeCell ref="E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1B3E57-5CAD-40D3-A528-633655FC0E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Summary</vt:lpstr>
      <vt:lpstr>Income Statement</vt:lpstr>
      <vt:lpstr>Detailed Forecast</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Silvio Di Rubbo</dc:creator>
  <cp:lastModifiedBy>Silvio Di Rubbo</cp:lastModifiedBy>
  <dcterms:created xsi:type="dcterms:W3CDTF">2026-07-21T14:46:22Z</dcterms:created>
  <dcterms:modified xsi:type="dcterms:W3CDTF">2026-07-29T06:39:10Z</dcterms:modified>
</cp:coreProperties>
</file>